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46277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46277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46277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46277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46277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46277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46277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46277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46277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46277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46277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46277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46277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46277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46277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10484-2026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46077</v>
      </c>
      <c r="E38" s="1" t="n">
        <v>46277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Ullticka</t>
        </is>
      </c>
      <c r="W38">
        <f>HYPERLINK("https://klasma.github.io/Logging_2101/artfynd/A 10484-2026 artfynd.xlsx", "A 10484-2026")</f>
        <v/>
      </c>
      <c r="X38">
        <f>HYPERLINK("https://klasma.github.io/Logging_2101/kartor/A 10484-2026 karta.png", "A 10484-2026")</f>
        <v/>
      </c>
      <c r="Y38">
        <f>HYPERLINK("https://klasma.github.io/Logging_2101/kartor_geotiff/A 10484-2026 georefererad karta.tif", "A 10484-2026")</f>
        <v/>
      </c>
      <c r="AA38">
        <f>HYPERLINK("https://klasma.github.io/Logging_2101/klagomål/A 10484-2026 FSC-klagomål.docx", "A 10484-2026")</f>
        <v/>
      </c>
      <c r="AB38">
        <f>HYPERLINK("https://klasma.github.io/Logging_2101/klagomålsmail/A 10484-2026 FSC-klagomål mail.docx", "A 10484-2026")</f>
        <v/>
      </c>
      <c r="AC38">
        <f>HYPERLINK("https://klasma.github.io/Logging_2101/tillsyn/A 10484-2026 tillsynsbegäran.docx", "A 10484-2026")</f>
        <v/>
      </c>
      <c r="AD38">
        <f>HYPERLINK("https://klasma.github.io/Logging_2101/tillsynsmail/A 10484-2026 tillsynsbegäran mail.docx", "A 10484-2026")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46277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46277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13640-2026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46277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HYPERLINK("https://klasma.github.io/Logging_2101/artfynd/A 13640-2026 artfynd.xlsx", "A 13640-2026")</f>
        <v/>
      </c>
      <c r="X42">
        <f>HYPERLINK("https://klasma.github.io/Logging_2101/kartor/A 13640-2026 karta.png", "A 13640-2026")</f>
        <v/>
      </c>
      <c r="Y42">
        <f>HYPERLINK("https://klasma.github.io/Logging_2101/kartor_geotiff/A 13640-2026 georefererad karta.tif", "A 13640-2026")</f>
        <v/>
      </c>
      <c r="AA42">
        <f>HYPERLINK("https://klasma.github.io/Logging_2101/klagomål/A 13640-2026 FSC-klagomål.docx", "A 13640-2026")</f>
        <v/>
      </c>
      <c r="AB42">
        <f>HYPERLINK("https://klasma.github.io/Logging_2101/klagomålsmail/A 13640-2026 FSC-klagomål mail.docx", "A 13640-2026")</f>
        <v/>
      </c>
      <c r="AC42">
        <f>HYPERLINK("https://klasma.github.io/Logging_2101/tillsyn/A 13640-2026 tillsynsbegäran.docx", "A 13640-2026")</f>
        <v/>
      </c>
      <c r="AD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46277</v>
      </c>
      <c r="F43" t="inlineStr">
        <is>
          <t>GÄVLEBORGS LÄN</t>
        </is>
      </c>
      <c r="G43" t="inlineStr">
        <is>
          <t>OCKELBO</t>
        </is>
      </c>
      <c r="I43" t="n">
        <v>4.8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14479-2026 artfynd.xlsx", "A 14479-2026")</f>
        <v/>
      </c>
      <c r="X43">
        <f>HYPERLINK("https://klasma.github.io/Logging_2101/kartor/A 14479-2026 karta.png", "A 14479-2026")</f>
        <v/>
      </c>
      <c r="Y43">
        <f>HYPERLINK("https://klasma.github.io/Logging_2101/kartor_geotiff/A 14479-2026 georefererad karta.tif", "A 14479-2026")</f>
        <v/>
      </c>
      <c r="AA43">
        <f>HYPERLINK("https://klasma.github.io/Logging_2101/klagomål/A 14479-2026 FSC-klagomål.docx", "A 14479-2026")</f>
        <v/>
      </c>
      <c r="AB43">
        <f>HYPERLINK("https://klasma.github.io/Logging_2101/klagomålsmail/A 14479-2026 FSC-klagomål mail.docx", "A 14479-2026")</f>
        <v/>
      </c>
      <c r="AC43">
        <f>HYPERLINK("https://klasma.github.io/Logging_2101/tillsyn/A 14479-2026 tillsynsbegäran.docx", "A 14479-2026")</f>
        <v/>
      </c>
      <c r="AD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46101</v>
      </c>
      <c r="E44" s="1" t="n">
        <v>46277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Tjäder</t>
        </is>
      </c>
      <c r="W44">
        <f>HYPERLINK("https://klasma.github.io/Logging_2101/artfynd/A 14664-2026 artfynd.xlsx", "A 14664-2026")</f>
        <v/>
      </c>
      <c r="X44">
        <f>HYPERLINK("https://klasma.github.io/Logging_2101/kartor/A 14664-2026 karta.png", "A 14664-2026")</f>
        <v/>
      </c>
      <c r="Y44">
        <f>HYPERLINK("https://klasma.github.io/Logging_2101/kartor_geotiff/A 14664-2026 georefererad karta.tif", "A 14664-2026")</f>
        <v/>
      </c>
      <c r="AA44">
        <f>HYPERLINK("https://klasma.github.io/Logging_2101/klagomål/A 14664-2026 FSC-klagomål.docx", "A 14664-2026")</f>
        <v/>
      </c>
      <c r="AB44">
        <f>HYPERLINK("https://klasma.github.io/Logging_2101/klagomålsmail/A 14664-2026 FSC-klagomål mail.docx", "A 14664-2026")</f>
        <v/>
      </c>
      <c r="AC44">
        <f>HYPERLINK("https://klasma.github.io/Logging_2101/tillsyn/A 14664-2026 tillsynsbegäran.docx", "A 14664-2026")</f>
        <v/>
      </c>
      <c r="AD44">
        <f>HYPERLINK("https://klasma.github.io/Logging_2101/tillsynsmail/A 14664-2026 tillsynsbegäran mail.docx", "A 14664-2026")</f>
        <v/>
      </c>
      <c r="AE44">
        <f>HYPERLINK("https://klasma.github.io/Logging_2101/fåglar/A 14664-2026 prioriterade fågelarter.docx", "A 14664-2026")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46277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46277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46277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46277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46277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46277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46277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46277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17.9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Tibast</t>
        </is>
      </c>
      <c r="W52">
        <f>HYPERLINK("https://klasma.github.io/Logging_2101/artfynd/A 20233-2026 artfynd.xlsx", "A 20233-2026")</f>
        <v/>
      </c>
      <c r="X52">
        <f>HYPERLINK("https://klasma.github.io/Logging_2101/kartor/A 20233-2026 karta.png", "A 20233-2026")</f>
        <v/>
      </c>
      <c r="Y52">
        <f>HYPERLINK("https://klasma.github.io/Logging_2101/kartor_geotiff/A 20233-2026 georefererad karta.tif", "A 20233-2026")</f>
        <v/>
      </c>
      <c r="AA52">
        <f>HYPERLINK("https://klasma.github.io/Logging_2101/klagomål/A 20233-2026 FSC-klagomål.docx", "A 20233-2026")</f>
        <v/>
      </c>
      <c r="AB52">
        <f>HYPERLINK("https://klasma.github.io/Logging_2101/klagomålsmail/A 20233-2026 FSC-klagomål mail.docx", "A 20233-2026")</f>
        <v/>
      </c>
      <c r="AC52">
        <f>HYPERLINK("https://klasma.github.io/Logging_2101/tillsyn/A 20233-2026 tillsynsbegäran.docx", "A 20233-2026")</f>
        <v/>
      </c>
      <c r="AD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46277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2923-2026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46038</v>
      </c>
      <c r="E55" s="1" t="n">
        <v>46277</v>
      </c>
      <c r="F55" t="inlineStr">
        <is>
          <t>GÄVLEBORGS LÄN</t>
        </is>
      </c>
      <c r="G55" t="inlineStr">
        <is>
          <t>OCKELBO</t>
        </is>
      </c>
      <c r="I55" t="n">
        <v>2.8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HYPERLINK("https://klasma.github.io/Logging_2101/artfynd/A 2923-2026 artfynd.xlsx", "A 2923-2026")</f>
        <v/>
      </c>
      <c r="X55">
        <f>HYPERLINK("https://klasma.github.io/Logging_2101/kartor/A 2923-2026 karta.png", "A 2923-2026")</f>
        <v/>
      </c>
      <c r="Y55">
        <f>HYPERLINK("https://klasma.github.io/Logging_2101/kartor_geotiff/A 2923-2026 georefererad karta.tif", "A 2923-2026")</f>
        <v/>
      </c>
      <c r="Z55">
        <f>HYPERLINK("https://klasma.github.io/Logging_2101/knärot/A 2923-2026 karta knärot.png", "A 2923-2026")</f>
        <v/>
      </c>
      <c r="AA55">
        <f>HYPERLINK("https://klasma.github.io/Logging_2101/klagomål/A 2923-2026 FSC-klagomål.docx", "A 2923-2026")</f>
        <v/>
      </c>
      <c r="AB55">
        <f>HYPERLINK("https://klasma.github.io/Logging_2101/klagomålsmail/A 2923-2026 FSC-klagomål mail.docx", "A 2923-2026")</f>
        <v/>
      </c>
      <c r="AC55">
        <f>HYPERLINK("https://klasma.github.io/Logging_2101/tillsyn/A 2923-2026 tillsynsbegäran.docx", "A 2923-2026")</f>
        <v/>
      </c>
      <c r="AD55">
        <f>HYPERLINK("https://klasma.github.io/Logging_2101/tillsynsmail/A 2923-2026 tillsynsbegäran mail.docx", "A 2923-2026")</f>
        <v/>
      </c>
    </row>
    <row r="56" ht="15" customHeight="1">
      <c r="A56" t="inlineStr">
        <is>
          <t>A 6121-2026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46053</v>
      </c>
      <c r="E56" s="1" t="n">
        <v>46277</v>
      </c>
      <c r="F56" t="inlineStr">
        <is>
          <t>GÄVLEBORGS LÄN</t>
        </is>
      </c>
      <c r="G56" t="inlineStr">
        <is>
          <t>OCKELBO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HYPERLINK("https://klasma.github.io/Logging_2101/artfynd/A 6121-2026 artfynd.xlsx", "A 6121-2026")</f>
        <v/>
      </c>
      <c r="X56">
        <f>HYPERLINK("https://klasma.github.io/Logging_2101/kartor/A 6121-2026 karta.png", "A 6121-2026")</f>
        <v/>
      </c>
      <c r="Y56">
        <f>HYPERLINK("https://klasma.github.io/Logging_2101/kartor_geotiff/A 6121-2026 georefererad karta.tif", "A 6121-2026")</f>
        <v/>
      </c>
      <c r="AA56">
        <f>HYPERLINK("https://klasma.github.io/Logging_2101/klagomål/A 6121-2026 FSC-klagomål.docx", "A 6121-2026")</f>
        <v/>
      </c>
      <c r="AB56">
        <f>HYPERLINK("https://klasma.github.io/Logging_2101/klagomålsmail/A 6121-2026 FSC-klagomål mail.docx", "A 6121-2026")</f>
        <v/>
      </c>
      <c r="AC56">
        <f>HYPERLINK("https://klasma.github.io/Logging_2101/tillsyn/A 6121-2026 tillsynsbegäran.docx", "A 6121-2026")</f>
        <v/>
      </c>
      <c r="AD56">
        <f>HYPERLINK("https://klasma.github.io/Logging_2101/tillsynsmail/A 6121-2026 tillsynsbegäran mail.docx", "A 6121-2026")</f>
        <v/>
      </c>
      <c r="AE56">
        <f>HYPERLINK("https://klasma.github.io/Logging_2101/fåglar/A 6121-2026 prioriterade fågelarter.docx", "A 6121-2026")</f>
        <v/>
      </c>
    </row>
    <row r="57" ht="15" customHeight="1">
      <c r="A57" t="inlineStr">
        <is>
          <t>A 6586-2026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46056</v>
      </c>
      <c r="E57" s="1" t="n">
        <v>46277</v>
      </c>
      <c r="F57" t="inlineStr">
        <is>
          <t>GÄVLEBORGS LÄN</t>
        </is>
      </c>
      <c r="G57" t="inlineStr">
        <is>
          <t>OCKELBO</t>
        </is>
      </c>
      <c r="I57" t="n">
        <v>1.6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6586-2026 artfynd.xlsx", "A 6586-2026")</f>
        <v/>
      </c>
      <c r="X57">
        <f>HYPERLINK("https://klasma.github.io/Logging_2101/kartor/A 6586-2026 karta.png", "A 6586-2026")</f>
        <v/>
      </c>
      <c r="Y57">
        <f>HYPERLINK("https://klasma.github.io/Logging_2101/kartor_geotiff/A 6586-2026 georefererad karta.tif", "A 6586-2026")</f>
        <v/>
      </c>
      <c r="AA57">
        <f>HYPERLINK("https://klasma.github.io/Logging_2101/klagomål/A 6586-2026 FSC-klagomål.docx", "A 6586-2026")</f>
        <v/>
      </c>
      <c r="AB57">
        <f>HYPERLINK("https://klasma.github.io/Logging_2101/klagomålsmail/A 6586-2026 FSC-klagomål mail.docx", "A 6586-2026")</f>
        <v/>
      </c>
      <c r="AC57">
        <f>HYPERLINK("https://klasma.github.io/Logging_2101/tillsyn/A 6586-2026 tillsynsbegäran.docx", "A 6586-2026")</f>
        <v/>
      </c>
      <c r="AD57">
        <f>HYPERLINK("https://klasma.github.io/Logging_2101/tillsynsmail/A 6586-2026 tillsynsbegäran mail.docx", "A 6586-2026")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46277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46277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46277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46277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46277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46277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46277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46277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46277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46277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46277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46277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46277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46277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46277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46277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46277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46277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46277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46277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46277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46277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46277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46277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46277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46277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46277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46277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46277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46277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46277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46277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46277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46277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46277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46277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46277</v>
      </c>
      <c r="F96" t="inlineStr">
        <is>
          <t>GÄVLEBORGS LÄN</t>
        </is>
      </c>
      <c r="G96" t="inlineStr">
        <is>
          <t>OCKELBO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46277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46277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46277</v>
      </c>
      <c r="F99" t="inlineStr">
        <is>
          <t>GÄVLEBORGS LÄN</t>
        </is>
      </c>
      <c r="G99" t="inlineStr">
        <is>
          <t>OCKELBO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46277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46277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46277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46277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45434</v>
      </c>
      <c r="E104" s="1" t="n">
        <v>46277</v>
      </c>
      <c r="F104" t="inlineStr">
        <is>
          <t>GÄVLEBORGS LÄN</t>
        </is>
      </c>
      <c r="G104" t="inlineStr">
        <is>
          <t>OCKELBO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46277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46277</v>
      </c>
      <c r="F106" t="inlineStr">
        <is>
          <t>GÄVLEBORGS LÄN</t>
        </is>
      </c>
      <c r="G106" t="inlineStr">
        <is>
          <t>OCKELBO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46277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46277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46277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46277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45490</v>
      </c>
      <c r="E111" s="1" t="n">
        <v>46277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46277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46277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46277</v>
      </c>
      <c r="F114" t="inlineStr">
        <is>
          <t>GÄVLEBORGS LÄN</t>
        </is>
      </c>
      <c r="G114" t="inlineStr">
        <is>
          <t>OCKELBO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46277</v>
      </c>
      <c r="F115" t="inlineStr">
        <is>
          <t>GÄVLEBORGS LÄN</t>
        </is>
      </c>
      <c r="G115" t="inlineStr">
        <is>
          <t>OCKELBO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46277</v>
      </c>
      <c r="F116" t="inlineStr">
        <is>
          <t>GÄVLEBORGS LÄN</t>
        </is>
      </c>
      <c r="G116" t="inlineStr">
        <is>
          <t>OCKELBO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46277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46277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46277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46277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46277</v>
      </c>
      <c r="F121" t="inlineStr">
        <is>
          <t>GÄVLEBORGS LÄN</t>
        </is>
      </c>
      <c r="G121" t="inlineStr">
        <is>
          <t>OCKELBO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46277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46277</v>
      </c>
      <c r="F123" t="inlineStr">
        <is>
          <t>GÄVLEBORGS LÄN</t>
        </is>
      </c>
      <c r="G123" t="inlineStr">
        <is>
          <t>OCKELBO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46277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46277</v>
      </c>
      <c r="F125" t="inlineStr">
        <is>
          <t>GÄVLEBORGS LÄN</t>
        </is>
      </c>
      <c r="G125" t="inlineStr">
        <is>
          <t>OCKELBO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46277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46277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46277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46277</v>
      </c>
      <c r="F129" t="inlineStr">
        <is>
          <t>GÄVLEBORGS LÄN</t>
        </is>
      </c>
      <c r="G129" t="inlineStr">
        <is>
          <t>OCKELBO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46277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46277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46277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45497</v>
      </c>
      <c r="E133" s="1" t="n">
        <v>46277</v>
      </c>
      <c r="F133" t="inlineStr">
        <is>
          <t>GÄVLEBORGS LÄN</t>
        </is>
      </c>
      <c r="G133" t="inlineStr">
        <is>
          <t>OCKELBO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46277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46065</v>
      </c>
      <c r="E135" s="1" t="n">
        <v>46277</v>
      </c>
      <c r="F135" t="inlineStr">
        <is>
          <t>GÄVLEBORGS LÄN</t>
        </is>
      </c>
      <c r="G135" t="inlineStr">
        <is>
          <t>OCKELBO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46277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46277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46277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46277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46277</v>
      </c>
      <c r="F140" t="inlineStr">
        <is>
          <t>GÄVLEBORGS LÄN</t>
        </is>
      </c>
      <c r="G140" t="inlineStr">
        <is>
          <t>OCKELBO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46277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46277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46277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46277</v>
      </c>
      <c r="F144" t="inlineStr">
        <is>
          <t>GÄVLEBORGS LÄN</t>
        </is>
      </c>
      <c r="G144" t="inlineStr">
        <is>
          <t>OCKELBO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49207-2023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45210</v>
      </c>
      <c r="E145" s="1" t="n">
        <v>46277</v>
      </c>
      <c r="F145" t="inlineStr">
        <is>
          <t>GÄVLEBORGS LÄN</t>
        </is>
      </c>
      <c r="G145" t="inlineStr">
        <is>
          <t>OCKELBO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46277</v>
      </c>
      <c r="F146" t="inlineStr">
        <is>
          <t>GÄVLEBORGS LÄN</t>
        </is>
      </c>
      <c r="G146" t="inlineStr">
        <is>
          <t>OCKELBO</t>
        </is>
      </c>
      <c r="H146" t="inlineStr">
        <is>
          <t>Kyrkan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45838</v>
      </c>
      <c r="E147" s="1" t="n">
        <v>46277</v>
      </c>
      <c r="F147" t="inlineStr">
        <is>
          <t>GÄVLEBORGS LÄN</t>
        </is>
      </c>
      <c r="G147" t="inlineStr">
        <is>
          <t>OCKELBO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46277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46277</v>
      </c>
      <c r="F149" t="inlineStr">
        <is>
          <t>GÄVLEBORGS LÄN</t>
        </is>
      </c>
      <c r="G149" t="inlineStr">
        <is>
          <t>OCKELBO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46277</v>
      </c>
      <c r="F150" t="inlineStr">
        <is>
          <t>GÄVLEBORGS LÄN</t>
        </is>
      </c>
      <c r="G150" t="inlineStr">
        <is>
          <t>OCKELBO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46277</v>
      </c>
      <c r="F151" t="inlineStr">
        <is>
          <t>GÄVLEBORGS LÄN</t>
        </is>
      </c>
      <c r="G151" t="inlineStr">
        <is>
          <t>OCKELBO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46277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46277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46277</v>
      </c>
      <c r="F154" t="inlineStr">
        <is>
          <t>GÄVLEBORGS LÄN</t>
        </is>
      </c>
      <c r="G154" t="inlineStr">
        <is>
          <t>OCKELBO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46277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46277</v>
      </c>
      <c r="F156" t="inlineStr">
        <is>
          <t>GÄVLEBORGS LÄN</t>
        </is>
      </c>
      <c r="G156" t="inlineStr">
        <is>
          <t>OCKELBO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46277</v>
      </c>
      <c r="F157" t="inlineStr">
        <is>
          <t>GÄVLEBORGS LÄN</t>
        </is>
      </c>
      <c r="G157" t="inlineStr">
        <is>
          <t>OCKELBO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46277</v>
      </c>
      <c r="F158" t="inlineStr">
        <is>
          <t>GÄVLEBORGS LÄN</t>
        </is>
      </c>
      <c r="G158" t="inlineStr">
        <is>
          <t>OCKELBO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45109</v>
      </c>
      <c r="E159" s="1" t="n">
        <v>46277</v>
      </c>
      <c r="F159" t="inlineStr">
        <is>
          <t>GÄVLEBORGS LÄN</t>
        </is>
      </c>
      <c r="G159" t="inlineStr">
        <is>
          <t>OCKELBO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46277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46277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46277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45073</v>
      </c>
      <c r="E163" s="1" t="n">
        <v>46277</v>
      </c>
      <c r="F163" t="inlineStr">
        <is>
          <t>GÄVLEBORGS LÄN</t>
        </is>
      </c>
      <c r="G163" t="inlineStr">
        <is>
          <t>OCKELBO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46277</v>
      </c>
      <c r="F164" t="inlineStr">
        <is>
          <t>GÄVLEBORGS LÄN</t>
        </is>
      </c>
      <c r="G164" t="inlineStr">
        <is>
          <t>OCKELBO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22824-2024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45448</v>
      </c>
      <c r="E165" s="1" t="n">
        <v>46277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35017-2025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45851</v>
      </c>
      <c r="E166" s="1" t="n">
        <v>46277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46277</v>
      </c>
      <c r="F167" t="inlineStr">
        <is>
          <t>GÄVLEBORGS LÄN</t>
        </is>
      </c>
      <c r="G167" t="inlineStr">
        <is>
          <t>OCKELBO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46072</v>
      </c>
      <c r="E168" s="1" t="n">
        <v>46277</v>
      </c>
      <c r="F168" t="inlineStr">
        <is>
          <t>GÄVLEBORGS LÄN</t>
        </is>
      </c>
      <c r="G168" t="inlineStr">
        <is>
          <t>OCKELBO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46277</v>
      </c>
      <c r="F169" t="inlineStr">
        <is>
          <t>GÄVLEBORGS LÄN</t>
        </is>
      </c>
      <c r="G169" t="inlineStr">
        <is>
          <t>OCKELBO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46277</v>
      </c>
      <c r="F170" t="inlineStr">
        <is>
          <t>GÄVLEBORGS LÄN</t>
        </is>
      </c>
      <c r="G170" t="inlineStr">
        <is>
          <t>OCKELBO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46277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46277</v>
      </c>
      <c r="F172" t="inlineStr">
        <is>
          <t>GÄVLEBORGS LÄN</t>
        </is>
      </c>
      <c r="G172" t="inlineStr">
        <is>
          <t>OCKELBO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46277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46277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46277</v>
      </c>
      <c r="F175" t="inlineStr">
        <is>
          <t>GÄVLEBORGS LÄN</t>
        </is>
      </c>
      <c r="G175" t="inlineStr">
        <is>
          <t>OCKELBO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46277</v>
      </c>
      <c r="F176" t="inlineStr">
        <is>
          <t>GÄVLEBORGS LÄN</t>
        </is>
      </c>
      <c r="G176" t="inlineStr">
        <is>
          <t>OCKELBO</t>
        </is>
      </c>
      <c r="I176" t="n">
        <v>10.4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46277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46277</v>
      </c>
      <c r="F178" t="inlineStr">
        <is>
          <t>GÄVLEBORGS LÄN</t>
        </is>
      </c>
      <c r="G178" t="inlineStr">
        <is>
          <t>OCKELBO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46277</v>
      </c>
      <c r="F179" t="inlineStr">
        <is>
          <t>GÄVLEBORGS LÄN</t>
        </is>
      </c>
      <c r="G179" t="inlineStr">
        <is>
          <t>OCKELBO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46277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46277</v>
      </c>
      <c r="F181" t="inlineStr">
        <is>
          <t>GÄVLEBORGS LÄN</t>
        </is>
      </c>
      <c r="G181" t="inlineStr">
        <is>
          <t>OCKELBO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46277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46277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46277</v>
      </c>
      <c r="F185" t="inlineStr">
        <is>
          <t>GÄVLEBORGS LÄN</t>
        </is>
      </c>
      <c r="G185" t="inlineStr">
        <is>
          <t>OCKELBO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46277</v>
      </c>
      <c r="F186" t="inlineStr">
        <is>
          <t>GÄVLEBORGS LÄN</t>
        </is>
      </c>
      <c r="G186" t="inlineStr">
        <is>
          <t>OCKELBO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46277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46277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46077</v>
      </c>
      <c r="E189" s="1" t="n">
        <v>46277</v>
      </c>
      <c r="F189" t="inlineStr">
        <is>
          <t>GÄVLEBORGS LÄN</t>
        </is>
      </c>
      <c r="G189" t="inlineStr">
        <is>
          <t>OCKELBO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46277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46277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45291</v>
      </c>
      <c r="E192" s="1" t="n">
        <v>46277</v>
      </c>
      <c r="F192" t="inlineStr">
        <is>
          <t>GÄVLEBORGS LÄN</t>
        </is>
      </c>
      <c r="G192" t="inlineStr">
        <is>
          <t>OCKELBO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46277</v>
      </c>
      <c r="F193" t="inlineStr">
        <is>
          <t>GÄVLEBORGS LÄN</t>
        </is>
      </c>
      <c r="G193" t="inlineStr">
        <is>
          <t>OCKELBO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46277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öst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45106</v>
      </c>
      <c r="E195" s="1" t="n">
        <v>46277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46277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öst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52335-2024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45609</v>
      </c>
      <c r="E197" s="1" t="n">
        <v>46277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46277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öst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46277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46277</v>
      </c>
      <c r="F200" t="inlineStr">
        <is>
          <t>GÄVLEBORGS LÄN</t>
        </is>
      </c>
      <c r="G200" t="inlineStr">
        <is>
          <t>OCKELBO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46277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45674</v>
      </c>
      <c r="E202" s="1" t="n">
        <v>46277</v>
      </c>
      <c r="F202" t="inlineStr">
        <is>
          <t>GÄVLEBORGS LÄN</t>
        </is>
      </c>
      <c r="G202" t="inlineStr">
        <is>
          <t>OCKELBO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45551</v>
      </c>
      <c r="E203" s="1" t="n">
        <v>46277</v>
      </c>
      <c r="F203" t="inlineStr">
        <is>
          <t>GÄVLEBORGS LÄN</t>
        </is>
      </c>
      <c r="G203" t="inlineStr">
        <is>
          <t>OCKELBO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46277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46277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46277</v>
      </c>
      <c r="F206" t="inlineStr">
        <is>
          <t>GÄVLEBORGS LÄN</t>
        </is>
      </c>
      <c r="G206" t="inlineStr">
        <is>
          <t>OCKELBO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46277</v>
      </c>
      <c r="F207" t="inlineStr">
        <is>
          <t>GÄVLEBORGS LÄN</t>
        </is>
      </c>
      <c r="G207" t="inlineStr">
        <is>
          <t>OCKELBO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46077</v>
      </c>
      <c r="E208" s="1" t="n">
        <v>46277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öst AB</t>
        </is>
      </c>
      <c r="I208" t="n">
        <v>45.7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46277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46277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46277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46277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46277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46277</v>
      </c>
      <c r="F214" t="inlineStr">
        <is>
          <t>GÄVLEBORGS LÄN</t>
        </is>
      </c>
      <c r="G214" t="inlineStr">
        <is>
          <t>OCKELBO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46277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46277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67768-2021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46277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46277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46277</v>
      </c>
      <c r="F219" t="inlineStr">
        <is>
          <t>GÄVLEBORGS LÄN</t>
        </is>
      </c>
      <c r="G219" t="inlineStr">
        <is>
          <t>OCKELBO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46277</v>
      </c>
      <c r="F220" t="inlineStr">
        <is>
          <t>GÄVLEBORGS LÄN</t>
        </is>
      </c>
      <c r="G220" t="inlineStr">
        <is>
          <t>OCKELBO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45602</v>
      </c>
      <c r="E221" s="1" t="n">
        <v>46277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46277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45602</v>
      </c>
      <c r="E223" s="1" t="n">
        <v>46277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46277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45027</v>
      </c>
      <c r="E225" s="1" t="n">
        <v>46277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46277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46277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46277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44522</v>
      </c>
      <c r="E230" s="1" t="n">
        <v>46277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46277</v>
      </c>
      <c r="F231" t="inlineStr">
        <is>
          <t>GÄVLEBORGS LÄN</t>
        </is>
      </c>
      <c r="G231" t="inlineStr">
        <is>
          <t>OCKELBO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46277</v>
      </c>
      <c r="F232" t="inlineStr">
        <is>
          <t>GÄVLEBORGS LÄN</t>
        </is>
      </c>
      <c r="G232" t="inlineStr">
        <is>
          <t>OCKELBO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46277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46277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46277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46277</v>
      </c>
      <c r="F236" t="inlineStr">
        <is>
          <t>GÄVLEBORGS LÄN</t>
        </is>
      </c>
      <c r="G236" t="inlineStr">
        <is>
          <t>OCKELBO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46277</v>
      </c>
      <c r="F237" t="inlineStr">
        <is>
          <t>GÄVLEBORGS LÄN</t>
        </is>
      </c>
      <c r="G237" t="inlineStr">
        <is>
          <t>OCKELBO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46277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46277</v>
      </c>
      <c r="F239" t="inlineStr">
        <is>
          <t>GÄVLEBORGS LÄN</t>
        </is>
      </c>
      <c r="G239" t="inlineStr">
        <is>
          <t>OCKELBO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32011-2024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45510</v>
      </c>
      <c r="E240" s="1" t="n">
        <v>46277</v>
      </c>
      <c r="F240" t="inlineStr">
        <is>
          <t>GÄVLEBORGS LÄN</t>
        </is>
      </c>
      <c r="G240" t="inlineStr">
        <is>
          <t>OCKELBO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46277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46277</v>
      </c>
      <c r="F242" t="inlineStr">
        <is>
          <t>GÄVLEBORGS LÄN</t>
        </is>
      </c>
      <c r="G242" t="inlineStr">
        <is>
          <t>OCKELBO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46277</v>
      </c>
      <c r="F243" t="inlineStr">
        <is>
          <t>GÄVLEBORGS LÄN</t>
        </is>
      </c>
      <c r="G243" t="inlineStr">
        <is>
          <t>OCKELBO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46277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46277</v>
      </c>
      <c r="F245" t="inlineStr">
        <is>
          <t>GÄVLEBORGS LÄN</t>
        </is>
      </c>
      <c r="G245" t="inlineStr">
        <is>
          <t>OCKELBO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45511</v>
      </c>
      <c r="E246" s="1" t="n">
        <v>46277</v>
      </c>
      <c r="F246" t="inlineStr">
        <is>
          <t>GÄVLEBORGS LÄN</t>
        </is>
      </c>
      <c r="G246" t="inlineStr">
        <is>
          <t>OCKELBO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46277</v>
      </c>
      <c r="F247" t="inlineStr">
        <is>
          <t>GÄVLEBORGS LÄN</t>
        </is>
      </c>
      <c r="G247" t="inlineStr">
        <is>
          <t>OCKELBO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46277</v>
      </c>
      <c r="F248" t="inlineStr">
        <is>
          <t>GÄVLEBORGS LÄN</t>
        </is>
      </c>
      <c r="G248" t="inlineStr">
        <is>
          <t>OCKELBO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46277</v>
      </c>
      <c r="F249" t="inlineStr">
        <is>
          <t>GÄVLEBORGS LÄN</t>
        </is>
      </c>
      <c r="G249" t="inlineStr">
        <is>
          <t>OCKELBO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46277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46277</v>
      </c>
      <c r="F251" t="inlineStr">
        <is>
          <t>GÄVLEBORGS LÄN</t>
        </is>
      </c>
      <c r="G251" t="inlineStr">
        <is>
          <t>OCKELBO</t>
        </is>
      </c>
      <c r="H251" t="inlineStr">
        <is>
          <t>Kyrkan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18326-2026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46126</v>
      </c>
      <c r="E252" s="1" t="n">
        <v>46277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46277</v>
      </c>
      <c r="F253" t="inlineStr">
        <is>
          <t>GÄVLEBORGS LÄN</t>
        </is>
      </c>
      <c r="G253" t="inlineStr">
        <is>
          <t>OCKELBO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46277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46277</v>
      </c>
      <c r="F255" t="inlineStr">
        <is>
          <t>GÄVLEBORGS LÄN</t>
        </is>
      </c>
      <c r="G255" t="inlineStr">
        <is>
          <t>OCKELBO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46277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46089</v>
      </c>
      <c r="E257" s="1" t="n">
        <v>46277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46277</v>
      </c>
      <c r="F258" t="inlineStr">
        <is>
          <t>GÄVLEBORGS LÄN</t>
        </is>
      </c>
      <c r="G258" t="inlineStr">
        <is>
          <t>OCKELBO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46277</v>
      </c>
      <c r="F259" t="inlineStr">
        <is>
          <t>GÄVLEBORGS LÄN</t>
        </is>
      </c>
      <c r="G259" t="inlineStr">
        <is>
          <t>OCKELBO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46093</v>
      </c>
      <c r="E260" s="1" t="n">
        <v>46277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46277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46277</v>
      </c>
      <c r="F262" t="inlineStr">
        <is>
          <t>GÄVLEBORGS LÄN</t>
        </is>
      </c>
      <c r="G262" t="inlineStr">
        <is>
          <t>OCKELBO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46277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46277</v>
      </c>
      <c r="F264" t="inlineStr">
        <is>
          <t>GÄVLEBORGS LÄN</t>
        </is>
      </c>
      <c r="G264" t="inlineStr">
        <is>
          <t>OCKELBO</t>
        </is>
      </c>
      <c r="H264" t="inlineStr">
        <is>
          <t>Naturvårdsverket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46277</v>
      </c>
      <c r="F265" t="inlineStr">
        <is>
          <t>GÄVLEBORGS LÄN</t>
        </is>
      </c>
      <c r="G265" t="inlineStr">
        <is>
          <t>OCKELBO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29567-2024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45484</v>
      </c>
      <c r="E266" s="1" t="n">
        <v>46277</v>
      </c>
      <c r="F266" t="inlineStr">
        <is>
          <t>GÄVLEBORGS LÄN</t>
        </is>
      </c>
      <c r="G266" t="inlineStr">
        <is>
          <t>OCKELBO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46277</v>
      </c>
      <c r="F267" t="inlineStr">
        <is>
          <t>GÄVLEBORGS LÄN</t>
        </is>
      </c>
      <c r="G267" t="inlineStr">
        <is>
          <t>OCKELBO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46277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46277</v>
      </c>
      <c r="F269" t="inlineStr">
        <is>
          <t>GÄVLEBORGS LÄN</t>
        </is>
      </c>
      <c r="G269" t="inlineStr">
        <is>
          <t>OCKELBO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46277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46277</v>
      </c>
      <c r="F271" t="inlineStr">
        <is>
          <t>GÄVLEBORGS LÄN</t>
        </is>
      </c>
      <c r="G271" t="inlineStr">
        <is>
          <t>OCKELBO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46277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46277</v>
      </c>
      <c r="F273" t="inlineStr">
        <is>
          <t>GÄVLEBORGS LÄN</t>
        </is>
      </c>
      <c r="G273" t="inlineStr">
        <is>
          <t>OCKELBO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46277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46277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46277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46277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46277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46277</v>
      </c>
      <c r="F279" t="inlineStr">
        <is>
          <t>GÄVLEBORGS LÄN</t>
        </is>
      </c>
      <c r="G279" t="inlineStr">
        <is>
          <t>OCKELBO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46277</v>
      </c>
      <c r="F280" t="inlineStr">
        <is>
          <t>GÄVLEBORGS LÄN</t>
        </is>
      </c>
      <c r="G280" t="inlineStr">
        <is>
          <t>OCKELBO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46277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46277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46277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45534</v>
      </c>
      <c r="E284" s="1" t="n">
        <v>46277</v>
      </c>
      <c r="F284" t="inlineStr">
        <is>
          <t>GÄVLEBORGS LÄN</t>
        </is>
      </c>
      <c r="G284" t="inlineStr">
        <is>
          <t>OCKELBO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46277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46277</v>
      </c>
      <c r="F286" t="inlineStr">
        <is>
          <t>GÄVLEBORGS LÄN</t>
        </is>
      </c>
      <c r="G286" t="inlineStr">
        <is>
          <t>OCKELBO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46277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46277</v>
      </c>
      <c r="F288" t="inlineStr">
        <is>
          <t>GÄVLEBORGS LÄN</t>
        </is>
      </c>
      <c r="G288" t="inlineStr">
        <is>
          <t>OCKELBO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46277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46277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öst AB</t>
        </is>
      </c>
      <c r="I290" t="n">
        <v>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46277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46277</v>
      </c>
      <c r="F292" t="inlineStr">
        <is>
          <t>GÄVLEBORGS LÄN</t>
        </is>
      </c>
      <c r="G292" t="inlineStr">
        <is>
          <t>OCKELBO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46277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34.1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46277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46277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46277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46277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46277</v>
      </c>
      <c r="F298" t="inlineStr">
        <is>
          <t>GÄVLEBORGS LÄN</t>
        </is>
      </c>
      <c r="G298" t="inlineStr">
        <is>
          <t>OCKELBO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46277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46277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46277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46277</v>
      </c>
      <c r="F302" t="inlineStr">
        <is>
          <t>GÄVLEBORGS LÄN</t>
        </is>
      </c>
      <c r="G302" t="inlineStr">
        <is>
          <t>OCKELBO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46277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46277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46277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46277</v>
      </c>
      <c r="F306" t="inlineStr">
        <is>
          <t>GÄVLEBORGS LÄN</t>
        </is>
      </c>
      <c r="G306" t="inlineStr">
        <is>
          <t>OCKELBO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46277</v>
      </c>
      <c r="F307" t="inlineStr">
        <is>
          <t>GÄVLEBORGS LÄN</t>
        </is>
      </c>
      <c r="G307" t="inlineStr">
        <is>
          <t>OCKELBO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46277</v>
      </c>
      <c r="F308" t="inlineStr">
        <is>
          <t>GÄVLEBORGS LÄN</t>
        </is>
      </c>
      <c r="G308" t="inlineStr">
        <is>
          <t>OCKELBO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46277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46277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9.699999999999999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46277</v>
      </c>
      <c r="F311" t="inlineStr">
        <is>
          <t>GÄVLEBORGS LÄN</t>
        </is>
      </c>
      <c r="G311" t="inlineStr">
        <is>
          <t>OCKELBO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46277</v>
      </c>
      <c r="F312" t="inlineStr">
        <is>
          <t>GÄVLEBORGS LÄN</t>
        </is>
      </c>
      <c r="G312" t="inlineStr">
        <is>
          <t>OCKELBO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46112</v>
      </c>
      <c r="E313" s="1" t="n">
        <v>46277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46112</v>
      </c>
      <c r="E314" s="1" t="n">
        <v>46277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46112</v>
      </c>
      <c r="E315" s="1" t="n">
        <v>46277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46277</v>
      </c>
      <c r="F316" t="inlineStr">
        <is>
          <t>GÄVLEBORGS LÄN</t>
        </is>
      </c>
      <c r="G316" t="inlineStr">
        <is>
          <t>OCKELBO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46277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46277</v>
      </c>
      <c r="F318" t="inlineStr">
        <is>
          <t>GÄVLEBORGS LÄN</t>
        </is>
      </c>
      <c r="G318" t="inlineStr">
        <is>
          <t>OCKELBO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46114</v>
      </c>
      <c r="E319" s="1" t="n">
        <v>46277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46277</v>
      </c>
      <c r="F320" t="inlineStr">
        <is>
          <t>GÄVLEBORGS LÄN</t>
        </is>
      </c>
      <c r="G320" t="inlineStr">
        <is>
          <t>OCKELBO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46277</v>
      </c>
      <c r="F321" t="inlineStr">
        <is>
          <t>GÄVLEBORGS LÄN</t>
        </is>
      </c>
      <c r="G321" t="inlineStr">
        <is>
          <t>OCKELBO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46277</v>
      </c>
      <c r="F322" t="inlineStr">
        <is>
          <t>GÄVLEBORGS LÄN</t>
        </is>
      </c>
      <c r="G322" t="inlineStr">
        <is>
          <t>OCKELBO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46277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46277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46277</v>
      </c>
      <c r="F325" t="inlineStr">
        <is>
          <t>GÄVLEBORGS LÄN</t>
        </is>
      </c>
      <c r="G325" t="inlineStr">
        <is>
          <t>OCKELBO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46277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46277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46277</v>
      </c>
      <c r="F328" t="inlineStr">
        <is>
          <t>GÄVLEBORGS LÄN</t>
        </is>
      </c>
      <c r="G328" t="inlineStr">
        <is>
          <t>OCKELBO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46277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46277</v>
      </c>
      <c r="F330" t="inlineStr">
        <is>
          <t>GÄVLEBORGS LÄN</t>
        </is>
      </c>
      <c r="G330" t="inlineStr">
        <is>
          <t>OCKELBO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46277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46277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45973</v>
      </c>
      <c r="E333" s="1" t="n">
        <v>46277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46277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46277</v>
      </c>
      <c r="F335" t="inlineStr">
        <is>
          <t>GÄVLEBORGS LÄN</t>
        </is>
      </c>
      <c r="G335" t="inlineStr">
        <is>
          <t>OCKELBO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46277</v>
      </c>
      <c r="F336" t="inlineStr">
        <is>
          <t>GÄVLEBORGS LÄN</t>
        </is>
      </c>
      <c r="G336" t="inlineStr">
        <is>
          <t>OCKELBO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46277</v>
      </c>
      <c r="F337" t="inlineStr">
        <is>
          <t>GÄVLEBORGS LÄN</t>
        </is>
      </c>
      <c r="G337" t="inlineStr">
        <is>
          <t>OCKELBO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46118</v>
      </c>
      <c r="E338" s="1" t="n">
        <v>46277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46277</v>
      </c>
      <c r="F339" t="inlineStr">
        <is>
          <t>GÄVLEBORGS LÄN</t>
        </is>
      </c>
      <c r="G339" t="inlineStr">
        <is>
          <t>OCKELBO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46277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46277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46277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46277</v>
      </c>
      <c r="F343" t="inlineStr">
        <is>
          <t>GÄVLEBORGS LÄN</t>
        </is>
      </c>
      <c r="G343" t="inlineStr">
        <is>
          <t>OCKELBO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46077</v>
      </c>
      <c r="E344" s="1" t="n">
        <v>46277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öst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46277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46277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46277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öst AB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44883</v>
      </c>
      <c r="E348" s="1" t="n">
        <v>46277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46277</v>
      </c>
      <c r="F349" t="inlineStr">
        <is>
          <t>GÄVLEBORGS LÄN</t>
        </is>
      </c>
      <c r="G349" t="inlineStr">
        <is>
          <t>OCKELBO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46277</v>
      </c>
      <c r="F350" t="inlineStr">
        <is>
          <t>GÄVLEBORGS LÄN</t>
        </is>
      </c>
      <c r="G350" t="inlineStr">
        <is>
          <t>OCKELBO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46277</v>
      </c>
      <c r="F351" t="inlineStr">
        <is>
          <t>GÄVLEBORGS LÄN</t>
        </is>
      </c>
      <c r="G351" t="inlineStr">
        <is>
          <t>OCKELBO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46277</v>
      </c>
      <c r="F352" t="inlineStr">
        <is>
          <t>GÄVLEBORGS LÄN</t>
        </is>
      </c>
      <c r="G352" t="inlineStr">
        <is>
          <t>OCKELBO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46277</v>
      </c>
      <c r="F353" t="inlineStr">
        <is>
          <t>GÄVLEBORGS LÄN</t>
        </is>
      </c>
      <c r="G353" t="inlineStr">
        <is>
          <t>OCKELBO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46277</v>
      </c>
      <c r="F354" t="inlineStr">
        <is>
          <t>GÄVLEBORGS LÄN</t>
        </is>
      </c>
      <c r="G354" t="inlineStr">
        <is>
          <t>OCKELBO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46277</v>
      </c>
      <c r="F355" t="inlineStr">
        <is>
          <t>GÄVLEBORGS LÄN</t>
        </is>
      </c>
      <c r="G355" t="inlineStr">
        <is>
          <t>OCKELBO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46277</v>
      </c>
      <c r="F356" t="inlineStr">
        <is>
          <t>GÄVLEBORGS LÄN</t>
        </is>
      </c>
      <c r="G356" t="inlineStr">
        <is>
          <t>OCKELBO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46277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46277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36362-2024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46277</v>
      </c>
      <c r="F359" t="inlineStr">
        <is>
          <t>GÄVLEBORGS LÄN</t>
        </is>
      </c>
      <c r="G359" t="inlineStr">
        <is>
          <t>OCKELBO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46277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46277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46277</v>
      </c>
      <c r="F362" t="inlineStr">
        <is>
          <t>GÄVLEBORGS LÄN</t>
        </is>
      </c>
      <c r="G362" t="inlineStr">
        <is>
          <t>OCKELBO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46277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46277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46277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46277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15255-2026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46277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46277</v>
      </c>
      <c r="F368" t="inlineStr">
        <is>
          <t>GÄVLEBORGS LÄN</t>
        </is>
      </c>
      <c r="G368" t="inlineStr">
        <is>
          <t>OCKELBO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46277</v>
      </c>
      <c r="F369" t="inlineStr">
        <is>
          <t>GÄVLEBORGS LÄN</t>
        </is>
      </c>
      <c r="G369" t="inlineStr">
        <is>
          <t>OCKELBO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46277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46277</v>
      </c>
      <c r="F371" t="inlineStr">
        <is>
          <t>GÄVLEBORGS LÄN</t>
        </is>
      </c>
      <c r="G371" t="inlineStr">
        <is>
          <t>OCKELBO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46277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46277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46277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46277</v>
      </c>
      <c r="F376" t="inlineStr">
        <is>
          <t>GÄVLEBORGS LÄN</t>
        </is>
      </c>
      <c r="G376" t="inlineStr">
        <is>
          <t>OCKELBO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46277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46277</v>
      </c>
      <c r="F378" t="inlineStr">
        <is>
          <t>GÄVLEBORGS LÄN</t>
        </is>
      </c>
      <c r="G378" t="inlineStr">
        <is>
          <t>OCKELBO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46277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46277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46277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46277</v>
      </c>
      <c r="F382" t="inlineStr">
        <is>
          <t>GÄVLEBORGS LÄN</t>
        </is>
      </c>
      <c r="G382" t="inlineStr">
        <is>
          <t>OCKELBO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46277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46277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46277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60183-2025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45994</v>
      </c>
      <c r="E386" s="1" t="n">
        <v>46277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46277</v>
      </c>
      <c r="F387" t="inlineStr">
        <is>
          <t>GÄVLEBORGS LÄN</t>
        </is>
      </c>
      <c r="G387" t="inlineStr">
        <is>
          <t>OCKELBO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46277</v>
      </c>
      <c r="F388" t="inlineStr">
        <is>
          <t>GÄVLEBORGS LÄN</t>
        </is>
      </c>
      <c r="G388" t="inlineStr">
        <is>
          <t>OCKELBO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46277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46277</v>
      </c>
      <c r="F390" t="inlineStr">
        <is>
          <t>GÄVLEBORGS LÄN</t>
        </is>
      </c>
      <c r="G390" t="inlineStr">
        <is>
          <t>OCKELBO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46277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46277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46277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46277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46277</v>
      </c>
      <c r="F395" t="inlineStr">
        <is>
          <t>GÄVLEBORGS LÄN</t>
        </is>
      </c>
      <c r="G395" t="inlineStr">
        <is>
          <t>OCKELBO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46000</v>
      </c>
      <c r="E396" s="1" t="n">
        <v>46277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46277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46277</v>
      </c>
      <c r="F398" t="inlineStr">
        <is>
          <t>GÄVLEBORGS LÄN</t>
        </is>
      </c>
      <c r="G398" t="inlineStr">
        <is>
          <t>OCKELBO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46277</v>
      </c>
      <c r="F399" t="inlineStr">
        <is>
          <t>GÄVLEBORGS LÄN</t>
        </is>
      </c>
      <c r="G399" t="inlineStr">
        <is>
          <t>OCKELBO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62196-2025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46006</v>
      </c>
      <c r="E400" s="1" t="n">
        <v>46277</v>
      </c>
      <c r="F400" t="inlineStr">
        <is>
          <t>GÄVLEBORGS LÄN</t>
        </is>
      </c>
      <c r="G400" t="inlineStr">
        <is>
          <t>OCKELBO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46277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45656</v>
      </c>
      <c r="E402" s="1" t="n">
        <v>46277</v>
      </c>
      <c r="F402" t="inlineStr">
        <is>
          <t>GÄVLEBORGS LÄN</t>
        </is>
      </c>
      <c r="G402" t="inlineStr">
        <is>
          <t>OCKELBO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46277</v>
      </c>
      <c r="F403" t="inlineStr">
        <is>
          <t>GÄVLEBORGS LÄN</t>
        </is>
      </c>
      <c r="G403" t="inlineStr">
        <is>
          <t>OCKELBO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46277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46277</v>
      </c>
      <c r="F405" t="inlineStr">
        <is>
          <t>GÄVLEBORGS LÄN</t>
        </is>
      </c>
      <c r="G405" t="inlineStr">
        <is>
          <t>OCKELBO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46277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46014</v>
      </c>
      <c r="E407" s="1" t="n">
        <v>46277</v>
      </c>
      <c r="F407" t="inlineStr">
        <is>
          <t>GÄVLEBORGS LÄN</t>
        </is>
      </c>
      <c r="G407" t="inlineStr">
        <is>
          <t>OCKELBO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63224-2025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46010</v>
      </c>
      <c r="E408" s="1" t="n">
        <v>46277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46277</v>
      </c>
      <c r="F409" t="inlineStr">
        <is>
          <t>GÄVLEBORGS LÄN</t>
        </is>
      </c>
      <c r="G409" t="inlineStr">
        <is>
          <t>OCKELBO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46277</v>
      </c>
      <c r="F410" t="inlineStr">
        <is>
          <t>GÄVLEBORGS LÄN</t>
        </is>
      </c>
      <c r="G410" t="inlineStr">
        <is>
          <t>OCKELBO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46277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46277</v>
      </c>
      <c r="F412" t="inlineStr">
        <is>
          <t>GÄVLEBORGS LÄN</t>
        </is>
      </c>
      <c r="G412" t="inlineStr">
        <is>
          <t>OCKELBO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46277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45712</v>
      </c>
      <c r="E414" s="1" t="n">
        <v>46277</v>
      </c>
      <c r="F414" t="inlineStr">
        <is>
          <t>GÄVLEBORGS LÄN</t>
        </is>
      </c>
      <c r="G414" t="inlineStr">
        <is>
          <t>OCKELBO</t>
        </is>
      </c>
      <c r="I414" t="n">
        <v>14.7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46277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46277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46277</v>
      </c>
      <c r="F417" t="inlineStr">
        <is>
          <t>GÄVLEBORGS LÄN</t>
        </is>
      </c>
      <c r="G417" t="inlineStr">
        <is>
          <t>OCKELBO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46277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46277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46277</v>
      </c>
      <c r="F420" t="inlineStr">
        <is>
          <t>GÄVLEBORGS LÄN</t>
        </is>
      </c>
      <c r="G420" t="inlineStr">
        <is>
          <t>OCKELBO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46277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46277</v>
      </c>
      <c r="F422" t="inlineStr">
        <is>
          <t>GÄVLEBORGS LÄN</t>
        </is>
      </c>
      <c r="G422" t="inlineStr">
        <is>
          <t>OCKELBO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46277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46277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46277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46277</v>
      </c>
      <c r="F426" t="inlineStr">
        <is>
          <t>GÄVLEBORGS LÄN</t>
        </is>
      </c>
      <c r="G426" t="inlineStr">
        <is>
          <t>OCKELBO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46277</v>
      </c>
      <c r="F427" t="inlineStr">
        <is>
          <t>GÄVLEBORGS LÄN</t>
        </is>
      </c>
      <c r="G427" t="inlineStr">
        <is>
          <t>OCKELBO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46277</v>
      </c>
      <c r="F428" t="inlineStr">
        <is>
          <t>GÄVLEBORGS LÄN</t>
        </is>
      </c>
      <c r="G428" t="inlineStr">
        <is>
          <t>OCKELBO</t>
        </is>
      </c>
      <c r="I428" t="n">
        <v>16.2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46277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46027</v>
      </c>
      <c r="E430" s="1" t="n">
        <v>46277</v>
      </c>
      <c r="F430" t="inlineStr">
        <is>
          <t>GÄVLEBORGS LÄN</t>
        </is>
      </c>
      <c r="G430" t="inlineStr">
        <is>
          <t>OCKELBO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46277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46277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46277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46028</v>
      </c>
      <c r="E434" s="1" t="n">
        <v>46277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46277</v>
      </c>
      <c r="F435" t="inlineStr">
        <is>
          <t>GÄVLEBORGS LÄN</t>
        </is>
      </c>
      <c r="G435" t="inlineStr">
        <is>
          <t>OCKELBO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46277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46277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46277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46277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46277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46277</v>
      </c>
      <c r="F441" t="inlineStr">
        <is>
          <t>GÄVLEBORGS LÄN</t>
        </is>
      </c>
      <c r="G441" t="inlineStr">
        <is>
          <t>OCKELBO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46277</v>
      </c>
      <c r="F442" t="inlineStr">
        <is>
          <t>GÄVLEBORGS LÄN</t>
        </is>
      </c>
      <c r="G442" t="inlineStr">
        <is>
          <t>OCKELBO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46033</v>
      </c>
      <c r="E443" s="1" t="n">
        <v>46277</v>
      </c>
      <c r="F443" t="inlineStr">
        <is>
          <t>GÄVLEBORGS LÄN</t>
        </is>
      </c>
      <c r="G443" t="inlineStr">
        <is>
          <t>OCKELBO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46277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46277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46277</v>
      </c>
      <c r="F446" t="inlineStr">
        <is>
          <t>GÄVLEBORGS LÄN</t>
        </is>
      </c>
      <c r="G446" t="inlineStr">
        <is>
          <t>OCKELBO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46277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46277</v>
      </c>
      <c r="F448" t="inlineStr">
        <is>
          <t>GÄVLEBORGS LÄN</t>
        </is>
      </c>
      <c r="G448" t="inlineStr">
        <is>
          <t>OCKELBO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46277</v>
      </c>
      <c r="F449" t="inlineStr">
        <is>
          <t>GÄVLEBORGS LÄN</t>
        </is>
      </c>
      <c r="G449" t="inlineStr">
        <is>
          <t>OCKELBO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46277</v>
      </c>
      <c r="F450" t="inlineStr">
        <is>
          <t>GÄVLEBORGS LÄN</t>
        </is>
      </c>
      <c r="G450" t="inlineStr">
        <is>
          <t>OCKELBO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46277</v>
      </c>
      <c r="F451" t="inlineStr">
        <is>
          <t>GÄVLEBORGS LÄN</t>
        </is>
      </c>
      <c r="G451" t="inlineStr">
        <is>
          <t>OCKELBO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46277</v>
      </c>
      <c r="F452" t="inlineStr">
        <is>
          <t>GÄVLEBORGS LÄN</t>
        </is>
      </c>
      <c r="G452" t="inlineStr">
        <is>
          <t>OCKELBO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46277</v>
      </c>
      <c r="F453" t="inlineStr">
        <is>
          <t>GÄVLEBORGS LÄN</t>
        </is>
      </c>
      <c r="G453" t="inlineStr">
        <is>
          <t>OCKELBO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46277</v>
      </c>
      <c r="F454" t="inlineStr">
        <is>
          <t>GÄVLEBORGS LÄN</t>
        </is>
      </c>
      <c r="G454" t="inlineStr">
        <is>
          <t>OCKELBO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46277</v>
      </c>
      <c r="F455" t="inlineStr">
        <is>
          <t>GÄVLEBORGS LÄN</t>
        </is>
      </c>
      <c r="G455" t="inlineStr">
        <is>
          <t>OCKELBO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45821</v>
      </c>
      <c r="E456" s="1" t="n">
        <v>46277</v>
      </c>
      <c r="F456" t="inlineStr">
        <is>
          <t>GÄVLEBORGS LÄN</t>
        </is>
      </c>
      <c r="G456" t="inlineStr">
        <is>
          <t>OCKELBO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46277</v>
      </c>
      <c r="F457" t="inlineStr">
        <is>
          <t>GÄVLEBORGS LÄN</t>
        </is>
      </c>
      <c r="G457" t="inlineStr">
        <is>
          <t>OCKELBO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46277</v>
      </c>
      <c r="F458" t="inlineStr">
        <is>
          <t>GÄVLEBORGS LÄN</t>
        </is>
      </c>
      <c r="G458" t="inlineStr">
        <is>
          <t>OCKELBO</t>
        </is>
      </c>
      <c r="I458" t="n">
        <v>16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46277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46277</v>
      </c>
      <c r="F460" t="inlineStr">
        <is>
          <t>GÄVLEBORGS LÄN</t>
        </is>
      </c>
      <c r="G460" t="inlineStr">
        <is>
          <t>OCKELBO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46277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46277</v>
      </c>
      <c r="F462" t="inlineStr">
        <is>
          <t>GÄVLEBORGS LÄN</t>
        </is>
      </c>
      <c r="G462" t="inlineStr">
        <is>
          <t>OCKELBO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46277</v>
      </c>
      <c r="F463" t="inlineStr">
        <is>
          <t>GÄVLEBORGS LÄN</t>
        </is>
      </c>
      <c r="G463" t="inlineStr">
        <is>
          <t>OCKELBO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46277</v>
      </c>
      <c r="F464" t="inlineStr">
        <is>
          <t>GÄVLEBORGS LÄN</t>
        </is>
      </c>
      <c r="G464" t="inlineStr">
        <is>
          <t>OCKELBO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46277</v>
      </c>
      <c r="F465" t="inlineStr">
        <is>
          <t>GÄVLEBORGS LÄN</t>
        </is>
      </c>
      <c r="G465" t="inlineStr">
        <is>
          <t>OCKELBO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46277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46277</v>
      </c>
      <c r="F467" t="inlineStr">
        <is>
          <t>GÄVLEBORGS LÄN</t>
        </is>
      </c>
      <c r="G467" t="inlineStr">
        <is>
          <t>OCKELBO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46277</v>
      </c>
      <c r="F468" t="inlineStr">
        <is>
          <t>GÄVLEBORGS LÄN</t>
        </is>
      </c>
      <c r="G468" t="inlineStr">
        <is>
          <t>OCKELBO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46277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46277</v>
      </c>
      <c r="F470" t="inlineStr">
        <is>
          <t>GÄVLEBORGS LÄN</t>
        </is>
      </c>
      <c r="G470" t="inlineStr">
        <is>
          <t>OCKELBO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46277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46277</v>
      </c>
      <c r="F472" t="inlineStr">
        <is>
          <t>GÄVLEBORGS LÄN</t>
        </is>
      </c>
      <c r="G472" t="inlineStr">
        <is>
          <t>OCKELBO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7949-2026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46277</v>
      </c>
      <c r="F474" t="inlineStr">
        <is>
          <t>GÄVLEBORGS LÄN</t>
        </is>
      </c>
      <c r="G474" t="inlineStr">
        <is>
          <t>OCKELBO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46277</v>
      </c>
      <c r="F475" t="inlineStr">
        <is>
          <t>GÄVLEBORGS LÄN</t>
        </is>
      </c>
      <c r="G475" t="inlineStr">
        <is>
          <t>OCKELBO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46277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46138</v>
      </c>
      <c r="E477" s="1" t="n">
        <v>46277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3653-2026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46277</v>
      </c>
      <c r="F478" t="inlineStr">
        <is>
          <t>GÄVLEBORGS LÄN</t>
        </is>
      </c>
      <c r="G478" t="inlineStr">
        <is>
          <t>OCKELBO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46277</v>
      </c>
      <c r="F479" t="inlineStr">
        <is>
          <t>GÄVLEBORGS LÄN</t>
        </is>
      </c>
      <c r="G479" t="inlineStr">
        <is>
          <t>OCKELBO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46277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46277</v>
      </c>
      <c r="F481" t="inlineStr">
        <is>
          <t>GÄVLEBORGS LÄN</t>
        </is>
      </c>
      <c r="G481" t="inlineStr">
        <is>
          <t>OCKELBO</t>
        </is>
      </c>
      <c r="I481" t="n">
        <v>36.1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45526</v>
      </c>
      <c r="E482" s="1" t="n">
        <v>46277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46277</v>
      </c>
      <c r="F483" t="inlineStr">
        <is>
          <t>GÄVLEBORGS LÄN</t>
        </is>
      </c>
      <c r="G483" t="inlineStr">
        <is>
          <t>OCKELBO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46277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46277</v>
      </c>
      <c r="F485" t="inlineStr">
        <is>
          <t>GÄVLEBORGS LÄN</t>
        </is>
      </c>
      <c r="G485" t="inlineStr">
        <is>
          <t>OCKELBO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46277</v>
      </c>
      <c r="F486" t="inlineStr">
        <is>
          <t>GÄVLEBORGS LÄN</t>
        </is>
      </c>
      <c r="G486" t="inlineStr">
        <is>
          <t>OCKELBO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46277</v>
      </c>
      <c r="F487" t="inlineStr">
        <is>
          <t>GÄVLEBORGS LÄN</t>
        </is>
      </c>
      <c r="G487" t="inlineStr">
        <is>
          <t>OCKELBO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46277</v>
      </c>
      <c r="F488" t="inlineStr">
        <is>
          <t>GÄVLEBORGS LÄN</t>
        </is>
      </c>
      <c r="G488" t="inlineStr">
        <is>
          <t>OCKELBO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46277</v>
      </c>
      <c r="F490" t="inlineStr">
        <is>
          <t>GÄVLEBORGS LÄN</t>
        </is>
      </c>
      <c r="G490" t="inlineStr">
        <is>
          <t>OCKELBO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46277</v>
      </c>
      <c r="F491" t="inlineStr">
        <is>
          <t>GÄVLEBORGS LÄN</t>
        </is>
      </c>
      <c r="G491" t="inlineStr">
        <is>
          <t>OCKELBO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46277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46277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46277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46277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45803</v>
      </c>
      <c r="E496" s="1" t="n">
        <v>46277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46277</v>
      </c>
      <c r="F497" t="inlineStr">
        <is>
          <t>GÄVLEBORGS LÄN</t>
        </is>
      </c>
      <c r="G497" t="inlineStr">
        <is>
          <t>OCKELBO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46277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46277</v>
      </c>
      <c r="F499" t="inlineStr">
        <is>
          <t>GÄVLEBORGS LÄN</t>
        </is>
      </c>
      <c r="G499" t="inlineStr">
        <is>
          <t>OCKELBO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46277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46277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46021</v>
      </c>
      <c r="E502" s="1" t="n">
        <v>46277</v>
      </c>
      <c r="F502" t="inlineStr">
        <is>
          <t>GÄVLEBORGS LÄN</t>
        </is>
      </c>
      <c r="G502" t="inlineStr">
        <is>
          <t>OCKELBO</t>
        </is>
      </c>
      <c r="I502" t="n">
        <v>18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46277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46277</v>
      </c>
      <c r="F504" t="inlineStr">
        <is>
          <t>GÄVLEBORGS LÄN</t>
        </is>
      </c>
      <c r="G504" t="inlineStr">
        <is>
          <t>OCKELBO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46277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46277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46277</v>
      </c>
      <c r="F507" t="inlineStr">
        <is>
          <t>GÄVLEBORGS LÄN</t>
        </is>
      </c>
      <c r="G507" t="inlineStr">
        <is>
          <t>OCKELBO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46277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46277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46277</v>
      </c>
      <c r="F510" t="inlineStr">
        <is>
          <t>GÄVLEBORGS LÄN</t>
        </is>
      </c>
      <c r="G510" t="inlineStr">
        <is>
          <t>OCKELBO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36604-2025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45870</v>
      </c>
      <c r="E511" s="1" t="n">
        <v>46277</v>
      </c>
      <c r="F511" t="inlineStr">
        <is>
          <t>GÄVLEBORGS LÄN</t>
        </is>
      </c>
      <c r="G511" t="inlineStr">
        <is>
          <t>OCKELBO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46277</v>
      </c>
      <c r="F512" t="inlineStr">
        <is>
          <t>GÄVLEBORGS LÄN</t>
        </is>
      </c>
      <c r="G512" t="inlineStr">
        <is>
          <t>OCKELBO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46277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46277</v>
      </c>
      <c r="F514" t="inlineStr">
        <is>
          <t>GÄVLEBORGS LÄN</t>
        </is>
      </c>
      <c r="G514" t="inlineStr">
        <is>
          <t>OCKELBO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46277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46053</v>
      </c>
      <c r="E516" s="1" t="n">
        <v>46277</v>
      </c>
      <c r="F516" t="inlineStr">
        <is>
          <t>GÄVLEBORGS LÄN</t>
        </is>
      </c>
      <c r="G516" t="inlineStr">
        <is>
          <t>OCKELBO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46277</v>
      </c>
      <c r="F517" t="inlineStr">
        <is>
          <t>GÄVLEBORGS LÄN</t>
        </is>
      </c>
      <c r="G517" t="inlineStr">
        <is>
          <t>OCKELBO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46277</v>
      </c>
      <c r="F518" t="inlineStr">
        <is>
          <t>GÄVLEBORGS LÄN</t>
        </is>
      </c>
      <c r="G518" t="inlineStr">
        <is>
          <t>OCKELBO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46277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46277</v>
      </c>
      <c r="F520" t="inlineStr">
        <is>
          <t>GÄVLEBORGS LÄN</t>
        </is>
      </c>
      <c r="G520" t="inlineStr">
        <is>
          <t>OCKELBO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46277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46277</v>
      </c>
      <c r="F522" t="inlineStr">
        <is>
          <t>GÄVLEBORGS LÄN</t>
        </is>
      </c>
      <c r="G522" t="inlineStr">
        <is>
          <t>OCKELBO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46277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46277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46277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46277</v>
      </c>
      <c r="F526" t="inlineStr">
        <is>
          <t>GÄVLEBORGS LÄN</t>
        </is>
      </c>
      <c r="G526" t="inlineStr">
        <is>
          <t>OCKELBO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45593</v>
      </c>
      <c r="E527" s="1" t="n">
        <v>46277</v>
      </c>
      <c r="F527" t="inlineStr">
        <is>
          <t>GÄVLEBORGS LÄN</t>
        </is>
      </c>
      <c r="G527" t="inlineStr">
        <is>
          <t>OCKELBO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46277</v>
      </c>
      <c r="F528" t="inlineStr">
        <is>
          <t>GÄVLEBORGS LÄN</t>
        </is>
      </c>
      <c r="G528" t="inlineStr">
        <is>
          <t>OCKELBO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46277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46277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46277</v>
      </c>
      <c r="F531" t="inlineStr">
        <is>
          <t>GÄVLEBORGS LÄN</t>
        </is>
      </c>
      <c r="G531" t="inlineStr">
        <is>
          <t>OCKELBO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46277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46277</v>
      </c>
      <c r="F533" t="inlineStr">
        <is>
          <t>GÄVLEBORGS LÄN</t>
        </is>
      </c>
      <c r="G533" t="inlineStr">
        <is>
          <t>OCKELBO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45925</v>
      </c>
      <c r="E534" s="1" t="n">
        <v>46277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46277</v>
      </c>
      <c r="F535" t="inlineStr">
        <is>
          <t>GÄVLEBORGS LÄN</t>
        </is>
      </c>
      <c r="G535" t="inlineStr">
        <is>
          <t>OCKELBO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46277</v>
      </c>
      <c r="F536" t="inlineStr">
        <is>
          <t>GÄVLEBORGS LÄN</t>
        </is>
      </c>
      <c r="G536" t="inlineStr">
        <is>
          <t>OCKELBO</t>
        </is>
      </c>
      <c r="H536" t="inlineStr">
        <is>
          <t>Kyrkan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46277</v>
      </c>
      <c r="F537" t="inlineStr">
        <is>
          <t>GÄVLEBORGS LÄN</t>
        </is>
      </c>
      <c r="G537" t="inlineStr">
        <is>
          <t>OCKELBO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46034</v>
      </c>
      <c r="E538" s="1" t="n">
        <v>46277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46277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44663</v>
      </c>
      <c r="E540" s="1" t="n">
        <v>46277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46277</v>
      </c>
      <c r="F541" t="inlineStr">
        <is>
          <t>GÄVLEBORGS LÄN</t>
        </is>
      </c>
      <c r="G541" t="inlineStr">
        <is>
          <t>OCKELBO</t>
        </is>
      </c>
      <c r="I541" t="n">
        <v>17.4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46277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46277</v>
      </c>
      <c r="F543" t="inlineStr">
        <is>
          <t>GÄVLEBORGS LÄN</t>
        </is>
      </c>
      <c r="G543" t="inlineStr">
        <is>
          <t>OCKELBO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44915</v>
      </c>
      <c r="E544" s="1" t="n">
        <v>46277</v>
      </c>
      <c r="F544" t="inlineStr">
        <is>
          <t>GÄVLEBORGS LÄN</t>
        </is>
      </c>
      <c r="G544" t="inlineStr">
        <is>
          <t>OCKELBO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46277</v>
      </c>
      <c r="F545" t="inlineStr">
        <is>
          <t>GÄVLEBORGS LÄN</t>
        </is>
      </c>
      <c r="G545" t="inlineStr">
        <is>
          <t>OCKELBO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46277</v>
      </c>
      <c r="F546" t="inlineStr">
        <is>
          <t>GÄVLEBORGS LÄN</t>
        </is>
      </c>
      <c r="G546" t="inlineStr">
        <is>
          <t>OCKELBO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46277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46277</v>
      </c>
      <c r="F548" t="inlineStr">
        <is>
          <t>GÄVLEBORGS LÄN</t>
        </is>
      </c>
      <c r="G548" t="inlineStr">
        <is>
          <t>OCKELBO</t>
        </is>
      </c>
      <c r="I548" t="n">
        <v>9.300000000000001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46277</v>
      </c>
      <c r="F549" t="inlineStr">
        <is>
          <t>GÄVLEBORGS LÄN</t>
        </is>
      </c>
      <c r="G549" t="inlineStr">
        <is>
          <t>OCKELBO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46091</v>
      </c>
      <c r="E550" s="1" t="n">
        <v>46277</v>
      </c>
      <c r="F550" t="inlineStr">
        <is>
          <t>GÄVLEBORGS LÄN</t>
        </is>
      </c>
      <c r="G550" t="inlineStr">
        <is>
          <t>OCKELBO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46277</v>
      </c>
      <c r="F551" t="inlineStr">
        <is>
          <t>GÄVLEBORGS LÄN</t>
        </is>
      </c>
      <c r="G551" t="inlineStr">
        <is>
          <t>OCKELBO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46277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46277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46277</v>
      </c>
      <c r="F554" t="inlineStr">
        <is>
          <t>GÄVLEBORGS LÄN</t>
        </is>
      </c>
      <c r="G554" t="inlineStr">
        <is>
          <t>OCKELBO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46277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23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46277</v>
      </c>
      <c r="F556" t="inlineStr">
        <is>
          <t>GÄVLEBORGS LÄN</t>
        </is>
      </c>
      <c r="G556" t="inlineStr">
        <is>
          <t>OCKELBO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60117-2025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45994</v>
      </c>
      <c r="E557" s="1" t="n">
        <v>46277</v>
      </c>
      <c r="F557" t="inlineStr">
        <is>
          <t>GÄVLEBORGS LÄN</t>
        </is>
      </c>
      <c r="G557" t="inlineStr">
        <is>
          <t>OCKELBO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46277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46277</v>
      </c>
      <c r="F559" t="inlineStr">
        <is>
          <t>GÄVLEBORGS LÄN</t>
        </is>
      </c>
      <c r="G559" t="inlineStr">
        <is>
          <t>OCKELBO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46277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46277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46277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46027</v>
      </c>
      <c r="E563" s="1" t="n">
        <v>46277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46277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46073</v>
      </c>
      <c r="E565" s="1" t="n">
        <v>46277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46277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46277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46277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17951-2026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46122</v>
      </c>
      <c r="E569" s="1" t="n">
        <v>46277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46277</v>
      </c>
      <c r="F570" t="inlineStr">
        <is>
          <t>GÄVLEBORGS LÄN</t>
        </is>
      </c>
      <c r="G570" t="inlineStr">
        <is>
          <t>OCKELBO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61732-2024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45649</v>
      </c>
      <c r="E571" s="1" t="n">
        <v>46277</v>
      </c>
      <c r="F571" t="inlineStr">
        <is>
          <t>GÄVLEBORGS LÄN</t>
        </is>
      </c>
      <c r="G571" t="inlineStr">
        <is>
          <t>OCKELBO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46277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18097-2026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46125</v>
      </c>
      <c r="E573" s="1" t="n">
        <v>46277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46277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46277</v>
      </c>
      <c r="F575" t="inlineStr">
        <is>
          <t>GÄVLEBORGS LÄN</t>
        </is>
      </c>
      <c r="G575" t="inlineStr">
        <is>
          <t>OCKELBO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46277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46277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46277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46277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46277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46277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46277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46277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45072</v>
      </c>
      <c r="E584" s="1" t="n">
        <v>46277</v>
      </c>
      <c r="F584" t="inlineStr">
        <is>
          <t>GÄVLEBORGS LÄN</t>
        </is>
      </c>
      <c r="G584" t="inlineStr">
        <is>
          <t>OCKELBO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46277</v>
      </c>
      <c r="F585" t="inlineStr">
        <is>
          <t>GÄVLEBORGS LÄN</t>
        </is>
      </c>
      <c r="G585" t="inlineStr">
        <is>
          <t>OCKELBO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46277</v>
      </c>
      <c r="F586" t="inlineStr">
        <is>
          <t>GÄVLEBORGS LÄN</t>
        </is>
      </c>
      <c r="G586" t="inlineStr">
        <is>
          <t>OCKELBO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46277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54977-2024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45620</v>
      </c>
      <c r="E588" s="1" t="n">
        <v>46277</v>
      </c>
      <c r="F588" t="inlineStr">
        <is>
          <t>GÄVLEBORGS LÄN</t>
        </is>
      </c>
      <c r="G588" t="inlineStr">
        <is>
          <t>OCKELBO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45596</v>
      </c>
      <c r="E589" s="1" t="n">
        <v>46277</v>
      </c>
      <c r="F589" t="inlineStr">
        <is>
          <t>GÄVLEBORGS LÄN</t>
        </is>
      </c>
      <c r="G589" t="inlineStr">
        <is>
          <t>OCKELBO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45341</v>
      </c>
      <c r="E590" s="1" t="n">
        <v>46277</v>
      </c>
      <c r="F590" t="inlineStr">
        <is>
          <t>GÄVLEBORGS LÄN</t>
        </is>
      </c>
      <c r="G590" t="inlineStr">
        <is>
          <t>OCKELBO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46277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46277</v>
      </c>
      <c r="F592" t="inlineStr">
        <is>
          <t>GÄVLEBORGS LÄN</t>
        </is>
      </c>
      <c r="G592" t="inlineStr">
        <is>
          <t>OCKELBO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46277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46277</v>
      </c>
      <c r="F594" t="inlineStr">
        <is>
          <t>GÄVLEBORGS LÄN</t>
        </is>
      </c>
      <c r="G594" t="inlineStr">
        <is>
          <t>OCKELBO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46277</v>
      </c>
      <c r="F595" t="inlineStr">
        <is>
          <t>GÄVLEBORGS LÄN</t>
        </is>
      </c>
      <c r="G595" t="inlineStr">
        <is>
          <t>OCKELBO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46088</v>
      </c>
      <c r="E596" s="1" t="n">
        <v>46277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46277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46277</v>
      </c>
      <c r="F598" t="inlineStr">
        <is>
          <t>GÄVLEBORGS LÄN</t>
        </is>
      </c>
      <c r="G598" t="inlineStr">
        <is>
          <t>OCKELBO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50194-2024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46277</v>
      </c>
      <c r="F599" t="inlineStr">
        <is>
          <t>GÄVLEBORGS LÄN</t>
        </is>
      </c>
      <c r="G599" t="inlineStr">
        <is>
          <t>OCKELBO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45909</v>
      </c>
      <c r="E600" s="1" t="n">
        <v>46277</v>
      </c>
      <c r="F600" t="inlineStr">
        <is>
          <t>GÄVLEBORGS LÄN</t>
        </is>
      </c>
      <c r="G600" t="inlineStr">
        <is>
          <t>OCKELBO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58718-2025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46277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46277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46277</v>
      </c>
      <c r="F603" t="inlineStr">
        <is>
          <t>GÄVLEBORGS LÄN</t>
        </is>
      </c>
      <c r="G603" t="inlineStr">
        <is>
          <t>OCKELBO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46277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46277</v>
      </c>
      <c r="F605" t="inlineStr">
        <is>
          <t>GÄVLEBORGS LÄN</t>
        </is>
      </c>
      <c r="G605" t="inlineStr">
        <is>
          <t>OCKELBO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46277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46277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46277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46277</v>
      </c>
      <c r="F609" t="inlineStr">
        <is>
          <t>GÄVLEBORGS LÄN</t>
        </is>
      </c>
      <c r="G609" t="inlineStr">
        <is>
          <t>OCKELBO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60122-2025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46277</v>
      </c>
      <c r="F610" t="inlineStr">
        <is>
          <t>GÄVLEBORGS LÄN</t>
        </is>
      </c>
      <c r="G610" t="inlineStr">
        <is>
          <t>OCKELBO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46277</v>
      </c>
      <c r="F611" t="inlineStr">
        <is>
          <t>GÄVLEBORGS LÄN</t>
        </is>
      </c>
      <c r="G611" t="inlineStr">
        <is>
          <t>OCKELBO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46156</v>
      </c>
      <c r="E612" s="1" t="n">
        <v>46277</v>
      </c>
      <c r="F612" t="inlineStr">
        <is>
          <t>GÄVLEBORGS LÄN</t>
        </is>
      </c>
      <c r="G612" t="inlineStr">
        <is>
          <t>OCKELBO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60120-2025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45994</v>
      </c>
      <c r="E613" s="1" t="n">
        <v>46277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46277</v>
      </c>
      <c r="F614" t="inlineStr">
        <is>
          <t>GÄVLEBORGS LÄN</t>
        </is>
      </c>
      <c r="G614" t="inlineStr">
        <is>
          <t>OCKELBO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46277</v>
      </c>
      <c r="F615" t="inlineStr">
        <is>
          <t>GÄVLEBORGS LÄN</t>
        </is>
      </c>
      <c r="G615" t="inlineStr">
        <is>
          <t>OCKELBO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46277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46277</v>
      </c>
      <c r="F617" t="inlineStr">
        <is>
          <t>GÄVLEBORGS LÄN</t>
        </is>
      </c>
      <c r="G617" t="inlineStr">
        <is>
          <t>OCKELBO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54309-2024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46277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45181</v>
      </c>
      <c r="E619" s="1" t="n">
        <v>46277</v>
      </c>
      <c r="F619" t="inlineStr">
        <is>
          <t>GÄVLEBORGS LÄN</t>
        </is>
      </c>
      <c r="G619" t="inlineStr">
        <is>
          <t>OCKELBO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46277</v>
      </c>
      <c r="F620" t="inlineStr">
        <is>
          <t>GÄVLEBORGS LÄN</t>
        </is>
      </c>
      <c r="G620" t="inlineStr">
        <is>
          <t>OCKELBO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46277</v>
      </c>
      <c r="F621" t="inlineStr">
        <is>
          <t>GÄVLEBORGS LÄN</t>
        </is>
      </c>
      <c r="G621" t="inlineStr">
        <is>
          <t>OCKELBO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56352-2024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45624</v>
      </c>
      <c r="E622" s="1" t="n">
        <v>46277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42313-2023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45180</v>
      </c>
      <c r="E623" s="1" t="n">
        <v>46277</v>
      </c>
      <c r="F623" t="inlineStr">
        <is>
          <t>GÄVLEBORGS LÄN</t>
        </is>
      </c>
      <c r="G623" t="inlineStr">
        <is>
          <t>OCKELBO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46277</v>
      </c>
      <c r="F624" t="inlineStr">
        <is>
          <t>GÄVLEBORGS LÄN</t>
        </is>
      </c>
      <c r="G624" t="inlineStr">
        <is>
          <t>OCKELBO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17862-2026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46122</v>
      </c>
      <c r="E625" s="1" t="n">
        <v>46277</v>
      </c>
      <c r="F625" t="inlineStr">
        <is>
          <t>GÄVLEBORGS LÄN</t>
        </is>
      </c>
      <c r="G625" t="inlineStr">
        <is>
          <t>OCKELBO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23040-2026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46161</v>
      </c>
      <c r="E626" s="1" t="n">
        <v>46277</v>
      </c>
      <c r="F626" t="inlineStr">
        <is>
          <t>GÄVLEBORGS LÄN</t>
        </is>
      </c>
      <c r="G626" t="inlineStr">
        <is>
          <t>OCKELBO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46277</v>
      </c>
      <c r="F627" t="inlineStr">
        <is>
          <t>GÄVLEBORGS LÄN</t>
        </is>
      </c>
      <c r="G627" t="inlineStr">
        <is>
          <t>OCKELBO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45645</v>
      </c>
      <c r="E628" s="1" t="n">
        <v>46277</v>
      </c>
      <c r="F628" t="inlineStr">
        <is>
          <t>GÄVLEBORGS LÄN</t>
        </is>
      </c>
      <c r="G628" t="inlineStr">
        <is>
          <t>OCKELBO</t>
        </is>
      </c>
      <c r="H628" t="inlineStr">
        <is>
          <t>Kyrkan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9859-2025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45716</v>
      </c>
      <c r="E629" s="1" t="n">
        <v>46277</v>
      </c>
      <c r="F629" t="inlineStr">
        <is>
          <t>GÄVLEBORGS LÄN</t>
        </is>
      </c>
      <c r="G629" t="inlineStr">
        <is>
          <t>OCKELBO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46277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23513-2026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46277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46277</v>
      </c>
      <c r="F632" t="inlineStr">
        <is>
          <t>GÄVLEBORGS LÄN</t>
        </is>
      </c>
      <c r="G632" t="inlineStr">
        <is>
          <t>OCKELBO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45432</v>
      </c>
      <c r="E633" s="1" t="n">
        <v>46277</v>
      </c>
      <c r="F633" t="inlineStr">
        <is>
          <t>GÄVLEBORGS LÄN</t>
        </is>
      </c>
      <c r="G633" t="inlineStr">
        <is>
          <t>OCKELBO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45441</v>
      </c>
      <c r="E634" s="1" t="n">
        <v>46277</v>
      </c>
      <c r="F634" t="inlineStr">
        <is>
          <t>GÄVLEBORGS LÄN</t>
        </is>
      </c>
      <c r="G634" t="inlineStr">
        <is>
          <t>OCKELBO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46277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46277</v>
      </c>
      <c r="F636" t="inlineStr">
        <is>
          <t>GÄVLEBORGS LÄN</t>
        </is>
      </c>
      <c r="G636" t="inlineStr">
        <is>
          <t>OCKELBO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46277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45671</v>
      </c>
      <c r="E638" s="1" t="n">
        <v>46277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24185-2026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46277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46044</v>
      </c>
      <c r="E640" s="1" t="n">
        <v>46277</v>
      </c>
      <c r="F640" t="inlineStr">
        <is>
          <t>GÄVLEBORGS LÄN</t>
        </is>
      </c>
      <c r="G640" t="inlineStr">
        <is>
          <t>OCKELBO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46277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46277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7478-2025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46277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46277</v>
      </c>
      <c r="F644" t="inlineStr">
        <is>
          <t>GÄVLEBORGS LÄN</t>
        </is>
      </c>
      <c r="G644" t="inlineStr">
        <is>
          <t>OCKELBO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46277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46277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46277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46277</v>
      </c>
      <c r="F648" t="inlineStr">
        <is>
          <t>GÄVLEBORGS LÄN</t>
        </is>
      </c>
      <c r="G648" t="inlineStr">
        <is>
          <t>OCKELBO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46277</v>
      </c>
      <c r="F649" t="inlineStr">
        <is>
          <t>GÄVLEBORGS LÄN</t>
        </is>
      </c>
      <c r="G649" t="inlineStr">
        <is>
          <t>OCKELBO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46023</v>
      </c>
      <c r="E650" s="1" t="n">
        <v>46277</v>
      </c>
      <c r="F650" t="inlineStr">
        <is>
          <t>GÄVLEBORGS LÄN</t>
        </is>
      </c>
      <c r="G650" t="inlineStr">
        <is>
          <t>OCKELBO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46277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46277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54944-2025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45967</v>
      </c>
      <c r="E653" s="1" t="n">
        <v>46277</v>
      </c>
      <c r="F653" t="inlineStr">
        <is>
          <t>GÄVLEBORGS LÄN</t>
        </is>
      </c>
      <c r="G653" t="inlineStr">
        <is>
          <t>OCKELBO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44643</v>
      </c>
      <c r="E654" s="1" t="n">
        <v>46277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46277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46277</v>
      </c>
      <c r="F656" t="inlineStr">
        <is>
          <t>GÄVLEBORGS LÄN</t>
        </is>
      </c>
      <c r="G656" t="inlineStr">
        <is>
          <t>OCKELBO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46277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46277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46277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45243</v>
      </c>
      <c r="E660" s="1" t="n">
        <v>46277</v>
      </c>
      <c r="F660" t="inlineStr">
        <is>
          <t>GÄVLEBORGS LÄN</t>
        </is>
      </c>
      <c r="G660" t="inlineStr">
        <is>
          <t>OCKELBO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24624-2026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46277</v>
      </c>
      <c r="F661" t="inlineStr">
        <is>
          <t>GÄVLEBORGS LÄN</t>
        </is>
      </c>
      <c r="G661" t="inlineStr">
        <is>
          <t>OCKELBO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24598-2026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46277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46277</v>
      </c>
      <c r="F663" t="inlineStr">
        <is>
          <t>GÄVLEBORGS LÄN</t>
        </is>
      </c>
      <c r="G663" t="inlineStr">
        <is>
          <t>OCKELBO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46175</v>
      </c>
      <c r="E664" s="1" t="n">
        <v>46277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46277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44804</v>
      </c>
      <c r="E666" s="1" t="n">
        <v>46277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46174</v>
      </c>
      <c r="E667" s="1" t="n">
        <v>46277</v>
      </c>
      <c r="F667" t="inlineStr">
        <is>
          <t>GÄVLEBORGS LÄN</t>
        </is>
      </c>
      <c r="G667" t="inlineStr">
        <is>
          <t>OCKELBO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44725</v>
      </c>
      <c r="E668" s="1" t="n">
        <v>46277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44781</v>
      </c>
      <c r="E669" s="1" t="n">
        <v>46277</v>
      </c>
      <c r="F669" t="inlineStr">
        <is>
          <t>GÄVLEBORGS LÄN</t>
        </is>
      </c>
      <c r="G669" t="inlineStr">
        <is>
          <t>OCKELBO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24952-2026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46174</v>
      </c>
      <c r="E670" s="1" t="n">
        <v>46277</v>
      </c>
      <c r="F670" t="inlineStr">
        <is>
          <t>GÄVLEBORGS LÄN</t>
        </is>
      </c>
      <c r="G670" t="inlineStr">
        <is>
          <t>OCKELBO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46277</v>
      </c>
      <c r="F671" t="inlineStr">
        <is>
          <t>GÄVLEBORGS LÄN</t>
        </is>
      </c>
      <c r="G671" t="inlineStr">
        <is>
          <t>OCKELBO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50968-2024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45603</v>
      </c>
      <c r="E672" s="1" t="n">
        <v>46277</v>
      </c>
      <c r="F672" t="inlineStr">
        <is>
          <t>GÄVLEBORGS LÄN</t>
        </is>
      </c>
      <c r="G672" t="inlineStr">
        <is>
          <t>OCKELBO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25525-2026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46277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46277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47841-2023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45204</v>
      </c>
      <c r="E675" s="1" t="n">
        <v>46277</v>
      </c>
      <c r="F675" t="inlineStr">
        <is>
          <t>GÄVLEBORGS LÄN</t>
        </is>
      </c>
      <c r="G675" t="inlineStr">
        <is>
          <t>OCKELBO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46277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20660-2022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44700</v>
      </c>
      <c r="E677" s="1" t="n">
        <v>46277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46277</v>
      </c>
      <c r="F678" t="inlineStr">
        <is>
          <t>GÄVLEBORGS LÄN</t>
        </is>
      </c>
      <c r="G678" t="inlineStr">
        <is>
          <t>OCKELBO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61750-2023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45265</v>
      </c>
      <c r="E679" s="1" t="n">
        <v>46277</v>
      </c>
      <c r="F679" t="inlineStr">
        <is>
          <t>GÄVLEBORGS LÄN</t>
        </is>
      </c>
      <c r="G679" t="inlineStr">
        <is>
          <t>OCKELBO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15247-2025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45744</v>
      </c>
      <c r="E680" s="1" t="n">
        <v>46277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35054-2022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44797</v>
      </c>
      <c r="E681" s="1" t="n">
        <v>46277</v>
      </c>
      <c r="F681" t="inlineStr">
        <is>
          <t>GÄVLEBORGS LÄN</t>
        </is>
      </c>
      <c r="G681" t="inlineStr">
        <is>
          <t>OCKELBO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46156</v>
      </c>
      <c r="E682" s="1" t="n">
        <v>46277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46277</v>
      </c>
      <c r="F683" t="inlineStr">
        <is>
          <t>GÄVLEBORGS LÄN</t>
        </is>
      </c>
      <c r="G683" t="inlineStr">
        <is>
          <t>OCKELBO</t>
        </is>
      </c>
      <c r="I683" t="n">
        <v>14.8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45237</v>
      </c>
      <c r="E684" s="1" t="n">
        <v>46277</v>
      </c>
      <c r="F684" t="inlineStr">
        <is>
          <t>GÄVLEBORGS LÄN</t>
        </is>
      </c>
      <c r="G684" t="inlineStr">
        <is>
          <t>OCKELBO</t>
        </is>
      </c>
      <c r="I684" t="n">
        <v>14.6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46277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46277</v>
      </c>
      <c r="F686" t="inlineStr">
        <is>
          <t>GÄVLEBORGS LÄN</t>
        </is>
      </c>
      <c r="G686" t="inlineStr">
        <is>
          <t>OCKELBO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46277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46277</v>
      </c>
      <c r="F688" t="inlineStr">
        <is>
          <t>GÄVLEBORGS LÄN</t>
        </is>
      </c>
      <c r="G688" t="inlineStr">
        <is>
          <t>OCKELBO</t>
        </is>
      </c>
      <c r="I688" t="n">
        <v>14.6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46277</v>
      </c>
      <c r="F689" t="inlineStr">
        <is>
          <t>GÄVLEBORGS LÄN</t>
        </is>
      </c>
      <c r="G689" t="inlineStr">
        <is>
          <t>OCKELBO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45230</v>
      </c>
      <c r="E690" s="1" t="n">
        <v>46277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46277</v>
      </c>
      <c r="F691" t="inlineStr">
        <is>
          <t>GÄVLEBORGS LÄN</t>
        </is>
      </c>
      <c r="G691" t="inlineStr">
        <is>
          <t>OCKELBO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46277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46189</v>
      </c>
      <c r="E693" s="1" t="n">
        <v>46277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46277</v>
      </c>
      <c r="F694" t="inlineStr">
        <is>
          <t>GÄVLEBORGS LÄN</t>
        </is>
      </c>
      <c r="G694" t="inlineStr">
        <is>
          <t>OCKELBO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46277</v>
      </c>
      <c r="F695" t="inlineStr">
        <is>
          <t>GÄVLEBORGS LÄN</t>
        </is>
      </c>
      <c r="G695" t="inlineStr">
        <is>
          <t>OCKELBO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10184-2026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46277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46277</v>
      </c>
      <c r="F697" t="inlineStr">
        <is>
          <t>GÄVLEBORGS LÄN</t>
        </is>
      </c>
      <c r="G697" t="inlineStr">
        <is>
          <t>OCKELBO</t>
        </is>
      </c>
      <c r="I697" t="n">
        <v>5.8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46277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46189</v>
      </c>
      <c r="E699" s="1" t="n">
        <v>46277</v>
      </c>
      <c r="F699" t="inlineStr">
        <is>
          <t>GÄVLEBORGS LÄN</t>
        </is>
      </c>
      <c r="G699" t="inlineStr">
        <is>
          <t>OCKELBO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46277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57614-2025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45981</v>
      </c>
      <c r="E701" s="1" t="n">
        <v>46277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46277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46277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46277</v>
      </c>
      <c r="F704" t="inlineStr">
        <is>
          <t>GÄVLEBORGS LÄN</t>
        </is>
      </c>
      <c r="G704" t="inlineStr">
        <is>
          <t>OCKELBO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46277</v>
      </c>
      <c r="F705" t="inlineStr">
        <is>
          <t>GÄVLEBORGS LÄN</t>
        </is>
      </c>
      <c r="G705" t="inlineStr">
        <is>
          <t>OCKELBO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27630-2026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46277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46277</v>
      </c>
      <c r="F707" t="inlineStr">
        <is>
          <t>GÄVLEBORGS LÄN</t>
        </is>
      </c>
      <c r="G707" t="inlineStr">
        <is>
          <t>OCKELBO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27889-2026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46277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45301</v>
      </c>
      <c r="E709" s="1" t="n">
        <v>46277</v>
      </c>
      <c r="F709" t="inlineStr">
        <is>
          <t>GÄVLEBORGS LÄN</t>
        </is>
      </c>
      <c r="G709" t="inlineStr">
        <is>
          <t>OCKELBO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46277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39710-2023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45167</v>
      </c>
      <c r="E711" s="1" t="n">
        <v>46277</v>
      </c>
      <c r="F711" t="inlineStr">
        <is>
          <t>GÄVLEBORGS LÄN</t>
        </is>
      </c>
      <c r="G711" t="inlineStr">
        <is>
          <t>OCKELBO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55906-2024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45623</v>
      </c>
      <c r="E712" s="1" t="n">
        <v>46277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28289-2026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46277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46277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34449-2023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45139</v>
      </c>
      <c r="E715" s="1" t="n">
        <v>46277</v>
      </c>
      <c r="F715" t="inlineStr">
        <is>
          <t>GÄVLEBORGS LÄN</t>
        </is>
      </c>
      <c r="G715" t="inlineStr">
        <is>
          <t>OCKELBO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46277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46277</v>
      </c>
      <c r="F717" t="inlineStr">
        <is>
          <t>GÄVLEBORGS LÄN</t>
        </is>
      </c>
      <c r="G717" t="inlineStr">
        <is>
          <t>OCKELBO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46045</v>
      </c>
      <c r="E718" s="1" t="n">
        <v>46277</v>
      </c>
      <c r="F718" t="inlineStr">
        <is>
          <t>GÄVLEBORGS LÄN</t>
        </is>
      </c>
      <c r="G718" t="inlineStr">
        <is>
          <t>OCKELBO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46277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46199</v>
      </c>
      <c r="E720" s="1" t="n">
        <v>46277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45548</v>
      </c>
      <c r="E721" s="1" t="n">
        <v>46277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46277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46199</v>
      </c>
      <c r="E723" s="1" t="n">
        <v>46277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46277</v>
      </c>
      <c r="F724" t="inlineStr">
        <is>
          <t>GÄVLEBORGS LÄN</t>
        </is>
      </c>
      <c r="G724" t="inlineStr">
        <is>
          <t>OCKELBO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46245</v>
      </c>
      <c r="E725" s="1" t="n">
        <v>46277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46277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46277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46277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34444-2023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45139</v>
      </c>
      <c r="E729" s="1" t="n">
        <v>46277</v>
      </c>
      <c r="F729" t="inlineStr">
        <is>
          <t>GÄVLEBORGS LÄN</t>
        </is>
      </c>
      <c r="G729" t="inlineStr">
        <is>
          <t>OCKELBO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46277</v>
      </c>
      <c r="F730" t="inlineStr">
        <is>
          <t>GÄVLEBORGS LÄN</t>
        </is>
      </c>
      <c r="G730" t="inlineStr">
        <is>
          <t>OCKELBO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46277</v>
      </c>
      <c r="F731" t="inlineStr">
        <is>
          <t>GÄVLEBORGS LÄN</t>
        </is>
      </c>
      <c r="G731" t="inlineStr">
        <is>
          <t>OCKELBO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46277</v>
      </c>
      <c r="F732" t="inlineStr">
        <is>
          <t>GÄVLEBORGS LÄN</t>
        </is>
      </c>
      <c r="G732" t="inlineStr">
        <is>
          <t>OCKELBO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52330-2024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45609</v>
      </c>
      <c r="E733" s="1" t="n">
        <v>46277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46277</v>
      </c>
      <c r="F734" t="inlineStr">
        <is>
          <t>GÄVLEBORGS LÄN</t>
        </is>
      </c>
      <c r="G734" t="inlineStr">
        <is>
          <t>OCKELBO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46277</v>
      </c>
      <c r="F735" t="inlineStr">
        <is>
          <t>GÄVLEBORGS LÄN</t>
        </is>
      </c>
      <c r="G735" t="inlineStr">
        <is>
          <t>OCKELBO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46277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29789-2026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46277</v>
      </c>
      <c r="F737" t="inlineStr">
        <is>
          <t>GÄVLEBORGS LÄN</t>
        </is>
      </c>
      <c r="G737" t="inlineStr">
        <is>
          <t>OCKELBO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60148-2023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45258</v>
      </c>
      <c r="E738" s="1" t="n">
        <v>46277</v>
      </c>
      <c r="F738" t="inlineStr">
        <is>
          <t>GÄVLEBORGS LÄN</t>
        </is>
      </c>
      <c r="G738" t="inlineStr">
        <is>
          <t>OCKELBO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46277</v>
      </c>
      <c r="F739" t="inlineStr">
        <is>
          <t>GÄVLEBORGS LÄN</t>
        </is>
      </c>
      <c r="G739" t="inlineStr">
        <is>
          <t>OCKELBO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46277</v>
      </c>
      <c r="F740" t="inlineStr">
        <is>
          <t>GÄVLEBORGS LÄN</t>
        </is>
      </c>
      <c r="G740" t="inlineStr">
        <is>
          <t>OCKELBO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44839</v>
      </c>
      <c r="E741" s="1" t="n">
        <v>46277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30031-2026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46277</v>
      </c>
      <c r="F742" t="inlineStr">
        <is>
          <t>GÄVLEBORGS LÄN</t>
        </is>
      </c>
      <c r="G742" t="inlineStr">
        <is>
          <t>OCKELBO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45747</v>
      </c>
      <c r="E743" s="1" t="n">
        <v>46277</v>
      </c>
      <c r="F743" t="inlineStr">
        <is>
          <t>GÄVLEBORGS LÄN</t>
        </is>
      </c>
      <c r="G743" t="inlineStr">
        <is>
          <t>OCKELBO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34391-2026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46254</v>
      </c>
      <c r="E744" s="1" t="n">
        <v>46277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46277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46277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3620-2023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46277</v>
      </c>
      <c r="F747" t="inlineStr">
        <is>
          <t>GÄVLEBORGS LÄN</t>
        </is>
      </c>
      <c r="G747" t="inlineStr">
        <is>
          <t>OCKELBO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46277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46277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46277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46277</v>
      </c>
      <c r="F751" t="inlineStr">
        <is>
          <t>GÄVLEBORGS LÄN</t>
        </is>
      </c>
      <c r="G751" t="inlineStr">
        <is>
          <t>OCKELBO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46277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29963-2024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45488</v>
      </c>
      <c r="E753" s="1" t="n">
        <v>46277</v>
      </c>
      <c r="F753" t="inlineStr">
        <is>
          <t>GÄVLEBORGS LÄN</t>
        </is>
      </c>
      <c r="G753" t="inlineStr">
        <is>
          <t>OCKELBO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46277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46216</v>
      </c>
      <c r="E755" s="1" t="n">
        <v>46277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52241-2024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45608</v>
      </c>
      <c r="E756" s="1" t="n">
        <v>46277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52243-2024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46277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46277</v>
      </c>
      <c r="F758" t="inlineStr">
        <is>
          <t>GÄVLEBORGS LÄN</t>
        </is>
      </c>
      <c r="G758" t="inlineStr">
        <is>
          <t>OCKELBO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45488</v>
      </c>
      <c r="E759" s="1" t="n">
        <v>46277</v>
      </c>
      <c r="F759" t="inlineStr">
        <is>
          <t>GÄVLEBORGS LÄN</t>
        </is>
      </c>
      <c r="G759" t="inlineStr">
        <is>
          <t>OCKELBO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51989-2023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45223</v>
      </c>
      <c r="E760" s="1" t="n">
        <v>46277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46218</v>
      </c>
      <c r="E761" s="1" t="n">
        <v>46277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21900-2023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45068</v>
      </c>
      <c r="E762" s="1" t="n">
        <v>46277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45678</v>
      </c>
      <c r="E763" s="1" t="n">
        <v>46277</v>
      </c>
      <c r="F763" t="inlineStr">
        <is>
          <t>GÄVLEBORGS LÄN</t>
        </is>
      </c>
      <c r="G763" t="inlineStr">
        <is>
          <t>OCKELBO</t>
        </is>
      </c>
      <c r="I763" t="n">
        <v>8.1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56741-2024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46277</v>
      </c>
      <c r="F764" t="inlineStr">
        <is>
          <t>GÄVLEBORGS LÄN</t>
        </is>
      </c>
      <c r="G764" t="inlineStr">
        <is>
          <t>OCKELBO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45211</v>
      </c>
      <c r="E765" s="1" t="n">
        <v>46277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31443-2026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46220</v>
      </c>
      <c r="E766" s="1" t="n">
        <v>46277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19772-2025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45771</v>
      </c>
      <c r="E767" s="1" t="n">
        <v>46277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46277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46074-2024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46277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21878-2023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45068</v>
      </c>
      <c r="E770" s="1" t="n">
        <v>46277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58156-2025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45982</v>
      </c>
      <c r="E771" s="1" t="n">
        <v>46277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39430-2024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46277</v>
      </c>
      <c r="F772" t="inlineStr">
        <is>
          <t>GÄVLEBORGS LÄN</t>
        </is>
      </c>
      <c r="G772" t="inlineStr">
        <is>
          <t>OCKELBO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46277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46277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46071</v>
      </c>
      <c r="E775" s="1" t="n">
        <v>46277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45237</v>
      </c>
      <c r="E776" s="1" t="n">
        <v>46277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31517-2026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46223</v>
      </c>
      <c r="E777" s="1" t="n">
        <v>46277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31519-2026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46223</v>
      </c>
      <c r="E778" s="1" t="n">
        <v>46277</v>
      </c>
      <c r="F778" t="inlineStr">
        <is>
          <t>GÄVLEBORGS LÄN</t>
        </is>
      </c>
      <c r="G778" t="inlineStr">
        <is>
          <t>OCKELBO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46224</v>
      </c>
      <c r="E779" s="1" t="n">
        <v>46277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46224</v>
      </c>
      <c r="E780" s="1" t="n">
        <v>46277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46277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36280-2026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46268</v>
      </c>
      <c r="E782" s="1" t="n">
        <v>46277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46268</v>
      </c>
      <c r="E783" s="1" t="n">
        <v>46277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40218-2023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45169</v>
      </c>
      <c r="E784" s="1" t="n">
        <v>46277</v>
      </c>
      <c r="F784" t="inlineStr">
        <is>
          <t>GÄVLEBORGS LÄN</t>
        </is>
      </c>
      <c r="G784" t="inlineStr">
        <is>
          <t>OCKELBO</t>
        </is>
      </c>
      <c r="I784" t="n">
        <v>13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19178-2023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45048</v>
      </c>
      <c r="E785" s="1" t="n">
        <v>46277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46277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46277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37386-2023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45156</v>
      </c>
      <c r="E788" s="1" t="n">
        <v>46277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45674</v>
      </c>
      <c r="E789" s="1" t="n">
        <v>46277</v>
      </c>
      <c r="F789" t="inlineStr">
        <is>
          <t>GÄVLEBORGS LÄN</t>
        </is>
      </c>
      <c r="G789" t="inlineStr">
        <is>
          <t>OCKELBO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46277</v>
      </c>
      <c r="F790" t="inlineStr">
        <is>
          <t>GÄVLEBORGS LÄN</t>
        </is>
      </c>
      <c r="G790" t="inlineStr">
        <is>
          <t>OCKELBO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44986</v>
      </c>
      <c r="E791" s="1" t="n">
        <v>46277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46230</v>
      </c>
      <c r="E792" s="1" t="n">
        <v>46277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46277</v>
      </c>
      <c r="F793" t="inlineStr">
        <is>
          <t>GÄVLEBORGS LÄN</t>
        </is>
      </c>
      <c r="G793" t="inlineStr">
        <is>
          <t>OCKELBO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37110-2026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46274</v>
      </c>
      <c r="E794" s="1" t="n">
        <v>46277</v>
      </c>
      <c r="F794" t="inlineStr">
        <is>
          <t>GÄVLEBORGS LÄN</t>
        </is>
      </c>
      <c r="G794" t="inlineStr">
        <is>
          <t>OCKELBO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37321-2026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46275</v>
      </c>
      <c r="E795" s="1" t="n">
        <v>46277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46275</v>
      </c>
      <c r="E796" s="1" t="n">
        <v>46277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46277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20775-2025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45776</v>
      </c>
      <c r="E798" s="1" t="n">
        <v>46277</v>
      </c>
      <c r="F798" t="inlineStr">
        <is>
          <t>GÄVLEBORGS LÄN</t>
        </is>
      </c>
      <c r="G798" t="inlineStr">
        <is>
          <t>OCKELBO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45608</v>
      </c>
      <c r="E799" s="1" t="n">
        <v>46277</v>
      </c>
      <c r="F799" t="inlineStr">
        <is>
          <t>GÄVLEBORGS LÄN</t>
        </is>
      </c>
      <c r="G799" t="inlineStr">
        <is>
          <t>OCKELBO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46277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60253-2023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45258</v>
      </c>
      <c r="E801" s="1" t="n">
        <v>46277</v>
      </c>
      <c r="F801" t="inlineStr">
        <is>
          <t>GÄVLEBORGS LÄN</t>
        </is>
      </c>
      <c r="G801" t="inlineStr">
        <is>
          <t>OCKELBO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37848-2024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46277</v>
      </c>
      <c r="F802" t="inlineStr">
        <is>
          <t>GÄVLEBORGS LÄN</t>
        </is>
      </c>
      <c r="G802" t="inlineStr">
        <is>
          <t>OCKELBO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46277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45455</v>
      </c>
      <c r="E804" s="1" t="n">
        <v>46277</v>
      </c>
      <c r="F804" t="inlineStr">
        <is>
          <t>GÄVLEBORGS LÄN</t>
        </is>
      </c>
      <c r="G804" t="inlineStr">
        <is>
          <t>OCKELBO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22385-2025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45786</v>
      </c>
      <c r="E805" s="1" t="n">
        <v>46277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28584-2024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45478</v>
      </c>
      <c r="E806" s="1" t="n">
        <v>46277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44746</v>
      </c>
      <c r="E807" s="1" t="n">
        <v>46277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23004-2025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45790</v>
      </c>
      <c r="E808" s="1" t="n">
        <v>46277</v>
      </c>
      <c r="F808" t="inlineStr">
        <is>
          <t>GÄVLEBORGS LÄN</t>
        </is>
      </c>
      <c r="G808" t="inlineStr">
        <is>
          <t>OCKELBO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46277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45776</v>
      </c>
      <c r="E810" s="1" t="n">
        <v>46277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64924-2023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46277</v>
      </c>
      <c r="F811" t="inlineStr">
        <is>
          <t>GÄVLEBORGS LÄN</t>
        </is>
      </c>
      <c r="G811" t="inlineStr">
        <is>
          <t>OCKELBO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20207-2024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45434</v>
      </c>
      <c r="E812" s="1" t="n">
        <v>46277</v>
      </c>
      <c r="F812" t="inlineStr">
        <is>
          <t>GÄVLEBORGS LÄN</t>
        </is>
      </c>
      <c r="G812" t="inlineStr">
        <is>
          <t>OCKELBO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55011-2024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45621</v>
      </c>
      <c r="E813" s="1" t="n">
        <v>46277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15403-2022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44659</v>
      </c>
      <c r="E814" s="1" t="n">
        <v>46277</v>
      </c>
      <c r="F814" t="inlineStr">
        <is>
          <t>GÄVLEBORGS LÄN</t>
        </is>
      </c>
      <c r="G814" t="inlineStr">
        <is>
          <t>OCKELBO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26085-2024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45468</v>
      </c>
      <c r="E815" s="1" t="n">
        <v>46277</v>
      </c>
      <c r="F815" t="inlineStr">
        <is>
          <t>GÄVLEBORGS LÄN</t>
        </is>
      </c>
      <c r="G815" t="inlineStr">
        <is>
          <t>OCKELBO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45754</v>
      </c>
      <c r="E816" s="1" t="n">
        <v>46277</v>
      </c>
      <c r="F816" t="inlineStr">
        <is>
          <t>GÄVLEBORGS LÄN</t>
        </is>
      </c>
      <c r="G816" t="inlineStr">
        <is>
          <t>OCKELBO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15502-2025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45747</v>
      </c>
      <c r="E817" s="1" t="n">
        <v>46277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49470-2024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45596</v>
      </c>
      <c r="E818" s="1" t="n">
        <v>46277</v>
      </c>
      <c r="F818" t="inlineStr">
        <is>
          <t>GÄVLEBORGS LÄN</t>
        </is>
      </c>
      <c r="G818" t="inlineStr">
        <is>
          <t>OCKELBO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46277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25250-2025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45800</v>
      </c>
      <c r="E820" s="1" t="n">
        <v>46277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46277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25191-2025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46277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46277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25640-2025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45803</v>
      </c>
      <c r="E825" s="1" t="n">
        <v>46277</v>
      </c>
      <c r="F825" t="inlineStr">
        <is>
          <t>GÄVLEBORGS LÄN</t>
        </is>
      </c>
      <c r="G825" t="inlineStr">
        <is>
          <t>OCKELBO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26195-2025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45805</v>
      </c>
      <c r="E826" s="1" t="n">
        <v>46277</v>
      </c>
      <c r="F826" t="inlineStr">
        <is>
          <t>GÄVLEBORGS LÄN</t>
        </is>
      </c>
      <c r="G826" t="inlineStr">
        <is>
          <t>OCKELBO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27990-2025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46277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28006-2025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46277</v>
      </c>
      <c r="F829" t="inlineStr">
        <is>
          <t>GÄVLEBORGS LÄN</t>
        </is>
      </c>
      <c r="G829" t="inlineStr">
        <is>
          <t>OCKELBO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282-2024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45323</v>
      </c>
      <c r="E830" s="1" t="n">
        <v>46277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5063-2024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45638</v>
      </c>
      <c r="E831" s="1" t="n">
        <v>46277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154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195-2024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45315</v>
      </c>
      <c r="E832" s="1" t="n">
        <v>46277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46.4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411-2025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45699</v>
      </c>
      <c r="E833" s="1" t="n">
        <v>46277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24.3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7041-2022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44904</v>
      </c>
      <c r="E834" s="1" t="n">
        <v>46277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297-2026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46058</v>
      </c>
      <c r="E835" s="1" t="n">
        <v>46277</v>
      </c>
      <c r="F835" t="inlineStr">
        <is>
          <t>GÄVLEBORGS LÄN</t>
        </is>
      </c>
      <c r="G835" t="inlineStr">
        <is>
          <t>OCKELBO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657-2026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46089</v>
      </c>
      <c r="E836" s="1" t="n">
        <v>46277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131.3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1344-2026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46148</v>
      </c>
      <c r="E837" s="1" t="n">
        <v>46277</v>
      </c>
      <c r="F837" t="inlineStr">
        <is>
          <t>GÄVLEBORGS LÄN</t>
        </is>
      </c>
      <c r="G837" t="inlineStr">
        <is>
          <t>OCKELBO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1345-2026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46277</v>
      </c>
      <c r="F838" t="inlineStr">
        <is>
          <t>GÄVLEBORGS LÄN</t>
        </is>
      </c>
      <c r="G838" t="inlineStr">
        <is>
          <t>OCKELBO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190-2026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46048</v>
      </c>
      <c r="E839" s="1" t="n">
        <v>46277</v>
      </c>
      <c r="F839" t="inlineStr">
        <is>
          <t>GÄVLEBORGS LÄN</t>
        </is>
      </c>
      <c r="G839" t="inlineStr">
        <is>
          <t>OCKELBO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2026-09-12T02:10:40Z</dcterms:created>
  <dcterms:modified xmlns:dcterms="http://purl.org/dc/terms/" xmlns:xsi="http://www.w3.org/2001/XMLSchema-instance" xsi:type="dcterms:W3CDTF">2026-09-12T02:10:40Z</dcterms:modified>
</cp:coreProperties>
</file>