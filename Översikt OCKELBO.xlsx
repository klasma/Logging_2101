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46303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46303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46303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46303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46303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46303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46303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46303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46303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13474-2026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46094</v>
      </c>
      <c r="E22" s="1" t="n">
        <v>46303</v>
      </c>
      <c r="F22" t="inlineStr">
        <is>
          <t>GÄVLEBORGS LÄN</t>
        </is>
      </c>
      <c r="G22" t="inlineStr">
        <is>
          <t>OCKELBO</t>
        </is>
      </c>
      <c r="H22" t="inlineStr">
        <is>
          <t>Naturvårdsverket</t>
        </is>
      </c>
      <c r="I22" t="n">
        <v>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Orange taggsvamp
Ullticka
Vedtrappmossa</t>
        </is>
      </c>
      <c r="W22">
        <f>HYPERLINK("https://klasma.github.io/Logging_2101/artfynd/A 13474-2026 artfynd.xlsx", "A 13474-2026")</f>
        <v/>
      </c>
      <c r="X22">
        <f>HYPERLINK("https://klasma.github.io/Logging_2101/kartor/A 13474-2026 karta.png", "A 13474-2026")</f>
        <v/>
      </c>
      <c r="Y22">
        <f>HYPERLINK("https://klasma.github.io/Logging_2101/kartor_geotiff/A 13474-2026 georefererad karta.tif", "A 13474-2026")</f>
        <v/>
      </c>
      <c r="AA22">
        <f>HYPERLINK("https://klasma.github.io/Logging_2101/klagomål/A 13474-2026 FSC-klagomål.docx", "A 13474-2026")</f>
        <v/>
      </c>
      <c r="AB22">
        <f>HYPERLINK("https://klasma.github.io/Logging_2101/klagomålsmail/A 13474-2026 FSC-klagomål mail.docx", "A 13474-2026")</f>
        <v/>
      </c>
      <c r="AC22">
        <f>HYPERLINK("https://klasma.github.io/Logging_2101/tillsyn/A 13474-2026 tillsynsbegäran.docx", "A 13474-2026")</f>
        <v/>
      </c>
      <c r="AD22">
        <f>HYPERLINK("https://klasma.github.io/Logging_2101/tillsynsmail/A 13474-2026 tillsynsbegäran mail.docx", "A 13474-2026")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46303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46303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18253-2026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46303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14.5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Blåsippa
Nattviol</t>
        </is>
      </c>
      <c r="W25">
        <f>HYPERLINK("https://klasma.github.io/Logging_2101/artfynd/A 18253-2026 artfynd.xlsx", "A 18253-2026")</f>
        <v/>
      </c>
      <c r="X25">
        <f>HYPERLINK("https://klasma.github.io/Logging_2101/kartor/A 18253-2026 karta.png", "A 18253-2026")</f>
        <v/>
      </c>
      <c r="Y25">
        <f>HYPERLINK("https://klasma.github.io/Logging_2101/kartor_geotiff/A 18253-2026 georefererad karta.tif", "A 18253-2026")</f>
        <v/>
      </c>
      <c r="AA25">
        <f>HYPERLINK("https://klasma.github.io/Logging_2101/klagomål/A 18253-2026 FSC-klagomål.docx", "A 18253-2026")</f>
        <v/>
      </c>
      <c r="AB25">
        <f>HYPERLINK("https://klasma.github.io/Logging_2101/klagomålsmail/A 18253-2026 FSC-klagomål mail.docx", "A 18253-2026")</f>
        <v/>
      </c>
      <c r="AC25">
        <f>HYPERLINK("https://klasma.github.io/Logging_2101/tillsyn/A 18253-2026 tillsynsbegäran.docx", "A 18253-2026")</f>
        <v/>
      </c>
      <c r="AD25">
        <f>HYPERLINK("https://klasma.github.io/Logging_2101/tillsynsmail/A 18253-2026 tillsynsbegäran mail.docx", "A 18253-2026")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46303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46303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46303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46303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46303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46303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46303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46303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46303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Havsörn</t>
        </is>
      </c>
      <c r="W36">
        <f>HYPERLINK("https://klasma.github.io/Logging_2101/artfynd/A 15841-2023 artfynd.xlsx", "A 15841-2023")</f>
        <v/>
      </c>
      <c r="X36">
        <f>HYPERLINK("https://klasma.github.io/Logging_2101/kartor/A 15841-2023 karta.png", "A 15841-2023")</f>
        <v/>
      </c>
      <c r="Y36">
        <f>HYPERLINK("https://klasma.github.io/Logging_2101/kartor_geotiff/A 15841-2023 georefererad karta.tif", "A 15841-2023")</f>
        <v/>
      </c>
      <c r="AA36">
        <f>HYPERLINK("https://klasma.github.io/Logging_2101/klagomål/A 15841-2023 FSC-klagomål.docx", "A 15841-2023")</f>
        <v/>
      </c>
      <c r="AB36">
        <f>HYPERLINK("https://klasma.github.io/Logging_2101/klagomålsmail/A 15841-2023 FSC-klagomål mail.docx", "A 15841-2023")</f>
        <v/>
      </c>
      <c r="AC36">
        <f>HYPERLINK("https://klasma.github.io/Logging_2101/tillsyn/A 15841-2023 tillsynsbegäran.docx", "A 15841-2023")</f>
        <v/>
      </c>
      <c r="AD36">
        <f>HYPERLINK("https://klasma.github.io/Logging_2101/tillsynsmail/A 15841-2023 tillsynsbegäran mail.docx", "A 15841-2023")</f>
        <v/>
      </c>
      <c r="AE36">
        <f>HYPERLINK("https://klasma.github.io/Logging_2101/fåglar/A 15841-2023 prioriterade fågelarter.docx", "A 15841-2023")</f>
        <v/>
      </c>
    </row>
    <row r="37" ht="15" customHeight="1">
      <c r="A37" t="inlineStr">
        <is>
          <t>A 33384-2024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45519</v>
      </c>
      <c r="E37" s="1" t="n">
        <v>46303</v>
      </c>
      <c r="F37" t="inlineStr">
        <is>
          <t>GÄVLEBORGS LÄN</t>
        </is>
      </c>
      <c r="G37" t="inlineStr">
        <is>
          <t>OCKELBO</t>
        </is>
      </c>
      <c r="I37" t="n">
        <v>3.8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Plattlummer</t>
        </is>
      </c>
      <c r="W37">
        <f>HYPERLINK("https://klasma.github.io/Logging_2101/artfynd/A 33384-2024 artfynd.xlsx", "A 33384-2024")</f>
        <v/>
      </c>
      <c r="X37">
        <f>HYPERLINK("https://klasma.github.io/Logging_2101/kartor/A 33384-2024 karta.png", "A 33384-2024")</f>
        <v/>
      </c>
      <c r="Y37">
        <f>HYPERLINK("https://klasma.github.io/Logging_2101/kartor_geotiff/A 33384-2024 georefererad karta.tif", "A 33384-2024")</f>
        <v/>
      </c>
      <c r="AA37">
        <f>HYPERLINK("https://klasma.github.io/Logging_2101/klagomål/A 33384-2024 FSC-klagomål.docx", "A 33384-2024")</f>
        <v/>
      </c>
      <c r="AB37">
        <f>HYPERLINK("https://klasma.github.io/Logging_2101/klagomålsmail/A 33384-2024 FSC-klagomål mail.docx", "A 33384-2024")</f>
        <v/>
      </c>
      <c r="AC37">
        <f>HYPERLINK("https://klasma.github.io/Logging_2101/tillsyn/A 33384-2024 tillsynsbegäran.docx", "A 33384-2024")</f>
        <v/>
      </c>
      <c r="AD37">
        <f>HYPERLINK("https://klasma.github.io/Logging_2101/tillsynsmail/A 33384-2024 tillsynsbegäran mail.docx", "A 33384-2024")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46303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46303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46303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64364-2023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46303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64364-2023 artfynd.xlsx", "A 64364-2023")</f>
        <v/>
      </c>
      <c r="X41">
        <f>HYPERLINK("https://klasma.github.io/Logging_2101/kartor/A 64364-2023 karta.png", "A 64364-2023")</f>
        <v/>
      </c>
      <c r="Y41">
        <f>HYPERLINK("https://klasma.github.io/Logging_2101/kartor_geotiff/A 64364-2023 georefererad karta.tif", "A 64364-2023")</f>
        <v/>
      </c>
      <c r="AA41">
        <f>HYPERLINK("https://klasma.github.io/Logging_2101/klagomål/A 64364-2023 FSC-klagomål.docx", "A 64364-2023")</f>
        <v/>
      </c>
      <c r="AB41">
        <f>HYPERLINK("https://klasma.github.io/Logging_2101/klagomålsmail/A 64364-2023 FSC-klagomål mail.docx", "A 64364-2023")</f>
        <v/>
      </c>
      <c r="AC41">
        <f>HYPERLINK("https://klasma.github.io/Logging_2101/tillsyn/A 64364-2023 tillsynsbegäran.docx", "A 64364-2023")</f>
        <v/>
      </c>
      <c r="AD41">
        <f>HYPERLINK("https://klasma.github.io/Logging_2101/tillsynsmail/A 64364-2023 tillsynsbegäran mail.docx", "A 64364-2023")</f>
        <v/>
      </c>
    </row>
    <row r="42" ht="15" customHeight="1">
      <c r="A42" t="inlineStr">
        <is>
          <t>A 22821-2024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46303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HYPERLINK("https://klasma.github.io/Logging_2101/artfynd/A 22821-2024 artfynd.xlsx", "A 22821-2024")</f>
        <v/>
      </c>
      <c r="X42">
        <f>HYPERLINK("https://klasma.github.io/Logging_2101/kartor/A 22821-2024 karta.png", "A 22821-2024")</f>
        <v/>
      </c>
      <c r="Y42">
        <f>HYPERLINK("https://klasma.github.io/Logging_2101/kartor_geotiff/A 22821-2024 georefererad karta.tif", "A 22821-2024")</f>
        <v/>
      </c>
      <c r="AA42">
        <f>HYPERLINK("https://klasma.github.io/Logging_2101/klagomål/A 22821-2024 FSC-klagomål.docx", "A 22821-2024")</f>
        <v/>
      </c>
      <c r="AB42">
        <f>HYPERLINK("https://klasma.github.io/Logging_2101/klagomålsmail/A 22821-2024 FSC-klagomål mail.docx", "A 22821-2024")</f>
        <v/>
      </c>
      <c r="AC42">
        <f>HYPERLINK("https://klasma.github.io/Logging_2101/tillsyn/A 22821-2024 tillsynsbegäran.docx", "A 22821-2024")</f>
        <v/>
      </c>
      <c r="AD42">
        <f>HYPERLINK("https://klasma.github.io/Logging_2101/tillsynsmail/A 22821-2024 tillsynsbegäran mail.docx", "A 22821-2024")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46303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HYPERLINK("https://klasma.github.io/Logging_2101/artfynd/A 55778-2025 artfynd.xlsx", "A 55778-2025")</f>
        <v/>
      </c>
      <c r="X43">
        <f>HYPERLINK("https://klasma.github.io/Logging_2101/kartor/A 55778-2025 karta.png", "A 55778-2025")</f>
        <v/>
      </c>
      <c r="Y43">
        <f>HYPERLINK("https://klasma.github.io/Logging_2101/kartor_geotiff/A 55778-2025 georefererad karta.tif", "A 55778-2025")</f>
        <v/>
      </c>
      <c r="AA43">
        <f>HYPERLINK("https://klasma.github.io/Logging_2101/klagomål/A 55778-2025 FSC-klagomål.docx", "A 55778-2025")</f>
        <v/>
      </c>
      <c r="AB43">
        <f>HYPERLINK("https://klasma.github.io/Logging_2101/klagomålsmail/A 55778-2025 FSC-klagomål mail.docx", "A 55778-2025")</f>
        <v/>
      </c>
      <c r="AC43">
        <f>HYPERLINK("https://klasma.github.io/Logging_2101/tillsyn/A 55778-2025 tillsynsbegäran.docx", "A 55778-2025")</f>
        <v/>
      </c>
      <c r="AD43">
        <f>HYPERLINK("https://klasma.github.io/Logging_2101/tillsynsmail/A 55778-2025 tillsynsbegäran mail.docx", "A 55778-2025")</f>
        <v/>
      </c>
    </row>
    <row r="44" ht="15" customHeight="1">
      <c r="A44" t="inlineStr">
        <is>
          <t>A 26448-2024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45469</v>
      </c>
      <c r="E44" s="1" t="n">
        <v>46303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4.5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HYPERLINK("https://klasma.github.io/Logging_2101/artfynd/A 26448-2024 artfynd.xlsx", "A 26448-2024")</f>
        <v/>
      </c>
      <c r="X44">
        <f>HYPERLINK("https://klasma.github.io/Logging_2101/kartor/A 26448-2024 karta.png", "A 26448-2024")</f>
        <v/>
      </c>
      <c r="Y44">
        <f>HYPERLINK("https://klasma.github.io/Logging_2101/kartor_geotiff/A 26448-2024 georefererad karta.tif", "A 26448-2024")</f>
        <v/>
      </c>
      <c r="AA44">
        <f>HYPERLINK("https://klasma.github.io/Logging_2101/klagomål/A 26448-2024 FSC-klagomål.docx", "A 26448-2024")</f>
        <v/>
      </c>
      <c r="AB44">
        <f>HYPERLINK("https://klasma.github.io/Logging_2101/klagomålsmail/A 26448-2024 FSC-klagomål mail.docx", "A 26448-2024")</f>
        <v/>
      </c>
      <c r="AC44">
        <f>HYPERLINK("https://klasma.github.io/Logging_2101/tillsyn/A 26448-2024 tillsynsbegäran.docx", "A 26448-2024")</f>
        <v/>
      </c>
      <c r="AD44">
        <f>HYPERLINK("https://klasma.github.io/Logging_2101/tillsynsmail/A 26448-2024 tillsynsbegäran mail.docx", "A 26448-2024")</f>
        <v/>
      </c>
    </row>
    <row r="45" ht="15" customHeight="1">
      <c r="A45" t="inlineStr">
        <is>
          <t>A 15039-2026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46303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18.2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15039-2026 artfynd.xlsx", "A 15039-2026")</f>
        <v/>
      </c>
      <c r="X45">
        <f>HYPERLINK("https://klasma.github.io/Logging_2101/kartor/A 15039-2026 karta.png", "A 15039-2026")</f>
        <v/>
      </c>
      <c r="Y45">
        <f>HYPERLINK("https://klasma.github.io/Logging_2101/kartor_geotiff/A 15039-2026 georefererad karta.tif", "A 15039-2026")</f>
        <v/>
      </c>
      <c r="AA45">
        <f>HYPERLINK("https://klasma.github.io/Logging_2101/klagomål/A 15039-2026 FSC-klagomål.docx", "A 15039-2026")</f>
        <v/>
      </c>
      <c r="AB45">
        <f>HYPERLINK("https://klasma.github.io/Logging_2101/klagomålsmail/A 15039-2026 FSC-klagomål mail.docx", "A 15039-2026")</f>
        <v/>
      </c>
      <c r="AC45">
        <f>HYPERLINK("https://klasma.github.io/Logging_2101/tillsyn/A 15039-2026 tillsynsbegäran.docx", "A 15039-2026")</f>
        <v/>
      </c>
      <c r="AD45">
        <f>HYPERLINK("https://klasma.github.io/Logging_2101/tillsynsmail/A 15039-2026 tillsynsbegäran mail.docx", "A 15039-2026")</f>
        <v/>
      </c>
      <c r="AE45">
        <f>HYPERLINK("https://klasma.github.io/Logging_2101/fåglar/A 15039-2026 prioriterade fågelarter.docx", "A 15039-2026")</f>
        <v/>
      </c>
    </row>
    <row r="46" ht="15" customHeight="1">
      <c r="A46" t="inlineStr">
        <is>
          <t>A 11970-2026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46303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HYPERLINK("https://klasma.github.io/Logging_2101/artfynd/A 11970-2026 artfynd.xlsx", "A 11970-2026")</f>
        <v/>
      </c>
      <c r="X46">
        <f>HYPERLINK("https://klasma.github.io/Logging_2101/kartor/A 11970-2026 karta.png", "A 11970-2026")</f>
        <v/>
      </c>
      <c r="Y46">
        <f>HYPERLINK("https://klasma.github.io/Logging_2101/kartor_geotiff/A 11970-2026 georefererad karta.tif", "A 11970-2026")</f>
        <v/>
      </c>
      <c r="AA46">
        <f>HYPERLINK("https://klasma.github.io/Logging_2101/klagomål/A 11970-2026 FSC-klagomål.docx", "A 11970-2026")</f>
        <v/>
      </c>
      <c r="AB46">
        <f>HYPERLINK("https://klasma.github.io/Logging_2101/klagomålsmail/A 11970-2026 FSC-klagomål mail.docx", "A 11970-2026")</f>
        <v/>
      </c>
      <c r="AC46">
        <f>HYPERLINK("https://klasma.github.io/Logging_2101/tillsyn/A 11970-2026 tillsynsbegäran.docx", "A 11970-2026")</f>
        <v/>
      </c>
      <c r="AD46">
        <f>HYPERLINK("https://klasma.github.io/Logging_2101/tillsynsmail/A 11970-2026 tillsynsbegäran mail.docx", "A 11970-2026")</f>
        <v/>
      </c>
      <c r="AE46">
        <f>HYPERLINK("https://klasma.github.io/Logging_2101/fåglar/A 11970-2026 prioriterade fågelarter.docx", "A 11970-2026")</f>
        <v/>
      </c>
    </row>
    <row r="47" ht="15" customHeight="1">
      <c r="A47" t="inlineStr">
        <is>
          <t>A 10448-2026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46303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3.6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Plattlummer</t>
        </is>
      </c>
      <c r="W47">
        <f>HYPERLINK("https://klasma.github.io/Logging_2101/artfynd/A 10448-2026 artfynd.xlsx", "A 10448-2026")</f>
        <v/>
      </c>
      <c r="X47">
        <f>HYPERLINK("https://klasma.github.io/Logging_2101/kartor/A 10448-2026 karta.png", "A 10448-2026")</f>
        <v/>
      </c>
      <c r="Y47">
        <f>HYPERLINK("https://klasma.github.io/Logging_2101/kartor_geotiff/A 10448-2026 georefererad karta.tif", "A 10448-2026")</f>
        <v/>
      </c>
      <c r="AA47">
        <f>HYPERLINK("https://klasma.github.io/Logging_2101/klagomål/A 10448-2026 FSC-klagomål.docx", "A 10448-2026")</f>
        <v/>
      </c>
      <c r="AB47">
        <f>HYPERLINK("https://klasma.github.io/Logging_2101/klagomålsmail/A 10448-2026 FSC-klagomål mail.docx", "A 10448-2026")</f>
        <v/>
      </c>
      <c r="AC47">
        <f>HYPERLINK("https://klasma.github.io/Logging_2101/tillsyn/A 10448-2026 tillsynsbegäran.docx", "A 10448-2026")</f>
        <v/>
      </c>
      <c r="AD47">
        <f>HYPERLINK("https://klasma.github.io/Logging_2101/tillsynsmail/A 10448-2026 tillsynsbegäran mail.docx", "A 10448-2026")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46303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16738-2025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46303</v>
      </c>
      <c r="F49" t="inlineStr">
        <is>
          <t>GÄVLEBORGS LÄN</t>
        </is>
      </c>
      <c r="G49" t="inlineStr">
        <is>
          <t>OCKELBO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HYPERLINK("https://klasma.github.io/Logging_2101/artfynd/A 16738-2025 artfynd.xlsx", "A 16738-2025")</f>
        <v/>
      </c>
      <c r="X49">
        <f>HYPERLINK("https://klasma.github.io/Logging_2101/kartor/A 16738-2025 karta.png", "A 16738-2025")</f>
        <v/>
      </c>
      <c r="Y49">
        <f>HYPERLINK("https://klasma.github.io/Logging_2101/kartor_geotiff/A 16738-2025 georefererad karta.tif", "A 16738-2025")</f>
        <v/>
      </c>
      <c r="AA49">
        <f>HYPERLINK("https://klasma.github.io/Logging_2101/klagomål/A 16738-2025 FSC-klagomål.docx", "A 16738-2025")</f>
        <v/>
      </c>
      <c r="AB49">
        <f>HYPERLINK("https://klasma.github.io/Logging_2101/klagomålsmail/A 16738-2025 FSC-klagomål mail.docx", "A 16738-2025")</f>
        <v/>
      </c>
      <c r="AC49">
        <f>HYPERLINK("https://klasma.github.io/Logging_2101/tillsyn/A 16738-2025 tillsynsbegäran.docx", "A 16738-2025")</f>
        <v/>
      </c>
      <c r="AD49">
        <f>HYPERLINK("https://klasma.github.io/Logging_2101/tillsynsmail/A 16738-2025 tillsynsbegäran mail.docx", "A 16738-2025")</f>
        <v/>
      </c>
    </row>
    <row r="50" ht="15" customHeight="1">
      <c r="A50" t="inlineStr">
        <is>
          <t>A 2923-2026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46303</v>
      </c>
      <c r="F50" t="inlineStr">
        <is>
          <t>GÄVLEBORGS LÄN</t>
        </is>
      </c>
      <c r="G50" t="inlineStr">
        <is>
          <t>OCKELBO</t>
        </is>
      </c>
      <c r="I50" t="n">
        <v>2.8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HYPERLINK("https://klasma.github.io/Logging_2101/artfynd/A 2923-2026 artfynd.xlsx", "A 2923-2026")</f>
        <v/>
      </c>
      <c r="X50">
        <f>HYPERLINK("https://klasma.github.io/Logging_2101/kartor/A 2923-2026 karta.png", "A 2923-2026")</f>
        <v/>
      </c>
      <c r="Y50">
        <f>HYPERLINK("https://klasma.github.io/Logging_2101/kartor_geotiff/A 2923-2026 georefererad karta.tif", "A 2923-2026")</f>
        <v/>
      </c>
      <c r="Z50">
        <f>HYPERLINK("https://klasma.github.io/Logging_2101/knärot/A 2923-2026 karta knärot.png", "A 2923-2026")</f>
        <v/>
      </c>
      <c r="AA50">
        <f>HYPERLINK("https://klasma.github.io/Logging_2101/klagomål/A 2923-2026 FSC-klagomål.docx", "A 2923-2026")</f>
        <v/>
      </c>
      <c r="AB50">
        <f>HYPERLINK("https://klasma.github.io/Logging_2101/klagomålsmail/A 2923-2026 FSC-klagomål mail.docx", "A 2923-2026")</f>
        <v/>
      </c>
      <c r="AC50">
        <f>HYPERLINK("https://klasma.github.io/Logging_2101/tillsyn/A 2923-2026 tillsynsbegäran.docx", "A 2923-2026")</f>
        <v/>
      </c>
      <c r="AD50">
        <f>HYPERLINK("https://klasma.github.io/Logging_2101/tillsynsmail/A 2923-2026 tillsynsbegäran mail.docx", "A 2923-2026")</f>
        <v/>
      </c>
    </row>
    <row r="51" ht="15" customHeight="1">
      <c r="A51" t="inlineStr">
        <is>
          <t>A 6121-2026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46053</v>
      </c>
      <c r="E51" s="1" t="n">
        <v>46303</v>
      </c>
      <c r="F51" t="inlineStr">
        <is>
          <t>GÄVLEBORGS LÄN</t>
        </is>
      </c>
      <c r="G51" t="inlineStr">
        <is>
          <t>OCKELBO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HYPERLINK("https://klasma.github.io/Logging_2101/artfynd/A 6121-2026 artfynd.xlsx", "A 6121-2026")</f>
        <v/>
      </c>
      <c r="X51">
        <f>HYPERLINK("https://klasma.github.io/Logging_2101/kartor/A 6121-2026 karta.png", "A 6121-2026")</f>
        <v/>
      </c>
      <c r="Y51">
        <f>HYPERLINK("https://klasma.github.io/Logging_2101/kartor_geotiff/A 6121-2026 georefererad karta.tif", "A 6121-2026")</f>
        <v/>
      </c>
      <c r="AA51">
        <f>HYPERLINK("https://klasma.github.io/Logging_2101/klagomål/A 6121-2026 FSC-klagomål.docx", "A 6121-2026")</f>
        <v/>
      </c>
      <c r="AB51">
        <f>HYPERLINK("https://klasma.github.io/Logging_2101/klagomålsmail/A 6121-2026 FSC-klagomål mail.docx", "A 6121-2026")</f>
        <v/>
      </c>
      <c r="AC51">
        <f>HYPERLINK("https://klasma.github.io/Logging_2101/tillsyn/A 6121-2026 tillsynsbegäran.docx", "A 6121-2026")</f>
        <v/>
      </c>
      <c r="AD51">
        <f>HYPERLINK("https://klasma.github.io/Logging_2101/tillsynsmail/A 6121-2026 tillsynsbegäran mail.docx", "A 6121-2026")</f>
        <v/>
      </c>
      <c r="AE51">
        <f>HYPERLINK("https://klasma.github.io/Logging_2101/fåglar/A 6121-2026 prioriterade fågelarter.docx", "A 6121-2026")</f>
        <v/>
      </c>
    </row>
    <row r="52" ht="15" customHeight="1">
      <c r="A52" t="inlineStr">
        <is>
          <t>A 6586-2026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46056</v>
      </c>
      <c r="E52" s="1" t="n">
        <v>46303</v>
      </c>
      <c r="F52" t="inlineStr">
        <is>
          <t>GÄVLEBORGS LÄN</t>
        </is>
      </c>
      <c r="G52" t="inlineStr">
        <is>
          <t>OCKELBO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HYPERLINK("https://klasma.github.io/Logging_2101/artfynd/A 6586-2026 artfynd.xlsx", "A 6586-2026")</f>
        <v/>
      </c>
      <c r="X52">
        <f>HYPERLINK("https://klasma.github.io/Logging_2101/kartor/A 6586-2026 karta.png", "A 6586-2026")</f>
        <v/>
      </c>
      <c r="Y52">
        <f>HYPERLINK("https://klasma.github.io/Logging_2101/kartor_geotiff/A 6586-2026 georefererad karta.tif", "A 6586-2026")</f>
        <v/>
      </c>
      <c r="AA52">
        <f>HYPERLINK("https://klasma.github.io/Logging_2101/klagomål/A 6586-2026 FSC-klagomål.docx", "A 6586-2026")</f>
        <v/>
      </c>
      <c r="AB52">
        <f>HYPERLINK("https://klasma.github.io/Logging_2101/klagomålsmail/A 6586-2026 FSC-klagomål mail.docx", "A 6586-2026")</f>
        <v/>
      </c>
      <c r="AC52">
        <f>HYPERLINK("https://klasma.github.io/Logging_2101/tillsyn/A 6586-2026 tillsynsbegäran.docx", "A 6586-2026")</f>
        <v/>
      </c>
      <c r="AD52">
        <f>HYPERLINK("https://klasma.github.io/Logging_2101/tillsynsmail/A 6586-2026 tillsynsbegäran mail.docx", "A 6586-2026")</f>
        <v/>
      </c>
    </row>
    <row r="53" ht="15" customHeight="1">
      <c r="A53" t="inlineStr">
        <is>
          <t>A 10484-2026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46077</v>
      </c>
      <c r="E53" s="1" t="n">
        <v>46303</v>
      </c>
      <c r="F53" t="inlineStr">
        <is>
          <t>GÄVLEBORGS LÄN</t>
        </is>
      </c>
      <c r="G53" t="inlineStr">
        <is>
          <t>OCKELBO</t>
        </is>
      </c>
      <c r="I53" t="n">
        <v>1.8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Ullticka</t>
        </is>
      </c>
      <c r="W53">
        <f>HYPERLINK("https://klasma.github.io/Logging_2101/artfynd/A 10484-2026 artfynd.xlsx", "A 10484-2026")</f>
        <v/>
      </c>
      <c r="X53">
        <f>HYPERLINK("https://klasma.github.io/Logging_2101/kartor/A 10484-2026 karta.png", "A 10484-2026")</f>
        <v/>
      </c>
      <c r="Y53">
        <f>HYPERLINK("https://klasma.github.io/Logging_2101/kartor_geotiff/A 10484-2026 georefererad karta.tif", "A 10484-2026")</f>
        <v/>
      </c>
      <c r="AA53">
        <f>HYPERLINK("https://klasma.github.io/Logging_2101/klagomål/A 10484-2026 FSC-klagomål.docx", "A 10484-2026")</f>
        <v/>
      </c>
      <c r="AB53">
        <f>HYPERLINK("https://klasma.github.io/Logging_2101/klagomålsmail/A 10484-2026 FSC-klagomål mail.docx", "A 10484-2026")</f>
        <v/>
      </c>
      <c r="AC53">
        <f>HYPERLINK("https://klasma.github.io/Logging_2101/tillsyn/A 10484-2026 tillsynsbegäran.docx", "A 10484-2026")</f>
        <v/>
      </c>
      <c r="AD53">
        <f>HYPERLINK("https://klasma.github.io/Logging_2101/tillsynsmail/A 10484-2026 tillsynsbegäran mail.docx", "A 10484-2026")</f>
        <v/>
      </c>
    </row>
    <row r="54" ht="15" customHeight="1">
      <c r="A54" t="inlineStr">
        <is>
          <t>A 4226-2023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46303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Skogsknipprot</t>
        </is>
      </c>
      <c r="W54">
        <f>HYPERLINK("https://klasma.github.io/Logging_2101/artfynd/A 4226-2023 artfynd.xlsx", "A 4226-2023")</f>
        <v/>
      </c>
      <c r="X54">
        <f>HYPERLINK("https://klasma.github.io/Logging_2101/kartor/A 4226-2023 karta.png", "A 4226-2023")</f>
        <v/>
      </c>
      <c r="Y54">
        <f>HYPERLINK("https://klasma.github.io/Logging_2101/kartor_geotiff/A 4226-2023 georefererad karta.tif", "A 4226-2023")</f>
        <v/>
      </c>
      <c r="AA54">
        <f>HYPERLINK("https://klasma.github.io/Logging_2101/klagomål/A 4226-2023 FSC-klagomål.docx", "A 4226-2023")</f>
        <v/>
      </c>
      <c r="AB54">
        <f>HYPERLINK("https://klasma.github.io/Logging_2101/klagomålsmail/A 4226-2023 FSC-klagomål mail.docx", "A 4226-2023")</f>
        <v/>
      </c>
      <c r="AC54">
        <f>HYPERLINK("https://klasma.github.io/Logging_2101/tillsyn/A 4226-2023 tillsynsbegäran.docx", "A 4226-2023")</f>
        <v/>
      </c>
      <c r="AD54">
        <f>HYPERLINK("https://klasma.github.io/Logging_2101/tillsynsmail/A 4226-2023 tillsynsbegäran mail.docx", "A 4226-2023")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46303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HYPERLINK("https://klasma.github.io/Logging_2101/artfynd/A 13640-2026 artfynd.xlsx", "A 13640-2026")</f>
        <v/>
      </c>
      <c r="X55">
        <f>HYPERLINK("https://klasma.github.io/Logging_2101/kartor/A 13640-2026 karta.png", "A 13640-2026")</f>
        <v/>
      </c>
      <c r="Y55">
        <f>HYPERLINK("https://klasma.github.io/Logging_2101/kartor_geotiff/A 13640-2026 georefererad karta.tif", "A 13640-2026")</f>
        <v/>
      </c>
      <c r="AA55">
        <f>HYPERLINK("https://klasma.github.io/Logging_2101/klagomål/A 13640-2026 FSC-klagomål.docx", "A 13640-2026")</f>
        <v/>
      </c>
      <c r="AB55">
        <f>HYPERLINK("https://klasma.github.io/Logging_2101/klagomålsmail/A 13640-2026 FSC-klagomål mail.docx", "A 13640-2026")</f>
        <v/>
      </c>
      <c r="AC55">
        <f>HYPERLINK("https://klasma.github.io/Logging_2101/tillsyn/A 13640-2026 tillsynsbegäran.docx", "A 13640-2026")</f>
        <v/>
      </c>
      <c r="AD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46303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14479-2026 artfynd.xlsx", "A 14479-2026")</f>
        <v/>
      </c>
      <c r="X56">
        <f>HYPERLINK("https://klasma.github.io/Logging_2101/kartor/A 14479-2026 karta.png", "A 14479-2026")</f>
        <v/>
      </c>
      <c r="Y56">
        <f>HYPERLINK("https://klasma.github.io/Logging_2101/kartor_geotiff/A 14479-2026 georefererad karta.tif", "A 14479-2026")</f>
        <v/>
      </c>
      <c r="AA56">
        <f>HYPERLINK("https://klasma.github.io/Logging_2101/klagomål/A 14479-2026 FSC-klagomål.docx", "A 14479-2026")</f>
        <v/>
      </c>
      <c r="AB56">
        <f>HYPERLINK("https://klasma.github.io/Logging_2101/klagomålsmail/A 14479-2026 FSC-klagomål mail.docx", "A 14479-2026")</f>
        <v/>
      </c>
      <c r="AC56">
        <f>HYPERLINK("https://klasma.github.io/Logging_2101/tillsyn/A 14479-2026 tillsynsbegäran.docx", "A 14479-2026")</f>
        <v/>
      </c>
      <c r="AD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46303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Tjäder</t>
        </is>
      </c>
      <c r="W57">
        <f>HYPERLINK("https://klasma.github.io/Logging_2101/artfynd/A 14664-2026 artfynd.xlsx", "A 14664-2026")</f>
        <v/>
      </c>
      <c r="X57">
        <f>HYPERLINK("https://klasma.github.io/Logging_2101/kartor/A 14664-2026 karta.png", "A 14664-2026")</f>
        <v/>
      </c>
      <c r="Y57">
        <f>HYPERLINK("https://klasma.github.io/Logging_2101/kartor_geotiff/A 14664-2026 georefererad karta.tif", "A 14664-2026")</f>
        <v/>
      </c>
      <c r="AA57">
        <f>HYPERLINK("https://klasma.github.io/Logging_2101/klagomål/A 14664-2026 FSC-klagomål.docx", "A 14664-2026")</f>
        <v/>
      </c>
      <c r="AB57">
        <f>HYPERLINK("https://klasma.github.io/Logging_2101/klagomålsmail/A 14664-2026 FSC-klagomål mail.docx", "A 14664-2026")</f>
        <v/>
      </c>
      <c r="AC57">
        <f>HYPERLINK("https://klasma.github.io/Logging_2101/tillsyn/A 14664-2026 tillsynsbegäran.docx", "A 14664-2026")</f>
        <v/>
      </c>
      <c r="AD57">
        <f>HYPERLINK("https://klasma.github.io/Logging_2101/tillsynsmail/A 14664-2026 tillsynsbegäran mail.docx", "A 14664-2026")</f>
        <v/>
      </c>
      <c r="AE57">
        <f>HYPERLINK("https://klasma.github.io/Logging_2101/fåglar/A 14664-2026 prioriterade fågelarter.docx", "A 14664-2026")</f>
        <v/>
      </c>
    </row>
    <row r="58" ht="15" customHeight="1">
      <c r="A58" t="inlineStr">
        <is>
          <t>A 18188-2026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46303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18188-2026 artfynd.xlsx", "A 18188-2026")</f>
        <v/>
      </c>
      <c r="X58">
        <f>HYPERLINK("https://klasma.github.io/Logging_2101/kartor/A 18188-2026 karta.png", "A 18188-2026")</f>
        <v/>
      </c>
      <c r="Y58">
        <f>HYPERLINK("https://klasma.github.io/Logging_2101/kartor_geotiff/A 18188-2026 georefererad karta.tif", "A 18188-2026")</f>
        <v/>
      </c>
      <c r="AA58">
        <f>HYPERLINK("https://klasma.github.io/Logging_2101/klagomål/A 18188-2026 FSC-klagomål.docx", "A 18188-2026")</f>
        <v/>
      </c>
      <c r="AB58">
        <f>HYPERLINK("https://klasma.github.io/Logging_2101/klagomålsmail/A 18188-2026 FSC-klagomål mail.docx", "A 18188-2026")</f>
        <v/>
      </c>
      <c r="AC58">
        <f>HYPERLINK("https://klasma.github.io/Logging_2101/tillsyn/A 18188-2026 tillsynsbegäran.docx", "A 18188-2026")</f>
        <v/>
      </c>
      <c r="AD58">
        <f>HYPERLINK("https://klasma.github.io/Logging_2101/tillsynsmail/A 18188-2026 tillsynsbegäran mail.docx", "A 18188-2026")</f>
        <v/>
      </c>
      <c r="AE58">
        <f>HYPERLINK("https://klasma.github.io/Logging_2101/fåglar/A 18188-2026 prioriterade fågelarter.docx", "A 18188-2026")</f>
        <v/>
      </c>
    </row>
    <row r="59" ht="15" customHeight="1">
      <c r="A59" t="inlineStr">
        <is>
          <t>A 12777-2026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46091</v>
      </c>
      <c r="E59" s="1" t="n">
        <v>46303</v>
      </c>
      <c r="F59" t="inlineStr">
        <is>
          <t>GÄVLEBORGS LÄN</t>
        </is>
      </c>
      <c r="G59" t="inlineStr">
        <is>
          <t>OCKELBO</t>
        </is>
      </c>
      <c r="I59" t="n">
        <v>4.2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HYPERLINK("https://klasma.github.io/Logging_2101/artfynd/A 12777-2026 artfynd.xlsx", "A 12777-2026")</f>
        <v/>
      </c>
      <c r="X59">
        <f>HYPERLINK("https://klasma.github.io/Logging_2101/kartor/A 12777-2026 karta.png", "A 12777-2026")</f>
        <v/>
      </c>
      <c r="Y59">
        <f>HYPERLINK("https://klasma.github.io/Logging_2101/kartor_geotiff/A 12777-2026 georefererad karta.tif", "A 12777-2026")</f>
        <v/>
      </c>
      <c r="AA59">
        <f>HYPERLINK("https://klasma.github.io/Logging_2101/klagomål/A 12777-2026 FSC-klagomål.docx", "A 12777-2026")</f>
        <v/>
      </c>
      <c r="AB59">
        <f>HYPERLINK("https://klasma.github.io/Logging_2101/klagomålsmail/A 12777-2026 FSC-klagomål mail.docx", "A 12777-2026")</f>
        <v/>
      </c>
      <c r="AC59">
        <f>HYPERLINK("https://klasma.github.io/Logging_2101/tillsyn/A 12777-2026 tillsynsbegäran.docx", "A 12777-2026")</f>
        <v/>
      </c>
      <c r="AD59">
        <f>HYPERLINK("https://klasma.github.io/Logging_2101/tillsynsmail/A 12777-2026 tillsynsbegäran mail.docx", "A 12777-2026")</f>
        <v/>
      </c>
      <c r="AE59">
        <f>HYPERLINK("https://klasma.github.io/Logging_2101/fåglar/A 12777-2026 prioriterade fågelarter.docx", "A 12777-2026")</f>
        <v/>
      </c>
    </row>
    <row r="60" ht="15" customHeight="1">
      <c r="A60" t="inlineStr">
        <is>
          <t>A 10145-2026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46303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öst AB</t>
        </is>
      </c>
      <c r="I60" t="n">
        <v>10.5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Fläcknycklar</t>
        </is>
      </c>
      <c r="W60">
        <f>HYPERLINK("https://klasma.github.io/Logging_2101/artfynd/A 10145-2026 artfynd.xlsx", "A 10145-2026")</f>
        <v/>
      </c>
      <c r="X60">
        <f>HYPERLINK("https://klasma.github.io/Logging_2101/kartor/A 10145-2026 karta.png", "A 10145-2026")</f>
        <v/>
      </c>
      <c r="Y60">
        <f>HYPERLINK("https://klasma.github.io/Logging_2101/kartor_geotiff/A 10145-2026 georefererad karta.tif", "A 10145-2026")</f>
        <v/>
      </c>
      <c r="Z60">
        <f>HYPERLINK("https://klasma.github.io/Logging_2101/knärot/A 10145-2026 karta knärot.png", "A 10145-2026")</f>
        <v/>
      </c>
      <c r="AA60">
        <f>HYPERLINK("https://klasma.github.io/Logging_2101/klagomål/A 10145-2026 FSC-klagomål.docx", "A 10145-2026")</f>
        <v/>
      </c>
      <c r="AB60">
        <f>HYPERLINK("https://klasma.github.io/Logging_2101/klagomålsmail/A 10145-2026 FSC-klagomål mail.docx", "A 10145-2026")</f>
        <v/>
      </c>
      <c r="AC60">
        <f>HYPERLINK("https://klasma.github.io/Logging_2101/tillsyn/A 10145-2026 tillsynsbegäran.docx", "A 10145-2026")</f>
        <v/>
      </c>
      <c r="AD60">
        <f>HYPERLINK("https://klasma.github.io/Logging_2101/tillsynsmail/A 10145-2026 tillsynsbegäran mail.docx", "A 10145-2026")</f>
        <v/>
      </c>
    </row>
    <row r="61" ht="15" customHeight="1">
      <c r="A61" t="inlineStr">
        <is>
          <t>A 9155-2026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46303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4.2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Kolflarnlav</t>
        </is>
      </c>
      <c r="W61">
        <f>HYPERLINK("https://klasma.github.io/Logging_2101/artfynd/A 9155-2026 artfynd.xlsx", "A 9155-2026")</f>
        <v/>
      </c>
      <c r="X61">
        <f>HYPERLINK("https://klasma.github.io/Logging_2101/kartor/A 9155-2026 karta.png", "A 9155-2026")</f>
        <v/>
      </c>
      <c r="Y61">
        <f>HYPERLINK("https://klasma.github.io/Logging_2101/kartor_geotiff/A 9155-2026 georefererad karta.tif", "A 9155-2026")</f>
        <v/>
      </c>
      <c r="AA61">
        <f>HYPERLINK("https://klasma.github.io/Logging_2101/klagomål/A 9155-2026 FSC-klagomål.docx", "A 9155-2026")</f>
        <v/>
      </c>
      <c r="AB61">
        <f>HYPERLINK("https://klasma.github.io/Logging_2101/klagomålsmail/A 9155-2026 FSC-klagomål mail.docx", "A 9155-2026")</f>
        <v/>
      </c>
      <c r="AC61">
        <f>HYPERLINK("https://klasma.github.io/Logging_2101/tillsyn/A 9155-2026 tillsynsbegäran.docx", "A 9155-2026")</f>
        <v/>
      </c>
      <c r="AD61">
        <f>HYPERLINK("https://klasma.github.io/Logging_2101/tillsynsmail/A 9155-2026 tillsynsbegäran mail.docx", "A 9155-2026")</f>
        <v/>
      </c>
    </row>
    <row r="62" ht="15" customHeight="1">
      <c r="A62" t="inlineStr">
        <is>
          <t>A 20233-2026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46303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17.9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Tibast</t>
        </is>
      </c>
      <c r="W62">
        <f>HYPERLINK("https://klasma.github.io/Logging_2101/artfynd/A 20233-2026 artfynd.xlsx", "A 20233-2026")</f>
        <v/>
      </c>
      <c r="X62">
        <f>HYPERLINK("https://klasma.github.io/Logging_2101/kartor/A 20233-2026 karta.png", "A 20233-2026")</f>
        <v/>
      </c>
      <c r="Y62">
        <f>HYPERLINK("https://klasma.github.io/Logging_2101/kartor_geotiff/A 20233-2026 georefererad karta.tif", "A 20233-2026")</f>
        <v/>
      </c>
      <c r="AA62">
        <f>HYPERLINK("https://klasma.github.io/Logging_2101/klagomål/A 20233-2026 FSC-klagomål.docx", "A 20233-2026")</f>
        <v/>
      </c>
      <c r="AB62">
        <f>HYPERLINK("https://klasma.github.io/Logging_2101/klagomålsmail/A 20233-2026 FSC-klagomål mail.docx", "A 20233-2026")</f>
        <v/>
      </c>
      <c r="AC62">
        <f>HYPERLINK("https://klasma.github.io/Logging_2101/tillsyn/A 20233-2026 tillsynsbegäran.docx", "A 20233-2026")</f>
        <v/>
      </c>
      <c r="AD62">
        <f>HYPERLINK("https://klasma.github.io/Logging_2101/tillsynsmail/A 20233-2026 tillsynsbegäran mail.docx", "A 20233-2026")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46303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38583-2026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46283</v>
      </c>
      <c r="E65" s="1" t="n">
        <v>46303</v>
      </c>
      <c r="F65" t="inlineStr">
        <is>
          <t>GÄVLEBORGS LÄN</t>
        </is>
      </c>
      <c r="G65" t="inlineStr">
        <is>
          <t>OCKELBO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Månlåsbräken</t>
        </is>
      </c>
      <c r="W65">
        <f>HYPERLINK("https://klasma.github.io/Logging_2101/artfynd/A 38583-2026 artfynd.xlsx", "A 38583-2026")</f>
        <v/>
      </c>
      <c r="X65">
        <f>HYPERLINK("https://klasma.github.io/Logging_2101/kartor/A 38583-2026 karta.png", "A 38583-2026")</f>
        <v/>
      </c>
      <c r="Y65">
        <f>HYPERLINK("https://klasma.github.io/Logging_2101/kartor_geotiff/A 38583-2026 georefererad karta.tif", "A 38583-2026")</f>
        <v/>
      </c>
      <c r="AA65">
        <f>HYPERLINK("https://klasma.github.io/Logging_2101/klagomål/A 38583-2026 FSC-klagomål.docx", "A 38583-2026")</f>
        <v/>
      </c>
      <c r="AB65">
        <f>HYPERLINK("https://klasma.github.io/Logging_2101/klagomålsmail/A 38583-2026 FSC-klagomål mail.docx", "A 38583-2026")</f>
        <v/>
      </c>
      <c r="AC65">
        <f>HYPERLINK("https://klasma.github.io/Logging_2101/tillsyn/A 38583-2026 tillsynsbegäran.docx", "A 38583-2026")</f>
        <v/>
      </c>
      <c r="AD65">
        <f>HYPERLINK("https://klasma.github.io/Logging_2101/tillsynsmail/A 38583-2026 tillsynsbegäran mail.docx", "A 38583-2026")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46303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46303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46303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46303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46303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46303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46303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46303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46303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46303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46303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46303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46303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46303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46303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46303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46303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46303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46303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46303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46303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45534</v>
      </c>
      <c r="E87" s="1" t="n">
        <v>46303</v>
      </c>
      <c r="F87" t="inlineStr">
        <is>
          <t>GÄVLEBORGS LÄN</t>
        </is>
      </c>
      <c r="G87" t="inlineStr">
        <is>
          <t>OCKELBO</t>
        </is>
      </c>
      <c r="H87" t="inlineStr">
        <is>
          <t>Kyrkan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56635-2021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46303</v>
      </c>
      <c r="F88" t="inlineStr">
        <is>
          <t>GÄVLEBORGS LÄN</t>
        </is>
      </c>
      <c r="G88" t="inlineStr">
        <is>
          <t>OCKELBO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46303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46303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46303</v>
      </c>
      <c r="F91" t="inlineStr">
        <is>
          <t>GÄVLEBORGS LÄN</t>
        </is>
      </c>
      <c r="G91" t="inlineStr">
        <is>
          <t>OCKELBO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45203</v>
      </c>
      <c r="E92" s="1" t="n">
        <v>46303</v>
      </c>
      <c r="F92" t="inlineStr">
        <is>
          <t>GÄVLEBORGS LÄN</t>
        </is>
      </c>
      <c r="G92" t="inlineStr">
        <is>
          <t>OCKELBO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46303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46303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46303</v>
      </c>
      <c r="F95" t="inlineStr">
        <is>
          <t>GÄVLEBORGS LÄN</t>
        </is>
      </c>
      <c r="G95" t="inlineStr">
        <is>
          <t>OCKELBO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46303</v>
      </c>
      <c r="F96" t="inlineStr">
        <is>
          <t>GÄVLEBORGS LÄN</t>
        </is>
      </c>
      <c r="G96" t="inlineStr">
        <is>
          <t>OCKELBO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45022</v>
      </c>
      <c r="E97" s="1" t="n">
        <v>46303</v>
      </c>
      <c r="F97" t="inlineStr">
        <is>
          <t>GÄVLEBORGS LÄN</t>
        </is>
      </c>
      <c r="G97" t="inlineStr">
        <is>
          <t>OCKELBO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44890</v>
      </c>
      <c r="E98" s="1" t="n">
        <v>46303</v>
      </c>
      <c r="F98" t="inlineStr">
        <is>
          <t>GÄVLEBORGS LÄN</t>
        </is>
      </c>
      <c r="G98" t="inlineStr">
        <is>
          <t>OCKELBO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45527</v>
      </c>
      <c r="E99" s="1" t="n">
        <v>46303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54817-2022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44883</v>
      </c>
      <c r="E100" s="1" t="n">
        <v>46303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46303</v>
      </c>
      <c r="F101" t="inlineStr">
        <is>
          <t>GÄVLEBORGS LÄN</t>
        </is>
      </c>
      <c r="G101" t="inlineStr">
        <is>
          <t>OCKELBO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46303</v>
      </c>
      <c r="F102" t="inlineStr">
        <is>
          <t>GÄVLEBORGS LÄN</t>
        </is>
      </c>
      <c r="G102" t="inlineStr">
        <is>
          <t>OCKELBO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45134</v>
      </c>
      <c r="E103" s="1" t="n">
        <v>46303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46303</v>
      </c>
      <c r="F104" t="inlineStr">
        <is>
          <t>GÄVLEBORGS LÄN</t>
        </is>
      </c>
      <c r="G104" t="inlineStr">
        <is>
          <t>OCKELBO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46303</v>
      </c>
      <c r="F105" t="inlineStr">
        <is>
          <t>GÄVLEBORGS LÄN</t>
        </is>
      </c>
      <c r="G105" t="inlineStr">
        <is>
          <t>OCKELBO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52273-2024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45608</v>
      </c>
      <c r="E106" s="1" t="n">
        <v>46303</v>
      </c>
      <c r="F106" t="inlineStr">
        <is>
          <t>GÄVLEBORGS LÄN</t>
        </is>
      </c>
      <c r="G106" t="inlineStr">
        <is>
          <t>OCKELBO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46303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46303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45534</v>
      </c>
      <c r="E109" s="1" t="n">
        <v>46303</v>
      </c>
      <c r="F109" t="inlineStr">
        <is>
          <t>GÄVLEBORGS LÄN</t>
        </is>
      </c>
      <c r="G109" t="inlineStr">
        <is>
          <t>OCKELBO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43799-2022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44838</v>
      </c>
      <c r="E110" s="1" t="n">
        <v>46303</v>
      </c>
      <c r="F110" t="inlineStr">
        <is>
          <t>GÄVLEBORGS LÄN</t>
        </is>
      </c>
      <c r="G110" t="inlineStr">
        <is>
          <t>OCKELBO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46303</v>
      </c>
      <c r="F111" t="inlineStr">
        <is>
          <t>GÄVLEBORGS LÄN</t>
        </is>
      </c>
      <c r="G111" t="inlineStr">
        <is>
          <t>OCKELBO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45258</v>
      </c>
      <c r="E112" s="1" t="n">
        <v>46303</v>
      </c>
      <c r="F112" t="inlineStr">
        <is>
          <t>GÄVLEBORGS LÄN</t>
        </is>
      </c>
      <c r="G112" t="inlineStr">
        <is>
          <t>OCKELBO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40140-2022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46303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20231-2024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45434</v>
      </c>
      <c r="E114" s="1" t="n">
        <v>46303</v>
      </c>
      <c r="F114" t="inlineStr">
        <is>
          <t>GÄVLEBORGS LÄN</t>
        </is>
      </c>
      <c r="G114" t="inlineStr">
        <is>
          <t>OCKELBO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55422-2022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44887</v>
      </c>
      <c r="E115" s="1" t="n">
        <v>46303</v>
      </c>
      <c r="F115" t="inlineStr">
        <is>
          <t>GÄVLEBORGS LÄN</t>
        </is>
      </c>
      <c r="G115" t="inlineStr">
        <is>
          <t>OCKELBO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46303</v>
      </c>
      <c r="F116" t="inlineStr">
        <is>
          <t>GÄVLEBORGS LÄN</t>
        </is>
      </c>
      <c r="G116" t="inlineStr">
        <is>
          <t>OCKELBO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45786</v>
      </c>
      <c r="E117" s="1" t="n">
        <v>46303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46303</v>
      </c>
      <c r="F118" t="inlineStr">
        <is>
          <t>GÄVLEBORGS LÄN</t>
        </is>
      </c>
      <c r="G118" t="inlineStr">
        <is>
          <t>OCKELBO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46303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46303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28181-2022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46303</v>
      </c>
      <c r="F121" t="inlineStr">
        <is>
          <t>GÄVLEBORGS LÄN</t>
        </is>
      </c>
      <c r="G121" t="inlineStr">
        <is>
          <t>OCKELBO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23004-2025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45790</v>
      </c>
      <c r="E122" s="1" t="n">
        <v>46303</v>
      </c>
      <c r="F122" t="inlineStr">
        <is>
          <t>GÄVLEBORGS LÄN</t>
        </is>
      </c>
      <c r="G122" t="inlineStr">
        <is>
          <t>OCKELBO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46303</v>
      </c>
      <c r="F123" t="inlineStr">
        <is>
          <t>GÄVLEBORGS LÄN</t>
        </is>
      </c>
      <c r="G123" t="inlineStr">
        <is>
          <t>OCKELBO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45593</v>
      </c>
      <c r="E124" s="1" t="n">
        <v>46303</v>
      </c>
      <c r="F124" t="inlineStr">
        <is>
          <t>GÄVLEBORGS LÄN</t>
        </is>
      </c>
      <c r="G124" t="inlineStr">
        <is>
          <t>OCKELBO</t>
        </is>
      </c>
      <c r="I124" t="n">
        <v>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46303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45450</v>
      </c>
      <c r="E126" s="1" t="n">
        <v>46303</v>
      </c>
      <c r="F126" t="inlineStr">
        <is>
          <t>GÄVLEBORGS LÄN</t>
        </is>
      </c>
      <c r="G126" t="inlineStr">
        <is>
          <t>OCKELBO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46303</v>
      </c>
      <c r="F127" t="inlineStr">
        <is>
          <t>GÄVLEBORGS LÄN</t>
        </is>
      </c>
      <c r="G127" t="inlineStr">
        <is>
          <t>OCKELBO</t>
        </is>
      </c>
      <c r="H127" t="inlineStr">
        <is>
          <t>Kyrkan</t>
        </is>
      </c>
      <c r="I127" t="n">
        <v>12.5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45443</v>
      </c>
      <c r="E128" s="1" t="n">
        <v>46303</v>
      </c>
      <c r="F128" t="inlineStr">
        <is>
          <t>GÄVLEBORGS LÄN</t>
        </is>
      </c>
      <c r="G128" t="inlineStr">
        <is>
          <t>OCKELBO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45776</v>
      </c>
      <c r="E129" s="1" t="n">
        <v>46303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46303</v>
      </c>
      <c r="F130" t="inlineStr">
        <is>
          <t>GÄVLEBORGS LÄN</t>
        </is>
      </c>
      <c r="G130" t="inlineStr">
        <is>
          <t>OCKELBO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46303</v>
      </c>
      <c r="F131" t="inlineStr">
        <is>
          <t>GÄVLEBORGS LÄN</t>
        </is>
      </c>
      <c r="G131" t="inlineStr">
        <is>
          <t>OCKELBO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46303</v>
      </c>
      <c r="F132" t="inlineStr">
        <is>
          <t>GÄVLEBORGS LÄN</t>
        </is>
      </c>
      <c r="G132" t="inlineStr">
        <is>
          <t>OCKELBO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46303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64924-2023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46303</v>
      </c>
      <c r="F134" t="inlineStr">
        <is>
          <t>GÄVLEBORGS LÄN</t>
        </is>
      </c>
      <c r="G134" t="inlineStr">
        <is>
          <t>OCKELBO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17730-2025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45758</v>
      </c>
      <c r="E135" s="1" t="n">
        <v>46303</v>
      </c>
      <c r="F135" t="inlineStr">
        <is>
          <t>GÄVLEBORGS LÄN</t>
        </is>
      </c>
      <c r="G135" t="inlineStr">
        <is>
          <t>OCKELBO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46303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45334</v>
      </c>
      <c r="E137" s="1" t="n">
        <v>46303</v>
      </c>
      <c r="F137" t="inlineStr">
        <is>
          <t>GÄVLEBORGS LÄN</t>
        </is>
      </c>
      <c r="G137" t="inlineStr">
        <is>
          <t>OCKELBO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46303</v>
      </c>
      <c r="F138" t="inlineStr">
        <is>
          <t>GÄVLEBORGS LÄN</t>
        </is>
      </c>
      <c r="G138" t="inlineStr">
        <is>
          <t>OCKELBO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45896</v>
      </c>
      <c r="E139" s="1" t="n">
        <v>46303</v>
      </c>
      <c r="F139" t="inlineStr">
        <is>
          <t>GÄVLEBORGS LÄN</t>
        </is>
      </c>
      <c r="G139" t="inlineStr">
        <is>
          <t>OCKELBO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45434</v>
      </c>
      <c r="E140" s="1" t="n">
        <v>46303</v>
      </c>
      <c r="F140" t="inlineStr">
        <is>
          <t>GÄVLEBORGS LÄN</t>
        </is>
      </c>
      <c r="G140" t="inlineStr">
        <is>
          <t>OCKELBO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55011-2024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45621</v>
      </c>
      <c r="E141" s="1" t="n">
        <v>46303</v>
      </c>
      <c r="F141" t="inlineStr">
        <is>
          <t>GÄVLEBORGS LÄN</t>
        </is>
      </c>
      <c r="G141" t="inlineStr">
        <is>
          <t>OCKELBO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45455</v>
      </c>
      <c r="E142" s="1" t="n">
        <v>46303</v>
      </c>
      <c r="F142" t="inlineStr">
        <is>
          <t>GÄVLEBORGS LÄN</t>
        </is>
      </c>
      <c r="G142" t="inlineStr">
        <is>
          <t>OCKELBO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46303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45468</v>
      </c>
      <c r="E144" s="1" t="n">
        <v>46303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46303</v>
      </c>
      <c r="F145" t="inlineStr">
        <is>
          <t>GÄVLEBORGS LÄN</t>
        </is>
      </c>
      <c r="G145" t="inlineStr">
        <is>
          <t>OCKELBO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45366</v>
      </c>
      <c r="E146" s="1" t="n">
        <v>46303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46303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45481</v>
      </c>
      <c r="E148" s="1" t="n">
        <v>46303</v>
      </c>
      <c r="F148" t="inlineStr">
        <is>
          <t>GÄVLEBORGS LÄN</t>
        </is>
      </c>
      <c r="G148" t="inlineStr">
        <is>
          <t>OCKELBO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49470-2024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45596</v>
      </c>
      <c r="E149" s="1" t="n">
        <v>46303</v>
      </c>
      <c r="F149" t="inlineStr">
        <is>
          <t>GÄVLEBORGS LÄN</t>
        </is>
      </c>
      <c r="G149" t="inlineStr">
        <is>
          <t>OCKELBO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30242-2024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46303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46303</v>
      </c>
      <c r="F151" t="inlineStr">
        <is>
          <t>GÄVLEBORGS LÄN</t>
        </is>
      </c>
      <c r="G151" t="inlineStr">
        <is>
          <t>OCKELBO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45903</v>
      </c>
      <c r="E152" s="1" t="n">
        <v>46303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28586-2024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45478</v>
      </c>
      <c r="E153" s="1" t="n">
        <v>46303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46303</v>
      </c>
      <c r="F154" t="inlineStr">
        <is>
          <t>GÄVLEBORGS LÄN</t>
        </is>
      </c>
      <c r="G154" t="inlineStr">
        <is>
          <t>OCKELBO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25246-2025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46303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25250-2025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45800</v>
      </c>
      <c r="E156" s="1" t="n">
        <v>46303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45835</v>
      </c>
      <c r="E157" s="1" t="n">
        <v>46303</v>
      </c>
      <c r="F157" t="inlineStr">
        <is>
          <t>GÄVLEBORGS LÄN</t>
        </is>
      </c>
      <c r="G157" t="inlineStr">
        <is>
          <t>OCKELBO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46303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46303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46303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46303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46303</v>
      </c>
      <c r="F162" t="inlineStr">
        <is>
          <t>GÄVLEBORGS LÄN</t>
        </is>
      </c>
      <c r="G162" t="inlineStr">
        <is>
          <t>OCKELBO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46303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46303</v>
      </c>
      <c r="F164" t="inlineStr">
        <is>
          <t>GÄVLEBORGS LÄN</t>
        </is>
      </c>
      <c r="G164" t="inlineStr">
        <is>
          <t>OCKELBO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46303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24.8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46303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46303</v>
      </c>
      <c r="F167" t="inlineStr">
        <is>
          <t>GÄVLEBORGS LÄN</t>
        </is>
      </c>
      <c r="G167" t="inlineStr">
        <is>
          <t>OCKELBO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26195-2025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46303</v>
      </c>
      <c r="F168" t="inlineStr">
        <is>
          <t>GÄVLEBORGS LÄN</t>
        </is>
      </c>
      <c r="G168" t="inlineStr">
        <is>
          <t>OCKELBO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46303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46303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46303</v>
      </c>
      <c r="F171" t="inlineStr">
        <is>
          <t>GÄVLEBORGS LÄN</t>
        </is>
      </c>
      <c r="G171" t="inlineStr">
        <is>
          <t>OCKELBO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45534</v>
      </c>
      <c r="E172" s="1" t="n">
        <v>46303</v>
      </c>
      <c r="F172" t="inlineStr">
        <is>
          <t>GÄVLEBORGS LÄN</t>
        </is>
      </c>
      <c r="G172" t="inlineStr">
        <is>
          <t>OCKELBO</t>
        </is>
      </c>
      <c r="I172" t="n">
        <v>7.9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45239</v>
      </c>
      <c r="E173" s="1" t="n">
        <v>46303</v>
      </c>
      <c r="F173" t="inlineStr">
        <is>
          <t>GÄVLEBORGS LÄN</t>
        </is>
      </c>
      <c r="G173" t="inlineStr">
        <is>
          <t>OCKELBO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45156</v>
      </c>
      <c r="E174" s="1" t="n">
        <v>46303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46303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28006-2025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45817</v>
      </c>
      <c r="E176" s="1" t="n">
        <v>46303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8.1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46303</v>
      </c>
      <c r="F177" t="inlineStr">
        <is>
          <t>GÄVLEBORGS LÄN</t>
        </is>
      </c>
      <c r="G177" t="inlineStr">
        <is>
          <t>OCKELBO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46303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28669-2025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46303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44496</v>
      </c>
      <c r="E180" s="1" t="n">
        <v>46303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45925</v>
      </c>
      <c r="E181" s="1" t="n">
        <v>46303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45824</v>
      </c>
      <c r="E182" s="1" t="n">
        <v>46303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46303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46303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46303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46303</v>
      </c>
      <c r="F186" t="inlineStr">
        <is>
          <t>GÄVLEBORGS LÄN</t>
        </is>
      </c>
      <c r="G186" t="inlineStr">
        <is>
          <t>OCKELBO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46303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48221-2024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45590</v>
      </c>
      <c r="E188" s="1" t="n">
        <v>46303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46303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61622-2021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46303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40283-2024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45554</v>
      </c>
      <c r="E191" s="1" t="n">
        <v>46303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45162</v>
      </c>
      <c r="E192" s="1" t="n">
        <v>46303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67768-2021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44525</v>
      </c>
      <c r="E193" s="1" t="n">
        <v>46303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46303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46303</v>
      </c>
      <c r="F195" t="inlineStr">
        <is>
          <t>GÄVLEBORGS LÄN</t>
        </is>
      </c>
      <c r="G195" t="inlineStr">
        <is>
          <t>OCKELBO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46303</v>
      </c>
      <c r="F196" t="inlineStr">
        <is>
          <t>GÄVLEBORGS LÄN</t>
        </is>
      </c>
      <c r="G196" t="inlineStr">
        <is>
          <t>OCKELBO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46303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50692-2024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46303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46303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44816</v>
      </c>
      <c r="E200" s="1" t="n">
        <v>46303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45027</v>
      </c>
      <c r="E201" s="1" t="n">
        <v>46303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46303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45608</v>
      </c>
      <c r="E203" s="1" t="n">
        <v>46303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40281-2024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45554</v>
      </c>
      <c r="E204" s="1" t="n">
        <v>46303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60699-2024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46303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46303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66825-2021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46303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45488</v>
      </c>
      <c r="E208" s="1" t="n">
        <v>46303</v>
      </c>
      <c r="F208" t="inlineStr">
        <is>
          <t>GÄVLEBORGS LÄN</t>
        </is>
      </c>
      <c r="G208" t="inlineStr">
        <is>
          <t>OCKELBO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45593</v>
      </c>
      <c r="E209" s="1" t="n">
        <v>46303</v>
      </c>
      <c r="F209" t="inlineStr">
        <is>
          <t>GÄVLEBORGS LÄN</t>
        </is>
      </c>
      <c r="G209" t="inlineStr">
        <is>
          <t>OCKELBO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45932</v>
      </c>
      <c r="E210" s="1" t="n">
        <v>46303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46303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46303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46303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46303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46303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45937</v>
      </c>
      <c r="E216" s="1" t="n">
        <v>46303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46303</v>
      </c>
      <c r="F217" t="inlineStr">
        <is>
          <t>GÄVLEBORGS LÄN</t>
        </is>
      </c>
      <c r="G217" t="inlineStr">
        <is>
          <t>OCKELBO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46303</v>
      </c>
      <c r="F218" t="inlineStr">
        <is>
          <t>GÄVLEBORGS LÄN</t>
        </is>
      </c>
      <c r="G218" t="inlineStr">
        <is>
          <t>OCKELBO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46303</v>
      </c>
      <c r="F219" t="inlineStr">
        <is>
          <t>GÄVLEBORGS LÄN</t>
        </is>
      </c>
      <c r="G219" t="inlineStr">
        <is>
          <t>OCKELBO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46303</v>
      </c>
      <c r="F220" t="inlineStr">
        <is>
          <t>GÄVLEBORGS LÄN</t>
        </is>
      </c>
      <c r="G220" t="inlineStr">
        <is>
          <t>OCKELBO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45618</v>
      </c>
      <c r="E221" s="1" t="n">
        <v>46303</v>
      </c>
      <c r="F221" t="inlineStr">
        <is>
          <t>GÄVLEBORGS LÄN</t>
        </is>
      </c>
      <c r="G221" t="inlineStr">
        <is>
          <t>OCKELBO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44889</v>
      </c>
      <c r="E222" s="1" t="n">
        <v>46303</v>
      </c>
      <c r="F222" t="inlineStr">
        <is>
          <t>GÄVLEBORGS LÄN</t>
        </is>
      </c>
      <c r="G222" t="inlineStr">
        <is>
          <t>OCKELBO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46303</v>
      </c>
      <c r="F223" t="inlineStr">
        <is>
          <t>GÄVLEBORGS LÄN</t>
        </is>
      </c>
      <c r="G223" t="inlineStr">
        <is>
          <t>OCKELBO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49027-2025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46303</v>
      </c>
      <c r="F224" t="inlineStr">
        <is>
          <t>GÄVLEBORGS LÄN</t>
        </is>
      </c>
      <c r="G224" t="inlineStr">
        <is>
          <t>OCKELBO</t>
        </is>
      </c>
      <c r="I224" t="n">
        <v>11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32449-2025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46303</v>
      </c>
      <c r="F225" t="inlineStr">
        <is>
          <t>GÄVLEBORGS LÄN</t>
        </is>
      </c>
      <c r="G225" t="inlineStr">
        <is>
          <t>OCKELBO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53137-2024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45611</v>
      </c>
      <c r="E226" s="1" t="n">
        <v>46303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46303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46303</v>
      </c>
      <c r="F228" t="inlineStr">
        <is>
          <t>GÄVLEBORGS LÄN</t>
        </is>
      </c>
      <c r="G228" t="inlineStr">
        <is>
          <t>OCKELBO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46303</v>
      </c>
      <c r="F229" t="inlineStr">
        <is>
          <t>GÄVLEBORGS LÄN</t>
        </is>
      </c>
      <c r="G229" t="inlineStr">
        <is>
          <t>OCKELBO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64367-2023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45280</v>
      </c>
      <c r="E230" s="1" t="n">
        <v>46303</v>
      </c>
      <c r="F230" t="inlineStr">
        <is>
          <t>GÄVLEBORGS LÄN</t>
        </is>
      </c>
      <c r="G230" t="inlineStr">
        <is>
          <t>OCKELBO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45109</v>
      </c>
      <c r="E231" s="1" t="n">
        <v>46303</v>
      </c>
      <c r="F231" t="inlineStr">
        <is>
          <t>GÄVLEBORGS LÄN</t>
        </is>
      </c>
      <c r="G231" t="inlineStr">
        <is>
          <t>OCKELBO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51892-2025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46303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40196-2024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45554</v>
      </c>
      <c r="E233" s="1" t="n">
        <v>46303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7276-2023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44970</v>
      </c>
      <c r="E234" s="1" t="n">
        <v>46303</v>
      </c>
      <c r="F234" t="inlineStr">
        <is>
          <t>GÄVLEBORGS LÄN</t>
        </is>
      </c>
      <c r="G234" t="inlineStr">
        <is>
          <t>OCKELBO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61732-2024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46303</v>
      </c>
      <c r="F235" t="inlineStr">
        <is>
          <t>GÄVLEBORGS LÄN</t>
        </is>
      </c>
      <c r="G235" t="inlineStr">
        <is>
          <t>OCKELBO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52635-2025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45954</v>
      </c>
      <c r="E236" s="1" t="n">
        <v>46303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46303</v>
      </c>
      <c r="F237" t="inlineStr">
        <is>
          <t>GÄVLEBORGS LÄN</t>
        </is>
      </c>
      <c r="G237" t="inlineStr">
        <is>
          <t>OCKELBO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45719</v>
      </c>
      <c r="E238" s="1" t="n">
        <v>46303</v>
      </c>
      <c r="F238" t="inlineStr">
        <is>
          <t>GÄVLEBORGS LÄN</t>
        </is>
      </c>
      <c r="G238" t="inlineStr">
        <is>
          <t>OCKELBO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45073</v>
      </c>
      <c r="E239" s="1" t="n">
        <v>46303</v>
      </c>
      <c r="F239" t="inlineStr">
        <is>
          <t>GÄVLEBORGS LÄN</t>
        </is>
      </c>
      <c r="G239" t="inlineStr">
        <is>
          <t>OCKELBO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46303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52241-2025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46303</v>
      </c>
      <c r="F241" t="inlineStr">
        <is>
          <t>GÄVLEBORGS LÄN</t>
        </is>
      </c>
      <c r="G241" t="inlineStr">
        <is>
          <t>OCKELBO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46303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46303</v>
      </c>
      <c r="F243" t="inlineStr">
        <is>
          <t>GÄVLEBORGS LÄN</t>
        </is>
      </c>
      <c r="G243" t="inlineStr">
        <is>
          <t>OCKELBO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45072</v>
      </c>
      <c r="E244" s="1" t="n">
        <v>46303</v>
      </c>
      <c r="F244" t="inlineStr">
        <is>
          <t>GÄVLEBORGS LÄN</t>
        </is>
      </c>
      <c r="G244" t="inlineStr">
        <is>
          <t>OCKELBO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46303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35017-2025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45851</v>
      </c>
      <c r="E246" s="1" t="n">
        <v>46303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45620</v>
      </c>
      <c r="E247" s="1" t="n">
        <v>46303</v>
      </c>
      <c r="F247" t="inlineStr">
        <is>
          <t>GÄVLEBORGS LÄN</t>
        </is>
      </c>
      <c r="G247" t="inlineStr">
        <is>
          <t>OCKELBO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46303</v>
      </c>
      <c r="F248" t="inlineStr">
        <is>
          <t>GÄVLEBORGS LÄN</t>
        </is>
      </c>
      <c r="G248" t="inlineStr">
        <is>
          <t>OCKELBO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45341</v>
      </c>
      <c r="E249" s="1" t="n">
        <v>46303</v>
      </c>
      <c r="F249" t="inlineStr">
        <is>
          <t>GÄVLEBORGS LÄN</t>
        </is>
      </c>
      <c r="G249" t="inlineStr">
        <is>
          <t>OCKELBO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46303</v>
      </c>
      <c r="F250" t="inlineStr">
        <is>
          <t>GÄVLEBORGS LÄN</t>
        </is>
      </c>
      <c r="G250" t="inlineStr">
        <is>
          <t>OCKELBO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46303</v>
      </c>
      <c r="F251" t="inlineStr">
        <is>
          <t>GÄVLEBORGS LÄN</t>
        </is>
      </c>
      <c r="G251" t="inlineStr">
        <is>
          <t>OCKELBO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45497</v>
      </c>
      <c r="E252" s="1" t="n">
        <v>46303</v>
      </c>
      <c r="F252" t="inlineStr">
        <is>
          <t>GÄVLEBORGS LÄN</t>
        </is>
      </c>
      <c r="G252" t="inlineStr">
        <is>
          <t>OCKELBO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54879-2025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45967</v>
      </c>
      <c r="E253" s="1" t="n">
        <v>46303</v>
      </c>
      <c r="F253" t="inlineStr">
        <is>
          <t>GÄVLEBORGS LÄN</t>
        </is>
      </c>
      <c r="G253" t="inlineStr">
        <is>
          <t>OCKELBO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45967</v>
      </c>
      <c r="E254" s="1" t="n">
        <v>46303</v>
      </c>
      <c r="F254" t="inlineStr">
        <is>
          <t>GÄVLEBORGS LÄN</t>
        </is>
      </c>
      <c r="G254" t="inlineStr">
        <is>
          <t>OCKELBO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9964-2025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46303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öst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46303</v>
      </c>
      <c r="F256" t="inlineStr">
        <is>
          <t>GÄVLEBORGS LÄN</t>
        </is>
      </c>
      <c r="G256" t="inlineStr">
        <is>
          <t>OCKELBO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46303</v>
      </c>
      <c r="F257" t="inlineStr">
        <is>
          <t>GÄVLEBORGS LÄN</t>
        </is>
      </c>
      <c r="G257" t="inlineStr">
        <is>
          <t>OCKELBO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45617</v>
      </c>
      <c r="E258" s="1" t="n">
        <v>46303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42585-2023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46303</v>
      </c>
      <c r="F259" t="inlineStr">
        <is>
          <t>GÄVLEBORGS LÄN</t>
        </is>
      </c>
      <c r="G259" t="inlineStr">
        <is>
          <t>OCKELBO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46303</v>
      </c>
      <c r="F260" t="inlineStr">
        <is>
          <t>GÄVLEBORGS LÄN</t>
        </is>
      </c>
      <c r="G260" t="inlineStr">
        <is>
          <t>OCKELBO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46303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42313-2023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46303</v>
      </c>
      <c r="F262" t="inlineStr">
        <is>
          <t>GÄVLEBORGS LÄN</t>
        </is>
      </c>
      <c r="G262" t="inlineStr">
        <is>
          <t>OCKELBO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49207-2023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45210</v>
      </c>
      <c r="E263" s="1" t="n">
        <v>46303</v>
      </c>
      <c r="F263" t="inlineStr">
        <is>
          <t>GÄVLEBORGS LÄN</t>
        </is>
      </c>
      <c r="G263" t="inlineStr">
        <is>
          <t>OCKELBO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46303</v>
      </c>
      <c r="F264" t="inlineStr">
        <is>
          <t>GÄVLEBORGS LÄN</t>
        </is>
      </c>
      <c r="G264" t="inlineStr">
        <is>
          <t>OCKELBO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55726-2025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46303</v>
      </c>
      <c r="F265" t="inlineStr">
        <is>
          <t>GÄVLEBORGS LÄN</t>
        </is>
      </c>
      <c r="G265" t="inlineStr">
        <is>
          <t>OCKELBO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46303</v>
      </c>
      <c r="F266" t="inlineStr">
        <is>
          <t>GÄVLEBORGS LÄN</t>
        </is>
      </c>
      <c r="G266" t="inlineStr">
        <is>
          <t>OCKELBO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46303</v>
      </c>
      <c r="F267" t="inlineStr">
        <is>
          <t>GÄVLEBORGS LÄN</t>
        </is>
      </c>
      <c r="G267" t="inlineStr">
        <is>
          <t>OCKELBO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45973</v>
      </c>
      <c r="E268" s="1" t="n">
        <v>46303</v>
      </c>
      <c r="F268" t="inlineStr">
        <is>
          <t>GÄVLEBORGS LÄN</t>
        </is>
      </c>
      <c r="G268" t="inlineStr">
        <is>
          <t>OCKELBO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46303</v>
      </c>
      <c r="F269" t="inlineStr">
        <is>
          <t>GÄVLEBORGS LÄN</t>
        </is>
      </c>
      <c r="G269" t="inlineStr">
        <is>
          <t>OCKELBO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46303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46303</v>
      </c>
      <c r="F271" t="inlineStr">
        <is>
          <t>GÄVLEBORGS LÄN</t>
        </is>
      </c>
      <c r="G271" t="inlineStr">
        <is>
          <t>OCKELBO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45973</v>
      </c>
      <c r="E272" s="1" t="n">
        <v>46303</v>
      </c>
      <c r="F272" t="inlineStr">
        <is>
          <t>GÄVLEBORGS LÄN</t>
        </is>
      </c>
      <c r="G272" t="inlineStr">
        <is>
          <t>OCKELBO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55911-2025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45973</v>
      </c>
      <c r="E273" s="1" t="n">
        <v>46303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55884-2025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45973</v>
      </c>
      <c r="E274" s="1" t="n">
        <v>46303</v>
      </c>
      <c r="F274" t="inlineStr">
        <is>
          <t>GÄVLEBORGS LÄN</t>
        </is>
      </c>
      <c r="G274" t="inlineStr">
        <is>
          <t>OCKELBO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46303</v>
      </c>
      <c r="F275" t="inlineStr">
        <is>
          <t>GÄVLEBORGS LÄN</t>
        </is>
      </c>
      <c r="G275" t="inlineStr">
        <is>
          <t>OCKELBO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46303</v>
      </c>
      <c r="F276" t="inlineStr">
        <is>
          <t>GÄVLEBORGS LÄN</t>
        </is>
      </c>
      <c r="G276" t="inlineStr">
        <is>
          <t>OCKELBO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60915-2024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45645</v>
      </c>
      <c r="E277" s="1" t="n">
        <v>46303</v>
      </c>
      <c r="F277" t="inlineStr">
        <is>
          <t>GÄVLEBORGS LÄN</t>
        </is>
      </c>
      <c r="G277" t="inlineStr">
        <is>
          <t>OCKELBO</t>
        </is>
      </c>
      <c r="H277" t="inlineStr">
        <is>
          <t>Kyrkan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46303</v>
      </c>
      <c r="F278" t="inlineStr">
        <is>
          <t>GÄVLEBORGS LÄN</t>
        </is>
      </c>
      <c r="G278" t="inlineStr">
        <is>
          <t>OCKELBO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46303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46303</v>
      </c>
      <c r="F280" t="inlineStr">
        <is>
          <t>GÄVLEBORGS LÄN</t>
        </is>
      </c>
      <c r="G280" t="inlineStr">
        <is>
          <t>OCKELBO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45821</v>
      </c>
      <c r="E281" s="1" t="n">
        <v>46303</v>
      </c>
      <c r="F281" t="inlineStr">
        <is>
          <t>GÄVLEBORGS LÄN</t>
        </is>
      </c>
      <c r="G281" t="inlineStr">
        <is>
          <t>OCKELBO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46303</v>
      </c>
      <c r="F282" t="inlineStr">
        <is>
          <t>GÄVLEBORGS LÄN</t>
        </is>
      </c>
      <c r="G282" t="inlineStr">
        <is>
          <t>OCKELBO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46303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46303</v>
      </c>
      <c r="F284" t="inlineStr">
        <is>
          <t>GÄVLEBORGS LÄN</t>
        </is>
      </c>
      <c r="G284" t="inlineStr">
        <is>
          <t>OCKELBO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46303</v>
      </c>
      <c r="F285" t="inlineStr">
        <is>
          <t>GÄVLEBORGS LÄN</t>
        </is>
      </c>
      <c r="G285" t="inlineStr">
        <is>
          <t>OCKELBO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45978</v>
      </c>
      <c r="E286" s="1" t="n">
        <v>46303</v>
      </c>
      <c r="F286" t="inlineStr">
        <is>
          <t>GÄVLEBORGS LÄN</t>
        </is>
      </c>
      <c r="G286" t="inlineStr">
        <is>
          <t>OCKELBO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46303</v>
      </c>
      <c r="F287" t="inlineStr">
        <is>
          <t>GÄVLEBORGS LÄN</t>
        </is>
      </c>
      <c r="G287" t="inlineStr">
        <is>
          <t>OCKELBO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46303</v>
      </c>
      <c r="F288" t="inlineStr">
        <is>
          <t>GÄVLEBORGS LÄN</t>
        </is>
      </c>
      <c r="G288" t="inlineStr">
        <is>
          <t>OCKELBO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46303</v>
      </c>
      <c r="F289" t="inlineStr">
        <is>
          <t>GÄVLEBORGS LÄN</t>
        </is>
      </c>
      <c r="G289" t="inlineStr">
        <is>
          <t>OCKELBO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45488</v>
      </c>
      <c r="E290" s="1" t="n">
        <v>46303</v>
      </c>
      <c r="F290" t="inlineStr">
        <is>
          <t>GÄVLEBORGS LÄN</t>
        </is>
      </c>
      <c r="G290" t="inlineStr">
        <is>
          <t>OCKELBO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7907-2026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46063</v>
      </c>
      <c r="E291" s="1" t="n">
        <v>46303</v>
      </c>
      <c r="F291" t="inlineStr">
        <is>
          <t>GÄVLEBORGS LÄN</t>
        </is>
      </c>
      <c r="G291" t="inlineStr">
        <is>
          <t>OCKELBO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46303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46303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46303</v>
      </c>
      <c r="F294" t="inlineStr">
        <is>
          <t>GÄVLEBORGS LÄN</t>
        </is>
      </c>
      <c r="G294" t="inlineStr">
        <is>
          <t>OCKELBO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15542-2026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46303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46138</v>
      </c>
      <c r="E296" s="1" t="n">
        <v>46303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46303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46303</v>
      </c>
      <c r="F298" t="inlineStr">
        <is>
          <t>GÄVLEBORGS LÄN</t>
        </is>
      </c>
      <c r="G298" t="inlineStr">
        <is>
          <t>OCKELBO</t>
        </is>
      </c>
      <c r="I298" t="n">
        <v>36.1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45526</v>
      </c>
      <c r="E299" s="1" t="n">
        <v>46303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14937-2024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46303</v>
      </c>
      <c r="F300" t="inlineStr">
        <is>
          <t>GÄVLEBORGS LÄN</t>
        </is>
      </c>
      <c r="G300" t="inlineStr">
        <is>
          <t>OCKELBO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46303</v>
      </c>
      <c r="F301" t="inlineStr">
        <is>
          <t>GÄVLEBORGS LÄN</t>
        </is>
      </c>
      <c r="G301" t="inlineStr">
        <is>
          <t>OCKELBO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22824-2024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45448</v>
      </c>
      <c r="E302" s="1" t="n">
        <v>46303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46303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46303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46303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11.7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45152</v>
      </c>
      <c r="E306" s="1" t="n">
        <v>46303</v>
      </c>
      <c r="F306" t="inlineStr">
        <is>
          <t>GÄVLEBORGS LÄN</t>
        </is>
      </c>
      <c r="G306" t="inlineStr">
        <is>
          <t>OCKELBO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46303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46021</v>
      </c>
      <c r="E308" s="1" t="n">
        <v>46303</v>
      </c>
      <c r="F308" t="inlineStr">
        <is>
          <t>GÄVLEBORGS LÄN</t>
        </is>
      </c>
      <c r="G308" t="inlineStr">
        <is>
          <t>OCKELBO</t>
        </is>
      </c>
      <c r="I308" t="n">
        <v>18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20469-2026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46303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46303</v>
      </c>
      <c r="F310" t="inlineStr">
        <is>
          <t>GÄVLEBORGS LÄN</t>
        </is>
      </c>
      <c r="G310" t="inlineStr">
        <is>
          <t>OCKELBO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46303</v>
      </c>
      <c r="F311" t="inlineStr">
        <is>
          <t>GÄVLEBORGS LÄN</t>
        </is>
      </c>
      <c r="G311" t="inlineStr">
        <is>
          <t>OCKELBO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36604-2025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45870</v>
      </c>
      <c r="E312" s="1" t="n">
        <v>46303</v>
      </c>
      <c r="F312" t="inlineStr">
        <is>
          <t>GÄVLEBORGS LÄN</t>
        </is>
      </c>
      <c r="G312" t="inlineStr">
        <is>
          <t>OCKELBO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45800</v>
      </c>
      <c r="E313" s="1" t="n">
        <v>46303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45432</v>
      </c>
      <c r="E314" s="1" t="n">
        <v>46303</v>
      </c>
      <c r="F314" t="inlineStr">
        <is>
          <t>GÄVLEBORGS LÄN</t>
        </is>
      </c>
      <c r="G314" t="inlineStr">
        <is>
          <t>OCKELBO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46303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46303</v>
      </c>
      <c r="F316" t="inlineStr">
        <is>
          <t>GÄVLEBORGS LÄN</t>
        </is>
      </c>
      <c r="G316" t="inlineStr">
        <is>
          <t>OCKELBO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46303</v>
      </c>
      <c r="F317" t="inlineStr">
        <is>
          <t>GÄVLEBORGS LÄN</t>
        </is>
      </c>
      <c r="G317" t="inlineStr">
        <is>
          <t>OCKELBO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46303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väst AB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46303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46137</v>
      </c>
      <c r="E320" s="1" t="n">
        <v>46303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46303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46303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8253-2026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46303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15694-2022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44663</v>
      </c>
      <c r="E324" s="1" t="n">
        <v>46303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8521-2026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46303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46052</v>
      </c>
      <c r="E326" s="1" t="n">
        <v>46303</v>
      </c>
      <c r="F326" t="inlineStr">
        <is>
          <t>GÄVLEBORGS LÄN</t>
        </is>
      </c>
      <c r="G326" t="inlineStr">
        <is>
          <t>OCKELBO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44915</v>
      </c>
      <c r="E327" s="1" t="n">
        <v>46303</v>
      </c>
      <c r="F327" t="inlineStr">
        <is>
          <t>GÄVLEBORGS LÄN</t>
        </is>
      </c>
      <c r="G327" t="inlineStr">
        <is>
          <t>OCKELBO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46303</v>
      </c>
      <c r="F328" t="inlineStr">
        <is>
          <t>GÄVLEBORGS LÄN</t>
        </is>
      </c>
      <c r="G328" t="inlineStr">
        <is>
          <t>OCKELBO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46303</v>
      </c>
      <c r="F329" t="inlineStr">
        <is>
          <t>GÄVLEBORGS LÄN</t>
        </is>
      </c>
      <c r="G329" t="inlineStr">
        <is>
          <t>OCKELBO</t>
        </is>
      </c>
      <c r="I329" t="n">
        <v>10.3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58770-2025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46303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46303</v>
      </c>
      <c r="F331" t="inlineStr">
        <is>
          <t>GÄVLEBORGS LÄN</t>
        </is>
      </c>
      <c r="G331" t="inlineStr">
        <is>
          <t>OCKELBO</t>
        </is>
      </c>
      <c r="I331" t="n">
        <v>9.300000000000001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46035</v>
      </c>
      <c r="E332" s="1" t="n">
        <v>46303</v>
      </c>
      <c r="F332" t="inlineStr">
        <is>
          <t>GÄVLEBORGS LÄN</t>
        </is>
      </c>
      <c r="G332" t="inlineStr">
        <is>
          <t>OCKELBO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58295-2025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45985</v>
      </c>
      <c r="E333" s="1" t="n">
        <v>46303</v>
      </c>
      <c r="F333" t="inlineStr">
        <is>
          <t>GÄVLEBORGS LÄN</t>
        </is>
      </c>
      <c r="G333" t="inlineStr">
        <is>
          <t>OCKELBO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46303</v>
      </c>
      <c r="F334" t="inlineStr">
        <is>
          <t>GÄVLEBORGS LÄN</t>
        </is>
      </c>
      <c r="G334" t="inlineStr">
        <is>
          <t>OCKELBO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12708-2026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46303</v>
      </c>
      <c r="F335" t="inlineStr">
        <is>
          <t>GÄVLEBORGS LÄN</t>
        </is>
      </c>
      <c r="G335" t="inlineStr">
        <is>
          <t>OCKELBO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46303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46077</v>
      </c>
      <c r="E337" s="1" t="n">
        <v>46303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46303</v>
      </c>
      <c r="F338" t="inlineStr">
        <is>
          <t>GÄVLEBORGS LÄN</t>
        </is>
      </c>
      <c r="G338" t="inlineStr">
        <is>
          <t>OCKELBO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46303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46029</v>
      </c>
      <c r="E340" s="1" t="n">
        <v>46303</v>
      </c>
      <c r="F340" t="inlineStr">
        <is>
          <t>GÄVLEBORGS LÄN</t>
        </is>
      </c>
      <c r="G340" t="inlineStr">
        <is>
          <t>OCKELBO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46303</v>
      </c>
      <c r="F341" t="inlineStr">
        <is>
          <t>GÄVLEBORGS LÄN</t>
        </is>
      </c>
      <c r="G341" t="inlineStr">
        <is>
          <t>OCKELBO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8348-2026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46303</v>
      </c>
      <c r="F342" t="inlineStr">
        <is>
          <t>GÄVLEBORGS LÄN</t>
        </is>
      </c>
      <c r="G342" t="inlineStr">
        <is>
          <t>OCKELBO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46037</v>
      </c>
      <c r="E343" s="1" t="n">
        <v>46303</v>
      </c>
      <c r="F343" t="inlineStr">
        <is>
          <t>GÄVLEBORGS LÄN</t>
        </is>
      </c>
      <c r="G343" t="inlineStr">
        <is>
          <t>OCKELBO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46303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18191-2026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46125</v>
      </c>
      <c r="E345" s="1" t="n">
        <v>46303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64609-2023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45281</v>
      </c>
      <c r="E346" s="1" t="n">
        <v>46303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46303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46027</v>
      </c>
      <c r="E348" s="1" t="n">
        <v>46303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46303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8.300000000000001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46303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46303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45671</v>
      </c>
      <c r="E352" s="1" t="n">
        <v>46303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46303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46104</v>
      </c>
      <c r="E354" s="1" t="n">
        <v>46303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17951-2026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46122</v>
      </c>
      <c r="E355" s="1" t="n">
        <v>46303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12.6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46127</v>
      </c>
      <c r="E356" s="1" t="n">
        <v>46303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18097-2026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46125</v>
      </c>
      <c r="E357" s="1" t="n">
        <v>46303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21468-2026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46148</v>
      </c>
      <c r="E358" s="1" t="n">
        <v>46303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21500-2026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46148</v>
      </c>
      <c r="E359" s="1" t="n">
        <v>46303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46303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21280-2026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46147</v>
      </c>
      <c r="E361" s="1" t="n">
        <v>46303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öst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17233-2026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46303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21277-2026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46303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21461-2026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46303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21459-2026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46303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17548-2025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45757</v>
      </c>
      <c r="E366" s="1" t="n">
        <v>46303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21640-2026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46149</v>
      </c>
      <c r="E367" s="1" t="n">
        <v>46303</v>
      </c>
      <c r="F367" t="inlineStr">
        <is>
          <t>GÄVLEBORGS LÄN</t>
        </is>
      </c>
      <c r="G367" t="inlineStr">
        <is>
          <t>OCKELBO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46153</v>
      </c>
      <c r="E368" s="1" t="n">
        <v>46303</v>
      </c>
      <c r="F368" t="inlineStr">
        <is>
          <t>GÄVLEBORGS LÄN</t>
        </is>
      </c>
      <c r="G368" t="inlineStr">
        <is>
          <t>OCKELBO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46128</v>
      </c>
      <c r="E369" s="1" t="n">
        <v>46303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46303</v>
      </c>
      <c r="F370" t="inlineStr">
        <is>
          <t>GÄVLEBORGS LÄN</t>
        </is>
      </c>
      <c r="G370" t="inlineStr">
        <is>
          <t>OCKELBO</t>
        </is>
      </c>
      <c r="I370" t="n">
        <v>8.199999999999999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46303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65259-2023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45291</v>
      </c>
      <c r="E372" s="1" t="n">
        <v>46303</v>
      </c>
      <c r="F372" t="inlineStr">
        <is>
          <t>GÄVLEBORGS LÄN</t>
        </is>
      </c>
      <c r="G372" t="inlineStr">
        <is>
          <t>OCKELBO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46303</v>
      </c>
      <c r="F373" t="inlineStr">
        <is>
          <t>GÄVLEBORGS LÄN</t>
        </is>
      </c>
      <c r="G373" t="inlineStr">
        <is>
          <t>OCKELBO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46303</v>
      </c>
      <c r="F374" t="inlineStr">
        <is>
          <t>GÄVLEBORGS LÄN</t>
        </is>
      </c>
      <c r="G374" t="inlineStr">
        <is>
          <t>OCKELBO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12352-2026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46088</v>
      </c>
      <c r="E375" s="1" t="n">
        <v>46303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9.199999999999999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9413-2026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46303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9.1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43071-2025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45909</v>
      </c>
      <c r="E377" s="1" t="n">
        <v>46303</v>
      </c>
      <c r="F377" t="inlineStr">
        <is>
          <t>GÄVLEBORGS LÄN</t>
        </is>
      </c>
      <c r="G377" t="inlineStr">
        <is>
          <t>OCKELBO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45986</v>
      </c>
      <c r="E378" s="1" t="n">
        <v>46303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7478-2025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46303</v>
      </c>
      <c r="F379" t="inlineStr">
        <is>
          <t>GÄVLEBORGS LÄN</t>
        </is>
      </c>
      <c r="G379" t="inlineStr">
        <is>
          <t>OCKELBO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22426-2026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46303</v>
      </c>
      <c r="F380" t="inlineStr">
        <is>
          <t>GÄVLEBORGS LÄN</t>
        </is>
      </c>
      <c r="G380" t="inlineStr">
        <is>
          <t>OCKELBO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46303</v>
      </c>
      <c r="F381" t="inlineStr">
        <is>
          <t>GÄVLEBORGS LÄN</t>
        </is>
      </c>
      <c r="G381" t="inlineStr">
        <is>
          <t>OCKELBO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15034-2026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46303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22329-2026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46154</v>
      </c>
      <c r="E383" s="1" t="n">
        <v>46303</v>
      </c>
      <c r="F383" t="inlineStr">
        <is>
          <t>GÄVLEBORGS LÄN</t>
        </is>
      </c>
      <c r="G383" t="inlineStr">
        <is>
          <t>OCKELBO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8865-2026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46303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60183-2025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45994</v>
      </c>
      <c r="E385" s="1" t="n">
        <v>46303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46303</v>
      </c>
      <c r="F386" t="inlineStr">
        <is>
          <t>GÄVLEBORGS LÄN</t>
        </is>
      </c>
      <c r="G386" t="inlineStr">
        <is>
          <t>OCKELBO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6654-2026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46303</v>
      </c>
      <c r="F387" t="inlineStr">
        <is>
          <t>GÄVLEBORGS LÄN</t>
        </is>
      </c>
      <c r="G387" t="inlineStr">
        <is>
          <t>OCKELBO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46303</v>
      </c>
      <c r="F388" t="inlineStr">
        <is>
          <t>GÄVLEBORGS LÄN</t>
        </is>
      </c>
      <c r="G388" t="inlineStr">
        <is>
          <t>OCKELBO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46155</v>
      </c>
      <c r="E389" s="1" t="n">
        <v>46303</v>
      </c>
      <c r="F389" t="inlineStr">
        <is>
          <t>GÄVLEBORGS LÄN</t>
        </is>
      </c>
      <c r="G389" t="inlineStr">
        <is>
          <t>OCKELBO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22712-2026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46156</v>
      </c>
      <c r="E390" s="1" t="n">
        <v>46303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46303</v>
      </c>
      <c r="F391" t="inlineStr">
        <is>
          <t>GÄVLEBORGS LÄN</t>
        </is>
      </c>
      <c r="G391" t="inlineStr">
        <is>
          <t>OCKELBO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46303</v>
      </c>
      <c r="F392" t="inlineStr">
        <is>
          <t>GÄVLEBORGS LÄN</t>
        </is>
      </c>
      <c r="G392" t="inlineStr">
        <is>
          <t>OCKELBO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46609-2025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45926</v>
      </c>
      <c r="E393" s="1" t="n">
        <v>46303</v>
      </c>
      <c r="F393" t="inlineStr">
        <is>
          <t>GÄVLEBORGS LÄN</t>
        </is>
      </c>
      <c r="G393" t="inlineStr">
        <is>
          <t>OCKELBO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46303</v>
      </c>
      <c r="F394" t="inlineStr">
        <is>
          <t>GÄVLEBORGS LÄN</t>
        </is>
      </c>
      <c r="G394" t="inlineStr">
        <is>
          <t>OCKELBO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12983-2022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44643</v>
      </c>
      <c r="E395" s="1" t="n">
        <v>46303</v>
      </c>
      <c r="F395" t="inlineStr">
        <is>
          <t>GÄVLEBORGS LÄN</t>
        </is>
      </c>
      <c r="G395" t="inlineStr">
        <is>
          <t>OCKELBO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46303</v>
      </c>
      <c r="F396" t="inlineStr">
        <is>
          <t>GÄVLEBORGS LÄN</t>
        </is>
      </c>
      <c r="G396" t="inlineStr">
        <is>
          <t>OCKELBO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60616-2025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45996</v>
      </c>
      <c r="E397" s="1" t="n">
        <v>46303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46303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29534-2023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46303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14474-2026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46100</v>
      </c>
      <c r="E400" s="1" t="n">
        <v>46303</v>
      </c>
      <c r="F400" t="inlineStr">
        <is>
          <t>GÄVLEBORGS LÄN</t>
        </is>
      </c>
      <c r="G400" t="inlineStr">
        <is>
          <t>OCKELBO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46303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52335-2024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45609</v>
      </c>
      <c r="E402" s="1" t="n">
        <v>46303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46303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46303</v>
      </c>
      <c r="F404" t="inlineStr">
        <is>
          <t>GÄVLEBORGS LÄN</t>
        </is>
      </c>
      <c r="G404" t="inlineStr">
        <is>
          <t>OCKELBO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59533-2023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46303</v>
      </c>
      <c r="F405" t="inlineStr">
        <is>
          <t>GÄVLEBORGS LÄN</t>
        </is>
      </c>
      <c r="G405" t="inlineStr">
        <is>
          <t>OCKELBO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61148-2025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46303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53139-2024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45611</v>
      </c>
      <c r="E407" s="1" t="n">
        <v>46303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45674</v>
      </c>
      <c r="E408" s="1" t="n">
        <v>46303</v>
      </c>
      <c r="F408" t="inlineStr">
        <is>
          <t>GÄVLEBORGS LÄN</t>
        </is>
      </c>
      <c r="G408" t="inlineStr">
        <is>
          <t>OCKELBO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36521-2022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44804</v>
      </c>
      <c r="E409" s="1" t="n">
        <v>46303</v>
      </c>
      <c r="F409" t="inlineStr">
        <is>
          <t>GÄVLEBORGS LÄN</t>
        </is>
      </c>
      <c r="G409" t="inlineStr">
        <is>
          <t>OCKELBO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22843-2026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46303</v>
      </c>
      <c r="F410" t="inlineStr">
        <is>
          <t>GÄVLEBORGS LÄN</t>
        </is>
      </c>
      <c r="G410" t="inlineStr">
        <is>
          <t>OCKELBO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24228-2022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44725</v>
      </c>
      <c r="E411" s="1" t="n">
        <v>46303</v>
      </c>
      <c r="F411" t="inlineStr">
        <is>
          <t>GÄVLEBORGS LÄN</t>
        </is>
      </c>
      <c r="G411" t="inlineStr">
        <is>
          <t>OCKELBO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17862-2026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46122</v>
      </c>
      <c r="E412" s="1" t="n">
        <v>46303</v>
      </c>
      <c r="F412" t="inlineStr">
        <is>
          <t>GÄVLEBORGS LÄN</t>
        </is>
      </c>
      <c r="G412" t="inlineStr">
        <is>
          <t>OCKELBO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23040-2026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46161</v>
      </c>
      <c r="E413" s="1" t="n">
        <v>46303</v>
      </c>
      <c r="F413" t="inlineStr">
        <is>
          <t>GÄVLEBORGS LÄN</t>
        </is>
      </c>
      <c r="G413" t="inlineStr">
        <is>
          <t>OCKELBO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32301-2022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44781</v>
      </c>
      <c r="E414" s="1" t="n">
        <v>46303</v>
      </c>
      <c r="F414" t="inlineStr">
        <is>
          <t>GÄVLEBORGS LÄN</t>
        </is>
      </c>
      <c r="G414" t="inlineStr">
        <is>
          <t>OCKELBO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23149-2026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46303</v>
      </c>
      <c r="F415" t="inlineStr">
        <is>
          <t>GÄVLEBORGS LÄN</t>
        </is>
      </c>
      <c r="G415" t="inlineStr">
        <is>
          <t>OCKELBO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46303</v>
      </c>
      <c r="F416" t="inlineStr">
        <is>
          <t>GÄVLEBORGS LÄN</t>
        </is>
      </c>
      <c r="G416" t="inlineStr">
        <is>
          <t>OCKELBO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62196-2025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46006</v>
      </c>
      <c r="E417" s="1" t="n">
        <v>46303</v>
      </c>
      <c r="F417" t="inlineStr">
        <is>
          <t>GÄVLEBORGS LÄN</t>
        </is>
      </c>
      <c r="G417" t="inlineStr">
        <is>
          <t>OCKELBO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46303</v>
      </c>
      <c r="F418" t="inlineStr">
        <is>
          <t>GÄVLEBORGS LÄN</t>
        </is>
      </c>
      <c r="G418" t="inlineStr">
        <is>
          <t>OCKELBO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46303</v>
      </c>
      <c r="F419" t="inlineStr">
        <is>
          <t>GÄVLEBORGS LÄN</t>
        </is>
      </c>
      <c r="G419" t="inlineStr">
        <is>
          <t>OCKELBO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33985-2023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45134</v>
      </c>
      <c r="E420" s="1" t="n">
        <v>46303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59383-2025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45989</v>
      </c>
      <c r="E421" s="1" t="n">
        <v>46303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46303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32011-2024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45510</v>
      </c>
      <c r="E423" s="1" t="n">
        <v>46303</v>
      </c>
      <c r="F423" t="inlineStr">
        <is>
          <t>GÄVLEBORGS LÄN</t>
        </is>
      </c>
      <c r="G423" t="inlineStr">
        <is>
          <t>OCKELBO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46164</v>
      </c>
      <c r="E424" s="1" t="n">
        <v>46303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46303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46303</v>
      </c>
      <c r="F426" t="inlineStr">
        <is>
          <t>GÄVLEBORGS LÄN</t>
        </is>
      </c>
      <c r="G426" t="inlineStr">
        <is>
          <t>OCKELBO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20660-2022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44700</v>
      </c>
      <c r="E427" s="1" t="n">
        <v>46303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32123-2024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45511</v>
      </c>
      <c r="E428" s="1" t="n">
        <v>46303</v>
      </c>
      <c r="F428" t="inlineStr">
        <is>
          <t>GÄVLEBORGS LÄN</t>
        </is>
      </c>
      <c r="G428" t="inlineStr">
        <is>
          <t>OCKELBO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61750-2023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45265</v>
      </c>
      <c r="E429" s="1" t="n">
        <v>46303</v>
      </c>
      <c r="F429" t="inlineStr">
        <is>
          <t>GÄVLEBORGS LÄN</t>
        </is>
      </c>
      <c r="G429" t="inlineStr">
        <is>
          <t>OCKELBO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62914-2025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46303</v>
      </c>
      <c r="F430" t="inlineStr">
        <is>
          <t>GÄVLEBORGS LÄN</t>
        </is>
      </c>
      <c r="G430" t="inlineStr">
        <is>
          <t>OCKELBO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22385-2023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45070</v>
      </c>
      <c r="E431" s="1" t="n">
        <v>46303</v>
      </c>
      <c r="F431" t="inlineStr">
        <is>
          <t>GÄVLEBORGS LÄN</t>
        </is>
      </c>
      <c r="G431" t="inlineStr">
        <is>
          <t>OCKELBO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15247-2025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45744</v>
      </c>
      <c r="E432" s="1" t="n">
        <v>46303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46168</v>
      </c>
      <c r="E433" s="1" t="n">
        <v>46303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61456-2024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46303</v>
      </c>
      <c r="F434" t="inlineStr">
        <is>
          <t>GÄVLEBORGS LÄN</t>
        </is>
      </c>
      <c r="G434" t="inlineStr">
        <is>
          <t>OCKELBO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60962-2024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45645</v>
      </c>
      <c r="E435" s="1" t="n">
        <v>46303</v>
      </c>
      <c r="F435" t="inlineStr">
        <is>
          <t>GÄVLEBORGS LÄN</t>
        </is>
      </c>
      <c r="G435" t="inlineStr">
        <is>
          <t>OCKELBO</t>
        </is>
      </c>
      <c r="H435" t="inlineStr">
        <is>
          <t>Kyrkan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46303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46014</v>
      </c>
      <c r="E437" s="1" t="n">
        <v>46303</v>
      </c>
      <c r="F437" t="inlineStr">
        <is>
          <t>GÄVLEBORGS LÄN</t>
        </is>
      </c>
      <c r="G437" t="inlineStr">
        <is>
          <t>OCKELBO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63224-2025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46010</v>
      </c>
      <c r="E438" s="1" t="n">
        <v>46303</v>
      </c>
      <c r="F438" t="inlineStr">
        <is>
          <t>GÄVLEBORGS LÄN</t>
        </is>
      </c>
      <c r="G438" t="inlineStr">
        <is>
          <t>OCKELBO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46303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46303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46303</v>
      </c>
      <c r="F441" t="inlineStr">
        <is>
          <t>GÄVLEBORGS LÄN</t>
        </is>
      </c>
      <c r="G441" t="inlineStr">
        <is>
          <t>OCKELBO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35054-2022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44797</v>
      </c>
      <c r="E442" s="1" t="n">
        <v>46303</v>
      </c>
      <c r="F442" t="inlineStr">
        <is>
          <t>GÄVLEBORGS LÄN</t>
        </is>
      </c>
      <c r="G442" t="inlineStr">
        <is>
          <t>OCKELBO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46303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24063-2026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46303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46303</v>
      </c>
      <c r="F445" t="inlineStr">
        <is>
          <t>GÄVLEBORGS LÄN</t>
        </is>
      </c>
      <c r="G445" t="inlineStr">
        <is>
          <t>OCKELBO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46303</v>
      </c>
      <c r="F446" t="inlineStr">
        <is>
          <t>GÄVLEBORGS LÄN</t>
        </is>
      </c>
      <c r="G446" t="inlineStr">
        <is>
          <t>OCKELBO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46303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24335-2026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46303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24333-2026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46303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46169</v>
      </c>
      <c r="E450" s="1" t="n">
        <v>46303</v>
      </c>
      <c r="F450" t="inlineStr">
        <is>
          <t>GÄVLEBORGS LÄN</t>
        </is>
      </c>
      <c r="G450" t="inlineStr">
        <is>
          <t>OCKELBO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11974-2026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46085</v>
      </c>
      <c r="E451" s="1" t="n">
        <v>46303</v>
      </c>
      <c r="F451" t="inlineStr">
        <is>
          <t>GÄVLEBORGS LÄN</t>
        </is>
      </c>
      <c r="G451" t="inlineStr">
        <is>
          <t>OCKELBO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46023</v>
      </c>
      <c r="E452" s="1" t="n">
        <v>46303</v>
      </c>
      <c r="F452" t="inlineStr">
        <is>
          <t>GÄVLEBORGS LÄN</t>
        </is>
      </c>
      <c r="G452" t="inlineStr">
        <is>
          <t>OCKELBO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46303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46303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54944-2025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46303</v>
      </c>
      <c r="F455" t="inlineStr">
        <is>
          <t>GÄVLEBORGS LÄN</t>
        </is>
      </c>
      <c r="G455" t="inlineStr">
        <is>
          <t>OCKELBO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46303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24569-2026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46303</v>
      </c>
      <c r="F457" t="inlineStr">
        <is>
          <t>GÄVLEBORGS LÄN</t>
        </is>
      </c>
      <c r="G457" t="inlineStr">
        <is>
          <t>OCKELBO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64006-2025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46021</v>
      </c>
      <c r="E458" s="1" t="n">
        <v>46303</v>
      </c>
      <c r="F458" t="inlineStr">
        <is>
          <t>GÄVLEBORGS LÄN</t>
        </is>
      </c>
      <c r="G458" t="inlineStr">
        <is>
          <t>OCKELBO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45699</v>
      </c>
      <c r="E459" s="1" t="n">
        <v>46303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45772</v>
      </c>
      <c r="E460" s="1" t="n">
        <v>46303</v>
      </c>
      <c r="F460" t="inlineStr">
        <is>
          <t>GÄVLEBORGS LÄN</t>
        </is>
      </c>
      <c r="G460" t="inlineStr">
        <is>
          <t>OCKELBO</t>
        </is>
      </c>
      <c r="I460" t="n">
        <v>14.8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46024</v>
      </c>
      <c r="E461" s="1" t="n">
        <v>46303</v>
      </c>
      <c r="F461" t="inlineStr">
        <is>
          <t>GÄVLEBORGS LÄN</t>
        </is>
      </c>
      <c r="G461" t="inlineStr">
        <is>
          <t>OCKELBO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55112-2023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45237</v>
      </c>
      <c r="E462" s="1" t="n">
        <v>46303</v>
      </c>
      <c r="F462" t="inlineStr">
        <is>
          <t>GÄVLEBORGS LÄN</t>
        </is>
      </c>
      <c r="G462" t="inlineStr">
        <is>
          <t>OCKELBO</t>
        </is>
      </c>
      <c r="I462" t="n">
        <v>14.6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24449-2026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46303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46170</v>
      </c>
      <c r="E464" s="1" t="n">
        <v>46303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46027</v>
      </c>
      <c r="E465" s="1" t="n">
        <v>46303</v>
      </c>
      <c r="F465" t="inlineStr">
        <is>
          <t>GÄVLEBORGS LÄN</t>
        </is>
      </c>
      <c r="G465" t="inlineStr">
        <is>
          <t>OCKELBO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46027</v>
      </c>
      <c r="E466" s="1" t="n">
        <v>46303</v>
      </c>
      <c r="F466" t="inlineStr">
        <is>
          <t>GÄVLEBORGS LÄN</t>
        </is>
      </c>
      <c r="G466" t="inlineStr">
        <is>
          <t>OCKELBO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46027</v>
      </c>
      <c r="E467" s="1" t="n">
        <v>46303</v>
      </c>
      <c r="F467" t="inlineStr">
        <is>
          <t>GÄVLEBORGS LÄN</t>
        </is>
      </c>
      <c r="G467" t="inlineStr">
        <is>
          <t>OCKELBO</t>
        </is>
      </c>
      <c r="I467" t="n">
        <v>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46027</v>
      </c>
      <c r="E468" s="1" t="n">
        <v>46303</v>
      </c>
      <c r="F468" t="inlineStr">
        <is>
          <t>GÄVLEBORGS LÄN</t>
        </is>
      </c>
      <c r="G468" t="inlineStr">
        <is>
          <t>OCKELBO</t>
        </is>
      </c>
      <c r="I468" t="n">
        <v>16.2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46027</v>
      </c>
      <c r="E469" s="1" t="n">
        <v>46303</v>
      </c>
      <c r="F469" t="inlineStr">
        <is>
          <t>GÄVLEBORGS LÄN</t>
        </is>
      </c>
      <c r="G469" t="inlineStr">
        <is>
          <t>OCKELBO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46027</v>
      </c>
      <c r="E470" s="1" t="n">
        <v>46303</v>
      </c>
      <c r="F470" t="inlineStr">
        <is>
          <t>GÄVLEBORGS LÄN</t>
        </is>
      </c>
      <c r="G470" t="inlineStr">
        <is>
          <t>OCKELBO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46303</v>
      </c>
      <c r="F471" t="inlineStr">
        <is>
          <t>GÄVLEBORGS LÄN</t>
        </is>
      </c>
      <c r="G471" t="inlineStr">
        <is>
          <t>OCKELBO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45254</v>
      </c>
      <c r="E472" s="1" t="n">
        <v>46303</v>
      </c>
      <c r="F472" t="inlineStr">
        <is>
          <t>GÄVLEBORGS LÄN</t>
        </is>
      </c>
      <c r="G472" t="inlineStr">
        <is>
          <t>OCKELBO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46303</v>
      </c>
      <c r="F473" t="inlineStr">
        <is>
          <t>GÄVLEBORGS LÄN</t>
        </is>
      </c>
      <c r="G473" t="inlineStr">
        <is>
          <t>OCKELBO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46303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46028</v>
      </c>
      <c r="E475" s="1" t="n">
        <v>46303</v>
      </c>
      <c r="F475" t="inlineStr">
        <is>
          <t>GÄVLEBORGS LÄN</t>
        </is>
      </c>
      <c r="G475" t="inlineStr">
        <is>
          <t>OCKELBO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46303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46303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46303</v>
      </c>
      <c r="F478" t="inlineStr">
        <is>
          <t>GÄVLEBORGS LÄN</t>
        </is>
      </c>
      <c r="G478" t="inlineStr">
        <is>
          <t>OCKELBO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29567-2024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45484</v>
      </c>
      <c r="E479" s="1" t="n">
        <v>46303</v>
      </c>
      <c r="F479" t="inlineStr">
        <is>
          <t>GÄVLEBORGS LÄN</t>
        </is>
      </c>
      <c r="G479" t="inlineStr">
        <is>
          <t>OCKELBO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46028</v>
      </c>
      <c r="E480" s="1" t="n">
        <v>46303</v>
      </c>
      <c r="F480" t="inlineStr">
        <is>
          <t>GÄVLEBORGS LÄN</t>
        </is>
      </c>
      <c r="G480" t="inlineStr">
        <is>
          <t>OCKELBO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46303</v>
      </c>
      <c r="F481" t="inlineStr">
        <is>
          <t>GÄVLEBORGS LÄN</t>
        </is>
      </c>
      <c r="G481" t="inlineStr">
        <is>
          <t>OCKELBO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46303</v>
      </c>
      <c r="F482" t="inlineStr">
        <is>
          <t>GÄVLEBORGS LÄN</t>
        </is>
      </c>
      <c r="G482" t="inlineStr">
        <is>
          <t>OCKELBO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46303</v>
      </c>
      <c r="F483" t="inlineStr">
        <is>
          <t>GÄVLEBORGS LÄN</t>
        </is>
      </c>
      <c r="G483" t="inlineStr">
        <is>
          <t>OCKELBO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46303</v>
      </c>
      <c r="F484" t="inlineStr">
        <is>
          <t>GÄVLEBORGS LÄN</t>
        </is>
      </c>
      <c r="G484" t="inlineStr">
        <is>
          <t>OCKELBO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46303</v>
      </c>
      <c r="F485" t="inlineStr">
        <is>
          <t>GÄVLEBORGS LÄN</t>
        </is>
      </c>
      <c r="G485" t="inlineStr">
        <is>
          <t>OCKELBO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46303</v>
      </c>
      <c r="F486" t="inlineStr">
        <is>
          <t>GÄVLEBORGS LÄN</t>
        </is>
      </c>
      <c r="G486" t="inlineStr">
        <is>
          <t>OCKELBO</t>
        </is>
      </c>
      <c r="I486" t="n">
        <v>9.4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45230</v>
      </c>
      <c r="E487" s="1" t="n">
        <v>46303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24952-2026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46303</v>
      </c>
      <c r="F488" t="inlineStr">
        <is>
          <t>GÄVLEBORGS LÄN</t>
        </is>
      </c>
      <c r="G488" t="inlineStr">
        <is>
          <t>OCKELBO</t>
        </is>
      </c>
      <c r="I488" t="n">
        <v>7.9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46033</v>
      </c>
      <c r="E489" s="1" t="n">
        <v>46303</v>
      </c>
      <c r="F489" t="inlineStr">
        <is>
          <t>GÄVLEBORGS LÄN</t>
        </is>
      </c>
      <c r="G489" t="inlineStr">
        <is>
          <t>OCKELBO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46303</v>
      </c>
      <c r="F490" t="inlineStr">
        <is>
          <t>GÄVLEBORGS LÄN</t>
        </is>
      </c>
      <c r="G490" t="inlineStr">
        <is>
          <t>OCKELBO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50968-2024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46303</v>
      </c>
      <c r="F491" t="inlineStr">
        <is>
          <t>GÄVLEBORGS LÄN</t>
        </is>
      </c>
      <c r="G491" t="inlineStr">
        <is>
          <t>OCKELBO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46177</v>
      </c>
      <c r="E492" s="1" t="n">
        <v>46303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9.4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56034-2023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46303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25599-2026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46303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46034</v>
      </c>
      <c r="E495" s="1" t="n">
        <v>46303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46303</v>
      </c>
      <c r="F496" t="inlineStr">
        <is>
          <t>GÄVLEBORGS LÄN</t>
        </is>
      </c>
      <c r="G496" t="inlineStr">
        <is>
          <t>OCKELBO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46303</v>
      </c>
      <c r="F497" t="inlineStr">
        <is>
          <t>GÄVLEBORGS LÄN</t>
        </is>
      </c>
      <c r="G497" t="inlineStr">
        <is>
          <t>OCKELBO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46036</v>
      </c>
      <c r="E498" s="1" t="n">
        <v>46303</v>
      </c>
      <c r="F498" t="inlineStr">
        <is>
          <t>GÄVLEBORGS LÄN</t>
        </is>
      </c>
      <c r="G498" t="inlineStr">
        <is>
          <t>OCKELBO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46303</v>
      </c>
      <c r="F499" t="inlineStr">
        <is>
          <t>GÄVLEBORGS LÄN</t>
        </is>
      </c>
      <c r="G499" t="inlineStr">
        <is>
          <t>OCKELBO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46036</v>
      </c>
      <c r="E500" s="1" t="n">
        <v>46303</v>
      </c>
      <c r="F500" t="inlineStr">
        <is>
          <t>GÄVLEBORGS LÄN</t>
        </is>
      </c>
      <c r="G500" t="inlineStr">
        <is>
          <t>OCKELBO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46303</v>
      </c>
      <c r="F501" t="inlineStr">
        <is>
          <t>GÄVLEBORGS LÄN</t>
        </is>
      </c>
      <c r="G501" t="inlineStr">
        <is>
          <t>OCKELBO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46036</v>
      </c>
      <c r="E502" s="1" t="n">
        <v>46303</v>
      </c>
      <c r="F502" t="inlineStr">
        <is>
          <t>GÄVLEBORGS LÄN</t>
        </is>
      </c>
      <c r="G502" t="inlineStr">
        <is>
          <t>OCKELBO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46303</v>
      </c>
      <c r="F503" t="inlineStr">
        <is>
          <t>GÄVLEBORGS LÄN</t>
        </is>
      </c>
      <c r="G503" t="inlineStr">
        <is>
          <t>OCKELBO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46035</v>
      </c>
      <c r="E504" s="1" t="n">
        <v>46303</v>
      </c>
      <c r="F504" t="inlineStr">
        <is>
          <t>GÄVLEBORGS LÄN</t>
        </is>
      </c>
      <c r="G504" t="inlineStr">
        <is>
          <t>OCKELBO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46303</v>
      </c>
      <c r="F505" t="inlineStr">
        <is>
          <t>GÄVLEBORGS LÄN</t>
        </is>
      </c>
      <c r="G505" t="inlineStr">
        <is>
          <t>OCKELBO</t>
        </is>
      </c>
      <c r="I505" t="n">
        <v>16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46038</v>
      </c>
      <c r="E506" s="1" t="n">
        <v>46303</v>
      </c>
      <c r="F506" t="inlineStr">
        <is>
          <t>GÄVLEBORGS LÄN</t>
        </is>
      </c>
      <c r="G506" t="inlineStr">
        <is>
          <t>OCKELBO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46038</v>
      </c>
      <c r="E507" s="1" t="n">
        <v>46303</v>
      </c>
      <c r="F507" t="inlineStr">
        <is>
          <t>GÄVLEBORGS LÄN</t>
        </is>
      </c>
      <c r="G507" t="inlineStr">
        <is>
          <t>OCKELBO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46037</v>
      </c>
      <c r="E508" s="1" t="n">
        <v>46303</v>
      </c>
      <c r="F508" t="inlineStr">
        <is>
          <t>GÄVLEBORGS LÄN</t>
        </is>
      </c>
      <c r="G508" t="inlineStr">
        <is>
          <t>OCKELBO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26131-2026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46303</v>
      </c>
      <c r="F509" t="inlineStr">
        <is>
          <t>GÄVLEBORGS LÄN</t>
        </is>
      </c>
      <c r="G509" t="inlineStr">
        <is>
          <t>OCKELBO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46303</v>
      </c>
      <c r="F510" t="inlineStr">
        <is>
          <t>GÄVLEBORGS LÄN</t>
        </is>
      </c>
      <c r="G510" t="inlineStr">
        <is>
          <t>OCKELBO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46303</v>
      </c>
      <c r="F511" t="inlineStr">
        <is>
          <t>GÄVLEBORGS LÄN</t>
        </is>
      </c>
      <c r="G511" t="inlineStr">
        <is>
          <t>OCKELBO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46044</v>
      </c>
      <c r="E512" s="1" t="n">
        <v>46303</v>
      </c>
      <c r="F512" t="inlineStr">
        <is>
          <t>GÄVLEBORGS LÄN</t>
        </is>
      </c>
      <c r="G512" t="inlineStr">
        <is>
          <t>OCKELBO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46044</v>
      </c>
      <c r="E513" s="1" t="n">
        <v>46303</v>
      </c>
      <c r="F513" t="inlineStr">
        <is>
          <t>GÄVLEBORGS LÄN</t>
        </is>
      </c>
      <c r="G513" t="inlineStr">
        <is>
          <t>OCKELBO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46303</v>
      </c>
      <c r="F514" t="inlineStr">
        <is>
          <t>GÄVLEBORGS LÄN</t>
        </is>
      </c>
      <c r="G514" t="inlineStr">
        <is>
          <t>OCKELBO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46303</v>
      </c>
      <c r="F515" t="inlineStr">
        <is>
          <t>GÄVLEBORGS LÄN</t>
        </is>
      </c>
      <c r="G515" t="inlineStr">
        <is>
          <t>OCKELBO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46303</v>
      </c>
      <c r="F516" t="inlineStr">
        <is>
          <t>GÄVLEBORGS LÄN</t>
        </is>
      </c>
      <c r="G516" t="inlineStr">
        <is>
          <t>OCKELBO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46303</v>
      </c>
      <c r="F517" t="inlineStr">
        <is>
          <t>GÄVLEBORGS LÄN</t>
        </is>
      </c>
      <c r="G517" t="inlineStr">
        <is>
          <t>OCKELBO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46303</v>
      </c>
      <c r="F518" t="inlineStr">
        <is>
          <t>GÄVLEBORGS LÄN</t>
        </is>
      </c>
      <c r="G518" t="inlineStr">
        <is>
          <t>OCKELBO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46048</v>
      </c>
      <c r="E519" s="1" t="n">
        <v>46303</v>
      </c>
      <c r="F519" t="inlineStr">
        <is>
          <t>GÄVLEBORGS LÄN</t>
        </is>
      </c>
      <c r="G519" t="inlineStr">
        <is>
          <t>OCKELBO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46303</v>
      </c>
      <c r="F520" t="inlineStr">
        <is>
          <t>GÄVLEBORGS LÄN</t>
        </is>
      </c>
      <c r="G520" t="inlineStr">
        <is>
          <t>OCKELBO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46303</v>
      </c>
      <c r="F521" t="inlineStr">
        <is>
          <t>GÄVLEBORGS LÄN</t>
        </is>
      </c>
      <c r="G521" t="inlineStr">
        <is>
          <t>OCKELBO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46303</v>
      </c>
      <c r="F522" t="inlineStr">
        <is>
          <t>GÄVLEBORGS LÄN</t>
        </is>
      </c>
      <c r="G522" t="inlineStr">
        <is>
          <t>OCKELBO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46303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26808-2026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46185</v>
      </c>
      <c r="E524" s="1" t="n">
        <v>46303</v>
      </c>
      <c r="F524" t="inlineStr">
        <is>
          <t>GÄVLEBORGS LÄN</t>
        </is>
      </c>
      <c r="G524" t="inlineStr">
        <is>
          <t>OCKELBO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46303</v>
      </c>
      <c r="F525" t="inlineStr">
        <is>
          <t>GÄVLEBORGS LÄN</t>
        </is>
      </c>
      <c r="G525" t="inlineStr">
        <is>
          <t>OCKELBO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46303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46303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46303</v>
      </c>
      <c r="F528" t="inlineStr">
        <is>
          <t>GÄVLEBORGS LÄN</t>
        </is>
      </c>
      <c r="G528" t="inlineStr">
        <is>
          <t>OCKELBO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46050</v>
      </c>
      <c r="E529" s="1" t="n">
        <v>46303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46303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46303</v>
      </c>
      <c r="F531" t="inlineStr">
        <is>
          <t>GÄVLEBORGS LÄN</t>
        </is>
      </c>
      <c r="G531" t="inlineStr">
        <is>
          <t>OCKELBO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46303</v>
      </c>
      <c r="F532" t="inlineStr">
        <is>
          <t>GÄVLEBORGS LÄN</t>
        </is>
      </c>
      <c r="G532" t="inlineStr">
        <is>
          <t>OCKELBO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46303</v>
      </c>
      <c r="F533" t="inlineStr">
        <is>
          <t>GÄVLEBORGS LÄN</t>
        </is>
      </c>
      <c r="G533" t="inlineStr">
        <is>
          <t>OCKELBO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26843-2026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46303</v>
      </c>
      <c r="F534" t="inlineStr">
        <is>
          <t>GÄVLEBORGS LÄN</t>
        </is>
      </c>
      <c r="G534" t="inlineStr">
        <is>
          <t>OCKELBO</t>
        </is>
      </c>
      <c r="I534" t="n">
        <v>14.6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26845-2026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46185</v>
      </c>
      <c r="E535" s="1" t="n">
        <v>46303</v>
      </c>
      <c r="F535" t="inlineStr">
        <is>
          <t>GÄVLEBORGS LÄN</t>
        </is>
      </c>
      <c r="G535" t="inlineStr">
        <is>
          <t>OCKELBO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46051</v>
      </c>
      <c r="E536" s="1" t="n">
        <v>46303</v>
      </c>
      <c r="F536" t="inlineStr">
        <is>
          <t>GÄVLEBORGS LÄN</t>
        </is>
      </c>
      <c r="G536" t="inlineStr">
        <is>
          <t>OCKELBO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46303</v>
      </c>
      <c r="F537" t="inlineStr">
        <is>
          <t>GÄVLEBORGS LÄN</t>
        </is>
      </c>
      <c r="G537" t="inlineStr">
        <is>
          <t>OCKELBO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6710-2026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46303</v>
      </c>
      <c r="F538" t="inlineStr">
        <is>
          <t>GÄVLEBORGS LÄN</t>
        </is>
      </c>
      <c r="G538" t="inlineStr">
        <is>
          <t>OCKELBO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46053</v>
      </c>
      <c r="E539" s="1" t="n">
        <v>46303</v>
      </c>
      <c r="F539" t="inlineStr">
        <is>
          <t>GÄVLEBORGS LÄN</t>
        </is>
      </c>
      <c r="G539" t="inlineStr">
        <is>
          <t>OCKELBO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46056</v>
      </c>
      <c r="E540" s="1" t="n">
        <v>46303</v>
      </c>
      <c r="F540" t="inlineStr">
        <is>
          <t>GÄVLEBORGS LÄN</t>
        </is>
      </c>
      <c r="G540" t="inlineStr">
        <is>
          <t>OCKELBO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6589-2026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46303</v>
      </c>
      <c r="F541" t="inlineStr">
        <is>
          <t>GÄVLEBORGS LÄN</t>
        </is>
      </c>
      <c r="G541" t="inlineStr">
        <is>
          <t>OCKELBO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6598-2026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46056</v>
      </c>
      <c r="E542" s="1" t="n">
        <v>46303</v>
      </c>
      <c r="F542" t="inlineStr">
        <is>
          <t>GÄVLEBORGS LÄN</t>
        </is>
      </c>
      <c r="G542" t="inlineStr">
        <is>
          <t>OCKELBO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39710-2023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45167</v>
      </c>
      <c r="E543" s="1" t="n">
        <v>46303</v>
      </c>
      <c r="F543" t="inlineStr">
        <is>
          <t>GÄVLEBORGS LÄN</t>
        </is>
      </c>
      <c r="G543" t="inlineStr">
        <is>
          <t>OCKELBO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46303</v>
      </c>
      <c r="F544" t="inlineStr">
        <is>
          <t>GÄVLEBORGS LÄN</t>
        </is>
      </c>
      <c r="G544" t="inlineStr">
        <is>
          <t>OCKELBO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45623</v>
      </c>
      <c r="E545" s="1" t="n">
        <v>46303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46056</v>
      </c>
      <c r="E546" s="1" t="n">
        <v>46303</v>
      </c>
      <c r="F546" t="inlineStr">
        <is>
          <t>GÄVLEBORGS LÄN</t>
        </is>
      </c>
      <c r="G546" t="inlineStr">
        <is>
          <t>OCKELBO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46303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46056</v>
      </c>
      <c r="E548" s="1" t="n">
        <v>46303</v>
      </c>
      <c r="F548" t="inlineStr">
        <is>
          <t>GÄVLEBORGS LÄN</t>
        </is>
      </c>
      <c r="G548" t="inlineStr">
        <is>
          <t>OCKELBO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46189</v>
      </c>
      <c r="E549" s="1" t="n">
        <v>46303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6677-2026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46303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9.4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45139</v>
      </c>
      <c r="E551" s="1" t="n">
        <v>46303</v>
      </c>
      <c r="F551" t="inlineStr">
        <is>
          <t>GÄVLEBORGS LÄN</t>
        </is>
      </c>
      <c r="G551" t="inlineStr">
        <is>
          <t>OCKELBO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27381-2026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46303</v>
      </c>
      <c r="F552" t="inlineStr">
        <is>
          <t>GÄVLEBORGS LÄN</t>
        </is>
      </c>
      <c r="G552" t="inlineStr">
        <is>
          <t>OCKELBO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46189</v>
      </c>
      <c r="E553" s="1" t="n">
        <v>46303</v>
      </c>
      <c r="F553" t="inlineStr">
        <is>
          <t>GÄVLEBORGS LÄN</t>
        </is>
      </c>
      <c r="G553" t="inlineStr">
        <is>
          <t>OCKELBO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6862-2026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46057</v>
      </c>
      <c r="E554" s="1" t="n">
        <v>46303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46076</v>
      </c>
      <c r="E555" s="1" t="n">
        <v>46303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53702-2024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45615</v>
      </c>
      <c r="E556" s="1" t="n">
        <v>46303</v>
      </c>
      <c r="F556" t="inlineStr">
        <is>
          <t>GÄVLEBORGS LÄN</t>
        </is>
      </c>
      <c r="G556" t="inlineStr">
        <is>
          <t>OCKELBO</t>
        </is>
      </c>
      <c r="I556" t="n">
        <v>5.8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7765-2026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46303</v>
      </c>
      <c r="F557" t="inlineStr">
        <is>
          <t>GÄVLEBORGS LÄN</t>
        </is>
      </c>
      <c r="G557" t="inlineStr">
        <is>
          <t>OCKELBO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46303</v>
      </c>
      <c r="F558" t="inlineStr">
        <is>
          <t>GÄVLEBORGS LÄN</t>
        </is>
      </c>
      <c r="G558" t="inlineStr">
        <is>
          <t>OCKELBO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7639-2026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46303</v>
      </c>
      <c r="F559" t="inlineStr">
        <is>
          <t>GÄVLEBORGS LÄN</t>
        </is>
      </c>
      <c r="G559" t="inlineStr">
        <is>
          <t>OCKELBO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27379-2026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46189</v>
      </c>
      <c r="E560" s="1" t="n">
        <v>46303</v>
      </c>
      <c r="F560" t="inlineStr">
        <is>
          <t>GÄVLEBORGS LÄN</t>
        </is>
      </c>
      <c r="G560" t="inlineStr">
        <is>
          <t>OCKELBO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46189</v>
      </c>
      <c r="E561" s="1" t="n">
        <v>46303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57614-2025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46303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27231-2026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46303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7681-2026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46303</v>
      </c>
      <c r="F564" t="inlineStr">
        <is>
          <t>GÄVLEBORGS LÄN</t>
        </is>
      </c>
      <c r="G564" t="inlineStr">
        <is>
          <t>OCKELBO</t>
        </is>
      </c>
      <c r="H564" t="inlineStr">
        <is>
          <t>Kyrkan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45548</v>
      </c>
      <c r="E565" s="1" t="n">
        <v>46303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46303</v>
      </c>
      <c r="F566" t="inlineStr">
        <is>
          <t>GÄVLEBORGS LÄN</t>
        </is>
      </c>
      <c r="G566" t="inlineStr">
        <is>
          <t>OCKELBO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8351-2026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46303</v>
      </c>
      <c r="F567" t="inlineStr">
        <is>
          <t>GÄVLEBORGS LÄN</t>
        </is>
      </c>
      <c r="G567" t="inlineStr">
        <is>
          <t>OCKELBO</t>
        </is>
      </c>
      <c r="I567" t="n">
        <v>17.4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8274-2026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46064</v>
      </c>
      <c r="E568" s="1" t="n">
        <v>46303</v>
      </c>
      <c r="F568" t="inlineStr">
        <is>
          <t>GÄVLEBORGS LÄN</t>
        </is>
      </c>
      <c r="G568" t="inlineStr">
        <is>
          <t>OCKELBO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46303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8354-2026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46064</v>
      </c>
      <c r="E570" s="1" t="n">
        <v>46303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46303</v>
      </c>
      <c r="F571" t="inlineStr">
        <is>
          <t>GÄVLEBORGS LÄN</t>
        </is>
      </c>
      <c r="G571" t="inlineStr">
        <is>
          <t>OCKELBO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46303</v>
      </c>
      <c r="F572" t="inlineStr">
        <is>
          <t>GÄVLEBORGS LÄN</t>
        </is>
      </c>
      <c r="G572" t="inlineStr">
        <is>
          <t>OCKELBO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46190</v>
      </c>
      <c r="E573" s="1" t="n">
        <v>46303</v>
      </c>
      <c r="F573" t="inlineStr">
        <is>
          <t>GÄVLEBORGS LÄN</t>
        </is>
      </c>
      <c r="G573" t="inlineStr">
        <is>
          <t>OCKELBO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46191</v>
      </c>
      <c r="E574" s="1" t="n">
        <v>46303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8402-2026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46303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8429-2026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46303</v>
      </c>
      <c r="F576" t="inlineStr">
        <is>
          <t>GÄVLEBORGS LÄN</t>
        </is>
      </c>
      <c r="G576" t="inlineStr">
        <is>
          <t>OCKELBO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27995-2026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46303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6764-2026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46303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9505-2026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46303</v>
      </c>
      <c r="F579" t="inlineStr">
        <is>
          <t>GÄVLEBORGS LÄN</t>
        </is>
      </c>
      <c r="G579" t="inlineStr">
        <is>
          <t>OCKELBO</t>
        </is>
      </c>
      <c r="I579" t="n">
        <v>8.1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9414-2026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46303</v>
      </c>
      <c r="F580" t="inlineStr">
        <is>
          <t>GÄVLEBORGS LÄN</t>
        </is>
      </c>
      <c r="G580" t="inlineStr">
        <is>
          <t>OCKELBO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46303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9464-2026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46303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9507-2026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46071</v>
      </c>
      <c r="E583" s="1" t="n">
        <v>46303</v>
      </c>
      <c r="F583" t="inlineStr">
        <is>
          <t>GÄVLEBORGS LÄN</t>
        </is>
      </c>
      <c r="G583" t="inlineStr">
        <is>
          <t>OCKELBO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46303</v>
      </c>
      <c r="F584" t="inlineStr">
        <is>
          <t>GÄVLEBORGS LÄN</t>
        </is>
      </c>
      <c r="G584" t="inlineStr">
        <is>
          <t>OCKELBO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9681-2026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46072</v>
      </c>
      <c r="E585" s="1" t="n">
        <v>46303</v>
      </c>
      <c r="F585" t="inlineStr">
        <is>
          <t>GÄVLEBORGS LÄN</t>
        </is>
      </c>
      <c r="G585" t="inlineStr">
        <is>
          <t>OCKELBO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46303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9732-2026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46303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46303</v>
      </c>
      <c r="F588" t="inlineStr">
        <is>
          <t>GÄVLEBORGS LÄN</t>
        </is>
      </c>
      <c r="G588" t="inlineStr">
        <is>
          <t>OCKELBO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9557-2026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46303</v>
      </c>
      <c r="F589" t="inlineStr">
        <is>
          <t>GÄVLEBORGS LÄN</t>
        </is>
      </c>
      <c r="G589" t="inlineStr">
        <is>
          <t>OCKELBO</t>
        </is>
      </c>
      <c r="I589" t="n">
        <v>10.4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46303</v>
      </c>
      <c r="F590" t="inlineStr">
        <is>
          <t>GÄVLEBORGS LÄN</t>
        </is>
      </c>
      <c r="G590" t="inlineStr">
        <is>
          <t>OCKELBO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9470-2026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46071</v>
      </c>
      <c r="E591" s="1" t="n">
        <v>46303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10159-2026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46076</v>
      </c>
      <c r="E592" s="1" t="n">
        <v>46303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10418-2026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46077</v>
      </c>
      <c r="E593" s="1" t="n">
        <v>46303</v>
      </c>
      <c r="F593" t="inlineStr">
        <is>
          <t>GÄVLEBORGS LÄN</t>
        </is>
      </c>
      <c r="G593" t="inlineStr">
        <is>
          <t>OCKELBO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10501-2026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46077</v>
      </c>
      <c r="E594" s="1" t="n">
        <v>46303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10454-2026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46077</v>
      </c>
      <c r="E595" s="1" t="n">
        <v>46303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46303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9997-2026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46073</v>
      </c>
      <c r="E597" s="1" t="n">
        <v>46303</v>
      </c>
      <c r="F597" t="inlineStr">
        <is>
          <t>GÄVLEBORGS LÄN</t>
        </is>
      </c>
      <c r="G597" t="inlineStr">
        <is>
          <t>OCKELBO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46303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28317-2026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46303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46077</v>
      </c>
      <c r="E600" s="1" t="n">
        <v>46303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öst AB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46077</v>
      </c>
      <c r="E601" s="1" t="n">
        <v>46303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öst AB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46031</v>
      </c>
      <c r="E602" s="1" t="n">
        <v>46303</v>
      </c>
      <c r="F602" t="inlineStr">
        <is>
          <t>GÄVLEBORGS LÄN</t>
        </is>
      </c>
      <c r="G602" t="inlineStr">
        <is>
          <t>OCKELBO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10456-2026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46077</v>
      </c>
      <c r="E603" s="1" t="n">
        <v>46303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öst AB</t>
        </is>
      </c>
      <c r="I603" t="n">
        <v>45.7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46078</v>
      </c>
      <c r="E604" s="1" t="n">
        <v>46303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46303</v>
      </c>
      <c r="F605" t="inlineStr">
        <is>
          <t>GÄVLEBORGS LÄN</t>
        </is>
      </c>
      <c r="G605" t="inlineStr">
        <is>
          <t>OCKELBO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28681-2026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46303</v>
      </c>
      <c r="F606" t="inlineStr">
        <is>
          <t>GÄVLEBORGS LÄN</t>
        </is>
      </c>
      <c r="G606" t="inlineStr">
        <is>
          <t>OCKELBO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33617-2023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45132</v>
      </c>
      <c r="E607" s="1" t="n">
        <v>46303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46303</v>
      </c>
      <c r="F608" t="inlineStr">
        <is>
          <t>GÄVLEBORGS LÄN</t>
        </is>
      </c>
      <c r="G608" t="inlineStr">
        <is>
          <t>OCKELBO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11027-2026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46303</v>
      </c>
      <c r="F609" t="inlineStr">
        <is>
          <t>GÄVLEBORGS LÄN</t>
        </is>
      </c>
      <c r="G609" t="inlineStr">
        <is>
          <t>OCKELBO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26481-2026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46303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46303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47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11234-2026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46080</v>
      </c>
      <c r="E612" s="1" t="n">
        <v>46303</v>
      </c>
      <c r="F612" t="inlineStr">
        <is>
          <t>GÄVLEBORGS LÄN</t>
        </is>
      </c>
      <c r="G612" t="inlineStr">
        <is>
          <t>OCKELBO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28725-2026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46303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11300-2026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46080</v>
      </c>
      <c r="E614" s="1" t="n">
        <v>46303</v>
      </c>
      <c r="F614" t="inlineStr">
        <is>
          <t>GÄVLEBORGS LÄN</t>
        </is>
      </c>
      <c r="G614" t="inlineStr">
        <is>
          <t>OCKELBO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45139</v>
      </c>
      <c r="E615" s="1" t="n">
        <v>46303</v>
      </c>
      <c r="F615" t="inlineStr">
        <is>
          <t>GÄVLEBORGS LÄN</t>
        </is>
      </c>
      <c r="G615" t="inlineStr">
        <is>
          <t>OCKELBO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11423-2026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46083</v>
      </c>
      <c r="E616" s="1" t="n">
        <v>46303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11496-2026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46303</v>
      </c>
      <c r="F617" t="inlineStr">
        <is>
          <t>GÄVLEBORGS LÄN</t>
        </is>
      </c>
      <c r="G617" t="inlineStr">
        <is>
          <t>OCKELBO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46303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11237-2026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46080</v>
      </c>
      <c r="E619" s="1" t="n">
        <v>46303</v>
      </c>
      <c r="F619" t="inlineStr">
        <is>
          <t>GÄVLEBORGS LÄN</t>
        </is>
      </c>
      <c r="G619" t="inlineStr">
        <is>
          <t>OCKELBO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46303</v>
      </c>
      <c r="F620" t="inlineStr">
        <is>
          <t>GÄVLEBORGS LÄN</t>
        </is>
      </c>
      <c r="G620" t="inlineStr">
        <is>
          <t>OCKELBO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29001-2026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46303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50197-2024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46303</v>
      </c>
      <c r="F622" t="inlineStr">
        <is>
          <t>GÄVLEBORGS LÄN</t>
        </is>
      </c>
      <c r="G622" t="inlineStr">
        <is>
          <t>OCKELBO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11810-2026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46303</v>
      </c>
      <c r="F623" t="inlineStr">
        <is>
          <t>GÄVLEBORGS LÄN</t>
        </is>
      </c>
      <c r="G623" t="inlineStr">
        <is>
          <t>OCKELBO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28672-2026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46303</v>
      </c>
      <c r="F624" t="inlineStr">
        <is>
          <t>GÄVLEBORGS LÄN</t>
        </is>
      </c>
      <c r="G624" t="inlineStr">
        <is>
          <t>OCKELBO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52330-2024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45609</v>
      </c>
      <c r="E625" s="1" t="n">
        <v>46303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12341-2026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46087</v>
      </c>
      <c r="E626" s="1" t="n">
        <v>46303</v>
      </c>
      <c r="F626" t="inlineStr">
        <is>
          <t>GÄVLEBORGS LÄN</t>
        </is>
      </c>
      <c r="G626" t="inlineStr">
        <is>
          <t>OCKELBO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12370-2026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46089</v>
      </c>
      <c r="E627" s="1" t="n">
        <v>46303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29.9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29386-2026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46303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46303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46303</v>
      </c>
      <c r="F630" t="inlineStr">
        <is>
          <t>GÄVLEBORGS LÄN</t>
        </is>
      </c>
      <c r="G630" t="inlineStr">
        <is>
          <t>OCKELBO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46205</v>
      </c>
      <c r="E631" s="1" t="n">
        <v>46303</v>
      </c>
      <c r="F631" t="inlineStr">
        <is>
          <t>GÄVLEBORGS LÄN</t>
        </is>
      </c>
      <c r="G631" t="inlineStr">
        <is>
          <t>OCKELBO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29849-2026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46303</v>
      </c>
      <c r="F632" t="inlineStr">
        <is>
          <t>GÄVLEBORGS LÄN</t>
        </is>
      </c>
      <c r="G632" t="inlineStr">
        <is>
          <t>OCKELBO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12716-2026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46091</v>
      </c>
      <c r="E633" s="1" t="n">
        <v>46303</v>
      </c>
      <c r="F633" t="inlineStr">
        <is>
          <t>GÄVLEBORGS LÄN</t>
        </is>
      </c>
      <c r="G633" t="inlineStr">
        <is>
          <t>OCKELBO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60148-2023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46303</v>
      </c>
      <c r="F634" t="inlineStr">
        <is>
          <t>GÄVLEBORGS LÄN</t>
        </is>
      </c>
      <c r="G634" t="inlineStr">
        <is>
          <t>OCKELBO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46303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46303</v>
      </c>
      <c r="F636" t="inlineStr">
        <is>
          <t>GÄVLEBORGS LÄN</t>
        </is>
      </c>
      <c r="G636" t="inlineStr">
        <is>
          <t>OCKELBO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13162-2026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46303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12807-2026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46303</v>
      </c>
      <c r="F638" t="inlineStr">
        <is>
          <t>GÄVLEBORGS LÄN</t>
        </is>
      </c>
      <c r="G638" t="inlineStr">
        <is>
          <t>OCKELBO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29789-2026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46205</v>
      </c>
      <c r="E639" s="1" t="n">
        <v>46303</v>
      </c>
      <c r="F639" t="inlineStr">
        <is>
          <t>GÄVLEBORGS LÄN</t>
        </is>
      </c>
      <c r="G639" t="inlineStr">
        <is>
          <t>OCKELBO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45261</v>
      </c>
      <c r="E640" s="1" t="n">
        <v>46303</v>
      </c>
      <c r="F640" t="inlineStr">
        <is>
          <t>GÄVLEBORGS LÄN</t>
        </is>
      </c>
      <c r="G640" t="inlineStr">
        <is>
          <t>OCKELBO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13216-2026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46303</v>
      </c>
      <c r="F641" t="inlineStr">
        <is>
          <t>GÄVLEBORGS LÄN</t>
        </is>
      </c>
      <c r="G641" t="inlineStr">
        <is>
          <t>OCKELBO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13481-2026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46303</v>
      </c>
      <c r="F642" t="inlineStr">
        <is>
          <t>GÄVLEBORGS LÄN</t>
        </is>
      </c>
      <c r="G642" t="inlineStr">
        <is>
          <t>OCKELBO</t>
        </is>
      </c>
      <c r="H642" t="inlineStr">
        <is>
          <t>Naturvårdsverket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13621-2026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46303</v>
      </c>
      <c r="F643" t="inlineStr">
        <is>
          <t>GÄVLEBORGS LÄN</t>
        </is>
      </c>
      <c r="G643" t="inlineStr">
        <is>
          <t>OCKELBO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13321-2026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46303</v>
      </c>
      <c r="F644" t="inlineStr">
        <is>
          <t>GÄVLEBORGS LÄN</t>
        </is>
      </c>
      <c r="G644" t="inlineStr">
        <is>
          <t>OCKELBO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46303</v>
      </c>
      <c r="F645" t="inlineStr">
        <is>
          <t>GÄVLEBORGS LÄN</t>
        </is>
      </c>
      <c r="G645" t="inlineStr">
        <is>
          <t>OCKELBO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46098</v>
      </c>
      <c r="E646" s="1" t="n">
        <v>46303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13856-2026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46098</v>
      </c>
      <c r="E647" s="1" t="n">
        <v>46303</v>
      </c>
      <c r="F647" t="inlineStr">
        <is>
          <t>GÄVLEBORGS LÄN</t>
        </is>
      </c>
      <c r="G647" t="inlineStr">
        <is>
          <t>OCKELBO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46099</v>
      </c>
      <c r="E648" s="1" t="n">
        <v>46303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46303</v>
      </c>
      <c r="F649" t="inlineStr">
        <is>
          <t>GÄVLEBORGS LÄN</t>
        </is>
      </c>
      <c r="G649" t="inlineStr">
        <is>
          <t>OCKELBO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46098</v>
      </c>
      <c r="E650" s="1" t="n">
        <v>46303</v>
      </c>
      <c r="F650" t="inlineStr">
        <is>
          <t>GÄVLEBORGS LÄN</t>
        </is>
      </c>
      <c r="G650" t="inlineStr">
        <is>
          <t>OCKELBO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13825-2026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46303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13962-2026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46303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14037-2026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46303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14100-2026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46303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14439-2026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46100</v>
      </c>
      <c r="E655" s="1" t="n">
        <v>46303</v>
      </c>
      <c r="F655" t="inlineStr">
        <is>
          <t>GÄVLEBORGS LÄN</t>
        </is>
      </c>
      <c r="G655" t="inlineStr">
        <is>
          <t>OCKELBO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46100</v>
      </c>
      <c r="E656" s="1" t="n">
        <v>46303</v>
      </c>
      <c r="F656" t="inlineStr">
        <is>
          <t>GÄVLEBORGS LÄN</t>
        </is>
      </c>
      <c r="G656" t="inlineStr">
        <is>
          <t>OCKELBO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44281-2022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44839</v>
      </c>
      <c r="E657" s="1" t="n">
        <v>46303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46303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46104</v>
      </c>
      <c r="E659" s="1" t="n">
        <v>46303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46105</v>
      </c>
      <c r="E660" s="1" t="n">
        <v>46303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öst AB</t>
        </is>
      </c>
      <c r="I660" t="n">
        <v>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15067-2026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46104</v>
      </c>
      <c r="E661" s="1" t="n">
        <v>46303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15325-2025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45747</v>
      </c>
      <c r="E662" s="1" t="n">
        <v>46303</v>
      </c>
      <c r="F662" t="inlineStr">
        <is>
          <t>GÄVLEBORGS LÄN</t>
        </is>
      </c>
      <c r="G662" t="inlineStr">
        <is>
          <t>OCKELBO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46104</v>
      </c>
      <c r="E663" s="1" t="n">
        <v>46303</v>
      </c>
      <c r="F663" t="inlineStr">
        <is>
          <t>GÄVLEBORGS LÄN</t>
        </is>
      </c>
      <c r="G663" t="inlineStr">
        <is>
          <t>OCKELBO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15029-2026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46303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34.1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46303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46303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14973-2026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46303</v>
      </c>
      <c r="F667" t="inlineStr">
        <is>
          <t>GÄVLEBORGS LÄN</t>
        </is>
      </c>
      <c r="G667" t="inlineStr">
        <is>
          <t>OCKELBO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14169-2026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46303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37442-2023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45156</v>
      </c>
      <c r="E669" s="1" t="n">
        <v>46303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15679-2026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46106</v>
      </c>
      <c r="E670" s="1" t="n">
        <v>46303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6.2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46303</v>
      </c>
      <c r="F671" t="inlineStr">
        <is>
          <t>GÄVLEBORGS LÄN</t>
        </is>
      </c>
      <c r="G671" t="inlineStr">
        <is>
          <t>OCKELBO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46303</v>
      </c>
      <c r="F672" t="inlineStr">
        <is>
          <t>GÄVLEBORGS LÄN</t>
        </is>
      </c>
      <c r="G672" t="inlineStr">
        <is>
          <t>OCKELBO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30031-2026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46303</v>
      </c>
      <c r="F673" t="inlineStr">
        <is>
          <t>GÄVLEBORGS LÄN</t>
        </is>
      </c>
      <c r="G673" t="inlineStr">
        <is>
          <t>OCKELBO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46303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15648-2026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46106</v>
      </c>
      <c r="E675" s="1" t="n">
        <v>46303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15575-2026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46303</v>
      </c>
      <c r="F676" t="inlineStr">
        <is>
          <t>GÄVLEBORGS LÄN</t>
        </is>
      </c>
      <c r="G676" t="inlineStr">
        <is>
          <t>OCKELBO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16296-2026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46303</v>
      </c>
      <c r="F677" t="inlineStr">
        <is>
          <t>GÄVLEBORGS LÄN</t>
        </is>
      </c>
      <c r="G677" t="inlineStr">
        <is>
          <t>OCKELBO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16054-2026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46108</v>
      </c>
      <c r="E678" s="1" t="n">
        <v>46303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16006-2026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46303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9.699999999999999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16388-2026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46111</v>
      </c>
      <c r="E680" s="1" t="n">
        <v>46303</v>
      </c>
      <c r="F680" t="inlineStr">
        <is>
          <t>GÄVLEBORGS LÄN</t>
        </is>
      </c>
      <c r="G680" t="inlineStr">
        <is>
          <t>OCKELBO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33879-2023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45134</v>
      </c>
      <c r="E681" s="1" t="n">
        <v>46303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33987-2023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45134</v>
      </c>
      <c r="E682" s="1" t="n">
        <v>46303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16667-2026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46112</v>
      </c>
      <c r="E683" s="1" t="n">
        <v>46303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16481-2026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46112</v>
      </c>
      <c r="E684" s="1" t="n">
        <v>46303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16535-2026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46303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16981-2026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46114</v>
      </c>
      <c r="E686" s="1" t="n">
        <v>46303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9.4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46114</v>
      </c>
      <c r="E687" s="1" t="n">
        <v>46303</v>
      </c>
      <c r="F687" t="inlineStr">
        <is>
          <t>GÄVLEBORGS LÄN</t>
        </is>
      </c>
      <c r="G687" t="inlineStr">
        <is>
          <t>OCKELBO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16991-2026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46114</v>
      </c>
      <c r="E688" s="1" t="n">
        <v>46303</v>
      </c>
      <c r="F688" t="inlineStr">
        <is>
          <t>GÄVLEBORGS LÄN</t>
        </is>
      </c>
      <c r="G688" t="inlineStr">
        <is>
          <t>OCKELBO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46303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17115-2026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46114</v>
      </c>
      <c r="E690" s="1" t="n">
        <v>46303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17224-2026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46303</v>
      </c>
      <c r="F691" t="inlineStr">
        <is>
          <t>GÄVLEBORGS LÄN</t>
        </is>
      </c>
      <c r="G691" t="inlineStr">
        <is>
          <t>OCKELBO</t>
        </is>
      </c>
      <c r="I691" t="n">
        <v>3.3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17241-2026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46119</v>
      </c>
      <c r="E692" s="1" t="n">
        <v>46303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46118</v>
      </c>
      <c r="E693" s="1" t="n">
        <v>46303</v>
      </c>
      <c r="F693" t="inlineStr">
        <is>
          <t>GÄVLEBORGS LÄN</t>
        </is>
      </c>
      <c r="G693" t="inlineStr">
        <is>
          <t>OCKELBO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10290-2026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46076</v>
      </c>
      <c r="E694" s="1" t="n">
        <v>46303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öst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46076</v>
      </c>
      <c r="E695" s="1" t="n">
        <v>46303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öst AB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10457-2026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46077</v>
      </c>
      <c r="E696" s="1" t="n">
        <v>46303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öst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46303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öst AB</t>
        </is>
      </c>
      <c r="I697" t="n">
        <v>7.7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17589-2026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46121</v>
      </c>
      <c r="E698" s="1" t="n">
        <v>46303</v>
      </c>
      <c r="F698" t="inlineStr">
        <is>
          <t>GÄVLEBORGS LÄN</t>
        </is>
      </c>
      <c r="G698" t="inlineStr">
        <is>
          <t>OCKELBO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17600-2026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46121</v>
      </c>
      <c r="E699" s="1" t="n">
        <v>46303</v>
      </c>
      <c r="F699" t="inlineStr">
        <is>
          <t>GÄVLEBORGS LÄN</t>
        </is>
      </c>
      <c r="G699" t="inlineStr">
        <is>
          <t>OCKELBO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46049</v>
      </c>
      <c r="E700" s="1" t="n">
        <v>46303</v>
      </c>
      <c r="F700" t="inlineStr">
        <is>
          <t>GÄVLEBORGS LÄN</t>
        </is>
      </c>
      <c r="G700" t="inlineStr">
        <is>
          <t>OCKELBO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10309-2026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46303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öst AB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18133-2026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46125</v>
      </c>
      <c r="E702" s="1" t="n">
        <v>46303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15581-2026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46303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öst AB</t>
        </is>
      </c>
      <c r="I703" t="n">
        <v>7.6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29963-2024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45488</v>
      </c>
      <c r="E704" s="1" t="n">
        <v>46303</v>
      </c>
      <c r="F704" t="inlineStr">
        <is>
          <t>GÄVLEBORGS LÄN</t>
        </is>
      </c>
      <c r="G704" t="inlineStr">
        <is>
          <t>OCKELBO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46126</v>
      </c>
      <c r="E705" s="1" t="n">
        <v>46303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15255-2026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46303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18234-2026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46126</v>
      </c>
      <c r="E707" s="1" t="n">
        <v>46303</v>
      </c>
      <c r="F707" t="inlineStr">
        <is>
          <t>GÄVLEBORGS LÄN</t>
        </is>
      </c>
      <c r="G707" t="inlineStr">
        <is>
          <t>OCKELBO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46127</v>
      </c>
      <c r="E708" s="1" t="n">
        <v>46303</v>
      </c>
      <c r="F708" t="inlineStr">
        <is>
          <t>GÄVLEBORGS LÄN</t>
        </is>
      </c>
      <c r="G708" t="inlineStr">
        <is>
          <t>OCKELBO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18513-2026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46127</v>
      </c>
      <c r="E709" s="1" t="n">
        <v>46303</v>
      </c>
      <c r="F709" t="inlineStr">
        <is>
          <t>GÄVLEBORGS LÄN</t>
        </is>
      </c>
      <c r="G709" t="inlineStr">
        <is>
          <t>OCKELBO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46127</v>
      </c>
      <c r="E710" s="1" t="n">
        <v>46303</v>
      </c>
      <c r="F710" t="inlineStr">
        <is>
          <t>GÄVLEBORGS LÄN</t>
        </is>
      </c>
      <c r="G710" t="inlineStr">
        <is>
          <t>OCKELBO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13855-2026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46303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46260</v>
      </c>
      <c r="E712" s="1" t="n">
        <v>46303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46303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17.7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46216</v>
      </c>
      <c r="E714" s="1" t="n">
        <v>46303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46303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19138-2026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46303</v>
      </c>
      <c r="F716" t="inlineStr">
        <is>
          <t>GÄVLEBORGS LÄN</t>
        </is>
      </c>
      <c r="G716" t="inlineStr">
        <is>
          <t>OCKELBO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19213-2026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46303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52241-2024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45608</v>
      </c>
      <c r="E718" s="1" t="n">
        <v>46303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7.7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18705-2026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46128</v>
      </c>
      <c r="E719" s="1" t="n">
        <v>46303</v>
      </c>
      <c r="F719" t="inlineStr">
        <is>
          <t>GÄVLEBORGS LÄN</t>
        </is>
      </c>
      <c r="G719" t="inlineStr">
        <is>
          <t>OCKELBO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52243-2024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45608</v>
      </c>
      <c r="E720" s="1" t="n">
        <v>46303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16572-2026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46112</v>
      </c>
      <c r="E721" s="1" t="n">
        <v>46303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16530-2026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46112</v>
      </c>
      <c r="E722" s="1" t="n">
        <v>46303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34440-2023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45139</v>
      </c>
      <c r="E723" s="1" t="n">
        <v>46303</v>
      </c>
      <c r="F723" t="inlineStr">
        <is>
          <t>GÄVLEBORGS LÄN</t>
        </is>
      </c>
      <c r="G723" t="inlineStr">
        <is>
          <t>OCKELBO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46132</v>
      </c>
      <c r="E724" s="1" t="n">
        <v>46303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19139-2026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46132</v>
      </c>
      <c r="E725" s="1" t="n">
        <v>46303</v>
      </c>
      <c r="F725" t="inlineStr">
        <is>
          <t>GÄVLEBORGS LÄN</t>
        </is>
      </c>
      <c r="G725" t="inlineStr">
        <is>
          <t>OCKELBO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46128</v>
      </c>
      <c r="E726" s="1" t="n">
        <v>46303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29968-2024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45488</v>
      </c>
      <c r="E727" s="1" t="n">
        <v>46303</v>
      </c>
      <c r="F727" t="inlineStr">
        <is>
          <t>GÄVLEBORGS LÄN</t>
        </is>
      </c>
      <c r="G727" t="inlineStr">
        <is>
          <t>OCKELBO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31277-2026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46218</v>
      </c>
      <c r="E728" s="1" t="n">
        <v>46303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51989-2023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45223</v>
      </c>
      <c r="E729" s="1" t="n">
        <v>46303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19040-2026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46132</v>
      </c>
      <c r="E730" s="1" t="n">
        <v>46303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46303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21900-2023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45068</v>
      </c>
      <c r="E732" s="1" t="n">
        <v>46303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19491-2026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46303</v>
      </c>
      <c r="F733" t="inlineStr">
        <is>
          <t>GÄVLEBORGS LÄN</t>
        </is>
      </c>
      <c r="G733" t="inlineStr">
        <is>
          <t>OCKELBO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19603-2026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46134</v>
      </c>
      <c r="E734" s="1" t="n">
        <v>46303</v>
      </c>
      <c r="F734" t="inlineStr">
        <is>
          <t>GÄVLEBORGS LÄN</t>
        </is>
      </c>
      <c r="G734" t="inlineStr">
        <is>
          <t>OCKELBO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19531-2026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46134</v>
      </c>
      <c r="E735" s="1" t="n">
        <v>46303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19431-2026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46303</v>
      </c>
      <c r="F736" t="inlineStr">
        <is>
          <t>GÄVLEBORGS LÄN</t>
        </is>
      </c>
      <c r="G736" t="inlineStr">
        <is>
          <t>OCKELBO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19271-2026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46133</v>
      </c>
      <c r="E737" s="1" t="n">
        <v>46303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3034-2025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45678</v>
      </c>
      <c r="E738" s="1" t="n">
        <v>46303</v>
      </c>
      <c r="F738" t="inlineStr">
        <is>
          <t>GÄVLEBORGS LÄN</t>
        </is>
      </c>
      <c r="G738" t="inlineStr">
        <is>
          <t>OCKELBO</t>
        </is>
      </c>
      <c r="I738" t="n">
        <v>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56741-2024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45628</v>
      </c>
      <c r="E739" s="1" t="n">
        <v>46303</v>
      </c>
      <c r="F739" t="inlineStr">
        <is>
          <t>GÄVLEBORGS LÄN</t>
        </is>
      </c>
      <c r="G739" t="inlineStr">
        <is>
          <t>OCKELBO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19277-2026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46303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46303</v>
      </c>
      <c r="F741" t="inlineStr">
        <is>
          <t>GÄVLEBORGS LÄN</t>
        </is>
      </c>
      <c r="G741" t="inlineStr">
        <is>
          <t>OCKELBO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19924-2026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46136</v>
      </c>
      <c r="E742" s="1" t="n">
        <v>46303</v>
      </c>
      <c r="F742" t="inlineStr">
        <is>
          <t>GÄVLEBORGS LÄN</t>
        </is>
      </c>
      <c r="G742" t="inlineStr">
        <is>
          <t>OCKELBO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49448-2023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45211</v>
      </c>
      <c r="E743" s="1" t="n">
        <v>46303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62096-2024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45656</v>
      </c>
      <c r="E744" s="1" t="n">
        <v>46303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19772-2025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45771</v>
      </c>
      <c r="E745" s="1" t="n">
        <v>46303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19774-2025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45771</v>
      </c>
      <c r="E746" s="1" t="n">
        <v>46303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5.3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46074-2024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45581</v>
      </c>
      <c r="E747" s="1" t="n">
        <v>46303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31443-2026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46220</v>
      </c>
      <c r="E748" s="1" t="n">
        <v>46303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21878-2023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45068</v>
      </c>
      <c r="E749" s="1" t="n">
        <v>46303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19945-2026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46136</v>
      </c>
      <c r="E750" s="1" t="n">
        <v>46303</v>
      </c>
      <c r="F750" t="inlineStr">
        <is>
          <t>GÄVLEBORGS LÄN</t>
        </is>
      </c>
      <c r="G750" t="inlineStr">
        <is>
          <t>OCKELBO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17208-2026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46119</v>
      </c>
      <c r="E751" s="1" t="n">
        <v>46303</v>
      </c>
      <c r="F751" t="inlineStr">
        <is>
          <t>GÄVLEBORGS LÄN</t>
        </is>
      </c>
      <c r="G751" t="inlineStr">
        <is>
          <t>OCKELBO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39430-2024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45551</v>
      </c>
      <c r="E752" s="1" t="n">
        <v>46303</v>
      </c>
      <c r="F752" t="inlineStr">
        <is>
          <t>GÄVLEBORGS LÄN</t>
        </is>
      </c>
      <c r="G752" t="inlineStr">
        <is>
          <t>OCKELBO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17117-2026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46303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8662-2025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45712</v>
      </c>
      <c r="E754" s="1" t="n">
        <v>46303</v>
      </c>
      <c r="F754" t="inlineStr">
        <is>
          <t>GÄVLEBORGS LÄN</t>
        </is>
      </c>
      <c r="G754" t="inlineStr">
        <is>
          <t>OCKELBO</t>
        </is>
      </c>
      <c r="I754" t="n">
        <v>14.7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20481-2026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46140</v>
      </c>
      <c r="E755" s="1" t="n">
        <v>46303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9556-2026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46303</v>
      </c>
      <c r="F756" t="inlineStr">
        <is>
          <t>GÄVLEBORGS LÄN</t>
        </is>
      </c>
      <c r="G756" t="inlineStr">
        <is>
          <t>OCKELBO</t>
        </is>
      </c>
      <c r="I756" t="n">
        <v>11.9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33079-2025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45840</v>
      </c>
      <c r="E757" s="1" t="n">
        <v>46303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46303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46303</v>
      </c>
      <c r="F759" t="inlineStr">
        <is>
          <t>GÄVLEBORGS LÄN</t>
        </is>
      </c>
      <c r="G759" t="inlineStr">
        <is>
          <t>OCKELBO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8343-2026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46064</v>
      </c>
      <c r="E760" s="1" t="n">
        <v>46303</v>
      </c>
      <c r="F760" t="inlineStr">
        <is>
          <t>GÄVLEBORGS LÄN</t>
        </is>
      </c>
      <c r="G760" t="inlineStr">
        <is>
          <t>OCKELBO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55070-2023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45237</v>
      </c>
      <c r="E761" s="1" t="n">
        <v>46303</v>
      </c>
      <c r="F761" t="inlineStr">
        <is>
          <t>GÄVLEBORGS LÄN</t>
        </is>
      </c>
      <c r="G761" t="inlineStr">
        <is>
          <t>OCKELBO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58156-2025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45982</v>
      </c>
      <c r="E762" s="1" t="n">
        <v>46303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20467-2026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46140</v>
      </c>
      <c r="E763" s="1" t="n">
        <v>46303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20149-2026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46137</v>
      </c>
      <c r="E764" s="1" t="n">
        <v>46303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7.3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20150-2026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46137</v>
      </c>
      <c r="E765" s="1" t="n">
        <v>46303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13931-2026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46098</v>
      </c>
      <c r="E766" s="1" t="n">
        <v>46303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31530-2026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46223</v>
      </c>
      <c r="E767" s="1" t="n">
        <v>46303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9461-2026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46303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40218-2023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45169</v>
      </c>
      <c r="E769" s="1" t="n">
        <v>46303</v>
      </c>
      <c r="F769" t="inlineStr">
        <is>
          <t>GÄVLEBORGS LÄN</t>
        </is>
      </c>
      <c r="G769" t="inlineStr">
        <is>
          <t>OCKELBO</t>
        </is>
      </c>
      <c r="I769" t="n">
        <v>13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31517-2026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46223</v>
      </c>
      <c r="E770" s="1" t="n">
        <v>46303</v>
      </c>
      <c r="F770" t="inlineStr">
        <is>
          <t>GÄVLEBORGS LÄN</t>
        </is>
      </c>
      <c r="G770" t="inlineStr">
        <is>
          <t>OCKELBO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31519-2026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46223</v>
      </c>
      <c r="E771" s="1" t="n">
        <v>46303</v>
      </c>
      <c r="F771" t="inlineStr">
        <is>
          <t>GÄVLEBORGS LÄN</t>
        </is>
      </c>
      <c r="G771" t="inlineStr">
        <is>
          <t>OCKELBO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31571-2026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46224</v>
      </c>
      <c r="E772" s="1" t="n">
        <v>46303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31591-2026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46224</v>
      </c>
      <c r="E773" s="1" t="n">
        <v>46303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36097-2026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46267</v>
      </c>
      <c r="E774" s="1" t="n">
        <v>46303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36280-2026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46268</v>
      </c>
      <c r="E775" s="1" t="n">
        <v>46303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46268</v>
      </c>
      <c r="E776" s="1" t="n">
        <v>46303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19178-2023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45048</v>
      </c>
      <c r="E777" s="1" t="n">
        <v>46303</v>
      </c>
      <c r="F777" t="inlineStr">
        <is>
          <t>GÄVLEBORGS LÄN</t>
        </is>
      </c>
      <c r="G777" t="inlineStr">
        <is>
          <t>OCKELBO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37386-2023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45156</v>
      </c>
      <c r="E778" s="1" t="n">
        <v>46303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36467-2026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46303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36562-2026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46269</v>
      </c>
      <c r="E780" s="1" t="n">
        <v>46303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2556-2025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45674</v>
      </c>
      <c r="E781" s="1" t="n">
        <v>46303</v>
      </c>
      <c r="F781" t="inlineStr">
        <is>
          <t>GÄVLEBORGS LÄN</t>
        </is>
      </c>
      <c r="G781" t="inlineStr">
        <is>
          <t>OCKELBO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59063-2023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45252</v>
      </c>
      <c r="E782" s="1" t="n">
        <v>46303</v>
      </c>
      <c r="F782" t="inlineStr">
        <is>
          <t>GÄVLEBORGS LÄN</t>
        </is>
      </c>
      <c r="G782" t="inlineStr">
        <is>
          <t>OCKELBO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10150-2023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44986</v>
      </c>
      <c r="E783" s="1" t="n">
        <v>46303</v>
      </c>
      <c r="F783" t="inlineStr">
        <is>
          <t>GÄVLEBORGS LÄN</t>
        </is>
      </c>
      <c r="G783" t="inlineStr">
        <is>
          <t>OCKELBO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37845-2024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45544</v>
      </c>
      <c r="E784" s="1" t="n">
        <v>46303</v>
      </c>
      <c r="F784" t="inlineStr">
        <is>
          <t>GÄVLEBORGS LÄN</t>
        </is>
      </c>
      <c r="G784" t="inlineStr">
        <is>
          <t>OCKELBO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31804-2026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46230</v>
      </c>
      <c r="E785" s="1" t="n">
        <v>46303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37110-2026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46274</v>
      </c>
      <c r="E786" s="1" t="n">
        <v>46303</v>
      </c>
      <c r="F786" t="inlineStr">
        <is>
          <t>GÄVLEBORGS LÄN</t>
        </is>
      </c>
      <c r="G786" t="inlineStr">
        <is>
          <t>OCKELBO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37321-2026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46275</v>
      </c>
      <c r="E787" s="1" t="n">
        <v>46303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37487-2026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46275</v>
      </c>
      <c r="E788" s="1" t="n">
        <v>46303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31971-2026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46232</v>
      </c>
      <c r="E789" s="1" t="n">
        <v>46303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37841-2026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46279</v>
      </c>
      <c r="E790" s="1" t="n">
        <v>46303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20605-2026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46140</v>
      </c>
      <c r="E791" s="1" t="n">
        <v>46303</v>
      </c>
      <c r="F791" t="inlineStr">
        <is>
          <t>GÄVLEBORGS LÄN</t>
        </is>
      </c>
      <c r="G791" t="inlineStr">
        <is>
          <t>OCKELBO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20408-2026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46140</v>
      </c>
      <c r="E792" s="1" t="n">
        <v>46303</v>
      </c>
      <c r="F792" t="inlineStr">
        <is>
          <t>GÄVLEBORGS LÄN</t>
        </is>
      </c>
      <c r="G792" t="inlineStr">
        <is>
          <t>OCKELBO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46303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38648-2026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46303</v>
      </c>
      <c r="F794" t="inlineStr">
        <is>
          <t>GÄVLEBORGS LÄN</t>
        </is>
      </c>
      <c r="G794" t="inlineStr">
        <is>
          <t>OCKELBO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46052</v>
      </c>
      <c r="E795" s="1" t="n">
        <v>46303</v>
      </c>
      <c r="F795" t="inlineStr">
        <is>
          <t>GÄVLEBORGS LÄN</t>
        </is>
      </c>
      <c r="G795" t="inlineStr">
        <is>
          <t>OCKELBO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33176-2026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46245</v>
      </c>
      <c r="E796" s="1" t="n">
        <v>46303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14071-2026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46099</v>
      </c>
      <c r="E797" s="1" t="n">
        <v>46303</v>
      </c>
      <c r="F797" t="inlineStr">
        <is>
          <t>GÄVLEBORGS LÄN</t>
        </is>
      </c>
      <c r="G797" t="inlineStr">
        <is>
          <t>OCKELBO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39681-2026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46289</v>
      </c>
      <c r="E798" s="1" t="n">
        <v>46303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40117-2026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46293</v>
      </c>
      <c r="E799" s="1" t="n">
        <v>46303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8408-2026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46065</v>
      </c>
      <c r="E800" s="1" t="n">
        <v>46303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8683-2026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46066</v>
      </c>
      <c r="E801" s="1" t="n">
        <v>46303</v>
      </c>
      <c r="F801" t="inlineStr">
        <is>
          <t>GÄVLEBORGS LÄN</t>
        </is>
      </c>
      <c r="G801" t="inlineStr">
        <is>
          <t>OCKELBO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46303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40104-2026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46293</v>
      </c>
      <c r="E803" s="1" t="n">
        <v>46303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15042-2026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46104</v>
      </c>
      <c r="E804" s="1" t="n">
        <v>46303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9542-2026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46071</v>
      </c>
      <c r="E805" s="1" t="n">
        <v>46303</v>
      </c>
      <c r="F805" t="inlineStr">
        <is>
          <t>GÄVLEBORGS LÄN</t>
        </is>
      </c>
      <c r="G805" t="inlineStr">
        <is>
          <t>OCKELBO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46052</v>
      </c>
      <c r="E806" s="1" t="n">
        <v>46303</v>
      </c>
      <c r="F806" t="inlineStr">
        <is>
          <t>GÄVLEBORGS LÄN</t>
        </is>
      </c>
      <c r="G806" t="inlineStr">
        <is>
          <t>OCKELBO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40149-2026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46293</v>
      </c>
      <c r="E807" s="1" t="n">
        <v>46303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20984-2026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46142</v>
      </c>
      <c r="E808" s="1" t="n">
        <v>46303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58727-2025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45986</v>
      </c>
      <c r="E809" s="1" t="n">
        <v>46303</v>
      </c>
      <c r="F809" t="inlineStr">
        <is>
          <t>GÄVLEBORGS LÄN</t>
        </is>
      </c>
      <c r="G809" t="inlineStr">
        <is>
          <t>OCKELBO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17709-2026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46121</v>
      </c>
      <c r="E810" s="1" t="n">
        <v>46303</v>
      </c>
      <c r="F810" t="inlineStr">
        <is>
          <t>GÄVLEBORGS LÄN</t>
        </is>
      </c>
      <c r="G810" t="inlineStr">
        <is>
          <t>OCKELBO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40881-2026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46297</v>
      </c>
      <c r="E811" s="1" t="n">
        <v>46303</v>
      </c>
      <c r="F811" t="inlineStr">
        <is>
          <t>GÄVLEBORGS LÄN</t>
        </is>
      </c>
      <c r="G811" t="inlineStr">
        <is>
          <t>OCKELBO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22692-2026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46156</v>
      </c>
      <c r="E812" s="1" t="n">
        <v>46303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41071-2026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46300</v>
      </c>
      <c r="E813" s="1" t="n">
        <v>46303</v>
      </c>
      <c r="F813" t="inlineStr">
        <is>
          <t>GÄVLEBORGS LÄN</t>
        </is>
      </c>
      <c r="G813" t="inlineStr">
        <is>
          <t>OCKELBO</t>
        </is>
      </c>
      <c r="I813" t="n">
        <v>10.1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46303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12947-2026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46092</v>
      </c>
      <c r="E815" s="1" t="n">
        <v>46303</v>
      </c>
      <c r="F815" t="inlineStr">
        <is>
          <t>GÄVLEBORGS LÄN</t>
        </is>
      </c>
      <c r="G815" t="inlineStr">
        <is>
          <t>OCKELBO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11116-2026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46079</v>
      </c>
      <c r="E816" s="1" t="n">
        <v>46303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46038</v>
      </c>
      <c r="E817" s="1" t="n">
        <v>46303</v>
      </c>
      <c r="F817" t="inlineStr">
        <is>
          <t>GÄVLEBORGS LÄN</t>
        </is>
      </c>
      <c r="G817" t="inlineStr">
        <is>
          <t>OCKELBO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14410-2026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46303</v>
      </c>
      <c r="F818" t="inlineStr">
        <is>
          <t>GÄVLEBORGS LÄN</t>
        </is>
      </c>
      <c r="G818" t="inlineStr">
        <is>
          <t>OCKELBO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14756-2026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46303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2389-2026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46036</v>
      </c>
      <c r="E820" s="1" t="n">
        <v>46303</v>
      </c>
      <c r="F820" t="inlineStr">
        <is>
          <t>GÄVLEBORGS LÄN</t>
        </is>
      </c>
      <c r="G820" t="inlineStr">
        <is>
          <t>OCKELBO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27272-2026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46303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18326-2026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46126</v>
      </c>
      <c r="E822" s="1" t="n">
        <v>46303</v>
      </c>
      <c r="F822" t="inlineStr">
        <is>
          <t>GÄVLEBORGS LÄN</t>
        </is>
      </c>
      <c r="G822" t="inlineStr">
        <is>
          <t>OCKELBO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34765-2026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46258</v>
      </c>
      <c r="E823" s="1" t="n">
        <v>46303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17682-2026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46121</v>
      </c>
      <c r="E824" s="1" t="n">
        <v>46303</v>
      </c>
      <c r="F824" t="inlineStr">
        <is>
          <t>GÄVLEBORGS LÄN</t>
        </is>
      </c>
      <c r="G824" t="inlineStr">
        <is>
          <t>OCKELBO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46303</v>
      </c>
      <c r="F825" t="inlineStr">
        <is>
          <t>GÄVLEBORGS LÄN</t>
        </is>
      </c>
      <c r="G825" t="inlineStr">
        <is>
          <t>OCKELBO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46303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46303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46303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46303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46303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46303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46303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46303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46303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46303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46303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2602-2026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46300</v>
      </c>
      <c r="E837" s="1" t="n">
        <v>46303</v>
      </c>
      <c r="F837" t="inlineStr">
        <is>
          <t>GÄVLEBORGS LÄN</t>
        </is>
      </c>
      <c r="G837" t="inlineStr">
        <is>
          <t>OCKELBO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2216-2026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46255</v>
      </c>
      <c r="E838" s="1" t="n">
        <v>46303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19.4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2026-10-08T02:08:04Z</dcterms:created>
  <dcterms:modified xmlns:dcterms="http://purl.org/dc/terms/" xmlns:xsi="http://www.w3.org/2001/XMLSchema-instance" xsi:type="dcterms:W3CDTF">2026-10-08T02:08:16Z</dcterms:modified>
</cp:coreProperties>
</file>