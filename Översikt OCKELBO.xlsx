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46322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46322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46322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46322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46322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46322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46322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46322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46322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46322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46322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46322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46322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46322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26870-2026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46322</v>
      </c>
      <c r="F20" t="inlineStr">
        <is>
          <t>GÄVLEBORGS LÄN</t>
        </is>
      </c>
      <c r="G20" t="inlineStr">
        <is>
          <t>OCKELBO</t>
        </is>
      </c>
      <c r="I20" t="n">
        <v>1.7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Korallrot
Spindelblomster
Fläcknycklar</t>
        </is>
      </c>
      <c r="W20">
        <f>HYPERLINK("https://klasma.github.io/Logging_2101/artfynd/A 26870-2026 artfynd.xlsx", "A 26870-2026")</f>
        <v/>
      </c>
      <c r="X20">
        <f>HYPERLINK("https://klasma.github.io/Logging_2101/kartor/A 26870-2026 karta.png", "A 26870-2026")</f>
        <v/>
      </c>
      <c r="Y20">
        <f>HYPERLINK("https://klasma.github.io/Logging_2101/kartor_geotiff/A 26870-2026 georefererad karta.tif", "A 26870-2026")</f>
        <v/>
      </c>
      <c r="AA20">
        <f>HYPERLINK("https://klasma.github.io/Logging_2101/klagomål/A 26870-2026 FSC-klagomål.docx", "A 26870-2026")</f>
        <v/>
      </c>
      <c r="AB20">
        <f>HYPERLINK("https://klasma.github.io/Logging_2101/klagomålsmail/A 26870-2026 FSC-klagomål mail.docx", "A 26870-2026")</f>
        <v/>
      </c>
      <c r="AC20">
        <f>HYPERLINK("https://klasma.github.io/Logging_2101/tillsyn/A 26870-2026 tillsynsbegäran.docx", "A 26870-2026")</f>
        <v/>
      </c>
      <c r="AD20">
        <f>HYPERLINK("https://klasma.github.io/Logging_2101/tillsynsmail/A 26870-2026 tillsynsbegäran mail.docx", "A 26870-2026")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46322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22425-2026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46322</v>
      </c>
      <c r="F22" t="inlineStr">
        <is>
          <t>GÄVLEBORGS LÄN</t>
        </is>
      </c>
      <c r="G22" t="inlineStr">
        <is>
          <t>OCKELBO</t>
        </is>
      </c>
      <c r="I22" t="n">
        <v>0.9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Svart trolldruva
Ögonpyrola
Blåsippa</t>
        </is>
      </c>
      <c r="W22">
        <f>HYPERLINK("https://klasma.github.io/Logging_2101/artfynd/A 22425-2026 artfynd.xlsx", "A 22425-2026")</f>
        <v/>
      </c>
      <c r="X22">
        <f>HYPERLINK("https://klasma.github.io/Logging_2101/kartor/A 22425-2026 karta.png", "A 22425-2026")</f>
        <v/>
      </c>
      <c r="Y22">
        <f>HYPERLINK("https://klasma.github.io/Logging_2101/kartor_geotiff/A 22425-2026 georefererad karta.tif", "A 22425-2026")</f>
        <v/>
      </c>
      <c r="AA22">
        <f>HYPERLINK("https://klasma.github.io/Logging_2101/klagomål/A 22425-2026 FSC-klagomål.docx", "A 22425-2026")</f>
        <v/>
      </c>
      <c r="AB22">
        <f>HYPERLINK("https://klasma.github.io/Logging_2101/klagomålsmail/A 22425-2026 FSC-klagomål mail.docx", "A 22425-2026")</f>
        <v/>
      </c>
      <c r="AC22">
        <f>HYPERLINK("https://klasma.github.io/Logging_2101/tillsyn/A 22425-2026 tillsynsbegäran.docx", "A 22425-2026")</f>
        <v/>
      </c>
      <c r="AD22">
        <f>HYPERLINK("https://klasma.github.io/Logging_2101/tillsynsmail/A 22425-2026 tillsynsbegäran mail.docx", "A 22425-2026")</f>
        <v/>
      </c>
    </row>
    <row r="23" ht="15" customHeight="1">
      <c r="A23" t="inlineStr">
        <is>
          <t>A 18253-2026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46322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14.5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Blåsippa
Nattviol</t>
        </is>
      </c>
      <c r="W23">
        <f>HYPERLINK("https://klasma.github.io/Logging_2101/artfynd/A 18253-2026 artfynd.xlsx", "A 18253-2026")</f>
        <v/>
      </c>
      <c r="X23">
        <f>HYPERLINK("https://klasma.github.io/Logging_2101/kartor/A 18253-2026 karta.png", "A 18253-2026")</f>
        <v/>
      </c>
      <c r="Y23">
        <f>HYPERLINK("https://klasma.github.io/Logging_2101/kartor_geotiff/A 18253-2026 georefererad karta.tif", "A 18253-2026")</f>
        <v/>
      </c>
      <c r="AA23">
        <f>HYPERLINK("https://klasma.github.io/Logging_2101/klagomål/A 18253-2026 FSC-klagomål.docx", "A 18253-2026")</f>
        <v/>
      </c>
      <c r="AB23">
        <f>HYPERLINK("https://klasma.github.io/Logging_2101/klagomålsmail/A 18253-2026 FSC-klagomål mail.docx", "A 18253-2026")</f>
        <v/>
      </c>
      <c r="AC23">
        <f>HYPERLINK("https://klasma.github.io/Logging_2101/tillsyn/A 18253-2026 tillsynsbegäran.docx", "A 18253-2026")</f>
        <v/>
      </c>
      <c r="AD23">
        <f>HYPERLINK("https://klasma.github.io/Logging_2101/tillsynsmail/A 18253-2026 tillsynsbegäran mail.docx", "A 18253-2026")</f>
        <v/>
      </c>
    </row>
    <row r="24" ht="15" customHeight="1">
      <c r="A24" t="inlineStr">
        <is>
          <t>A 27199-2025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46322</v>
      </c>
      <c r="F24" t="inlineStr">
        <is>
          <t>GÄVLEBORGS LÄN</t>
        </is>
      </c>
      <c r="G24" t="inlineStr">
        <is>
          <t>OCKELBO</t>
        </is>
      </c>
      <c r="I24" t="n">
        <v>1.6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4</v>
      </c>
      <c r="U24" t="n">
        <v>4</v>
      </c>
      <c r="V24" s="2" t="inlineStr">
        <is>
          <t>Knärot
Dropptaggsvamp
Mattlummer</t>
        </is>
      </c>
      <c r="W24">
        <f>HYPERLINK("https://klasma.github.io/Logging_2101/artfynd/A 27199-2025 artfynd.xlsx", "A 27199-2025")</f>
        <v/>
      </c>
      <c r="X24">
        <f>HYPERLINK("https://klasma.github.io/Logging_2101/kartor/A 27199-2025 karta.png", "A 27199-2025")</f>
        <v/>
      </c>
      <c r="Y24">
        <f>HYPERLINK("https://klasma.github.io/Logging_2101/kartor_geotiff/A 27199-2025 georefererad karta.tif", "A 27199-2025")</f>
        <v/>
      </c>
      <c r="Z24">
        <f>HYPERLINK("https://klasma.github.io/Logging_2101/knärot/A 27199-2025 karta knärot.png", "A 27199-2025")</f>
        <v/>
      </c>
      <c r="AA24">
        <f>HYPERLINK("https://klasma.github.io/Logging_2101/klagomål/A 27199-2025 FSC-klagomål.docx", "A 27199-2025")</f>
        <v/>
      </c>
      <c r="AB24">
        <f>HYPERLINK("https://klasma.github.io/Logging_2101/klagomålsmail/A 27199-2025 FSC-klagomål mail.docx", "A 27199-2025")</f>
        <v/>
      </c>
      <c r="AC24">
        <f>HYPERLINK("https://klasma.github.io/Logging_2101/tillsyn/A 27199-2025 tillsynsbegäran.docx", "A 27199-2025")</f>
        <v/>
      </c>
      <c r="AD24">
        <f>HYPERLINK("https://klasma.github.io/Logging_2101/tillsynsmail/A 27199-2025 tillsynsbegäran mail.docx", "A 27199-2025")</f>
        <v/>
      </c>
    </row>
    <row r="25" ht="15" customHeight="1">
      <c r="A25" t="inlineStr">
        <is>
          <t>A 13474-2026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46094</v>
      </c>
      <c r="E25" s="1" t="n">
        <v>46322</v>
      </c>
      <c r="F25" t="inlineStr">
        <is>
          <t>GÄVLEBORGS LÄN</t>
        </is>
      </c>
      <c r="G25" t="inlineStr">
        <is>
          <t>OCKELBO</t>
        </is>
      </c>
      <c r="H25" t="inlineStr">
        <is>
          <t>Naturvårdsverket</t>
        </is>
      </c>
      <c r="I25" t="n">
        <v>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Orange taggsvamp
Ullticka
Vedtrappmossa</t>
        </is>
      </c>
      <c r="W25">
        <f>HYPERLINK("https://klasma.github.io/Logging_2101/artfynd/A 13474-2026 artfynd.xlsx", "A 13474-2026")</f>
        <v/>
      </c>
      <c r="X25">
        <f>HYPERLINK("https://klasma.github.io/Logging_2101/kartor/A 13474-2026 karta.png", "A 13474-2026")</f>
        <v/>
      </c>
      <c r="Y25">
        <f>HYPERLINK("https://klasma.github.io/Logging_2101/kartor_geotiff/A 13474-2026 georefererad karta.tif", "A 13474-2026")</f>
        <v/>
      </c>
      <c r="AA25">
        <f>HYPERLINK("https://klasma.github.io/Logging_2101/klagomål/A 13474-2026 FSC-klagomål.docx", "A 13474-2026")</f>
        <v/>
      </c>
      <c r="AB25">
        <f>HYPERLINK("https://klasma.github.io/Logging_2101/klagomålsmail/A 13474-2026 FSC-klagomål mail.docx", "A 13474-2026")</f>
        <v/>
      </c>
      <c r="AC25">
        <f>HYPERLINK("https://klasma.github.io/Logging_2101/tillsyn/A 13474-2026 tillsynsbegäran.docx", "A 13474-2026")</f>
        <v/>
      </c>
      <c r="AD25">
        <f>HYPERLINK("https://klasma.github.io/Logging_2101/tillsynsmail/A 13474-2026 tillsynsbegäran mail.docx", "A 13474-2026")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46322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46322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46322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46322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46322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46322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46322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46322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46322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46322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46322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60615-2021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46322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Vanlig padda</t>
        </is>
      </c>
      <c r="W37">
        <f>HYPERLINK("https://klasma.github.io/Logging_2101/artfynd/A 60615-2021 artfynd.xlsx", "A 60615-2021")</f>
        <v/>
      </c>
      <c r="X37">
        <f>HYPERLINK("https://klasma.github.io/Logging_2101/kartor/A 60615-2021 karta.png", "A 60615-2021")</f>
        <v/>
      </c>
      <c r="Y37">
        <f>HYPERLINK("https://klasma.github.io/Logging_2101/kartor_geotiff/A 60615-2021 georefererad karta.tif", "A 60615-2021")</f>
        <v/>
      </c>
      <c r="AA37">
        <f>HYPERLINK("https://klasma.github.io/Logging_2101/klagomål/A 60615-2021 FSC-klagomål.docx", "A 60615-2021")</f>
        <v/>
      </c>
      <c r="AB37">
        <f>HYPERLINK("https://klasma.github.io/Logging_2101/klagomålsmail/A 60615-2021 FSC-klagomål mail.docx", "A 60615-2021")</f>
        <v/>
      </c>
      <c r="AC37">
        <f>HYPERLINK("https://klasma.github.io/Logging_2101/tillsyn/A 60615-2021 tillsynsbegäran.docx", "A 60615-2021")</f>
        <v/>
      </c>
      <c r="AD37">
        <f>HYPERLINK("https://klasma.github.io/Logging_2101/tillsynsmail/A 60615-2021 tillsynsbegäran mail.docx", "A 60615-2021")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46322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46322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4226-2023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44953</v>
      </c>
      <c r="E40" s="1" t="n">
        <v>46322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Skogsknipprot</t>
        </is>
      </c>
      <c r="W40">
        <f>HYPERLINK("https://klasma.github.io/Logging_2101/artfynd/A 4226-2023 artfynd.xlsx", "A 4226-2023")</f>
        <v/>
      </c>
      <c r="X40">
        <f>HYPERLINK("https://klasma.github.io/Logging_2101/kartor/A 4226-2023 karta.png", "A 4226-2023")</f>
        <v/>
      </c>
      <c r="Y40">
        <f>HYPERLINK("https://klasma.github.io/Logging_2101/kartor_geotiff/A 4226-2023 georefererad karta.tif", "A 4226-2023")</f>
        <v/>
      </c>
      <c r="AA40">
        <f>HYPERLINK("https://klasma.github.io/Logging_2101/klagomål/A 4226-2023 FSC-klagomål.docx", "A 4226-2023")</f>
        <v/>
      </c>
      <c r="AB40">
        <f>HYPERLINK("https://klasma.github.io/Logging_2101/klagomålsmail/A 4226-2023 FSC-klagomål mail.docx", "A 4226-2023")</f>
        <v/>
      </c>
      <c r="AC40">
        <f>HYPERLINK("https://klasma.github.io/Logging_2101/tillsyn/A 4226-2023 tillsynsbegäran.docx", "A 4226-2023")</f>
        <v/>
      </c>
      <c r="AD40">
        <f>HYPERLINK("https://klasma.github.io/Logging_2101/tillsynsmail/A 4226-2023 tillsynsbegäran mail.docx", "A 4226-2023")</f>
        <v/>
      </c>
    </row>
    <row r="41" ht="15" customHeight="1">
      <c r="A41" t="inlineStr">
        <is>
          <t>A 15841-2023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45022</v>
      </c>
      <c r="E41" s="1" t="n">
        <v>46322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Havsörn</t>
        </is>
      </c>
      <c r="W41">
        <f>HYPERLINK("https://klasma.github.io/Logging_2101/artfynd/A 15841-2023 artfynd.xlsx", "A 15841-2023")</f>
        <v/>
      </c>
      <c r="X41">
        <f>HYPERLINK("https://klasma.github.io/Logging_2101/kartor/A 15841-2023 karta.png", "A 15841-2023")</f>
        <v/>
      </c>
      <c r="Y41">
        <f>HYPERLINK("https://klasma.github.io/Logging_2101/kartor_geotiff/A 15841-2023 georefererad karta.tif", "A 15841-2023")</f>
        <v/>
      </c>
      <c r="AA41">
        <f>HYPERLINK("https://klasma.github.io/Logging_2101/klagomål/A 15841-2023 FSC-klagomål.docx", "A 15841-2023")</f>
        <v/>
      </c>
      <c r="AB41">
        <f>HYPERLINK("https://klasma.github.io/Logging_2101/klagomålsmail/A 15841-2023 FSC-klagomål mail.docx", "A 15841-2023")</f>
        <v/>
      </c>
      <c r="AC41">
        <f>HYPERLINK("https://klasma.github.io/Logging_2101/tillsyn/A 15841-2023 tillsynsbegäran.docx", "A 15841-2023")</f>
        <v/>
      </c>
      <c r="AD41">
        <f>HYPERLINK("https://klasma.github.io/Logging_2101/tillsynsmail/A 15841-2023 tillsynsbegäran mail.docx", "A 15841-2023")</f>
        <v/>
      </c>
      <c r="AE41">
        <f>HYPERLINK("https://klasma.github.io/Logging_2101/fåglar/A 15841-2023 prioriterade fågelarter.docx", "A 15841-2023")</f>
        <v/>
      </c>
    </row>
    <row r="42" ht="15" customHeight="1">
      <c r="A42" t="inlineStr">
        <is>
          <t>A 16738-2025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46322</v>
      </c>
      <c r="F42" t="inlineStr">
        <is>
          <t>GÄVLEBORGS LÄN</t>
        </is>
      </c>
      <c r="G42" t="inlineStr">
        <is>
          <t>OCKELBO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16738-2025 artfynd.xlsx", "A 16738-2025")</f>
        <v/>
      </c>
      <c r="X42">
        <f>HYPERLINK("https://klasma.github.io/Logging_2101/kartor/A 16738-2025 karta.png", "A 16738-2025")</f>
        <v/>
      </c>
      <c r="Y42">
        <f>HYPERLINK("https://klasma.github.io/Logging_2101/kartor_geotiff/A 16738-2025 georefererad karta.tif", "A 16738-2025")</f>
        <v/>
      </c>
      <c r="AA42">
        <f>HYPERLINK("https://klasma.github.io/Logging_2101/klagomål/A 16738-2025 FSC-klagomål.docx", "A 16738-2025")</f>
        <v/>
      </c>
      <c r="AB42">
        <f>HYPERLINK("https://klasma.github.io/Logging_2101/klagomålsmail/A 16738-2025 FSC-klagomål mail.docx", "A 16738-2025")</f>
        <v/>
      </c>
      <c r="AC42">
        <f>HYPERLINK("https://klasma.github.io/Logging_2101/tillsyn/A 16738-2025 tillsynsbegäran.docx", "A 16738-2025")</f>
        <v/>
      </c>
      <c r="AD42">
        <f>HYPERLINK("https://klasma.github.io/Logging_2101/tillsynsmail/A 16738-2025 tillsynsbegäran mail.docx", "A 16738-2025")</f>
        <v/>
      </c>
    </row>
    <row r="43" ht="15" customHeight="1">
      <c r="A43" t="inlineStr">
        <is>
          <t>A 33384-2024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45519</v>
      </c>
      <c r="E43" s="1" t="n">
        <v>46322</v>
      </c>
      <c r="F43" t="inlineStr">
        <is>
          <t>GÄVLEBORGS LÄN</t>
        </is>
      </c>
      <c r="G43" t="inlineStr">
        <is>
          <t>OCKELBO</t>
        </is>
      </c>
      <c r="I43" t="n">
        <v>3.8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Plattlummer</t>
        </is>
      </c>
      <c r="W43">
        <f>HYPERLINK("https://klasma.github.io/Logging_2101/artfynd/A 33384-2024 artfynd.xlsx", "A 33384-2024")</f>
        <v/>
      </c>
      <c r="X43">
        <f>HYPERLINK("https://klasma.github.io/Logging_2101/kartor/A 33384-2024 karta.png", "A 33384-2024")</f>
        <v/>
      </c>
      <c r="Y43">
        <f>HYPERLINK("https://klasma.github.io/Logging_2101/kartor_geotiff/A 33384-2024 georefererad karta.tif", "A 33384-2024")</f>
        <v/>
      </c>
      <c r="AA43">
        <f>HYPERLINK("https://klasma.github.io/Logging_2101/klagomål/A 33384-2024 FSC-klagomål.docx", "A 33384-2024")</f>
        <v/>
      </c>
      <c r="AB43">
        <f>HYPERLINK("https://klasma.github.io/Logging_2101/klagomålsmail/A 33384-2024 FSC-klagomål mail.docx", "A 33384-2024")</f>
        <v/>
      </c>
      <c r="AC43">
        <f>HYPERLINK("https://klasma.github.io/Logging_2101/tillsyn/A 33384-2024 tillsynsbegäran.docx", "A 33384-2024")</f>
        <v/>
      </c>
      <c r="AD43">
        <f>HYPERLINK("https://klasma.github.io/Logging_2101/tillsynsmail/A 33384-2024 tillsynsbegäran mail.docx", "A 33384-2024")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46322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62989-2025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46322</v>
      </c>
      <c r="F45" t="inlineStr">
        <is>
          <t>GÄVLEBORGS LÄN</t>
        </is>
      </c>
      <c r="G45" t="inlineStr">
        <is>
          <t>OCKELBO</t>
        </is>
      </c>
      <c r="I45" t="n">
        <v>1.7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HYPERLINK("https://klasma.github.io/Logging_2101/artfynd/A 62989-2025 artfynd.xlsx", "A 62989-2025")</f>
        <v/>
      </c>
      <c r="X45">
        <f>HYPERLINK("https://klasma.github.io/Logging_2101/kartor/A 62989-2025 karta.png", "A 62989-2025")</f>
        <v/>
      </c>
      <c r="Y45">
        <f>HYPERLINK("https://klasma.github.io/Logging_2101/kartor_geotiff/A 62989-2025 georefererad karta.tif", "A 62989-2025")</f>
        <v/>
      </c>
      <c r="AA45">
        <f>HYPERLINK("https://klasma.github.io/Logging_2101/klagomål/A 62989-2025 FSC-klagomål.docx", "A 62989-2025")</f>
        <v/>
      </c>
      <c r="AB45">
        <f>HYPERLINK("https://klasma.github.io/Logging_2101/klagomålsmail/A 62989-2025 FSC-klagomål mail.docx", "A 62989-2025")</f>
        <v/>
      </c>
      <c r="AC45">
        <f>HYPERLINK("https://klasma.github.io/Logging_2101/tillsyn/A 62989-2025 tillsynsbegäran.docx", "A 62989-2025")</f>
        <v/>
      </c>
      <c r="AD45">
        <f>HYPERLINK("https://klasma.github.io/Logging_2101/tillsynsmail/A 62989-2025 tillsynsbegäran mail.docx", "A 62989-2025")</f>
        <v/>
      </c>
    </row>
    <row r="46" ht="15" customHeight="1">
      <c r="A46" t="inlineStr">
        <is>
          <t>A 2923-2026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46038</v>
      </c>
      <c r="E46" s="1" t="n">
        <v>46322</v>
      </c>
      <c r="F46" t="inlineStr">
        <is>
          <t>GÄVLEBORGS LÄN</t>
        </is>
      </c>
      <c r="G46" t="inlineStr">
        <is>
          <t>OCKELBO</t>
        </is>
      </c>
      <c r="I46" t="n">
        <v>2.8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HYPERLINK("https://klasma.github.io/Logging_2101/artfynd/A 2923-2026 artfynd.xlsx", "A 2923-2026")</f>
        <v/>
      </c>
      <c r="X46">
        <f>HYPERLINK("https://klasma.github.io/Logging_2101/kartor/A 2923-2026 karta.png", "A 2923-2026")</f>
        <v/>
      </c>
      <c r="Y46">
        <f>HYPERLINK("https://klasma.github.io/Logging_2101/kartor_geotiff/A 2923-2026 georefererad karta.tif", "A 2923-2026")</f>
        <v/>
      </c>
      <c r="Z46">
        <f>HYPERLINK("https://klasma.github.io/Logging_2101/knärot/A 2923-2026 karta knärot.png", "A 2923-2026")</f>
        <v/>
      </c>
      <c r="AA46">
        <f>HYPERLINK("https://klasma.github.io/Logging_2101/klagomål/A 2923-2026 FSC-klagomål.docx", "A 2923-2026")</f>
        <v/>
      </c>
      <c r="AB46">
        <f>HYPERLINK("https://klasma.github.io/Logging_2101/klagomålsmail/A 2923-2026 FSC-klagomål mail.docx", "A 2923-2026")</f>
        <v/>
      </c>
      <c r="AC46">
        <f>HYPERLINK("https://klasma.github.io/Logging_2101/tillsyn/A 2923-2026 tillsynsbegäran.docx", "A 2923-2026")</f>
        <v/>
      </c>
      <c r="AD46">
        <f>HYPERLINK("https://klasma.github.io/Logging_2101/tillsynsmail/A 2923-2026 tillsynsbegäran mail.docx", "A 2923-2026")</f>
        <v/>
      </c>
    </row>
    <row r="47" ht="15" customHeight="1">
      <c r="A47" t="inlineStr">
        <is>
          <t>A 6121-2026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46053</v>
      </c>
      <c r="E47" s="1" t="n">
        <v>46322</v>
      </c>
      <c r="F47" t="inlineStr">
        <is>
          <t>GÄVLEBORGS LÄN</t>
        </is>
      </c>
      <c r="G47" t="inlineStr">
        <is>
          <t>OCKELBO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HYPERLINK("https://klasma.github.io/Logging_2101/artfynd/A 6121-2026 artfynd.xlsx", "A 6121-2026")</f>
        <v/>
      </c>
      <c r="X47">
        <f>HYPERLINK("https://klasma.github.io/Logging_2101/kartor/A 6121-2026 karta.png", "A 6121-2026")</f>
        <v/>
      </c>
      <c r="Y47">
        <f>HYPERLINK("https://klasma.github.io/Logging_2101/kartor_geotiff/A 6121-2026 georefererad karta.tif", "A 6121-2026")</f>
        <v/>
      </c>
      <c r="AA47">
        <f>HYPERLINK("https://klasma.github.io/Logging_2101/klagomål/A 6121-2026 FSC-klagomål.docx", "A 6121-2026")</f>
        <v/>
      </c>
      <c r="AB47">
        <f>HYPERLINK("https://klasma.github.io/Logging_2101/klagomålsmail/A 6121-2026 FSC-klagomål mail.docx", "A 6121-2026")</f>
        <v/>
      </c>
      <c r="AC47">
        <f>HYPERLINK("https://klasma.github.io/Logging_2101/tillsyn/A 6121-2026 tillsynsbegäran.docx", "A 6121-2026")</f>
        <v/>
      </c>
      <c r="AD47">
        <f>HYPERLINK("https://klasma.github.io/Logging_2101/tillsynsmail/A 6121-2026 tillsynsbegäran mail.docx", "A 6121-2026")</f>
        <v/>
      </c>
      <c r="AE47">
        <f>HYPERLINK("https://klasma.github.io/Logging_2101/fåglar/A 6121-2026 prioriterade fågelarter.docx", "A 6121-2026")</f>
        <v/>
      </c>
    </row>
    <row r="48" ht="15" customHeight="1">
      <c r="A48" t="inlineStr">
        <is>
          <t>A 6586-2026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46056</v>
      </c>
      <c r="E48" s="1" t="n">
        <v>46322</v>
      </c>
      <c r="F48" t="inlineStr">
        <is>
          <t>GÄVLEBORGS LÄN</t>
        </is>
      </c>
      <c r="G48" t="inlineStr">
        <is>
          <t>OCKELBO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6586-2026 artfynd.xlsx", "A 6586-2026")</f>
        <v/>
      </c>
      <c r="X48">
        <f>HYPERLINK("https://klasma.github.io/Logging_2101/kartor/A 6586-2026 karta.png", "A 6586-2026")</f>
        <v/>
      </c>
      <c r="Y48">
        <f>HYPERLINK("https://klasma.github.io/Logging_2101/kartor_geotiff/A 6586-2026 georefererad karta.tif", "A 6586-2026")</f>
        <v/>
      </c>
      <c r="AA48">
        <f>HYPERLINK("https://klasma.github.io/Logging_2101/klagomål/A 6586-2026 FSC-klagomål.docx", "A 6586-2026")</f>
        <v/>
      </c>
      <c r="AB48">
        <f>HYPERLINK("https://klasma.github.io/Logging_2101/klagomålsmail/A 6586-2026 FSC-klagomål mail.docx", "A 6586-2026")</f>
        <v/>
      </c>
      <c r="AC48">
        <f>HYPERLINK("https://klasma.github.io/Logging_2101/tillsyn/A 6586-2026 tillsynsbegäran.docx", "A 6586-2026")</f>
        <v/>
      </c>
      <c r="AD48">
        <f>HYPERLINK("https://klasma.github.io/Logging_2101/tillsynsmail/A 6586-2026 tillsynsbegäran mail.docx", "A 6586-2026")</f>
        <v/>
      </c>
    </row>
    <row r="49" ht="15" customHeight="1">
      <c r="A49" t="inlineStr">
        <is>
          <t>A 10484-2026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46077</v>
      </c>
      <c r="E49" s="1" t="n">
        <v>46322</v>
      </c>
      <c r="F49" t="inlineStr">
        <is>
          <t>GÄVLEBORGS LÄN</t>
        </is>
      </c>
      <c r="G49" t="inlineStr">
        <is>
          <t>OCKELBO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Ullticka</t>
        </is>
      </c>
      <c r="W49">
        <f>HYPERLINK("https://klasma.github.io/Logging_2101/artfynd/A 10484-2026 artfynd.xlsx", "A 10484-2026")</f>
        <v/>
      </c>
      <c r="X49">
        <f>HYPERLINK("https://klasma.github.io/Logging_2101/kartor/A 10484-2026 karta.png", "A 10484-2026")</f>
        <v/>
      </c>
      <c r="Y49">
        <f>HYPERLINK("https://klasma.github.io/Logging_2101/kartor_geotiff/A 10484-2026 georefererad karta.tif", "A 10484-2026")</f>
        <v/>
      </c>
      <c r="AA49">
        <f>HYPERLINK("https://klasma.github.io/Logging_2101/klagomål/A 10484-2026 FSC-klagomål.docx", "A 10484-2026")</f>
        <v/>
      </c>
      <c r="AB49">
        <f>HYPERLINK("https://klasma.github.io/Logging_2101/klagomålsmail/A 10484-2026 FSC-klagomål mail.docx", "A 10484-2026")</f>
        <v/>
      </c>
      <c r="AC49">
        <f>HYPERLINK("https://klasma.github.io/Logging_2101/tillsyn/A 10484-2026 tillsynsbegäran.docx", "A 10484-2026")</f>
        <v/>
      </c>
      <c r="AD49">
        <f>HYPERLINK("https://klasma.github.io/Logging_2101/tillsynsmail/A 10484-2026 tillsynsbegäran mail.docx", "A 10484-2026")</f>
        <v/>
      </c>
    </row>
    <row r="50" ht="15" customHeight="1">
      <c r="A50" t="inlineStr">
        <is>
          <t>A 13640-2026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46322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HYPERLINK("https://klasma.github.io/Logging_2101/artfynd/A 13640-2026 artfynd.xlsx", "A 13640-2026")</f>
        <v/>
      </c>
      <c r="X50">
        <f>HYPERLINK("https://klasma.github.io/Logging_2101/kartor/A 13640-2026 karta.png", "A 13640-2026")</f>
        <v/>
      </c>
      <c r="Y50">
        <f>HYPERLINK("https://klasma.github.io/Logging_2101/kartor_geotiff/A 13640-2026 georefererad karta.tif", "A 13640-2026")</f>
        <v/>
      </c>
      <c r="AA50">
        <f>HYPERLINK("https://klasma.github.io/Logging_2101/klagomål/A 13640-2026 FSC-klagomål.docx", "A 13640-2026")</f>
        <v/>
      </c>
      <c r="AB50">
        <f>HYPERLINK("https://klasma.github.io/Logging_2101/klagomålsmail/A 13640-2026 FSC-klagomål mail.docx", "A 13640-2026")</f>
        <v/>
      </c>
      <c r="AC50">
        <f>HYPERLINK("https://klasma.github.io/Logging_2101/tillsyn/A 13640-2026 tillsynsbegäran.docx", "A 13640-2026")</f>
        <v/>
      </c>
      <c r="AD50">
        <f>HYPERLINK("https://klasma.github.io/Logging_2101/tillsynsmail/A 13640-2026 tillsynsbegäran mail.docx", "A 13640-2026")</f>
        <v/>
      </c>
    </row>
    <row r="51" ht="15" customHeight="1">
      <c r="A51" t="inlineStr">
        <is>
          <t>A 14479-2026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46322</v>
      </c>
      <c r="F51" t="inlineStr">
        <is>
          <t>GÄVLEBORGS LÄN</t>
        </is>
      </c>
      <c r="G51" t="inlineStr">
        <is>
          <t>OCKELBO</t>
        </is>
      </c>
      <c r="I51" t="n">
        <v>4.8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Igelkott</t>
        </is>
      </c>
      <c r="W51">
        <f>HYPERLINK("https://klasma.github.io/Logging_2101/artfynd/A 14479-2026 artfynd.xlsx", "A 14479-2026")</f>
        <v/>
      </c>
      <c r="X51">
        <f>HYPERLINK("https://klasma.github.io/Logging_2101/kartor/A 14479-2026 karta.png", "A 14479-2026")</f>
        <v/>
      </c>
      <c r="Y51">
        <f>HYPERLINK("https://klasma.github.io/Logging_2101/kartor_geotiff/A 14479-2026 georefererad karta.tif", "A 14479-2026")</f>
        <v/>
      </c>
      <c r="AA51">
        <f>HYPERLINK("https://klasma.github.io/Logging_2101/klagomål/A 14479-2026 FSC-klagomål.docx", "A 14479-2026")</f>
        <v/>
      </c>
      <c r="AB51">
        <f>HYPERLINK("https://klasma.github.io/Logging_2101/klagomålsmail/A 14479-2026 FSC-klagomål mail.docx", "A 14479-2026")</f>
        <v/>
      </c>
      <c r="AC51">
        <f>HYPERLINK("https://klasma.github.io/Logging_2101/tillsyn/A 14479-2026 tillsynsbegäran.docx", "A 14479-2026")</f>
        <v/>
      </c>
      <c r="AD51">
        <f>HYPERLINK("https://klasma.github.io/Logging_2101/tillsynsmail/A 14479-2026 tillsynsbegäran mail.docx", "A 14479-2026")</f>
        <v/>
      </c>
    </row>
    <row r="52" ht="15" customHeight="1">
      <c r="A52" t="inlineStr">
        <is>
          <t>A 14664-2026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46101</v>
      </c>
      <c r="E52" s="1" t="n">
        <v>46322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Tjäder</t>
        </is>
      </c>
      <c r="W52">
        <f>HYPERLINK("https://klasma.github.io/Logging_2101/artfynd/A 14664-2026 artfynd.xlsx", "A 14664-2026")</f>
        <v/>
      </c>
      <c r="X52">
        <f>HYPERLINK("https://klasma.github.io/Logging_2101/kartor/A 14664-2026 karta.png", "A 14664-2026")</f>
        <v/>
      </c>
      <c r="Y52">
        <f>HYPERLINK("https://klasma.github.io/Logging_2101/kartor_geotiff/A 14664-2026 georefererad karta.tif", "A 14664-2026")</f>
        <v/>
      </c>
      <c r="AA52">
        <f>HYPERLINK("https://klasma.github.io/Logging_2101/klagomål/A 14664-2026 FSC-klagomål.docx", "A 14664-2026")</f>
        <v/>
      </c>
      <c r="AB52">
        <f>HYPERLINK("https://klasma.github.io/Logging_2101/klagomålsmail/A 14664-2026 FSC-klagomål mail.docx", "A 14664-2026")</f>
        <v/>
      </c>
      <c r="AC52">
        <f>HYPERLINK("https://klasma.github.io/Logging_2101/tillsyn/A 14664-2026 tillsynsbegäran.docx", "A 14664-2026")</f>
        <v/>
      </c>
      <c r="AD52">
        <f>HYPERLINK("https://klasma.github.io/Logging_2101/tillsynsmail/A 14664-2026 tillsynsbegäran mail.docx", "A 14664-2026")</f>
        <v/>
      </c>
      <c r="AE52">
        <f>HYPERLINK("https://klasma.github.io/Logging_2101/fåglar/A 14664-2026 prioriterade fågelarter.docx", "A 14664-2026")</f>
        <v/>
      </c>
    </row>
    <row r="53" ht="15" customHeight="1">
      <c r="A53" t="inlineStr">
        <is>
          <t>A 38583-2026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46283</v>
      </c>
      <c r="E53" s="1" t="n">
        <v>46322</v>
      </c>
      <c r="F53" t="inlineStr">
        <is>
          <t>GÄVLEBORGS LÄN</t>
        </is>
      </c>
      <c r="G53" t="inlineStr">
        <is>
          <t>OCKELBO</t>
        </is>
      </c>
      <c r="I53" t="n">
        <v>1.8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Månlåsbräken</t>
        </is>
      </c>
      <c r="W53">
        <f>HYPERLINK("https://klasma.github.io/Logging_2101/artfynd/A 38583-2026 artfynd.xlsx", "A 38583-2026")</f>
        <v/>
      </c>
      <c r="X53">
        <f>HYPERLINK("https://klasma.github.io/Logging_2101/kartor/A 38583-2026 karta.png", "A 38583-2026")</f>
        <v/>
      </c>
      <c r="Y53">
        <f>HYPERLINK("https://klasma.github.io/Logging_2101/kartor_geotiff/A 38583-2026 georefererad karta.tif", "A 38583-2026")</f>
        <v/>
      </c>
      <c r="AA53">
        <f>HYPERLINK("https://klasma.github.io/Logging_2101/klagomål/A 38583-2026 FSC-klagomål.docx", "A 38583-2026")</f>
        <v/>
      </c>
      <c r="AB53">
        <f>HYPERLINK("https://klasma.github.io/Logging_2101/klagomålsmail/A 38583-2026 FSC-klagomål mail.docx", "A 38583-2026")</f>
        <v/>
      </c>
      <c r="AC53">
        <f>HYPERLINK("https://klasma.github.io/Logging_2101/tillsyn/A 38583-2026 tillsynsbegäran.docx", "A 38583-2026")</f>
        <v/>
      </c>
      <c r="AD53">
        <f>HYPERLINK("https://klasma.github.io/Logging_2101/tillsynsmail/A 38583-2026 tillsynsbegäran mail.docx", "A 38583-2026")</f>
        <v/>
      </c>
    </row>
    <row r="54" ht="15" customHeight="1">
      <c r="A54" t="inlineStr">
        <is>
          <t>A 18188-2026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46322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32.9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HYPERLINK("https://klasma.github.io/Logging_2101/artfynd/A 18188-2026 artfynd.xlsx", "A 18188-2026")</f>
        <v/>
      </c>
      <c r="X54">
        <f>HYPERLINK("https://klasma.github.io/Logging_2101/kartor/A 18188-2026 karta.png", "A 18188-2026")</f>
        <v/>
      </c>
      <c r="Y54">
        <f>HYPERLINK("https://klasma.github.io/Logging_2101/kartor_geotiff/A 18188-2026 georefererad karta.tif", "A 18188-2026")</f>
        <v/>
      </c>
      <c r="AA54">
        <f>HYPERLINK("https://klasma.github.io/Logging_2101/klagomål/A 18188-2026 FSC-klagomål.docx", "A 18188-2026")</f>
        <v/>
      </c>
      <c r="AB54">
        <f>HYPERLINK("https://klasma.github.io/Logging_2101/klagomålsmail/A 18188-2026 FSC-klagomål mail.docx", "A 18188-2026")</f>
        <v/>
      </c>
      <c r="AC54">
        <f>HYPERLINK("https://klasma.github.io/Logging_2101/tillsyn/A 18188-2026 tillsynsbegäran.docx", "A 18188-2026")</f>
        <v/>
      </c>
      <c r="AD54">
        <f>HYPERLINK("https://klasma.github.io/Logging_2101/tillsynsmail/A 18188-2026 tillsynsbegäran mail.docx", "A 18188-2026")</f>
        <v/>
      </c>
      <c r="AE54">
        <f>HYPERLINK("https://klasma.github.io/Logging_2101/fåglar/A 18188-2026 prioriterade fågelarter.docx", "A 18188-2026")</f>
        <v/>
      </c>
    </row>
    <row r="55" ht="15" customHeight="1">
      <c r="A55" t="inlineStr">
        <is>
          <t>A 12777-2026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46091</v>
      </c>
      <c r="E55" s="1" t="n">
        <v>46322</v>
      </c>
      <c r="F55" t="inlineStr">
        <is>
          <t>GÄVLEBORGS LÄN</t>
        </is>
      </c>
      <c r="G55" t="inlineStr">
        <is>
          <t>OCKELBO</t>
        </is>
      </c>
      <c r="I55" t="n">
        <v>4.2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HYPERLINK("https://klasma.github.io/Logging_2101/artfynd/A 12777-2026 artfynd.xlsx", "A 12777-2026")</f>
        <v/>
      </c>
      <c r="X55">
        <f>HYPERLINK("https://klasma.github.io/Logging_2101/kartor/A 12777-2026 karta.png", "A 12777-2026")</f>
        <v/>
      </c>
      <c r="Y55">
        <f>HYPERLINK("https://klasma.github.io/Logging_2101/kartor_geotiff/A 12777-2026 georefererad karta.tif", "A 12777-2026")</f>
        <v/>
      </c>
      <c r="AA55">
        <f>HYPERLINK("https://klasma.github.io/Logging_2101/klagomål/A 12777-2026 FSC-klagomål.docx", "A 12777-2026")</f>
        <v/>
      </c>
      <c r="AB55">
        <f>HYPERLINK("https://klasma.github.io/Logging_2101/klagomålsmail/A 12777-2026 FSC-klagomål mail.docx", "A 12777-2026")</f>
        <v/>
      </c>
      <c r="AC55">
        <f>HYPERLINK("https://klasma.github.io/Logging_2101/tillsyn/A 12777-2026 tillsynsbegäran.docx", "A 12777-2026")</f>
        <v/>
      </c>
      <c r="AD55">
        <f>HYPERLINK("https://klasma.github.io/Logging_2101/tillsynsmail/A 12777-2026 tillsynsbegäran mail.docx", "A 12777-2026")</f>
        <v/>
      </c>
      <c r="AE55">
        <f>HYPERLINK("https://klasma.github.io/Logging_2101/fåglar/A 12777-2026 prioriterade fågelarter.docx", "A 12777-2026")</f>
        <v/>
      </c>
    </row>
    <row r="56" ht="15" customHeight="1">
      <c r="A56" t="inlineStr">
        <is>
          <t>A 10145-2026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46322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öst AB</t>
        </is>
      </c>
      <c r="I56" t="n">
        <v>10.5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Fläcknycklar</t>
        </is>
      </c>
      <c r="W56">
        <f>HYPERLINK("https://klasma.github.io/Logging_2101/artfynd/A 10145-2026 artfynd.xlsx", "A 10145-2026")</f>
        <v/>
      </c>
      <c r="X56">
        <f>HYPERLINK("https://klasma.github.io/Logging_2101/kartor/A 10145-2026 karta.png", "A 10145-2026")</f>
        <v/>
      </c>
      <c r="Y56">
        <f>HYPERLINK("https://klasma.github.io/Logging_2101/kartor_geotiff/A 10145-2026 georefererad karta.tif", "A 10145-2026")</f>
        <v/>
      </c>
      <c r="Z56">
        <f>HYPERLINK("https://klasma.github.io/Logging_2101/knärot/A 10145-2026 karta knärot.png", "A 10145-2026")</f>
        <v/>
      </c>
      <c r="AA56">
        <f>HYPERLINK("https://klasma.github.io/Logging_2101/klagomål/A 10145-2026 FSC-klagomål.docx", "A 10145-2026")</f>
        <v/>
      </c>
      <c r="AB56">
        <f>HYPERLINK("https://klasma.github.io/Logging_2101/klagomålsmail/A 10145-2026 FSC-klagomål mail.docx", "A 10145-2026")</f>
        <v/>
      </c>
      <c r="AC56">
        <f>HYPERLINK("https://klasma.github.io/Logging_2101/tillsyn/A 10145-2026 tillsynsbegäran.docx", "A 10145-2026")</f>
        <v/>
      </c>
      <c r="AD56">
        <f>HYPERLINK("https://klasma.github.io/Logging_2101/tillsynsmail/A 10145-2026 tillsynsbegäran mail.docx", "A 10145-2026")</f>
        <v/>
      </c>
    </row>
    <row r="57" ht="15" customHeight="1">
      <c r="A57" t="inlineStr">
        <is>
          <t>A 38351-2026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46282</v>
      </c>
      <c r="E57" s="1" t="n">
        <v>46322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12.1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Orre</t>
        </is>
      </c>
      <c r="W57">
        <f>HYPERLINK("https://klasma.github.io/Logging_2101/artfynd/A 38351-2026 artfynd.xlsx", "A 38351-2026")</f>
        <v/>
      </c>
      <c r="X57">
        <f>HYPERLINK("https://klasma.github.io/Logging_2101/kartor/A 38351-2026 karta.png", "A 38351-2026")</f>
        <v/>
      </c>
      <c r="Y57">
        <f>HYPERLINK("https://klasma.github.io/Logging_2101/kartor_geotiff/A 38351-2026 georefererad karta.tif", "A 38351-2026")</f>
        <v/>
      </c>
      <c r="AA57">
        <f>HYPERLINK("https://klasma.github.io/Logging_2101/klagomål/A 38351-2026 FSC-klagomål.docx", "A 38351-2026")</f>
        <v/>
      </c>
      <c r="AB57">
        <f>HYPERLINK("https://klasma.github.io/Logging_2101/klagomålsmail/A 38351-2026 FSC-klagomål mail.docx", "A 38351-2026")</f>
        <v/>
      </c>
      <c r="AC57">
        <f>HYPERLINK("https://klasma.github.io/Logging_2101/tillsyn/A 38351-2026 tillsynsbegäran.docx", "A 38351-2026")</f>
        <v/>
      </c>
      <c r="AD57">
        <f>HYPERLINK("https://klasma.github.io/Logging_2101/tillsynsmail/A 38351-2026 tillsynsbegäran mail.docx", "A 38351-2026")</f>
        <v/>
      </c>
      <c r="AE57">
        <f>HYPERLINK("https://klasma.github.io/Logging_2101/fåglar/A 38351-2026 prioriterade fågelarter.docx", "A 38351-2026")</f>
        <v/>
      </c>
    </row>
    <row r="58" ht="15" customHeight="1">
      <c r="A58" t="inlineStr">
        <is>
          <t>A 38355-2026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46282</v>
      </c>
      <c r="E58" s="1" t="n">
        <v>46322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HYPERLINK("https://klasma.github.io/Logging_2101/artfynd/A 38355-2026 artfynd.xlsx", "A 38355-2026")</f>
        <v/>
      </c>
      <c r="X58">
        <f>HYPERLINK("https://klasma.github.io/Logging_2101/kartor/A 38355-2026 karta.png", "A 38355-2026")</f>
        <v/>
      </c>
      <c r="Y58">
        <f>HYPERLINK("https://klasma.github.io/Logging_2101/kartor_geotiff/A 38355-2026 georefererad karta.tif", "A 38355-2026")</f>
        <v/>
      </c>
      <c r="AA58">
        <f>HYPERLINK("https://klasma.github.io/Logging_2101/klagomål/A 38355-2026 FSC-klagomål.docx", "A 38355-2026")</f>
        <v/>
      </c>
      <c r="AB58">
        <f>HYPERLINK("https://klasma.github.io/Logging_2101/klagomålsmail/A 38355-2026 FSC-klagomål mail.docx", "A 38355-2026")</f>
        <v/>
      </c>
      <c r="AC58">
        <f>HYPERLINK("https://klasma.github.io/Logging_2101/tillsyn/A 38355-2026 tillsynsbegäran.docx", "A 38355-2026")</f>
        <v/>
      </c>
      <c r="AD58">
        <f>HYPERLINK("https://klasma.github.io/Logging_2101/tillsynsmail/A 38355-2026 tillsynsbegäran mail.docx", "A 38355-2026")</f>
        <v/>
      </c>
      <c r="AE58">
        <f>HYPERLINK("https://klasma.github.io/Logging_2101/fåglar/A 38355-2026 prioriterade fågelarter.docx", "A 38355-2026")</f>
        <v/>
      </c>
    </row>
    <row r="59" ht="15" customHeight="1">
      <c r="A59" t="inlineStr">
        <is>
          <t>A 22821-2024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46322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HYPERLINK("https://klasma.github.io/Logging_2101/artfynd/A 22821-2024 artfynd.xlsx", "A 22821-2024")</f>
        <v/>
      </c>
      <c r="X59">
        <f>HYPERLINK("https://klasma.github.io/Logging_2101/kartor/A 22821-2024 karta.png", "A 22821-2024")</f>
        <v/>
      </c>
      <c r="Y59">
        <f>HYPERLINK("https://klasma.github.io/Logging_2101/kartor_geotiff/A 22821-2024 georefererad karta.tif", "A 22821-2024")</f>
        <v/>
      </c>
      <c r="AA59">
        <f>HYPERLINK("https://klasma.github.io/Logging_2101/klagomål/A 22821-2024 FSC-klagomål.docx", "A 22821-2024")</f>
        <v/>
      </c>
      <c r="AB59">
        <f>HYPERLINK("https://klasma.github.io/Logging_2101/klagomålsmail/A 22821-2024 FSC-klagomål mail.docx", "A 22821-2024")</f>
        <v/>
      </c>
      <c r="AC59">
        <f>HYPERLINK("https://klasma.github.io/Logging_2101/tillsyn/A 22821-2024 tillsynsbegäran.docx", "A 22821-2024")</f>
        <v/>
      </c>
      <c r="AD59">
        <f>HYPERLINK("https://klasma.github.io/Logging_2101/tillsynsmail/A 22821-2024 tillsynsbegäran mail.docx", "A 22821-2024")</f>
        <v/>
      </c>
    </row>
    <row r="60" ht="15" customHeight="1">
      <c r="A60" t="inlineStr">
        <is>
          <t>A 9155-2026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46322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4.2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Kolflarnlav</t>
        </is>
      </c>
      <c r="W60">
        <f>HYPERLINK("https://klasma.github.io/Logging_2101/artfynd/A 9155-2026 artfynd.xlsx", "A 9155-2026")</f>
        <v/>
      </c>
      <c r="X60">
        <f>HYPERLINK("https://klasma.github.io/Logging_2101/kartor/A 9155-2026 karta.png", "A 9155-2026")</f>
        <v/>
      </c>
      <c r="Y60">
        <f>HYPERLINK("https://klasma.github.io/Logging_2101/kartor_geotiff/A 9155-2026 georefererad karta.tif", "A 9155-2026")</f>
        <v/>
      </c>
      <c r="AA60">
        <f>HYPERLINK("https://klasma.github.io/Logging_2101/klagomål/A 9155-2026 FSC-klagomål.docx", "A 9155-2026")</f>
        <v/>
      </c>
      <c r="AB60">
        <f>HYPERLINK("https://klasma.github.io/Logging_2101/klagomålsmail/A 9155-2026 FSC-klagomål mail.docx", "A 9155-2026")</f>
        <v/>
      </c>
      <c r="AC60">
        <f>HYPERLINK("https://klasma.github.io/Logging_2101/tillsyn/A 9155-2026 tillsynsbegäran.docx", "A 9155-2026")</f>
        <v/>
      </c>
      <c r="AD60">
        <f>HYPERLINK("https://klasma.github.io/Logging_2101/tillsynsmail/A 9155-2026 tillsynsbegäran mail.docx", "A 9155-2026")</f>
        <v/>
      </c>
    </row>
    <row r="61" ht="15" customHeight="1">
      <c r="A61" t="inlineStr">
        <is>
          <t>A 26448-2024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46322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26448-2024 artfynd.xlsx", "A 26448-2024")</f>
        <v/>
      </c>
      <c r="X61">
        <f>HYPERLINK("https://klasma.github.io/Logging_2101/kartor/A 26448-2024 karta.png", "A 26448-2024")</f>
        <v/>
      </c>
      <c r="Y61">
        <f>HYPERLINK("https://klasma.github.io/Logging_2101/kartor_geotiff/A 26448-2024 georefererad karta.tif", "A 26448-2024")</f>
        <v/>
      </c>
      <c r="AA61">
        <f>HYPERLINK("https://klasma.github.io/Logging_2101/klagomål/A 26448-2024 FSC-klagomål.docx", "A 26448-2024")</f>
        <v/>
      </c>
      <c r="AB61">
        <f>HYPERLINK("https://klasma.github.io/Logging_2101/klagomålsmail/A 26448-2024 FSC-klagomål mail.docx", "A 26448-2024")</f>
        <v/>
      </c>
      <c r="AC61">
        <f>HYPERLINK("https://klasma.github.io/Logging_2101/tillsyn/A 26448-2024 tillsynsbegäran.docx", "A 26448-2024")</f>
        <v/>
      </c>
      <c r="AD61">
        <f>HYPERLINK("https://klasma.github.io/Logging_2101/tillsynsmail/A 26448-2024 tillsynsbegäran mail.docx", "A 26448-2024")</f>
        <v/>
      </c>
    </row>
    <row r="62" ht="15" customHeight="1">
      <c r="A62" t="inlineStr">
        <is>
          <t>A 20233-2026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46322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17.9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Tibast</t>
        </is>
      </c>
      <c r="W62">
        <f>HYPERLINK("https://klasma.github.io/Logging_2101/artfynd/A 20233-2026 artfynd.xlsx", "A 20233-2026")</f>
        <v/>
      </c>
      <c r="X62">
        <f>HYPERLINK("https://klasma.github.io/Logging_2101/kartor/A 20233-2026 karta.png", "A 20233-2026")</f>
        <v/>
      </c>
      <c r="Y62">
        <f>HYPERLINK("https://klasma.github.io/Logging_2101/kartor_geotiff/A 20233-2026 georefererad karta.tif", "A 20233-2026")</f>
        <v/>
      </c>
      <c r="AA62">
        <f>HYPERLINK("https://klasma.github.io/Logging_2101/klagomål/A 20233-2026 FSC-klagomål.docx", "A 20233-2026")</f>
        <v/>
      </c>
      <c r="AB62">
        <f>HYPERLINK("https://klasma.github.io/Logging_2101/klagomålsmail/A 20233-2026 FSC-klagomål mail.docx", "A 20233-2026")</f>
        <v/>
      </c>
      <c r="AC62">
        <f>HYPERLINK("https://klasma.github.io/Logging_2101/tillsyn/A 20233-2026 tillsynsbegäran.docx", "A 20233-2026")</f>
        <v/>
      </c>
      <c r="AD62">
        <f>HYPERLINK("https://klasma.github.io/Logging_2101/tillsynsmail/A 20233-2026 tillsynsbegäran mail.docx", "A 20233-2026")</f>
        <v/>
      </c>
    </row>
    <row r="63" ht="15" customHeight="1">
      <c r="A63" t="inlineStr">
        <is>
          <t>A 15039-2026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46104</v>
      </c>
      <c r="E63" s="1" t="n">
        <v>46322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18.2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HYPERLINK("https://klasma.github.io/Logging_2101/artfynd/A 15039-2026 artfynd.xlsx", "A 15039-2026")</f>
        <v/>
      </c>
      <c r="X63">
        <f>HYPERLINK("https://klasma.github.io/Logging_2101/kartor/A 15039-2026 karta.png", "A 15039-2026")</f>
        <v/>
      </c>
      <c r="Y63">
        <f>HYPERLINK("https://klasma.github.io/Logging_2101/kartor_geotiff/A 15039-2026 georefererad karta.tif", "A 15039-2026")</f>
        <v/>
      </c>
      <c r="AA63">
        <f>HYPERLINK("https://klasma.github.io/Logging_2101/klagomål/A 15039-2026 FSC-klagomål.docx", "A 15039-2026")</f>
        <v/>
      </c>
      <c r="AB63">
        <f>HYPERLINK("https://klasma.github.io/Logging_2101/klagomålsmail/A 15039-2026 FSC-klagomål mail.docx", "A 15039-2026")</f>
        <v/>
      </c>
      <c r="AC63">
        <f>HYPERLINK("https://klasma.github.io/Logging_2101/tillsyn/A 15039-2026 tillsynsbegäran.docx", "A 15039-2026")</f>
        <v/>
      </c>
      <c r="AD63">
        <f>HYPERLINK("https://klasma.github.io/Logging_2101/tillsynsmail/A 15039-2026 tillsynsbegäran mail.docx", "A 15039-2026")</f>
        <v/>
      </c>
      <c r="AE63">
        <f>HYPERLINK("https://klasma.github.io/Logging_2101/fåglar/A 15039-2026 prioriterade fågelarter.docx", "A 15039-2026")</f>
        <v/>
      </c>
    </row>
    <row r="64" ht="15" customHeight="1">
      <c r="A64" t="inlineStr">
        <is>
          <t>A 11970-2026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46322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HYPERLINK("https://klasma.github.io/Logging_2101/artfynd/A 11970-2026 artfynd.xlsx", "A 11970-2026")</f>
        <v/>
      </c>
      <c r="X64">
        <f>HYPERLINK("https://klasma.github.io/Logging_2101/kartor/A 11970-2026 karta.png", "A 11970-2026")</f>
        <v/>
      </c>
      <c r="Y64">
        <f>HYPERLINK("https://klasma.github.io/Logging_2101/kartor_geotiff/A 11970-2026 georefererad karta.tif", "A 11970-2026")</f>
        <v/>
      </c>
      <c r="AA64">
        <f>HYPERLINK("https://klasma.github.io/Logging_2101/klagomål/A 11970-2026 FSC-klagomål.docx", "A 11970-2026")</f>
        <v/>
      </c>
      <c r="AB64">
        <f>HYPERLINK("https://klasma.github.io/Logging_2101/klagomålsmail/A 11970-2026 FSC-klagomål mail.docx", "A 11970-2026")</f>
        <v/>
      </c>
      <c r="AC64">
        <f>HYPERLINK("https://klasma.github.io/Logging_2101/tillsyn/A 11970-2026 tillsynsbegäran.docx", "A 11970-2026")</f>
        <v/>
      </c>
      <c r="AD64">
        <f>HYPERLINK("https://klasma.github.io/Logging_2101/tillsynsmail/A 11970-2026 tillsynsbegäran mail.docx", "A 11970-2026")</f>
        <v/>
      </c>
      <c r="AE64">
        <f>HYPERLINK("https://klasma.github.io/Logging_2101/fåglar/A 11970-2026 prioriterade fågelarter.docx", "A 11970-2026")</f>
        <v/>
      </c>
    </row>
    <row r="65" ht="15" customHeight="1">
      <c r="A65" t="inlineStr">
        <is>
          <t>A 10448-2026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46322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3.6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Plattlummer</t>
        </is>
      </c>
      <c r="W65">
        <f>HYPERLINK("https://klasma.github.io/Logging_2101/artfynd/A 10448-2026 artfynd.xlsx", "A 10448-2026")</f>
        <v/>
      </c>
      <c r="X65">
        <f>HYPERLINK("https://klasma.github.io/Logging_2101/kartor/A 10448-2026 karta.png", "A 10448-2026")</f>
        <v/>
      </c>
      <c r="Y65">
        <f>HYPERLINK("https://klasma.github.io/Logging_2101/kartor_geotiff/A 10448-2026 georefererad karta.tif", "A 10448-2026")</f>
        <v/>
      </c>
      <c r="AA65">
        <f>HYPERLINK("https://klasma.github.io/Logging_2101/klagomål/A 10448-2026 FSC-klagomål.docx", "A 10448-2026")</f>
        <v/>
      </c>
      <c r="AB65">
        <f>HYPERLINK("https://klasma.github.io/Logging_2101/klagomålsmail/A 10448-2026 FSC-klagomål mail.docx", "A 10448-2026")</f>
        <v/>
      </c>
      <c r="AC65">
        <f>HYPERLINK("https://klasma.github.io/Logging_2101/tillsyn/A 10448-2026 tillsynsbegäran.docx", "A 10448-2026")</f>
        <v/>
      </c>
      <c r="AD65">
        <f>HYPERLINK("https://klasma.github.io/Logging_2101/tillsynsmail/A 10448-2026 tillsynsbegäran mail.docx", "A 10448-2026")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46322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46322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46322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46322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46322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46322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46322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46322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46322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46322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46322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46322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46322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34709-2022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44795</v>
      </c>
      <c r="E79" s="1" t="n">
        <v>46322</v>
      </c>
      <c r="F79" t="inlineStr">
        <is>
          <t>GÄVLEBORGS LÄN</t>
        </is>
      </c>
      <c r="G79" t="inlineStr">
        <is>
          <t>OCKELBO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46322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46322</v>
      </c>
      <c r="F81" t="inlineStr">
        <is>
          <t>GÄVLEBORGS LÄN</t>
        </is>
      </c>
      <c r="G81" t="inlineStr">
        <is>
          <t>OCKELBO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44881</v>
      </c>
      <c r="E82" s="1" t="n">
        <v>46322</v>
      </c>
      <c r="F82" t="inlineStr">
        <is>
          <t>GÄVLEBORGS LÄN</t>
        </is>
      </c>
      <c r="G82" t="inlineStr">
        <is>
          <t>OCKELBO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46322</v>
      </c>
      <c r="F83" t="inlineStr">
        <is>
          <t>GÄVLEBORGS LÄN</t>
        </is>
      </c>
      <c r="G83" t="inlineStr">
        <is>
          <t>OCKELBO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46322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46322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46322</v>
      </c>
      <c r="F86" t="inlineStr">
        <is>
          <t>GÄVLEBORGS LÄN</t>
        </is>
      </c>
      <c r="G86" t="inlineStr">
        <is>
          <t>OCKELBO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46322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46322</v>
      </c>
      <c r="F88" t="inlineStr">
        <is>
          <t>GÄVLEBORGS LÄN</t>
        </is>
      </c>
      <c r="G88" t="inlineStr">
        <is>
          <t>OCKELBO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45889</v>
      </c>
      <c r="E89" s="1" t="n">
        <v>46322</v>
      </c>
      <c r="F89" t="inlineStr">
        <is>
          <t>GÄVLEBORGS LÄN</t>
        </is>
      </c>
      <c r="G89" t="inlineStr">
        <is>
          <t>OCKELBO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45481</v>
      </c>
      <c r="E90" s="1" t="n">
        <v>46322</v>
      </c>
      <c r="F90" t="inlineStr">
        <is>
          <t>GÄVLEBORGS LÄN</t>
        </is>
      </c>
      <c r="G90" t="inlineStr">
        <is>
          <t>OCKELBO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45623</v>
      </c>
      <c r="E91" s="1" t="n">
        <v>46322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45888</v>
      </c>
      <c r="E92" s="1" t="n">
        <v>46322</v>
      </c>
      <c r="F92" t="inlineStr">
        <is>
          <t>GÄVLEBORGS LÄN</t>
        </is>
      </c>
      <c r="G92" t="inlineStr">
        <is>
          <t>OCKELBO</t>
        </is>
      </c>
      <c r="H92" t="inlineStr">
        <is>
          <t>Kyrkan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46322</v>
      </c>
      <c r="F93" t="inlineStr">
        <is>
          <t>GÄVLEBORGS LÄN</t>
        </is>
      </c>
      <c r="G93" t="inlineStr">
        <is>
          <t>OCKELBO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37386-2023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45156</v>
      </c>
      <c r="E94" s="1" t="n">
        <v>46322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46322</v>
      </c>
      <c r="F95" t="inlineStr">
        <is>
          <t>GÄVLEBORGS LÄN</t>
        </is>
      </c>
      <c r="G95" t="inlineStr">
        <is>
          <t>OCKELBO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46322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44889</v>
      </c>
      <c r="E97" s="1" t="n">
        <v>46322</v>
      </c>
      <c r="F97" t="inlineStr">
        <is>
          <t>GÄVLEBORGS LÄN</t>
        </is>
      </c>
      <c r="G97" t="inlineStr">
        <is>
          <t>OCKELBO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46322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45534</v>
      </c>
      <c r="E99" s="1" t="n">
        <v>46322</v>
      </c>
      <c r="F99" t="inlineStr">
        <is>
          <t>GÄVLEBORGS LÄN</t>
        </is>
      </c>
      <c r="G99" t="inlineStr">
        <is>
          <t>OCKELBO</t>
        </is>
      </c>
      <c r="H99" t="inlineStr">
        <is>
          <t>Kyrkan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46322</v>
      </c>
      <c r="F100" t="inlineStr">
        <is>
          <t>GÄVLEBORGS LÄN</t>
        </is>
      </c>
      <c r="G100" t="inlineStr">
        <is>
          <t>OCKELBO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46322</v>
      </c>
      <c r="F101" t="inlineStr">
        <is>
          <t>GÄVLEBORGS LÄN</t>
        </is>
      </c>
      <c r="G101" t="inlineStr">
        <is>
          <t>OCKELBO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46322</v>
      </c>
      <c r="F102" t="inlineStr">
        <is>
          <t>GÄVLEBORGS LÄN</t>
        </is>
      </c>
      <c r="G102" t="inlineStr">
        <is>
          <t>OCKELBO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46322</v>
      </c>
      <c r="F103" t="inlineStr">
        <is>
          <t>GÄVLEBORGS LÄN</t>
        </is>
      </c>
      <c r="G103" t="inlineStr">
        <is>
          <t>OCKELBO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46322</v>
      </c>
      <c r="F104" t="inlineStr">
        <is>
          <t>GÄVLEBORGS LÄN</t>
        </is>
      </c>
      <c r="G104" t="inlineStr">
        <is>
          <t>OCKELBO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64609-2023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46322</v>
      </c>
      <c r="F105" t="inlineStr">
        <is>
          <t>GÄVLEBORGS LÄN</t>
        </is>
      </c>
      <c r="G105" t="inlineStr">
        <is>
          <t>OCKELBO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46322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46322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44950</v>
      </c>
      <c r="E108" s="1" t="n">
        <v>46322</v>
      </c>
      <c r="F108" t="inlineStr">
        <is>
          <t>GÄVLEBORGS LÄN</t>
        </is>
      </c>
      <c r="G108" t="inlineStr">
        <is>
          <t>OCKELBO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46322</v>
      </c>
      <c r="F109" t="inlineStr">
        <is>
          <t>GÄVLEBORGS LÄN</t>
        </is>
      </c>
      <c r="G109" t="inlineStr">
        <is>
          <t>OCKELBO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46322</v>
      </c>
      <c r="F110" t="inlineStr">
        <is>
          <t>GÄVLEBORGS LÄN</t>
        </is>
      </c>
      <c r="G110" t="inlineStr">
        <is>
          <t>OCKELBO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46322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46322</v>
      </c>
      <c r="F112" t="inlineStr">
        <is>
          <t>GÄVLEBORGS LÄN</t>
        </is>
      </c>
      <c r="G112" t="inlineStr">
        <is>
          <t>OCKELBO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46322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46322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46322</v>
      </c>
      <c r="F115" t="inlineStr">
        <is>
          <t>GÄVLEBORGS LÄN</t>
        </is>
      </c>
      <c r="G115" t="inlineStr">
        <is>
          <t>OCKELBO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46322</v>
      </c>
      <c r="F116" t="inlineStr">
        <is>
          <t>GÄVLEBORGS LÄN</t>
        </is>
      </c>
      <c r="G116" t="inlineStr">
        <is>
          <t>OCKELBO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46322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45534</v>
      </c>
      <c r="E118" s="1" t="n">
        <v>46322</v>
      </c>
      <c r="F118" t="inlineStr">
        <is>
          <t>GÄVLEBORGS LÄN</t>
        </is>
      </c>
      <c r="G118" t="inlineStr">
        <is>
          <t>OCKELBO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26808-2026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46322</v>
      </c>
      <c r="F119" t="inlineStr">
        <is>
          <t>GÄVLEBORGS LÄN</t>
        </is>
      </c>
      <c r="G119" t="inlineStr">
        <is>
          <t>OCKELBO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26861-2026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46322</v>
      </c>
      <c r="F120" t="inlineStr">
        <is>
          <t>GÄVLEBORGS LÄN</t>
        </is>
      </c>
      <c r="G120" t="inlineStr">
        <is>
          <t>OCKELBO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46322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45777</v>
      </c>
      <c r="E122" s="1" t="n">
        <v>46322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46322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46322</v>
      </c>
      <c r="F124" t="inlineStr">
        <is>
          <t>GÄVLEBORGS LÄN</t>
        </is>
      </c>
      <c r="G124" t="inlineStr">
        <is>
          <t>OCKELBO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46322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46322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53393-2022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46322</v>
      </c>
      <c r="F127" t="inlineStr">
        <is>
          <t>GÄVLEBORGS LÄN</t>
        </is>
      </c>
      <c r="G127" t="inlineStr">
        <is>
          <t>OCKELBO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27231-2026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46322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46322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46322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13.3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46322</v>
      </c>
      <c r="F131" t="inlineStr">
        <is>
          <t>GÄVLEBORGS LÄN</t>
        </is>
      </c>
      <c r="G131" t="inlineStr">
        <is>
          <t>OCKELBO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37442-2023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46322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45070</v>
      </c>
      <c r="E133" s="1" t="n">
        <v>46322</v>
      </c>
      <c r="F133" t="inlineStr">
        <is>
          <t>GÄVLEBORGS LÄN</t>
        </is>
      </c>
      <c r="G133" t="inlineStr">
        <is>
          <t>OCKELBO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46322</v>
      </c>
      <c r="F134" t="inlineStr">
        <is>
          <t>GÄVLEBORGS LÄN</t>
        </is>
      </c>
      <c r="G134" t="inlineStr">
        <is>
          <t>OCKELBO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46322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46322</v>
      </c>
      <c r="F136" t="inlineStr">
        <is>
          <t>GÄVLEBORGS LÄN</t>
        </is>
      </c>
      <c r="G136" t="inlineStr">
        <is>
          <t>OCKELBO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46322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29567-2024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46322</v>
      </c>
      <c r="F138" t="inlineStr">
        <is>
          <t>GÄVLEBORGS LÄN</t>
        </is>
      </c>
      <c r="G138" t="inlineStr">
        <is>
          <t>OCKELBO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64367-2023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46322</v>
      </c>
      <c r="F139" t="inlineStr">
        <is>
          <t>GÄVLEBORGS LÄN</t>
        </is>
      </c>
      <c r="G139" t="inlineStr">
        <is>
          <t>OCKELBO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46322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45602</v>
      </c>
      <c r="E141" s="1" t="n">
        <v>46322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45027</v>
      </c>
      <c r="E142" s="1" t="n">
        <v>46322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46322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46322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52140-2024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46322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38401-2023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46322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66825-2021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44522</v>
      </c>
      <c r="E147" s="1" t="n">
        <v>46322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46322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40283-2024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46322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45216</v>
      </c>
      <c r="E150" s="1" t="n">
        <v>46322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46322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46322</v>
      </c>
      <c r="F152" t="inlineStr">
        <is>
          <t>GÄVLEBORGS LÄN</t>
        </is>
      </c>
      <c r="G152" t="inlineStr">
        <is>
          <t>OCKELBO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46322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44816</v>
      </c>
      <c r="E154" s="1" t="n">
        <v>46322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48221-2024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46322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46322</v>
      </c>
      <c r="F156" t="inlineStr">
        <is>
          <t>GÄVLEBORGS LÄN</t>
        </is>
      </c>
      <c r="G156" t="inlineStr">
        <is>
          <t>OCKELBO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46322</v>
      </c>
      <c r="F157" t="inlineStr">
        <is>
          <t>GÄVLEBORGS LÄN</t>
        </is>
      </c>
      <c r="G157" t="inlineStr">
        <is>
          <t>OCKELBO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61622-2021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46322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46322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45519-2022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46322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67768-2021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44525</v>
      </c>
      <c r="E161" s="1" t="n">
        <v>46322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46322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45107</v>
      </c>
      <c r="E163" s="1" t="n">
        <v>46322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46322</v>
      </c>
      <c r="F164" t="inlineStr">
        <is>
          <t>GÄVLEBORGS LÄN</t>
        </is>
      </c>
      <c r="G164" t="inlineStr">
        <is>
          <t>OCKELBO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46322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46322</v>
      </c>
      <c r="F166" t="inlineStr">
        <is>
          <t>GÄVLEBORGS LÄN</t>
        </is>
      </c>
      <c r="G166" t="inlineStr">
        <is>
          <t>OCKELBO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46322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46322</v>
      </c>
      <c r="F168" t="inlineStr">
        <is>
          <t>GÄVLEBORGS LÄN</t>
        </is>
      </c>
      <c r="G168" t="inlineStr">
        <is>
          <t>OCKELBO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46322</v>
      </c>
      <c r="F169" t="inlineStr">
        <is>
          <t>GÄVLEBORGS LÄN</t>
        </is>
      </c>
      <c r="G169" t="inlineStr">
        <is>
          <t>OCKELBO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46322</v>
      </c>
      <c r="F170" t="inlineStr">
        <is>
          <t>GÄVLEBORGS LÄN</t>
        </is>
      </c>
      <c r="G170" t="inlineStr">
        <is>
          <t>OCKELBO</t>
        </is>
      </c>
      <c r="I170" t="n">
        <v>14.6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26845-2026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46322</v>
      </c>
      <c r="F171" t="inlineStr">
        <is>
          <t>GÄVLEBORGS LÄN</t>
        </is>
      </c>
      <c r="G171" t="inlineStr">
        <is>
          <t>OCKELBO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46322</v>
      </c>
      <c r="F172" t="inlineStr">
        <is>
          <t>GÄVLEBORGS LÄN</t>
        </is>
      </c>
      <c r="G172" t="inlineStr">
        <is>
          <t>OCKELBO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46322</v>
      </c>
      <c r="F173" t="inlineStr">
        <is>
          <t>GÄVLEBORGS LÄN</t>
        </is>
      </c>
      <c r="G173" t="inlineStr">
        <is>
          <t>OCKELBO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46322</v>
      </c>
      <c r="F174" t="inlineStr">
        <is>
          <t>GÄVLEBORGS LÄN</t>
        </is>
      </c>
      <c r="G174" t="inlineStr">
        <is>
          <t>OCKELBO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45072</v>
      </c>
      <c r="E175" s="1" t="n">
        <v>46322</v>
      </c>
      <c r="F175" t="inlineStr">
        <is>
          <t>GÄVLEBORGS LÄN</t>
        </is>
      </c>
      <c r="G175" t="inlineStr">
        <is>
          <t>OCKELBO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46322</v>
      </c>
      <c r="F176" t="inlineStr">
        <is>
          <t>GÄVLEBORGS LÄN</t>
        </is>
      </c>
      <c r="G176" t="inlineStr">
        <is>
          <t>OCKELBO</t>
        </is>
      </c>
      <c r="H176" t="inlineStr">
        <is>
          <t>Kyrkan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46322</v>
      </c>
      <c r="F177" t="inlineStr">
        <is>
          <t>GÄVLEBORGS LÄN</t>
        </is>
      </c>
      <c r="G177" t="inlineStr">
        <is>
          <t>OCKELBO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46322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46322</v>
      </c>
      <c r="F179" t="inlineStr">
        <is>
          <t>GÄVLEBORGS LÄN</t>
        </is>
      </c>
      <c r="G179" t="inlineStr">
        <is>
          <t>OCKELBO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45937</v>
      </c>
      <c r="E180" s="1" t="n">
        <v>46322</v>
      </c>
      <c r="F180" t="inlineStr">
        <is>
          <t>GÄVLEBORGS LÄN</t>
        </is>
      </c>
      <c r="G180" t="inlineStr">
        <is>
          <t>OCKELBO</t>
        </is>
      </c>
      <c r="I180" t="n">
        <v>11.1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46322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46322</v>
      </c>
      <c r="F182" t="inlineStr">
        <is>
          <t>GÄVLEBORGS LÄN</t>
        </is>
      </c>
      <c r="G182" t="inlineStr">
        <is>
          <t>OCKELBO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46322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22824-2024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45448</v>
      </c>
      <c r="E184" s="1" t="n">
        <v>46322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46190</v>
      </c>
      <c r="E185" s="1" t="n">
        <v>46322</v>
      </c>
      <c r="F185" t="inlineStr">
        <is>
          <t>GÄVLEBORGS LÄN</t>
        </is>
      </c>
      <c r="G185" t="inlineStr">
        <is>
          <t>OCKELBO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46322</v>
      </c>
      <c r="F186" t="inlineStr">
        <is>
          <t>GÄVLEBORGS LÄN</t>
        </is>
      </c>
      <c r="G186" t="inlineStr">
        <is>
          <t>OCKELBO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46322</v>
      </c>
      <c r="F187" t="inlineStr">
        <is>
          <t>GÄVLEBORGS LÄN</t>
        </is>
      </c>
      <c r="G187" t="inlineStr">
        <is>
          <t>OCKELBO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46322</v>
      </c>
      <c r="F188" t="inlineStr">
        <is>
          <t>GÄVLEBORGS LÄN</t>
        </is>
      </c>
      <c r="G188" t="inlineStr">
        <is>
          <t>OCKELBO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27381-2026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46189</v>
      </c>
      <c r="E189" s="1" t="n">
        <v>46322</v>
      </c>
      <c r="F189" t="inlineStr">
        <is>
          <t>GÄVLEBORGS LÄN</t>
        </is>
      </c>
      <c r="G189" t="inlineStr">
        <is>
          <t>OCKELBO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46322</v>
      </c>
      <c r="F190" t="inlineStr">
        <is>
          <t>GÄVLEBORGS LÄN</t>
        </is>
      </c>
      <c r="G190" t="inlineStr">
        <is>
          <t>OCKELBO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46322</v>
      </c>
      <c r="F191" t="inlineStr">
        <is>
          <t>GÄVLEBORGS LÄN</t>
        </is>
      </c>
      <c r="G191" t="inlineStr">
        <is>
          <t>OCKELBO</t>
        </is>
      </c>
      <c r="I191" t="n">
        <v>11.2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46189</v>
      </c>
      <c r="E192" s="1" t="n">
        <v>46322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45134</v>
      </c>
      <c r="E193" s="1" t="n">
        <v>46322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46189</v>
      </c>
      <c r="E194" s="1" t="n">
        <v>46322</v>
      </c>
      <c r="F194" t="inlineStr">
        <is>
          <t>GÄVLEBORGS LÄN</t>
        </is>
      </c>
      <c r="G194" t="inlineStr">
        <is>
          <t>OCKELBO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46322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46322</v>
      </c>
      <c r="F196" t="inlineStr">
        <is>
          <t>GÄVLEBORGS LÄN</t>
        </is>
      </c>
      <c r="G196" t="inlineStr">
        <is>
          <t>OCKELBO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46322</v>
      </c>
      <c r="F197" t="inlineStr">
        <is>
          <t>GÄVLEBORGS LÄN</t>
        </is>
      </c>
      <c r="G197" t="inlineStr">
        <is>
          <t>OCKELBO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45772</v>
      </c>
      <c r="E198" s="1" t="n">
        <v>46322</v>
      </c>
      <c r="F198" t="inlineStr">
        <is>
          <t>GÄVLEBORGS LÄN</t>
        </is>
      </c>
      <c r="G198" t="inlineStr">
        <is>
          <t>OCKELBO</t>
        </is>
      </c>
      <c r="I198" t="n">
        <v>14.8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46322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46322</v>
      </c>
      <c r="F200" t="inlineStr">
        <is>
          <t>GÄVLEBORGS LÄN</t>
        </is>
      </c>
      <c r="G200" t="inlineStr">
        <is>
          <t>OCKELBO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44950</v>
      </c>
      <c r="E201" s="1" t="n">
        <v>46322</v>
      </c>
      <c r="F201" t="inlineStr">
        <is>
          <t>GÄVLEBORGS LÄN</t>
        </is>
      </c>
      <c r="G201" t="inlineStr">
        <is>
          <t>OCKELBO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46322</v>
      </c>
      <c r="F202" t="inlineStr">
        <is>
          <t>GÄVLEBORGS LÄN</t>
        </is>
      </c>
      <c r="G202" t="inlineStr">
        <is>
          <t>OCKELBO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52880-2025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45957</v>
      </c>
      <c r="E203" s="1" t="n">
        <v>46322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46322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46322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46322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46322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45776</v>
      </c>
      <c r="E208" s="1" t="n">
        <v>46322</v>
      </c>
      <c r="F208" t="inlineStr">
        <is>
          <t>GÄVLEBORGS LÄN</t>
        </is>
      </c>
      <c r="G208" t="inlineStr">
        <is>
          <t>OCKELBO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45455</v>
      </c>
      <c r="E209" s="1" t="n">
        <v>46322</v>
      </c>
      <c r="F209" t="inlineStr">
        <is>
          <t>GÄVLEBORGS LÄN</t>
        </is>
      </c>
      <c r="G209" t="inlineStr">
        <is>
          <t>OCKELBO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46322</v>
      </c>
      <c r="F210" t="inlineStr">
        <is>
          <t>GÄVLEBORGS LÄN</t>
        </is>
      </c>
      <c r="G210" t="inlineStr">
        <is>
          <t>OCKELBO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46322</v>
      </c>
      <c r="F211" t="inlineStr">
        <is>
          <t>GÄVLEBORGS LÄN</t>
        </is>
      </c>
      <c r="G211" t="inlineStr">
        <is>
          <t>OCKELBO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46322</v>
      </c>
      <c r="F212" t="inlineStr">
        <is>
          <t>GÄVLEBORGS LÄN</t>
        </is>
      </c>
      <c r="G212" t="inlineStr">
        <is>
          <t>OCKELBO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46322</v>
      </c>
      <c r="F213" t="inlineStr">
        <is>
          <t>GÄVLEBORGS LÄN</t>
        </is>
      </c>
      <c r="G213" t="inlineStr">
        <is>
          <t>OCKELBO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45544</v>
      </c>
      <c r="E214" s="1" t="n">
        <v>46322</v>
      </c>
      <c r="F214" t="inlineStr">
        <is>
          <t>GÄVLEBORGS LÄN</t>
        </is>
      </c>
      <c r="G214" t="inlineStr">
        <is>
          <t>OCKELBO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46322</v>
      </c>
      <c r="F215" t="inlineStr">
        <is>
          <t>GÄVLEBORGS LÄN</t>
        </is>
      </c>
      <c r="G215" t="inlineStr">
        <is>
          <t>OCKELBO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46322</v>
      </c>
      <c r="F216" t="inlineStr">
        <is>
          <t>GÄVLEBORGS LÄN</t>
        </is>
      </c>
      <c r="G216" t="inlineStr">
        <is>
          <t>OCKELBO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20231-2024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45434</v>
      </c>
      <c r="E217" s="1" t="n">
        <v>46322</v>
      </c>
      <c r="F217" t="inlineStr">
        <is>
          <t>GÄVLEBORGS LÄN</t>
        </is>
      </c>
      <c r="G217" t="inlineStr">
        <is>
          <t>OCKELBO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46322</v>
      </c>
      <c r="F218" t="inlineStr">
        <is>
          <t>GÄVLEBORGS LÄN</t>
        </is>
      </c>
      <c r="G218" t="inlineStr">
        <is>
          <t>OCKELBO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46322</v>
      </c>
      <c r="F219" t="inlineStr">
        <is>
          <t>GÄVLEBORGS LÄN</t>
        </is>
      </c>
      <c r="G219" t="inlineStr">
        <is>
          <t>OCKELBO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45972</v>
      </c>
      <c r="E220" s="1" t="n">
        <v>46322</v>
      </c>
      <c r="F220" t="inlineStr">
        <is>
          <t>GÄVLEBORGS LÄN</t>
        </is>
      </c>
      <c r="G220" t="inlineStr">
        <is>
          <t>OCKELBO</t>
        </is>
      </c>
      <c r="I220" t="n">
        <v>7.8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46322</v>
      </c>
      <c r="F221" t="inlineStr">
        <is>
          <t>GÄVLEBORGS LÄN</t>
        </is>
      </c>
      <c r="G221" t="inlineStr">
        <is>
          <t>OCKELBO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46322</v>
      </c>
      <c r="F222" t="inlineStr">
        <is>
          <t>GÄVLEBORGS LÄN</t>
        </is>
      </c>
      <c r="G222" t="inlineStr">
        <is>
          <t>OCKELBO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45786</v>
      </c>
      <c r="E223" s="1" t="n">
        <v>46322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45786</v>
      </c>
      <c r="E224" s="1" t="n">
        <v>46322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55920-2025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46322</v>
      </c>
      <c r="F225" t="inlineStr">
        <is>
          <t>GÄVLEBORGS LÄN</t>
        </is>
      </c>
      <c r="G225" t="inlineStr">
        <is>
          <t>OCKELBO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55926-2025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46322</v>
      </c>
      <c r="F226" t="inlineStr">
        <is>
          <t>GÄVLEBORGS LÄN</t>
        </is>
      </c>
      <c r="G226" t="inlineStr">
        <is>
          <t>OCKELBO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55629-2025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46322</v>
      </c>
      <c r="F227" t="inlineStr">
        <is>
          <t>GÄVLEBORGS LÄN</t>
        </is>
      </c>
      <c r="G227" t="inlineStr">
        <is>
          <t>OCKELBO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46322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55911-2025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45973</v>
      </c>
      <c r="E229" s="1" t="n">
        <v>46322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46322</v>
      </c>
      <c r="F230" t="inlineStr">
        <is>
          <t>GÄVLEBORGS LÄN</t>
        </is>
      </c>
      <c r="G230" t="inlineStr">
        <is>
          <t>OCKELBO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46322</v>
      </c>
      <c r="F231" t="inlineStr">
        <is>
          <t>GÄVLEBORGS LÄN</t>
        </is>
      </c>
      <c r="G231" t="inlineStr">
        <is>
          <t>OCKELBO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28318-2026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46322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28584-2024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45478</v>
      </c>
      <c r="E233" s="1" t="n">
        <v>46322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46322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46322</v>
      </c>
      <c r="F235" t="inlineStr">
        <is>
          <t>GÄVLEBORGS LÄN</t>
        </is>
      </c>
      <c r="G235" t="inlineStr">
        <is>
          <t>OCKELBO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46322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44986</v>
      </c>
      <c r="E237" s="1" t="n">
        <v>46322</v>
      </c>
      <c r="F237" t="inlineStr">
        <is>
          <t>GÄVLEBORGS LÄN</t>
        </is>
      </c>
      <c r="G237" t="inlineStr">
        <is>
          <t>OCKELBO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46196</v>
      </c>
      <c r="E238" s="1" t="n">
        <v>46322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45978</v>
      </c>
      <c r="E239" s="1" t="n">
        <v>46322</v>
      </c>
      <c r="F239" t="inlineStr">
        <is>
          <t>GÄVLEBORGS LÄN</t>
        </is>
      </c>
      <c r="G239" t="inlineStr">
        <is>
          <t>OCKELBO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46322</v>
      </c>
      <c r="F240" t="inlineStr">
        <is>
          <t>GÄVLEBORGS LÄN</t>
        </is>
      </c>
      <c r="G240" t="inlineStr">
        <is>
          <t>OCKELBO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46322</v>
      </c>
      <c r="F241" t="inlineStr">
        <is>
          <t>GÄVLEBORGS LÄN</t>
        </is>
      </c>
      <c r="G241" t="inlineStr">
        <is>
          <t>OCKELBO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46322</v>
      </c>
      <c r="F242" t="inlineStr">
        <is>
          <t>GÄVLEBORGS LÄN</t>
        </is>
      </c>
      <c r="G242" t="inlineStr">
        <is>
          <t>OCKELBO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45618</v>
      </c>
      <c r="E243" s="1" t="n">
        <v>46322</v>
      </c>
      <c r="F243" t="inlineStr">
        <is>
          <t>GÄVLEBORGS LÄN</t>
        </is>
      </c>
      <c r="G243" t="inlineStr">
        <is>
          <t>OCKELBO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46322</v>
      </c>
      <c r="F244" t="inlineStr">
        <is>
          <t>GÄVLEBORGS LÄN</t>
        </is>
      </c>
      <c r="G244" t="inlineStr">
        <is>
          <t>OCKELBO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46195</v>
      </c>
      <c r="E245" s="1" t="n">
        <v>46322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45978</v>
      </c>
      <c r="E246" s="1" t="n">
        <v>46322</v>
      </c>
      <c r="F246" t="inlineStr">
        <is>
          <t>GÄVLEBORGS LÄN</t>
        </is>
      </c>
      <c r="G246" t="inlineStr">
        <is>
          <t>OCKELBO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46322</v>
      </c>
      <c r="F247" t="inlineStr">
        <is>
          <t>GÄVLEBORGS LÄN</t>
        </is>
      </c>
      <c r="G247" t="inlineStr">
        <is>
          <t>OCKELBO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45776</v>
      </c>
      <c r="E248" s="1" t="n">
        <v>46322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46322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23004-2025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45790</v>
      </c>
      <c r="E250" s="1" t="n">
        <v>46322</v>
      </c>
      <c r="F250" t="inlineStr">
        <is>
          <t>GÄVLEBORGS LÄN</t>
        </is>
      </c>
      <c r="G250" t="inlineStr">
        <is>
          <t>OCKELBO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45132</v>
      </c>
      <c r="E251" s="1" t="n">
        <v>46322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45621</v>
      </c>
      <c r="E252" s="1" t="n">
        <v>46322</v>
      </c>
      <c r="F252" t="inlineStr">
        <is>
          <t>GÄVLEBORGS LÄN</t>
        </is>
      </c>
      <c r="G252" t="inlineStr">
        <is>
          <t>OCKELBO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46322</v>
      </c>
      <c r="F253" t="inlineStr">
        <is>
          <t>GÄVLEBORGS LÄN</t>
        </is>
      </c>
      <c r="G253" t="inlineStr">
        <is>
          <t>OCKELBO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45593</v>
      </c>
      <c r="E254" s="1" t="n">
        <v>46322</v>
      </c>
      <c r="F254" t="inlineStr">
        <is>
          <t>GÄVLEBORGS LÄN</t>
        </is>
      </c>
      <c r="G254" t="inlineStr">
        <is>
          <t>OCKELBO</t>
        </is>
      </c>
      <c r="I254" t="n">
        <v>9.4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46322</v>
      </c>
      <c r="F255" t="inlineStr">
        <is>
          <t>GÄVLEBORGS LÄN</t>
        </is>
      </c>
      <c r="G255" t="inlineStr">
        <is>
          <t>OCKELBO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16752-2025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45754</v>
      </c>
      <c r="E256" s="1" t="n">
        <v>46322</v>
      </c>
      <c r="F256" t="inlineStr">
        <is>
          <t>GÄVLEBORGS LÄN</t>
        </is>
      </c>
      <c r="G256" t="inlineStr">
        <is>
          <t>OCKELBO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46322</v>
      </c>
      <c r="F257" t="inlineStr">
        <is>
          <t>GÄVLEBORGS LÄN</t>
        </is>
      </c>
      <c r="G257" t="inlineStr">
        <is>
          <t>OCKELBO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15403-2022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44659</v>
      </c>
      <c r="E258" s="1" t="n">
        <v>46322</v>
      </c>
      <c r="F258" t="inlineStr">
        <is>
          <t>GÄVLEBORGS LÄN</t>
        </is>
      </c>
      <c r="G258" t="inlineStr">
        <is>
          <t>OCKELBO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46322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45282</v>
      </c>
      <c r="E260" s="1" t="n">
        <v>46322</v>
      </c>
      <c r="F260" t="inlineStr">
        <is>
          <t>GÄVLEBORGS LÄN</t>
        </is>
      </c>
      <c r="G260" t="inlineStr">
        <is>
          <t>OCKELBO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45434</v>
      </c>
      <c r="E261" s="1" t="n">
        <v>46322</v>
      </c>
      <c r="F261" t="inlineStr">
        <is>
          <t>GÄVLEBORGS LÄN</t>
        </is>
      </c>
      <c r="G261" t="inlineStr">
        <is>
          <t>OCKELBO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46322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46322</v>
      </c>
      <c r="F263" t="inlineStr">
        <is>
          <t>GÄVLEBORGS LÄN</t>
        </is>
      </c>
      <c r="G263" t="inlineStr">
        <is>
          <t>OCKELBO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28672-2026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46322</v>
      </c>
      <c r="F264" t="inlineStr">
        <is>
          <t>GÄVLEBORGS LÄN</t>
        </is>
      </c>
      <c r="G264" t="inlineStr">
        <is>
          <t>OCKELBO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45596</v>
      </c>
      <c r="E265" s="1" t="n">
        <v>46322</v>
      </c>
      <c r="F265" t="inlineStr">
        <is>
          <t>GÄVLEBORGS LÄN</t>
        </is>
      </c>
      <c r="G265" t="inlineStr">
        <is>
          <t>OCKELBO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45995</v>
      </c>
      <c r="E266" s="1" t="n">
        <v>46322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46322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45747</v>
      </c>
      <c r="E268" s="1" t="n">
        <v>46322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28681-2026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46322</v>
      </c>
      <c r="F269" t="inlineStr">
        <is>
          <t>GÄVLEBORGS LÄN</t>
        </is>
      </c>
      <c r="G269" t="inlineStr">
        <is>
          <t>OCKELBO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45995</v>
      </c>
      <c r="E270" s="1" t="n">
        <v>46322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60183-2025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45994</v>
      </c>
      <c r="E271" s="1" t="n">
        <v>46322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46322</v>
      </c>
      <c r="F272" t="inlineStr">
        <is>
          <t>GÄVLEBORGS LÄN</t>
        </is>
      </c>
      <c r="G272" t="inlineStr">
        <is>
          <t>OCKELBO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46322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45800</v>
      </c>
      <c r="E274" s="1" t="n">
        <v>46322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45800</v>
      </c>
      <c r="E275" s="1" t="n">
        <v>46322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25191-2025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45800</v>
      </c>
      <c r="E276" s="1" t="n">
        <v>46322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25234-2025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45800</v>
      </c>
      <c r="E277" s="1" t="n">
        <v>46322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25250-2025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45800</v>
      </c>
      <c r="E278" s="1" t="n">
        <v>46322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45996</v>
      </c>
      <c r="E279" s="1" t="n">
        <v>46322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26195-2025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45805</v>
      </c>
      <c r="E280" s="1" t="n">
        <v>46322</v>
      </c>
      <c r="F280" t="inlineStr">
        <is>
          <t>GÄVLEBORGS LÄN</t>
        </is>
      </c>
      <c r="G280" t="inlineStr">
        <is>
          <t>OCKELBO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45432</v>
      </c>
      <c r="E281" s="1" t="n">
        <v>46322</v>
      </c>
      <c r="F281" t="inlineStr">
        <is>
          <t>GÄVLEBORGS LÄN</t>
        </is>
      </c>
      <c r="G281" t="inlineStr">
        <is>
          <t>OCKELBO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46322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46322</v>
      </c>
      <c r="F283" t="inlineStr">
        <is>
          <t>GÄVLEBORGS LÄN</t>
        </is>
      </c>
      <c r="G283" t="inlineStr">
        <is>
          <t>OCKELBO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46322</v>
      </c>
      <c r="F284" t="inlineStr">
        <is>
          <t>GÄVLEBORGS LÄN</t>
        </is>
      </c>
      <c r="G284" t="inlineStr">
        <is>
          <t>OCKELBO</t>
        </is>
      </c>
      <c r="I284" t="n">
        <v>13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46199</v>
      </c>
      <c r="E285" s="1" t="n">
        <v>46322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47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46322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46322</v>
      </c>
      <c r="F287" t="inlineStr">
        <is>
          <t>GÄVLEBORGS LÄN</t>
        </is>
      </c>
      <c r="G287" t="inlineStr">
        <is>
          <t>OCKELBO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62196-2025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46006</v>
      </c>
      <c r="E288" s="1" t="n">
        <v>46322</v>
      </c>
      <c r="F288" t="inlineStr">
        <is>
          <t>GÄVLEBORGS LÄN</t>
        </is>
      </c>
      <c r="G288" t="inlineStr">
        <is>
          <t>OCKELBO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46322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46322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45819</v>
      </c>
      <c r="E291" s="1" t="n">
        <v>46322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46322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55422-2022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44887</v>
      </c>
      <c r="E293" s="1" t="n">
        <v>46322</v>
      </c>
      <c r="F293" t="inlineStr">
        <is>
          <t>GÄVLEBORGS LÄN</t>
        </is>
      </c>
      <c r="G293" t="inlineStr">
        <is>
          <t>OCKELBO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46322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46322</v>
      </c>
      <c r="F295" t="inlineStr">
        <is>
          <t>GÄVLEBORGS LÄN</t>
        </is>
      </c>
      <c r="G295" t="inlineStr">
        <is>
          <t>OCKELBO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45821</v>
      </c>
      <c r="E296" s="1" t="n">
        <v>46322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45757</v>
      </c>
      <c r="E297" s="1" t="n">
        <v>46322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46322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46322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46322</v>
      </c>
      <c r="F300" t="inlineStr">
        <is>
          <t>GÄVLEBORGS LÄN</t>
        </is>
      </c>
      <c r="G300" t="inlineStr">
        <is>
          <t>OCKELBO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46322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46322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46322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46013</v>
      </c>
      <c r="E304" s="1" t="n">
        <v>46322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63224-2025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46010</v>
      </c>
      <c r="E305" s="1" t="n">
        <v>46322</v>
      </c>
      <c r="F305" t="inlineStr">
        <is>
          <t>GÄVLEBORGS LÄN</t>
        </is>
      </c>
      <c r="G305" t="inlineStr">
        <is>
          <t>OCKELBO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45048</v>
      </c>
      <c r="E306" s="1" t="n">
        <v>46322</v>
      </c>
      <c r="F306" t="inlineStr">
        <is>
          <t>GÄVLEBORGS LÄN</t>
        </is>
      </c>
      <c r="G306" t="inlineStr">
        <is>
          <t>OCKELBO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63017-2025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46322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46322</v>
      </c>
      <c r="F308" t="inlineStr">
        <is>
          <t>GÄVLEBORGS LÄN</t>
        </is>
      </c>
      <c r="G308" t="inlineStr">
        <is>
          <t>OCKELBO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45488</v>
      </c>
      <c r="E309" s="1" t="n">
        <v>46322</v>
      </c>
      <c r="F309" t="inlineStr">
        <is>
          <t>GÄVLEBORGS LÄN</t>
        </is>
      </c>
      <c r="G309" t="inlineStr">
        <is>
          <t>OCKELBO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45581</v>
      </c>
      <c r="E310" s="1" t="n">
        <v>46322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45041</v>
      </c>
      <c r="E311" s="1" t="n">
        <v>46322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46199</v>
      </c>
      <c r="E312" s="1" t="n">
        <v>46322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46021</v>
      </c>
      <c r="E313" s="1" t="n">
        <v>46322</v>
      </c>
      <c r="F313" t="inlineStr">
        <is>
          <t>GÄVLEBORGS LÄN</t>
        </is>
      </c>
      <c r="G313" t="inlineStr">
        <is>
          <t>OCKELBO</t>
        </is>
      </c>
      <c r="I313" t="n">
        <v>13.6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32011-2024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45510</v>
      </c>
      <c r="E314" s="1" t="n">
        <v>46322</v>
      </c>
      <c r="F314" t="inlineStr">
        <is>
          <t>GÄVLEBORGS LÄN</t>
        </is>
      </c>
      <c r="G314" t="inlineStr">
        <is>
          <t>OCKELBO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46027</v>
      </c>
      <c r="E315" s="1" t="n">
        <v>46322</v>
      </c>
      <c r="F315" t="inlineStr">
        <is>
          <t>GÄVLEBORGS LÄN</t>
        </is>
      </c>
      <c r="G315" t="inlineStr">
        <is>
          <t>OCKELBO</t>
        </is>
      </c>
      <c r="I315" t="n">
        <v>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46027</v>
      </c>
      <c r="E316" s="1" t="n">
        <v>46322</v>
      </c>
      <c r="F316" t="inlineStr">
        <is>
          <t>GÄVLEBORGS LÄN</t>
        </is>
      </c>
      <c r="G316" t="inlineStr">
        <is>
          <t>OCKELBO</t>
        </is>
      </c>
      <c r="I316" t="n">
        <v>16.2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46322</v>
      </c>
      <c r="F317" t="inlineStr">
        <is>
          <t>GÄVLEBORGS LÄN</t>
        </is>
      </c>
      <c r="G317" t="inlineStr">
        <is>
          <t>OCKELBO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46027</v>
      </c>
      <c r="E318" s="1" t="n">
        <v>46322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46322</v>
      </c>
      <c r="F319" t="inlineStr">
        <is>
          <t>GÄVLEBORGS LÄN</t>
        </is>
      </c>
      <c r="G319" t="inlineStr">
        <is>
          <t>OCKELBO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46027</v>
      </c>
      <c r="E320" s="1" t="n">
        <v>46322</v>
      </c>
      <c r="F320" t="inlineStr">
        <is>
          <t>GÄVLEBORGS LÄN</t>
        </is>
      </c>
      <c r="G320" t="inlineStr">
        <is>
          <t>OCKELBO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46322</v>
      </c>
      <c r="F321" t="inlineStr">
        <is>
          <t>GÄVLEBORGS LÄN</t>
        </is>
      </c>
      <c r="G321" t="inlineStr">
        <is>
          <t>OCKELBO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46027</v>
      </c>
      <c r="E322" s="1" t="n">
        <v>46322</v>
      </c>
      <c r="F322" t="inlineStr">
        <is>
          <t>GÄVLEBORGS LÄN</t>
        </is>
      </c>
      <c r="G322" t="inlineStr">
        <is>
          <t>OCKELBO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46024</v>
      </c>
      <c r="E323" s="1" t="n">
        <v>46322</v>
      </c>
      <c r="F323" t="inlineStr">
        <is>
          <t>GÄVLEBORGS LÄN</t>
        </is>
      </c>
      <c r="G323" t="inlineStr">
        <is>
          <t>OCKELBO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46027</v>
      </c>
      <c r="E324" s="1" t="n">
        <v>46322</v>
      </c>
      <c r="F324" t="inlineStr">
        <is>
          <t>GÄVLEBORGS LÄN</t>
        </is>
      </c>
      <c r="G324" t="inlineStr">
        <is>
          <t>OCKELBO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46322</v>
      </c>
      <c r="F325" t="inlineStr">
        <is>
          <t>GÄVLEBORGS LÄN</t>
        </is>
      </c>
      <c r="G325" t="inlineStr">
        <is>
          <t>OCKELBO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46322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46028</v>
      </c>
      <c r="E327" s="1" t="n">
        <v>46322</v>
      </c>
      <c r="F327" t="inlineStr">
        <is>
          <t>GÄVLEBORGS LÄN</t>
        </is>
      </c>
      <c r="G327" t="inlineStr">
        <is>
          <t>OCKELBO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46028</v>
      </c>
      <c r="E328" s="1" t="n">
        <v>46322</v>
      </c>
      <c r="F328" t="inlineStr">
        <is>
          <t>GÄVLEBORGS LÄN</t>
        </is>
      </c>
      <c r="G328" t="inlineStr">
        <is>
          <t>OCKELBO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46322</v>
      </c>
      <c r="F329" t="inlineStr">
        <is>
          <t>GÄVLEBORGS LÄN</t>
        </is>
      </c>
      <c r="G329" t="inlineStr">
        <is>
          <t>OCKELBO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45109</v>
      </c>
      <c r="E330" s="1" t="n">
        <v>46322</v>
      </c>
      <c r="F330" t="inlineStr">
        <is>
          <t>GÄVLEBORGS LÄN</t>
        </is>
      </c>
      <c r="G330" t="inlineStr">
        <is>
          <t>OCKELBO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46024</v>
      </c>
      <c r="E331" s="1" t="n">
        <v>46322</v>
      </c>
      <c r="F331" t="inlineStr">
        <is>
          <t>GÄVLEBORGS LÄN</t>
        </is>
      </c>
      <c r="G331" t="inlineStr">
        <is>
          <t>OCKELBO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46322</v>
      </c>
      <c r="F332" t="inlineStr">
        <is>
          <t>GÄVLEBORGS LÄN</t>
        </is>
      </c>
      <c r="G332" t="inlineStr">
        <is>
          <t>OCKELBO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46322</v>
      </c>
      <c r="F333" t="inlineStr">
        <is>
          <t>GÄVLEBORGS LÄN</t>
        </is>
      </c>
      <c r="G333" t="inlineStr">
        <is>
          <t>OCKELBO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45719</v>
      </c>
      <c r="E334" s="1" t="n">
        <v>46322</v>
      </c>
      <c r="F334" t="inlineStr">
        <is>
          <t>GÄVLEBORGS LÄN</t>
        </is>
      </c>
      <c r="G334" t="inlineStr">
        <is>
          <t>OCKELBO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46322</v>
      </c>
      <c r="F335" t="inlineStr">
        <is>
          <t>GÄVLEBORGS LÄN</t>
        </is>
      </c>
      <c r="G335" t="inlineStr">
        <is>
          <t>OCKELBO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45073</v>
      </c>
      <c r="E336" s="1" t="n">
        <v>46322</v>
      </c>
      <c r="F336" t="inlineStr">
        <is>
          <t>GÄVLEBORGS LÄN</t>
        </is>
      </c>
      <c r="G336" t="inlineStr">
        <is>
          <t>OCKELBO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46183</v>
      </c>
      <c r="E337" s="1" t="n">
        <v>46322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46322</v>
      </c>
      <c r="F338" t="inlineStr">
        <is>
          <t>GÄVLEBORGS LÄN</t>
        </is>
      </c>
      <c r="G338" t="inlineStr">
        <is>
          <t>OCKELBO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46322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46322</v>
      </c>
      <c r="F340" t="inlineStr">
        <is>
          <t>GÄVLEBORGS LÄN</t>
        </is>
      </c>
      <c r="G340" t="inlineStr">
        <is>
          <t>OCKELBO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14827-2026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46322</v>
      </c>
      <c r="F341" t="inlineStr">
        <is>
          <t>GÄVLEBORGS LÄN</t>
        </is>
      </c>
      <c r="G341" t="inlineStr">
        <is>
          <t>OCKELBO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46033</v>
      </c>
      <c r="E342" s="1" t="n">
        <v>46322</v>
      </c>
      <c r="F342" t="inlineStr">
        <is>
          <t>GÄVLEBORGS LÄN</t>
        </is>
      </c>
      <c r="G342" t="inlineStr">
        <is>
          <t>OCKELBO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46322</v>
      </c>
      <c r="F343" t="inlineStr">
        <is>
          <t>GÄVLEBORGS LÄN</t>
        </is>
      </c>
      <c r="G343" t="inlineStr">
        <is>
          <t>OCKELBO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46035</v>
      </c>
      <c r="E344" s="1" t="n">
        <v>46322</v>
      </c>
      <c r="F344" t="inlineStr">
        <is>
          <t>GÄVLEBORGS LÄN</t>
        </is>
      </c>
      <c r="G344" t="inlineStr">
        <is>
          <t>OCKELBO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29611-2026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46204</v>
      </c>
      <c r="E345" s="1" t="n">
        <v>46322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46322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46035</v>
      </c>
      <c r="E347" s="1" t="n">
        <v>46322</v>
      </c>
      <c r="F347" t="inlineStr">
        <is>
          <t>GÄVLEBORGS LÄN</t>
        </is>
      </c>
      <c r="G347" t="inlineStr">
        <is>
          <t>OCKELBO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35017-2025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45851</v>
      </c>
      <c r="E348" s="1" t="n">
        <v>46322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46322</v>
      </c>
      <c r="F349" t="inlineStr">
        <is>
          <t>GÄVLEBORGS LÄN</t>
        </is>
      </c>
      <c r="G349" t="inlineStr">
        <is>
          <t>OCKELBO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46322</v>
      </c>
      <c r="F350" t="inlineStr">
        <is>
          <t>GÄVLEBORGS LÄN</t>
        </is>
      </c>
      <c r="G350" t="inlineStr">
        <is>
          <t>OCKELBO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46322</v>
      </c>
      <c r="F351" t="inlineStr">
        <is>
          <t>GÄVLEBORGS LÄN</t>
        </is>
      </c>
      <c r="G351" t="inlineStr">
        <is>
          <t>OCKELBO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46322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46322</v>
      </c>
      <c r="F353" t="inlineStr">
        <is>
          <t>GÄVLEBORGS LÄN</t>
        </is>
      </c>
      <c r="G353" t="inlineStr">
        <is>
          <t>OCKELBO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46322</v>
      </c>
      <c r="F354" t="inlineStr">
        <is>
          <t>GÄVLEBORGS LÄN</t>
        </is>
      </c>
      <c r="G354" t="inlineStr">
        <is>
          <t>OCKELBO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46203</v>
      </c>
      <c r="E355" s="1" t="n">
        <v>46322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46322</v>
      </c>
      <c r="F356" t="inlineStr">
        <is>
          <t>GÄVLEBORGS LÄN</t>
        </is>
      </c>
      <c r="G356" t="inlineStr">
        <is>
          <t>OCKELBO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46322</v>
      </c>
      <c r="F357" t="inlineStr">
        <is>
          <t>GÄVLEBORGS LÄN</t>
        </is>
      </c>
      <c r="G357" t="inlineStr">
        <is>
          <t>OCKELBO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46322</v>
      </c>
      <c r="F358" t="inlineStr">
        <is>
          <t>GÄVLEBORGS LÄN</t>
        </is>
      </c>
      <c r="G358" t="inlineStr">
        <is>
          <t>OCKELBO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46041</v>
      </c>
      <c r="E359" s="1" t="n">
        <v>46322</v>
      </c>
      <c r="F359" t="inlineStr">
        <is>
          <t>GÄVLEBORGS LÄN</t>
        </is>
      </c>
      <c r="G359" t="inlineStr">
        <is>
          <t>OCKELBO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46322</v>
      </c>
      <c r="F360" t="inlineStr">
        <is>
          <t>GÄVLEBORGS LÄN</t>
        </is>
      </c>
      <c r="G360" t="inlineStr">
        <is>
          <t>OCKELBO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46322</v>
      </c>
      <c r="F361" t="inlineStr">
        <is>
          <t>GÄVLEBORGS LÄN</t>
        </is>
      </c>
      <c r="G361" t="inlineStr">
        <is>
          <t>OCKELBO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46322</v>
      </c>
      <c r="F362" t="inlineStr">
        <is>
          <t>GÄVLEBORGS LÄN</t>
        </is>
      </c>
      <c r="G362" t="inlineStr">
        <is>
          <t>OCKELBO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46322</v>
      </c>
      <c r="F363" t="inlineStr">
        <is>
          <t>GÄVLEBORGS LÄN</t>
        </is>
      </c>
      <c r="G363" t="inlineStr">
        <is>
          <t>OCKELBO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46322</v>
      </c>
      <c r="F364" t="inlineStr">
        <is>
          <t>GÄVLEBORGS LÄN</t>
        </is>
      </c>
      <c r="G364" t="inlineStr">
        <is>
          <t>OCKELBO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46322</v>
      </c>
      <c r="F365" t="inlineStr">
        <is>
          <t>GÄVLEBORGS LÄN</t>
        </is>
      </c>
      <c r="G365" t="inlineStr">
        <is>
          <t>OCKELBO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46322</v>
      </c>
      <c r="F366" t="inlineStr">
        <is>
          <t>GÄVLEBORGS LÄN</t>
        </is>
      </c>
      <c r="G366" t="inlineStr">
        <is>
          <t>OCKELBO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46322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46322</v>
      </c>
      <c r="F368" t="inlineStr">
        <is>
          <t>GÄVLEBORGS LÄN</t>
        </is>
      </c>
      <c r="G368" t="inlineStr">
        <is>
          <t>OCKELBO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46322</v>
      </c>
      <c r="F369" t="inlineStr">
        <is>
          <t>GÄVLEBORGS LÄN</t>
        </is>
      </c>
      <c r="G369" t="inlineStr">
        <is>
          <t>OCKELBO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46322</v>
      </c>
      <c r="F370" t="inlineStr">
        <is>
          <t>GÄVLEBORGS LÄN</t>
        </is>
      </c>
      <c r="G370" t="inlineStr">
        <is>
          <t>OCKELBO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46322</v>
      </c>
      <c r="F371" t="inlineStr">
        <is>
          <t>GÄVLEBORGS LÄN</t>
        </is>
      </c>
      <c r="G371" t="inlineStr">
        <is>
          <t>OCKELBO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46322</v>
      </c>
      <c r="F372" t="inlineStr">
        <is>
          <t>GÄVLEBORGS LÄN</t>
        </is>
      </c>
      <c r="G372" t="inlineStr">
        <is>
          <t>OCKELBO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46322</v>
      </c>
      <c r="F373" t="inlineStr">
        <is>
          <t>GÄVLEBORGS LÄN</t>
        </is>
      </c>
      <c r="G373" t="inlineStr">
        <is>
          <t>OCKELBO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43538-2023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45184</v>
      </c>
      <c r="E374" s="1" t="n">
        <v>46322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46322</v>
      </c>
      <c r="F375" t="inlineStr">
        <is>
          <t>GÄVLEBORGS LÄN</t>
        </is>
      </c>
      <c r="G375" t="inlineStr">
        <is>
          <t>OCKELBO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46322</v>
      </c>
      <c r="F376" t="inlineStr">
        <is>
          <t>GÄVLEBORGS LÄN</t>
        </is>
      </c>
      <c r="G376" t="inlineStr">
        <is>
          <t>OCKELBO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46322</v>
      </c>
      <c r="F377" t="inlineStr">
        <is>
          <t>GÄVLEBORGS LÄN</t>
        </is>
      </c>
      <c r="G377" t="inlineStr">
        <is>
          <t>OCKELBO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46322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45490</v>
      </c>
      <c r="E379" s="1" t="n">
        <v>46322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46322</v>
      </c>
      <c r="F380" t="inlineStr">
        <is>
          <t>GÄVLEBORGS LÄN</t>
        </is>
      </c>
      <c r="G380" t="inlineStr">
        <is>
          <t>OCKELBO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45139</v>
      </c>
      <c r="E381" s="1" t="n">
        <v>46322</v>
      </c>
      <c r="F381" t="inlineStr">
        <is>
          <t>GÄVLEBORGS LÄN</t>
        </is>
      </c>
      <c r="G381" t="inlineStr">
        <is>
          <t>OCKELBO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46322</v>
      </c>
      <c r="F382" t="inlineStr">
        <is>
          <t>GÄVLEBORGS LÄN</t>
        </is>
      </c>
      <c r="G382" t="inlineStr">
        <is>
          <t>OCKELBO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46322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46050</v>
      </c>
      <c r="E384" s="1" t="n">
        <v>46322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6.9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46322</v>
      </c>
      <c r="F385" t="inlineStr">
        <is>
          <t>GÄVLEBORGS LÄN</t>
        </is>
      </c>
      <c r="G385" t="inlineStr">
        <is>
          <t>OCKELBO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46322</v>
      </c>
      <c r="F386" t="inlineStr">
        <is>
          <t>GÄVLEBORGS LÄN</t>
        </is>
      </c>
      <c r="G386" t="inlineStr">
        <is>
          <t>OCKELBO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45719</v>
      </c>
      <c r="E387" s="1" t="n">
        <v>46322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öst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45705</v>
      </c>
      <c r="E388" s="1" t="n">
        <v>46322</v>
      </c>
      <c r="F388" t="inlineStr">
        <is>
          <t>GÄVLEBORGS LÄN</t>
        </is>
      </c>
      <c r="G388" t="inlineStr">
        <is>
          <t>OCKELBO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45551</v>
      </c>
      <c r="E389" s="1" t="n">
        <v>46322</v>
      </c>
      <c r="F389" t="inlineStr">
        <is>
          <t>GÄVLEBORGS LÄN</t>
        </is>
      </c>
      <c r="G389" t="inlineStr">
        <is>
          <t>OCKELBO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46053</v>
      </c>
      <c r="E390" s="1" t="n">
        <v>46322</v>
      </c>
      <c r="F390" t="inlineStr">
        <is>
          <t>GÄVLEBORGS LÄN</t>
        </is>
      </c>
      <c r="G390" t="inlineStr">
        <is>
          <t>OCKELBO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46322</v>
      </c>
      <c r="F391" t="inlineStr">
        <is>
          <t>GÄVLEBORGS LÄN</t>
        </is>
      </c>
      <c r="G391" t="inlineStr">
        <is>
          <t>OCKELBO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46322</v>
      </c>
      <c r="F392" t="inlineStr">
        <is>
          <t>GÄVLEBORGS LÄN</t>
        </is>
      </c>
      <c r="G392" t="inlineStr">
        <is>
          <t>OCKELBO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46322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45181</v>
      </c>
      <c r="E394" s="1" t="n">
        <v>46322</v>
      </c>
      <c r="F394" t="inlineStr">
        <is>
          <t>GÄVLEBORGS LÄN</t>
        </is>
      </c>
      <c r="G394" t="inlineStr">
        <is>
          <t>OCKELBO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46322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47100-2024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45586</v>
      </c>
      <c r="E396" s="1" t="n">
        <v>46322</v>
      </c>
      <c r="F396" t="inlineStr">
        <is>
          <t>GÄVLEBORGS LÄN</t>
        </is>
      </c>
      <c r="G396" t="inlineStr">
        <is>
          <t>OCKELBO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46322</v>
      </c>
      <c r="F397" t="inlineStr">
        <is>
          <t>GÄVLEBORGS LÄN</t>
        </is>
      </c>
      <c r="G397" t="inlineStr">
        <is>
          <t>OCKELBO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52241-2024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45608</v>
      </c>
      <c r="E398" s="1" t="n">
        <v>46322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46322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6862-2026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46322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46322</v>
      </c>
      <c r="F401" t="inlineStr">
        <is>
          <t>GÄVLEBORGS LÄN</t>
        </is>
      </c>
      <c r="G401" t="inlineStr">
        <is>
          <t>OCKELBO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20660-2022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44700</v>
      </c>
      <c r="E402" s="1" t="n">
        <v>46322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46322</v>
      </c>
      <c r="F403" t="inlineStr">
        <is>
          <t>GÄVLEBORGS LÄN</t>
        </is>
      </c>
      <c r="G403" t="inlineStr">
        <is>
          <t>OCKELBO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46322</v>
      </c>
      <c r="F404" t="inlineStr">
        <is>
          <t>GÄVLEBORGS LÄN</t>
        </is>
      </c>
      <c r="G404" t="inlineStr">
        <is>
          <t>OCKELBO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46322</v>
      </c>
      <c r="F405" t="inlineStr">
        <is>
          <t>GÄVLEBORGS LÄN</t>
        </is>
      </c>
      <c r="G405" t="inlineStr">
        <is>
          <t>OCKELBO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6588-2026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46322</v>
      </c>
      <c r="F406" t="inlineStr">
        <is>
          <t>GÄVLEBORGS LÄN</t>
        </is>
      </c>
      <c r="G406" t="inlineStr">
        <is>
          <t>OCKELBO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46322</v>
      </c>
      <c r="F407" t="inlineStr">
        <is>
          <t>GÄVLEBORGS LÄN</t>
        </is>
      </c>
      <c r="G407" t="inlineStr">
        <is>
          <t>OCKELBO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46322</v>
      </c>
      <c r="F408" t="inlineStr">
        <is>
          <t>GÄVLEBORGS LÄN</t>
        </is>
      </c>
      <c r="G408" t="inlineStr">
        <is>
          <t>OCKELBO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7544-2026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46059</v>
      </c>
      <c r="E409" s="1" t="n">
        <v>46322</v>
      </c>
      <c r="F409" t="inlineStr">
        <is>
          <t>GÄVLEBORGS LÄN</t>
        </is>
      </c>
      <c r="G409" t="inlineStr">
        <is>
          <t>OCKELBO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47841-2023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45204</v>
      </c>
      <c r="E410" s="1" t="n">
        <v>46322</v>
      </c>
      <c r="F410" t="inlineStr">
        <is>
          <t>GÄVLEBORGS LÄN</t>
        </is>
      </c>
      <c r="G410" t="inlineStr">
        <is>
          <t>OCKELBO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46322</v>
      </c>
      <c r="F411" t="inlineStr">
        <is>
          <t>GÄVLEBORGS LÄN</t>
        </is>
      </c>
      <c r="G411" t="inlineStr">
        <is>
          <t>OCKELBO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46322</v>
      </c>
      <c r="F412" t="inlineStr">
        <is>
          <t>GÄVLEBORGS LÄN</t>
        </is>
      </c>
      <c r="G412" t="inlineStr">
        <is>
          <t>OCKELBO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46322</v>
      </c>
      <c r="F413" t="inlineStr">
        <is>
          <t>GÄVLEBORGS LÄN</t>
        </is>
      </c>
      <c r="G413" t="inlineStr">
        <is>
          <t>OCKELBO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46322</v>
      </c>
      <c r="F414" t="inlineStr">
        <is>
          <t>GÄVLEBORGS LÄN</t>
        </is>
      </c>
      <c r="G414" t="inlineStr">
        <is>
          <t>OCKELBO</t>
        </is>
      </c>
      <c r="H414" t="inlineStr">
        <is>
          <t>Kyrkan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46322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46064</v>
      </c>
      <c r="E416" s="1" t="n">
        <v>46322</v>
      </c>
      <c r="F416" t="inlineStr">
        <is>
          <t>GÄVLEBORGS LÄN</t>
        </is>
      </c>
      <c r="G416" t="inlineStr">
        <is>
          <t>OCKELBO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46322</v>
      </c>
      <c r="F417" t="inlineStr">
        <is>
          <t>GÄVLEBORGS LÄN</t>
        </is>
      </c>
      <c r="G417" t="inlineStr">
        <is>
          <t>OCKELBO</t>
        </is>
      </c>
      <c r="I417" t="n">
        <v>17.4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46322</v>
      </c>
      <c r="F418" t="inlineStr">
        <is>
          <t>GÄVLEBORGS LÄN</t>
        </is>
      </c>
      <c r="G418" t="inlineStr">
        <is>
          <t>OCKELBO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46322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5571-2024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45334</v>
      </c>
      <c r="E420" s="1" t="n">
        <v>46322</v>
      </c>
      <c r="F420" t="inlineStr">
        <is>
          <t>GÄVLEBORGS LÄN</t>
        </is>
      </c>
      <c r="G420" t="inlineStr">
        <is>
          <t>OCKELBO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45645</v>
      </c>
      <c r="E421" s="1" t="n">
        <v>46322</v>
      </c>
      <c r="F421" t="inlineStr">
        <is>
          <t>GÄVLEBORGS LÄN</t>
        </is>
      </c>
      <c r="G421" t="inlineStr">
        <is>
          <t>OCKELBO</t>
        </is>
      </c>
      <c r="H421" t="inlineStr">
        <is>
          <t>Kyrkan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28586-2024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45478</v>
      </c>
      <c r="E422" s="1" t="n">
        <v>46322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21582-2024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45441</v>
      </c>
      <c r="E423" s="1" t="n">
        <v>46322</v>
      </c>
      <c r="F423" t="inlineStr">
        <is>
          <t>GÄVLEBORGS LÄN</t>
        </is>
      </c>
      <c r="G423" t="inlineStr">
        <is>
          <t>OCKELBO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9464-2026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46322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46071</v>
      </c>
      <c r="E425" s="1" t="n">
        <v>46322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31083-2026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46216</v>
      </c>
      <c r="E426" s="1" t="n">
        <v>46322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46071</v>
      </c>
      <c r="E427" s="1" t="n">
        <v>46322</v>
      </c>
      <c r="F427" t="inlineStr">
        <is>
          <t>GÄVLEBORGS LÄN</t>
        </is>
      </c>
      <c r="G427" t="inlineStr">
        <is>
          <t>OCKELBO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45254</v>
      </c>
      <c r="E428" s="1" t="n">
        <v>46322</v>
      </c>
      <c r="F428" t="inlineStr">
        <is>
          <t>GÄVLEBORGS LÄN</t>
        </is>
      </c>
      <c r="G428" t="inlineStr">
        <is>
          <t>OCKELBO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9416-2026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46071</v>
      </c>
      <c r="E429" s="1" t="n">
        <v>46322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46322</v>
      </c>
      <c r="F430" t="inlineStr">
        <is>
          <t>GÄVLEBORGS LÄN</t>
        </is>
      </c>
      <c r="G430" t="inlineStr">
        <is>
          <t>OCKELBO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9557-2026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46071</v>
      </c>
      <c r="E431" s="1" t="n">
        <v>46322</v>
      </c>
      <c r="F431" t="inlineStr">
        <is>
          <t>GÄVLEBORGS LÄN</t>
        </is>
      </c>
      <c r="G431" t="inlineStr">
        <is>
          <t>OCKELBO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9414-2026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46071</v>
      </c>
      <c r="E432" s="1" t="n">
        <v>46322</v>
      </c>
      <c r="F432" t="inlineStr">
        <is>
          <t>GÄVLEBORGS LÄN</t>
        </is>
      </c>
      <c r="G432" t="inlineStr">
        <is>
          <t>OCKELBO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9505-2026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46322</v>
      </c>
      <c r="F433" t="inlineStr">
        <is>
          <t>GÄVLEBORGS LÄN</t>
        </is>
      </c>
      <c r="G433" t="inlineStr">
        <is>
          <t>OCKELBO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46322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46322</v>
      </c>
      <c r="F435" t="inlineStr">
        <is>
          <t>GÄVLEBORGS LÄN</t>
        </is>
      </c>
      <c r="G435" t="inlineStr">
        <is>
          <t>OCKELBO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45450</v>
      </c>
      <c r="E436" s="1" t="n">
        <v>46322</v>
      </c>
      <c r="F436" t="inlineStr">
        <is>
          <t>GÄVLEBORGS LÄN</t>
        </is>
      </c>
      <c r="G436" t="inlineStr">
        <is>
          <t>OCKELBO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46072</v>
      </c>
      <c r="E437" s="1" t="n">
        <v>46322</v>
      </c>
      <c r="F437" t="inlineStr">
        <is>
          <t>GÄVLEBORGS LÄN</t>
        </is>
      </c>
      <c r="G437" t="inlineStr">
        <is>
          <t>OCKELBO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45366</v>
      </c>
      <c r="E438" s="1" t="n">
        <v>46322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46072</v>
      </c>
      <c r="E439" s="1" t="n">
        <v>46322</v>
      </c>
      <c r="F439" t="inlineStr">
        <is>
          <t>GÄVLEBORGS LÄN</t>
        </is>
      </c>
      <c r="G439" t="inlineStr">
        <is>
          <t>OCKELBO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9727-2026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46322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46072</v>
      </c>
      <c r="E441" s="1" t="n">
        <v>46322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46073</v>
      </c>
      <c r="E442" s="1" t="n">
        <v>46322</v>
      </c>
      <c r="F442" t="inlineStr">
        <is>
          <t>GÄVLEBORGS LÄN</t>
        </is>
      </c>
      <c r="G442" t="inlineStr">
        <is>
          <t>OCKELBO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10501-2026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46077</v>
      </c>
      <c r="E443" s="1" t="n">
        <v>46322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46218</v>
      </c>
      <c r="E444" s="1" t="n">
        <v>46322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46078</v>
      </c>
      <c r="E445" s="1" t="n">
        <v>46322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46322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46322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öst AB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46077</v>
      </c>
      <c r="E448" s="1" t="n">
        <v>46322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46322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öst AB</t>
        </is>
      </c>
      <c r="I449" t="n">
        <v>45.7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46031</v>
      </c>
      <c r="E450" s="1" t="n">
        <v>46322</v>
      </c>
      <c r="F450" t="inlineStr">
        <is>
          <t>GÄVLEBORGS LÄN</t>
        </is>
      </c>
      <c r="G450" t="inlineStr">
        <is>
          <t>OCKELBO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46322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46076</v>
      </c>
      <c r="E452" s="1" t="n">
        <v>46322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46077</v>
      </c>
      <c r="E453" s="1" t="n">
        <v>46322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öst AB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29963-2024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45488</v>
      </c>
      <c r="E454" s="1" t="n">
        <v>46322</v>
      </c>
      <c r="F454" t="inlineStr">
        <is>
          <t>GÄVLEBORGS LÄN</t>
        </is>
      </c>
      <c r="G454" t="inlineStr">
        <is>
          <t>OCKELBO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44712</v>
      </c>
      <c r="E455" s="1" t="n">
        <v>46322</v>
      </c>
      <c r="F455" t="inlineStr">
        <is>
          <t>GÄVLEBORGS LÄN</t>
        </is>
      </c>
      <c r="G455" t="inlineStr">
        <is>
          <t>OCKELBO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46077</v>
      </c>
      <c r="E456" s="1" t="n">
        <v>46322</v>
      </c>
      <c r="F456" t="inlineStr">
        <is>
          <t>GÄVLEBORGS LÄN</t>
        </is>
      </c>
      <c r="G456" t="inlineStr">
        <is>
          <t>OCKELBO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11078-2026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46079</v>
      </c>
      <c r="E457" s="1" t="n">
        <v>46322</v>
      </c>
      <c r="F457" t="inlineStr">
        <is>
          <t>GÄVLEBORGS LÄN</t>
        </is>
      </c>
      <c r="G457" t="inlineStr">
        <is>
          <t>OCKELBO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46322</v>
      </c>
      <c r="F458" t="inlineStr">
        <is>
          <t>GÄVLEBORGS LÄN</t>
        </is>
      </c>
      <c r="G458" t="inlineStr">
        <is>
          <t>OCKELBO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58156-2025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45982</v>
      </c>
      <c r="E459" s="1" t="n">
        <v>46322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11237-2026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46080</v>
      </c>
      <c r="E460" s="1" t="n">
        <v>46322</v>
      </c>
      <c r="F460" t="inlineStr">
        <is>
          <t>GÄVLEBORGS LÄN</t>
        </is>
      </c>
      <c r="G460" t="inlineStr">
        <is>
          <t>OCKELBO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46322</v>
      </c>
      <c r="F461" t="inlineStr">
        <is>
          <t>GÄVLEBORGS LÄN</t>
        </is>
      </c>
      <c r="G461" t="inlineStr">
        <is>
          <t>OCKELBO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55112-2023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46322</v>
      </c>
      <c r="F462" t="inlineStr">
        <is>
          <t>GÄVLEBORGS LÄN</t>
        </is>
      </c>
      <c r="G462" t="inlineStr">
        <is>
          <t>OCKELBO</t>
        </is>
      </c>
      <c r="I462" t="n">
        <v>14.6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46080</v>
      </c>
      <c r="E463" s="1" t="n">
        <v>46322</v>
      </c>
      <c r="F463" t="inlineStr">
        <is>
          <t>GÄVLEBORGS LÄN</t>
        </is>
      </c>
      <c r="G463" t="inlineStr">
        <is>
          <t>OCKELBO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46322</v>
      </c>
      <c r="F464" t="inlineStr">
        <is>
          <t>GÄVLEBORGS LÄN</t>
        </is>
      </c>
      <c r="G464" t="inlineStr">
        <is>
          <t>OCKELBO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46322</v>
      </c>
      <c r="F465" t="inlineStr">
        <is>
          <t>GÄVLEBORGS LÄN</t>
        </is>
      </c>
      <c r="G465" t="inlineStr">
        <is>
          <t>OCKELBO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46083</v>
      </c>
      <c r="E466" s="1" t="n">
        <v>46322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46322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öst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15325-2025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45747</v>
      </c>
      <c r="E468" s="1" t="n">
        <v>46322</v>
      </c>
      <c r="F468" t="inlineStr">
        <is>
          <t>GÄVLEBORGS LÄN</t>
        </is>
      </c>
      <c r="G468" t="inlineStr">
        <is>
          <t>OCKELBO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11810-2026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46322</v>
      </c>
      <c r="F469" t="inlineStr">
        <is>
          <t>GÄVLEBORGS LÄN</t>
        </is>
      </c>
      <c r="G469" t="inlineStr">
        <is>
          <t>OCKELBO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46230</v>
      </c>
      <c r="E470" s="1" t="n">
        <v>46322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29968-2024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45488</v>
      </c>
      <c r="E471" s="1" t="n">
        <v>46322</v>
      </c>
      <c r="F471" t="inlineStr">
        <is>
          <t>GÄVLEBORGS LÄN</t>
        </is>
      </c>
      <c r="G471" t="inlineStr">
        <is>
          <t>OCKELBO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12341-2026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46087</v>
      </c>
      <c r="E472" s="1" t="n">
        <v>46322</v>
      </c>
      <c r="F472" t="inlineStr">
        <is>
          <t>GÄVLEBORGS LÄN</t>
        </is>
      </c>
      <c r="G472" t="inlineStr">
        <is>
          <t>OCKELBO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46089</v>
      </c>
      <c r="E473" s="1" t="n">
        <v>46322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29.9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46322</v>
      </c>
      <c r="F474" t="inlineStr">
        <is>
          <t>GÄVLEBORGS LÄN</t>
        </is>
      </c>
      <c r="G474" t="inlineStr">
        <is>
          <t>OCKELBO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12716-2026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46091</v>
      </c>
      <c r="E475" s="1" t="n">
        <v>46322</v>
      </c>
      <c r="F475" t="inlineStr">
        <is>
          <t>GÄVLEBORGS LÄN</t>
        </is>
      </c>
      <c r="G475" t="inlineStr">
        <is>
          <t>OCKELBO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46322</v>
      </c>
      <c r="F476" t="inlineStr">
        <is>
          <t>GÄVLEBORGS LÄN</t>
        </is>
      </c>
      <c r="G476" t="inlineStr">
        <is>
          <t>OCKELBO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20408-2026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46140</v>
      </c>
      <c r="E477" s="1" t="n">
        <v>46322</v>
      </c>
      <c r="F477" t="inlineStr">
        <is>
          <t>GÄVLEBORGS LÄN</t>
        </is>
      </c>
      <c r="G477" t="inlineStr">
        <is>
          <t>OCKELBO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46322</v>
      </c>
      <c r="F478" t="inlineStr">
        <is>
          <t>GÄVLEBORGS LÄN</t>
        </is>
      </c>
      <c r="G478" t="inlineStr">
        <is>
          <t>OCKELBO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46322</v>
      </c>
      <c r="F479" t="inlineStr">
        <is>
          <t>GÄVLEBORGS LÄN</t>
        </is>
      </c>
      <c r="G479" t="inlineStr">
        <is>
          <t>OCKELBO</t>
        </is>
      </c>
      <c r="H479" t="inlineStr">
        <is>
          <t>Naturvårdsverket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46322</v>
      </c>
      <c r="F480" t="inlineStr">
        <is>
          <t>GÄVLEBORGS LÄN</t>
        </is>
      </c>
      <c r="G480" t="inlineStr">
        <is>
          <t>OCKELBO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46093</v>
      </c>
      <c r="E481" s="1" t="n">
        <v>46322</v>
      </c>
      <c r="F481" t="inlineStr">
        <is>
          <t>GÄVLEBORGS LÄN</t>
        </is>
      </c>
      <c r="G481" t="inlineStr">
        <is>
          <t>OCKELBO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46322</v>
      </c>
      <c r="F482" t="inlineStr">
        <is>
          <t>GÄVLEBORGS LÄN</t>
        </is>
      </c>
      <c r="G482" t="inlineStr">
        <is>
          <t>OCKELBO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46322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13882-2026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46098</v>
      </c>
      <c r="E484" s="1" t="n">
        <v>46322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45700</v>
      </c>
      <c r="E485" s="1" t="n">
        <v>46322</v>
      </c>
      <c r="F485" t="inlineStr">
        <is>
          <t>GÄVLEBORGS LÄN</t>
        </is>
      </c>
      <c r="G485" t="inlineStr">
        <is>
          <t>OCKELBO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46322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36.6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46322</v>
      </c>
      <c r="F487" t="inlineStr">
        <is>
          <t>GÄVLEBORGS LÄN</t>
        </is>
      </c>
      <c r="G487" t="inlineStr">
        <is>
          <t>OCKELBO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13962-2026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46322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13621-2026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46097</v>
      </c>
      <c r="E489" s="1" t="n">
        <v>46322</v>
      </c>
      <c r="F489" t="inlineStr">
        <is>
          <t>GÄVLEBORGS LÄN</t>
        </is>
      </c>
      <c r="G489" t="inlineStr">
        <is>
          <t>OCKELBO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46322</v>
      </c>
      <c r="F490" t="inlineStr">
        <is>
          <t>GÄVLEBORGS LÄN</t>
        </is>
      </c>
      <c r="G490" t="inlineStr">
        <is>
          <t>OCKELBO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46322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45342</v>
      </c>
      <c r="E492" s="1" t="n">
        <v>46322</v>
      </c>
      <c r="F492" t="inlineStr">
        <is>
          <t>GÄVLEBORGS LÄN</t>
        </is>
      </c>
      <c r="G492" t="inlineStr">
        <is>
          <t>OCKELBO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14037-2026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46322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46100</v>
      </c>
      <c r="E494" s="1" t="n">
        <v>46322</v>
      </c>
      <c r="F494" t="inlineStr">
        <is>
          <t>GÄVLEBORGS LÄN</t>
        </is>
      </c>
      <c r="G494" t="inlineStr">
        <is>
          <t>OCKELBO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46100</v>
      </c>
      <c r="E495" s="1" t="n">
        <v>46322</v>
      </c>
      <c r="F495" t="inlineStr">
        <is>
          <t>GÄVLEBORGS LÄN</t>
        </is>
      </c>
      <c r="G495" t="inlineStr">
        <is>
          <t>OCKELBO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46322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15018-2026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46322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7276-2023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44970</v>
      </c>
      <c r="E498" s="1" t="n">
        <v>46322</v>
      </c>
      <c r="F498" t="inlineStr">
        <is>
          <t>GÄVLEBORGS LÄN</t>
        </is>
      </c>
      <c r="G498" t="inlineStr">
        <is>
          <t>OCKELBO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46322</v>
      </c>
      <c r="F499" t="inlineStr">
        <is>
          <t>GÄVLEBORGS LÄN</t>
        </is>
      </c>
      <c r="G499" t="inlineStr">
        <is>
          <t>OCKELBO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15043-2026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46104</v>
      </c>
      <c r="E500" s="1" t="n">
        <v>46322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14684-2026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46101</v>
      </c>
      <c r="E501" s="1" t="n">
        <v>46322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15029-2026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46104</v>
      </c>
      <c r="E502" s="1" t="n">
        <v>46322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34.1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46104</v>
      </c>
      <c r="E503" s="1" t="n">
        <v>46322</v>
      </c>
      <c r="F503" t="inlineStr">
        <is>
          <t>GÄVLEBORGS LÄN</t>
        </is>
      </c>
      <c r="G503" t="inlineStr">
        <is>
          <t>OCKELBO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15067-2026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46104</v>
      </c>
      <c r="E504" s="1" t="n">
        <v>46322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15648-2026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46322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15575-2026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46322</v>
      </c>
      <c r="F506" t="inlineStr">
        <is>
          <t>GÄVLEBORGS LÄN</t>
        </is>
      </c>
      <c r="G506" t="inlineStr">
        <is>
          <t>OCKELBO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46322</v>
      </c>
      <c r="F507" t="inlineStr">
        <is>
          <t>GÄVLEBORGS LÄN</t>
        </is>
      </c>
      <c r="G507" t="inlineStr">
        <is>
          <t>OCKELBO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16629-2025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46322</v>
      </c>
      <c r="F508" t="inlineStr">
        <is>
          <t>GÄVLEBORGS LÄN</t>
        </is>
      </c>
      <c r="G508" t="inlineStr">
        <is>
          <t>OCKELBO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46322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öst AB</t>
        </is>
      </c>
      <c r="I509" t="n">
        <v>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45330</v>
      </c>
      <c r="E510" s="1" t="n">
        <v>46322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15678-2026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46322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46322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46322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9.699999999999999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46108</v>
      </c>
      <c r="E514" s="1" t="n">
        <v>46322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16296-2026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46111</v>
      </c>
      <c r="E515" s="1" t="n">
        <v>46322</v>
      </c>
      <c r="F515" t="inlineStr">
        <is>
          <t>GÄVLEBORGS LÄN</t>
        </is>
      </c>
      <c r="G515" t="inlineStr">
        <is>
          <t>OCKELBO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16535-2026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46112</v>
      </c>
      <c r="E516" s="1" t="n">
        <v>46322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46112</v>
      </c>
      <c r="E517" s="1" t="n">
        <v>46322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16481-2026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46322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45106</v>
      </c>
      <c r="E519" s="1" t="n">
        <v>46322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46322</v>
      </c>
      <c r="F520" t="inlineStr">
        <is>
          <t>GÄVLEBORGS LÄN</t>
        </is>
      </c>
      <c r="G520" t="inlineStr">
        <is>
          <t>OCKELBO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46114</v>
      </c>
      <c r="E521" s="1" t="n">
        <v>46322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9.4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16991-2026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46114</v>
      </c>
      <c r="E522" s="1" t="n">
        <v>46322</v>
      </c>
      <c r="F522" t="inlineStr">
        <is>
          <t>GÄVLEBORGS LÄN</t>
        </is>
      </c>
      <c r="G522" t="inlineStr">
        <is>
          <t>OCKELBO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17115-2026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46114</v>
      </c>
      <c r="E523" s="1" t="n">
        <v>46322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16989-2026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46114</v>
      </c>
      <c r="E524" s="1" t="n">
        <v>46322</v>
      </c>
      <c r="F524" t="inlineStr">
        <is>
          <t>GÄVLEBORGS LÄN</t>
        </is>
      </c>
      <c r="G524" t="inlineStr">
        <is>
          <t>OCKELBO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46322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öst AB</t>
        </is>
      </c>
      <c r="I525" t="n">
        <v>7.7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46322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öst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10457-2026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46077</v>
      </c>
      <c r="E527" s="1" t="n">
        <v>46322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öst AB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17224-2026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46322</v>
      </c>
      <c r="F528" t="inlineStr">
        <is>
          <t>GÄVLEBORGS LÄN</t>
        </is>
      </c>
      <c r="G528" t="inlineStr">
        <is>
          <t>OCKELBO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46322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öst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46322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46118</v>
      </c>
      <c r="E531" s="1" t="n">
        <v>46322</v>
      </c>
      <c r="F531" t="inlineStr">
        <is>
          <t>GÄVLEBORGS LÄN</t>
        </is>
      </c>
      <c r="G531" t="inlineStr">
        <is>
          <t>OCKELBO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45674</v>
      </c>
      <c r="E532" s="1" t="n">
        <v>46322</v>
      </c>
      <c r="F532" t="inlineStr">
        <is>
          <t>GÄVLEBORGS LÄN</t>
        </is>
      </c>
      <c r="G532" t="inlineStr">
        <is>
          <t>OCKELBO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46322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öst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17589-2026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46121</v>
      </c>
      <c r="E534" s="1" t="n">
        <v>46322</v>
      </c>
      <c r="F534" t="inlineStr">
        <is>
          <t>GÄVLEBORGS LÄN</t>
        </is>
      </c>
      <c r="G534" t="inlineStr">
        <is>
          <t>OCKELBO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46121</v>
      </c>
      <c r="E535" s="1" t="n">
        <v>46322</v>
      </c>
      <c r="F535" t="inlineStr">
        <is>
          <t>GÄVLEBORGS LÄN</t>
        </is>
      </c>
      <c r="G535" t="inlineStr">
        <is>
          <t>OCKELBO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45258</v>
      </c>
      <c r="E536" s="1" t="n">
        <v>46322</v>
      </c>
      <c r="F536" t="inlineStr">
        <is>
          <t>GÄVLEBORGS LÄN</t>
        </is>
      </c>
      <c r="G536" t="inlineStr">
        <is>
          <t>OCKELBO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46322</v>
      </c>
      <c r="F537" t="inlineStr">
        <is>
          <t>GÄVLEBORGS LÄN</t>
        </is>
      </c>
      <c r="G537" t="inlineStr">
        <is>
          <t>OCKELBO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18133-2026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46322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18234-2026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46126</v>
      </c>
      <c r="E539" s="1" t="n">
        <v>46322</v>
      </c>
      <c r="F539" t="inlineStr">
        <is>
          <t>GÄVLEBORGS LÄN</t>
        </is>
      </c>
      <c r="G539" t="inlineStr">
        <is>
          <t>OCKELBO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46126</v>
      </c>
      <c r="E540" s="1" t="n">
        <v>46322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13855-2026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46098</v>
      </c>
      <c r="E541" s="1" t="n">
        <v>46322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46322</v>
      </c>
      <c r="F542" t="inlineStr">
        <is>
          <t>GÄVLEBORGS LÄN</t>
        </is>
      </c>
      <c r="G542" t="inlineStr">
        <is>
          <t>OCKELBO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15255-2026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46322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18513-2026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46322</v>
      </c>
      <c r="F544" t="inlineStr">
        <is>
          <t>GÄVLEBORGS LÄN</t>
        </is>
      </c>
      <c r="G544" t="inlineStr">
        <is>
          <t>OCKELBO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16572-2026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46112</v>
      </c>
      <c r="E545" s="1" t="n">
        <v>46322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46128</v>
      </c>
      <c r="E546" s="1" t="n">
        <v>46322</v>
      </c>
      <c r="F546" t="inlineStr">
        <is>
          <t>GÄVLEBORGS LÄN</t>
        </is>
      </c>
      <c r="G546" t="inlineStr">
        <is>
          <t>OCKELBO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46322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65259-2023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45291</v>
      </c>
      <c r="E548" s="1" t="n">
        <v>46322</v>
      </c>
      <c r="F548" t="inlineStr">
        <is>
          <t>GÄVLEBORGS LÄN</t>
        </is>
      </c>
      <c r="G548" t="inlineStr">
        <is>
          <t>OCKELBO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46283</v>
      </c>
      <c r="E549" s="1" t="n">
        <v>46322</v>
      </c>
      <c r="F549" t="inlineStr">
        <is>
          <t>GÄVLEBORGS LÄN</t>
        </is>
      </c>
      <c r="G549" t="inlineStr">
        <is>
          <t>OCKELBO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46322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46322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öst AB</t>
        </is>
      </c>
      <c r="I551" t="n">
        <v>7.6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45624</v>
      </c>
      <c r="E552" s="1" t="n">
        <v>46322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18457-2026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46127</v>
      </c>
      <c r="E553" s="1" t="n">
        <v>46322</v>
      </c>
      <c r="F553" t="inlineStr">
        <is>
          <t>GÄVLEBORGS LÄN</t>
        </is>
      </c>
      <c r="G553" t="inlineStr">
        <is>
          <t>OCKELBO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46283</v>
      </c>
      <c r="E554" s="1" t="n">
        <v>46322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19213-2026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46132</v>
      </c>
      <c r="E555" s="1" t="n">
        <v>46322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19271-2026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46322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46322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46322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46132</v>
      </c>
      <c r="E559" s="1" t="n">
        <v>46322</v>
      </c>
      <c r="F559" t="inlineStr">
        <is>
          <t>GÄVLEBORGS LÄN</t>
        </is>
      </c>
      <c r="G559" t="inlineStr">
        <is>
          <t>OCKELBO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46132</v>
      </c>
      <c r="E560" s="1" t="n">
        <v>46322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46132</v>
      </c>
      <c r="E561" s="1" t="n">
        <v>46322</v>
      </c>
      <c r="F561" t="inlineStr">
        <is>
          <t>GÄVLEBORGS LÄN</t>
        </is>
      </c>
      <c r="G561" t="inlineStr">
        <is>
          <t>OCKELBO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19424-2026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46322</v>
      </c>
      <c r="F562" t="inlineStr">
        <is>
          <t>GÄVLEBORGS LÄN</t>
        </is>
      </c>
      <c r="G562" t="inlineStr">
        <is>
          <t>OCKELBO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19038-2026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46132</v>
      </c>
      <c r="E563" s="1" t="n">
        <v>46322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46322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45551</v>
      </c>
      <c r="E565" s="1" t="n">
        <v>46322</v>
      </c>
      <c r="F565" t="inlineStr">
        <is>
          <t>GÄVLEBORGS LÄN</t>
        </is>
      </c>
      <c r="G565" t="inlineStr">
        <is>
          <t>OCKELBO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19142-2026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46132</v>
      </c>
      <c r="E566" s="1" t="n">
        <v>46322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46322</v>
      </c>
      <c r="F567" t="inlineStr">
        <is>
          <t>GÄVLEBORGS LÄN</t>
        </is>
      </c>
      <c r="G567" t="inlineStr">
        <is>
          <t>OCKELBO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46322</v>
      </c>
      <c r="F568" t="inlineStr">
        <is>
          <t>GÄVLEBORGS LÄN</t>
        </is>
      </c>
      <c r="G568" t="inlineStr">
        <is>
          <t>OCKELBO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46114</v>
      </c>
      <c r="E569" s="1" t="n">
        <v>46322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17208-2026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46322</v>
      </c>
      <c r="F570" t="inlineStr">
        <is>
          <t>GÄVLEBORGS LÄN</t>
        </is>
      </c>
      <c r="G570" t="inlineStr">
        <is>
          <t>OCKELBO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19431-2026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46322</v>
      </c>
      <c r="F571" t="inlineStr">
        <is>
          <t>GÄVLEBORGS LÄN</t>
        </is>
      </c>
      <c r="G571" t="inlineStr">
        <is>
          <t>OCKELBO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46322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46322</v>
      </c>
      <c r="F573" t="inlineStr">
        <is>
          <t>GÄVLEBORGS LÄN</t>
        </is>
      </c>
      <c r="G573" t="inlineStr">
        <is>
          <t>OCKELBO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8343-2026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46322</v>
      </c>
      <c r="F574" t="inlineStr">
        <is>
          <t>GÄVLEBORGS LÄN</t>
        </is>
      </c>
      <c r="G574" t="inlineStr">
        <is>
          <t>OCKELBO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46137</v>
      </c>
      <c r="E575" s="1" t="n">
        <v>46322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25404-2025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45800</v>
      </c>
      <c r="E576" s="1" t="n">
        <v>46322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11.1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46049</v>
      </c>
      <c r="E577" s="1" t="n">
        <v>46322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46322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50742-2025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45946</v>
      </c>
      <c r="E579" s="1" t="n">
        <v>46322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15694-2022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44663</v>
      </c>
      <c r="E580" s="1" t="n">
        <v>46322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46316-2025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45925</v>
      </c>
      <c r="E581" s="1" t="n">
        <v>46322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4675-2026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46322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46055</v>
      </c>
      <c r="E583" s="1" t="n">
        <v>46322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46029</v>
      </c>
      <c r="E584" s="1" t="n">
        <v>46322</v>
      </c>
      <c r="F584" t="inlineStr">
        <is>
          <t>GÄVLEBORGS LÄN</t>
        </is>
      </c>
      <c r="G584" t="inlineStr">
        <is>
          <t>OCKELBO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36604-2025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45870</v>
      </c>
      <c r="E585" s="1" t="n">
        <v>46322</v>
      </c>
      <c r="F585" t="inlineStr">
        <is>
          <t>GÄVLEBORGS LÄN</t>
        </is>
      </c>
      <c r="G585" t="inlineStr">
        <is>
          <t>OCKELBO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61732-2024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45649</v>
      </c>
      <c r="E586" s="1" t="n">
        <v>46322</v>
      </c>
      <c r="F586" t="inlineStr">
        <is>
          <t>GÄVLEBORGS LÄN</t>
        </is>
      </c>
      <c r="G586" t="inlineStr">
        <is>
          <t>OCKELBO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46322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62096-2024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45656</v>
      </c>
      <c r="E588" s="1" t="n">
        <v>46322</v>
      </c>
      <c r="F588" t="inlineStr">
        <is>
          <t>GÄVLEBORGS LÄN</t>
        </is>
      </c>
      <c r="G588" t="inlineStr">
        <is>
          <t>OCKELBO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20149-2026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46137</v>
      </c>
      <c r="E589" s="1" t="n">
        <v>46322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20150-2026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46137</v>
      </c>
      <c r="E590" s="1" t="n">
        <v>46322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46322</v>
      </c>
      <c r="F591" t="inlineStr">
        <is>
          <t>GÄVLEBORGS LÄN</t>
        </is>
      </c>
      <c r="G591" t="inlineStr">
        <is>
          <t>OCKELBO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50197-2024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45600</v>
      </c>
      <c r="E592" s="1" t="n">
        <v>46322</v>
      </c>
      <c r="F592" t="inlineStr">
        <is>
          <t>GÄVLEBORGS LÄN</t>
        </is>
      </c>
      <c r="G592" t="inlineStr">
        <is>
          <t>OCKELBO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46322</v>
      </c>
      <c r="F593" t="inlineStr">
        <is>
          <t>GÄVLEBORGS LÄN</t>
        </is>
      </c>
      <c r="G593" t="inlineStr">
        <is>
          <t>OCKELBO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46322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45800</v>
      </c>
      <c r="E595" s="1" t="n">
        <v>46322</v>
      </c>
      <c r="F595" t="inlineStr">
        <is>
          <t>GÄVLEBORGS LÄN</t>
        </is>
      </c>
      <c r="G595" t="inlineStr">
        <is>
          <t>OCKELBO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46052</v>
      </c>
      <c r="E596" s="1" t="n">
        <v>46322</v>
      </c>
      <c r="F596" t="inlineStr">
        <is>
          <t>GÄVLEBORGS LÄN</t>
        </is>
      </c>
      <c r="G596" t="inlineStr">
        <is>
          <t>OCKELBO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46052</v>
      </c>
      <c r="E597" s="1" t="n">
        <v>46322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61335-2022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44915</v>
      </c>
      <c r="E598" s="1" t="n">
        <v>46322</v>
      </c>
      <c r="F598" t="inlineStr">
        <is>
          <t>GÄVLEBORGS LÄN</t>
        </is>
      </c>
      <c r="G598" t="inlineStr">
        <is>
          <t>OCKELBO</t>
        </is>
      </c>
      <c r="I598" t="n">
        <v>8.5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45821</v>
      </c>
      <c r="E599" s="1" t="n">
        <v>46322</v>
      </c>
      <c r="F599" t="inlineStr">
        <is>
          <t>GÄVLEBORGS LÄN</t>
        </is>
      </c>
      <c r="G599" t="inlineStr">
        <is>
          <t>OCKELBO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46322</v>
      </c>
      <c r="F600" t="inlineStr">
        <is>
          <t>GÄVLEBORGS LÄN</t>
        </is>
      </c>
      <c r="G600" t="inlineStr">
        <is>
          <t>OCKELBO</t>
        </is>
      </c>
      <c r="I600" t="n">
        <v>5.4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63977-2025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46021</v>
      </c>
      <c r="E601" s="1" t="n">
        <v>46322</v>
      </c>
      <c r="F601" t="inlineStr">
        <is>
          <t>GÄVLEBORGS LÄN</t>
        </is>
      </c>
      <c r="G601" t="inlineStr">
        <is>
          <t>OCKELBO</t>
        </is>
      </c>
      <c r="I601" t="n">
        <v>18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20251-2026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46139</v>
      </c>
      <c r="E602" s="1" t="n">
        <v>46322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23772-2024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45455</v>
      </c>
      <c r="E603" s="1" t="n">
        <v>46322</v>
      </c>
      <c r="F603" t="inlineStr">
        <is>
          <t>GÄVLEBORGS LÄN</t>
        </is>
      </c>
      <c r="G603" t="inlineStr">
        <is>
          <t>OCKELBO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15739-2026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46107</v>
      </c>
      <c r="E604" s="1" t="n">
        <v>46322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19924-2026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46136</v>
      </c>
      <c r="E605" s="1" t="n">
        <v>46322</v>
      </c>
      <c r="F605" t="inlineStr">
        <is>
          <t>GÄVLEBORGS LÄN</t>
        </is>
      </c>
      <c r="G605" t="inlineStr">
        <is>
          <t>OCKELBO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19945-2026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46136</v>
      </c>
      <c r="E606" s="1" t="n">
        <v>46322</v>
      </c>
      <c r="F606" t="inlineStr">
        <is>
          <t>GÄVLEBORGS LÄN</t>
        </is>
      </c>
      <c r="G606" t="inlineStr">
        <is>
          <t>OCKELBO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39681-2026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46289</v>
      </c>
      <c r="E607" s="1" t="n">
        <v>46322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46322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46138</v>
      </c>
      <c r="E609" s="1" t="n">
        <v>46322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12.7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46322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8521-2026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46322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8662-2025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45712</v>
      </c>
      <c r="E612" s="1" t="n">
        <v>46322</v>
      </c>
      <c r="F612" t="inlineStr">
        <is>
          <t>GÄVLEBORGS LÄN</t>
        </is>
      </c>
      <c r="G612" t="inlineStr">
        <is>
          <t>OCKELBO</t>
        </is>
      </c>
      <c r="I612" t="n">
        <v>14.7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46034</v>
      </c>
      <c r="E613" s="1" t="n">
        <v>46322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45840</v>
      </c>
      <c r="E614" s="1" t="n">
        <v>46322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54817-2022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44883</v>
      </c>
      <c r="E615" s="1" t="n">
        <v>46322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5982-2026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46322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20604-2026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46140</v>
      </c>
      <c r="E617" s="1" t="n">
        <v>46322</v>
      </c>
      <c r="F617" t="inlineStr">
        <is>
          <t>GÄVLEBORGS LÄN</t>
        </is>
      </c>
      <c r="G617" t="inlineStr">
        <is>
          <t>OCKELBO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15484-2026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46322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46245</v>
      </c>
      <c r="E619" s="1" t="n">
        <v>46322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8348-2026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46322</v>
      </c>
      <c r="F620" t="inlineStr">
        <is>
          <t>GÄVLEBORGS LÄN</t>
        </is>
      </c>
      <c r="G620" t="inlineStr">
        <is>
          <t>OCKELBO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46035</v>
      </c>
      <c r="E621" s="1" t="n">
        <v>46322</v>
      </c>
      <c r="F621" t="inlineStr">
        <is>
          <t>GÄVLEBORGS LÄN</t>
        </is>
      </c>
      <c r="G621" t="inlineStr">
        <is>
          <t>OCKELBO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9556-2026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46071</v>
      </c>
      <c r="E622" s="1" t="n">
        <v>46322</v>
      </c>
      <c r="F622" t="inlineStr">
        <is>
          <t>GÄVLEBORGS LÄN</t>
        </is>
      </c>
      <c r="G622" t="inlineStr">
        <is>
          <t>OCKELBO</t>
        </is>
      </c>
      <c r="I622" t="n">
        <v>11.9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14071-2026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46099</v>
      </c>
      <c r="E623" s="1" t="n">
        <v>46322</v>
      </c>
      <c r="F623" t="inlineStr">
        <is>
          <t>GÄVLEBORGS LÄN</t>
        </is>
      </c>
      <c r="G623" t="inlineStr">
        <is>
          <t>OCKELBO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46048</v>
      </c>
      <c r="E624" s="1" t="n">
        <v>46322</v>
      </c>
      <c r="F624" t="inlineStr">
        <is>
          <t>GÄVLEBORGS LÄN</t>
        </is>
      </c>
      <c r="G624" t="inlineStr">
        <is>
          <t>OCKELBO</t>
        </is>
      </c>
      <c r="I624" t="n">
        <v>36.1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45554</v>
      </c>
      <c r="E625" s="1" t="n">
        <v>46322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46140</v>
      </c>
      <c r="E626" s="1" t="n">
        <v>46322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20571-2026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46140</v>
      </c>
      <c r="E627" s="1" t="n">
        <v>46322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30418-2023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45111</v>
      </c>
      <c r="E628" s="1" t="n">
        <v>46322</v>
      </c>
      <c r="F628" t="inlineStr">
        <is>
          <t>GÄVLEBORGS LÄN</t>
        </is>
      </c>
      <c r="G628" t="inlineStr">
        <is>
          <t>OCKELBO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45111</v>
      </c>
      <c r="E629" s="1" t="n">
        <v>46322</v>
      </c>
      <c r="F629" t="inlineStr">
        <is>
          <t>GÄVLEBORGS LÄN</t>
        </is>
      </c>
      <c r="G629" t="inlineStr">
        <is>
          <t>OCKELBO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46027</v>
      </c>
      <c r="E630" s="1" t="n">
        <v>46322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46322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46042</v>
      </c>
      <c r="E632" s="1" t="n">
        <v>46322</v>
      </c>
      <c r="F632" t="inlineStr">
        <is>
          <t>GÄVLEBORGS LÄN</t>
        </is>
      </c>
      <c r="G632" t="inlineStr">
        <is>
          <t>OCKELBO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7907-2026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46063</v>
      </c>
      <c r="E633" s="1" t="n">
        <v>46322</v>
      </c>
      <c r="F633" t="inlineStr">
        <is>
          <t>GÄVLEBORGS LÄN</t>
        </is>
      </c>
      <c r="G633" t="inlineStr">
        <is>
          <t>OCKELBO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54977-2024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45620</v>
      </c>
      <c r="E634" s="1" t="n">
        <v>46322</v>
      </c>
      <c r="F634" t="inlineStr">
        <is>
          <t>GÄVLEBORGS LÄN</t>
        </is>
      </c>
      <c r="G634" t="inlineStr">
        <is>
          <t>OCKELBO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47674-2023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45203</v>
      </c>
      <c r="E635" s="1" t="n">
        <v>46322</v>
      </c>
      <c r="F635" t="inlineStr">
        <is>
          <t>GÄVLEBORGS LÄN</t>
        </is>
      </c>
      <c r="G635" t="inlineStr">
        <is>
          <t>OCKELBO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20641-2026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46141</v>
      </c>
      <c r="E636" s="1" t="n">
        <v>46322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40117-2026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46293</v>
      </c>
      <c r="E637" s="1" t="n">
        <v>46322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9401-2026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46071</v>
      </c>
      <c r="E638" s="1" t="n">
        <v>46322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29953-2024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45488</v>
      </c>
      <c r="E639" s="1" t="n">
        <v>46322</v>
      </c>
      <c r="F639" t="inlineStr">
        <is>
          <t>GÄVLEBORGS LÄN</t>
        </is>
      </c>
      <c r="G639" t="inlineStr">
        <is>
          <t>OCKELBO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13857-2026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46098</v>
      </c>
      <c r="E640" s="1" t="n">
        <v>46322</v>
      </c>
      <c r="F640" t="inlineStr">
        <is>
          <t>GÄVLEBORGS LÄN</t>
        </is>
      </c>
      <c r="G640" t="inlineStr">
        <is>
          <t>OCKELBO</t>
        </is>
      </c>
      <c r="I640" t="n">
        <v>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34792-2024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45526</v>
      </c>
      <c r="E641" s="1" t="n">
        <v>46322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20469-2026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46140</v>
      </c>
      <c r="E642" s="1" t="n">
        <v>46322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40185-2026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46293</v>
      </c>
      <c r="E643" s="1" t="n">
        <v>46322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18191-2026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46125</v>
      </c>
      <c r="E644" s="1" t="n">
        <v>46322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12708-2026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46091</v>
      </c>
      <c r="E645" s="1" t="n">
        <v>46322</v>
      </c>
      <c r="F645" t="inlineStr">
        <is>
          <t>GÄVLEBORGS LÄN</t>
        </is>
      </c>
      <c r="G645" t="inlineStr">
        <is>
          <t>OCKELBO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40104-2026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46293</v>
      </c>
      <c r="E646" s="1" t="n">
        <v>46322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46322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46029</v>
      </c>
      <c r="E648" s="1" t="n">
        <v>46322</v>
      </c>
      <c r="F648" t="inlineStr">
        <is>
          <t>GÄVLEBORGS LÄN</t>
        </is>
      </c>
      <c r="G648" t="inlineStr">
        <is>
          <t>OCKELBO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7955-2026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46063</v>
      </c>
      <c r="E649" s="1" t="n">
        <v>46322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23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46043</v>
      </c>
      <c r="E650" s="1" t="n">
        <v>46322</v>
      </c>
      <c r="F650" t="inlineStr">
        <is>
          <t>GÄVLEBORGS LÄN</t>
        </is>
      </c>
      <c r="G650" t="inlineStr">
        <is>
          <t>OCKELBO</t>
        </is>
      </c>
      <c r="I650" t="n">
        <v>10.3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46037</v>
      </c>
      <c r="E651" s="1" t="n">
        <v>46322</v>
      </c>
      <c r="F651" t="inlineStr">
        <is>
          <t>GÄVLEBORGS LÄN</t>
        </is>
      </c>
      <c r="G651" t="inlineStr">
        <is>
          <t>OCKELBO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10083-2026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46073</v>
      </c>
      <c r="E652" s="1" t="n">
        <v>46322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6499-2026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46056</v>
      </c>
      <c r="E653" s="1" t="n">
        <v>46322</v>
      </c>
      <c r="F653" t="inlineStr">
        <is>
          <t>GÄVLEBORGS LÄN</t>
        </is>
      </c>
      <c r="G653" t="inlineStr">
        <is>
          <t>OCKELBO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46052</v>
      </c>
      <c r="E654" s="1" t="n">
        <v>46322</v>
      </c>
      <c r="F654" t="inlineStr">
        <is>
          <t>GÄVLEBORGS LÄN</t>
        </is>
      </c>
      <c r="G654" t="inlineStr">
        <is>
          <t>OCKELBO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46034</v>
      </c>
      <c r="E655" s="1" t="n">
        <v>46322</v>
      </c>
      <c r="F655" t="inlineStr">
        <is>
          <t>GÄVLEBORGS LÄN</t>
        </is>
      </c>
      <c r="G655" t="inlineStr">
        <is>
          <t>OCKELBO</t>
        </is>
      </c>
      <c r="I655" t="n">
        <v>9.300000000000001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10489-2026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46077</v>
      </c>
      <c r="E656" s="1" t="n">
        <v>46322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20481-2026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46140</v>
      </c>
      <c r="E657" s="1" t="n">
        <v>46322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46322</v>
      </c>
      <c r="F658" t="inlineStr">
        <is>
          <t>GÄVLEBORGS LÄN</t>
        </is>
      </c>
      <c r="G658" t="inlineStr">
        <is>
          <t>OCKELBO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14937-2024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45398</v>
      </c>
      <c r="E659" s="1" t="n">
        <v>46322</v>
      </c>
      <c r="F659" t="inlineStr">
        <is>
          <t>GÄVLEBORGS LÄN</t>
        </is>
      </c>
      <c r="G659" t="inlineStr">
        <is>
          <t>OCKELBO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33880-2023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45134</v>
      </c>
      <c r="E660" s="1" t="n">
        <v>46322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33881-2023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45134</v>
      </c>
      <c r="E661" s="1" t="n">
        <v>46322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61456-2024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46322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60117-2025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45994</v>
      </c>
      <c r="E663" s="1" t="n">
        <v>46322</v>
      </c>
      <c r="F663" t="inlineStr">
        <is>
          <t>GÄVLEBORGS LÄN</t>
        </is>
      </c>
      <c r="G663" t="inlineStr">
        <is>
          <t>OCKELBO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21173-2026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46146</v>
      </c>
      <c r="E664" s="1" t="n">
        <v>46322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18549-2026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46127</v>
      </c>
      <c r="E665" s="1" t="n">
        <v>46322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17951-2026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46122</v>
      </c>
      <c r="E666" s="1" t="n">
        <v>46322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40149-2026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46293</v>
      </c>
      <c r="E667" s="1" t="n">
        <v>46322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44281-2022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44839</v>
      </c>
      <c r="E668" s="1" t="n">
        <v>46322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18097-2026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46125</v>
      </c>
      <c r="E669" s="1" t="n">
        <v>46322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46322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öst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21277-2026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46322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öst AB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21461-2026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46148</v>
      </c>
      <c r="E672" s="1" t="n">
        <v>46322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21500-2026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46148</v>
      </c>
      <c r="E673" s="1" t="n">
        <v>46322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46322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21640-2026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46149</v>
      </c>
      <c r="E675" s="1" t="n">
        <v>46322</v>
      </c>
      <c r="F675" t="inlineStr">
        <is>
          <t>GÄVLEBORGS LÄN</t>
        </is>
      </c>
      <c r="G675" t="inlineStr">
        <is>
          <t>OCKELBO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21459-2026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46148</v>
      </c>
      <c r="E676" s="1" t="n">
        <v>46322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21468-2026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46148</v>
      </c>
      <c r="E677" s="1" t="n">
        <v>46322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46119</v>
      </c>
      <c r="E678" s="1" t="n">
        <v>46322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46066</v>
      </c>
      <c r="E679" s="1" t="n">
        <v>46322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22426-2026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46153</v>
      </c>
      <c r="E680" s="1" t="n">
        <v>46322</v>
      </c>
      <c r="F680" t="inlineStr">
        <is>
          <t>GÄVLEBORGS LÄN</t>
        </is>
      </c>
      <c r="G680" t="inlineStr">
        <is>
          <t>OCKELBO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60497-2021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44496</v>
      </c>
      <c r="E681" s="1" t="n">
        <v>46322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9413-2026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46322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9.1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18645-2026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46128</v>
      </c>
      <c r="E683" s="1" t="n">
        <v>46322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22057-2026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46153</v>
      </c>
      <c r="E684" s="1" t="n">
        <v>46322</v>
      </c>
      <c r="F684" t="inlineStr">
        <is>
          <t>GÄVLEBORGS LÄN</t>
        </is>
      </c>
      <c r="G684" t="inlineStr">
        <is>
          <t>OCKELBO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6396-2025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45699</v>
      </c>
      <c r="E685" s="1" t="n">
        <v>46322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58718-2025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45986</v>
      </c>
      <c r="E686" s="1" t="n">
        <v>46322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46043</v>
      </c>
      <c r="E687" s="1" t="n">
        <v>46322</v>
      </c>
      <c r="F687" t="inlineStr">
        <is>
          <t>GÄVLEBORGS LÄN</t>
        </is>
      </c>
      <c r="G687" t="inlineStr">
        <is>
          <t>OCKELBO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46609-2025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45926</v>
      </c>
      <c r="E688" s="1" t="n">
        <v>46322</v>
      </c>
      <c r="F688" t="inlineStr">
        <is>
          <t>GÄVLEBORGS LÄN</t>
        </is>
      </c>
      <c r="G688" t="inlineStr">
        <is>
          <t>OCKELBO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43550-2023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45184</v>
      </c>
      <c r="E689" s="1" t="n">
        <v>46322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46155</v>
      </c>
      <c r="E690" s="1" t="n">
        <v>46322</v>
      </c>
      <c r="F690" t="inlineStr">
        <is>
          <t>GÄVLEBORGS LÄN</t>
        </is>
      </c>
      <c r="G690" t="inlineStr">
        <is>
          <t>OCKELBO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22329-2026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46154</v>
      </c>
      <c r="E691" s="1" t="n">
        <v>46322</v>
      </c>
      <c r="F691" t="inlineStr">
        <is>
          <t>GÄVLEBORGS LÄN</t>
        </is>
      </c>
      <c r="G691" t="inlineStr">
        <is>
          <t>OCKELBO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46155</v>
      </c>
      <c r="E692" s="1" t="n">
        <v>46322</v>
      </c>
      <c r="F692" t="inlineStr">
        <is>
          <t>GÄVLEBORGS LÄN</t>
        </is>
      </c>
      <c r="G692" t="inlineStr">
        <is>
          <t>OCKELBO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13210-2026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46093</v>
      </c>
      <c r="E693" s="1" t="n">
        <v>46322</v>
      </c>
      <c r="F693" t="inlineStr">
        <is>
          <t>GÄVLEBORGS LÄN</t>
        </is>
      </c>
      <c r="G693" t="inlineStr">
        <is>
          <t>OCKELBO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17221-2026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46119</v>
      </c>
      <c r="E694" s="1" t="n">
        <v>46322</v>
      </c>
      <c r="F694" t="inlineStr">
        <is>
          <t>GÄVLEBORGS LÄN</t>
        </is>
      </c>
      <c r="G694" t="inlineStr">
        <is>
          <t>OCKELBO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6654-2026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46322</v>
      </c>
      <c r="F695" t="inlineStr">
        <is>
          <t>GÄVLEBORGS LÄN</t>
        </is>
      </c>
      <c r="G695" t="inlineStr">
        <is>
          <t>OCKELBO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43071-2025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45909</v>
      </c>
      <c r="E696" s="1" t="n">
        <v>46322</v>
      </c>
      <c r="F696" t="inlineStr">
        <is>
          <t>GÄVLEBORGS LÄN</t>
        </is>
      </c>
      <c r="G696" t="inlineStr">
        <is>
          <t>OCKELBO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22594-2026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46322</v>
      </c>
      <c r="F697" t="inlineStr">
        <is>
          <t>GÄVLEBORGS LÄN</t>
        </is>
      </c>
      <c r="G697" t="inlineStr">
        <is>
          <t>OCKELBO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15034-2026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46104</v>
      </c>
      <c r="E698" s="1" t="n">
        <v>46322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12352-2026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46088</v>
      </c>
      <c r="E699" s="1" t="n">
        <v>46322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9.199999999999999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4179-2026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46044</v>
      </c>
      <c r="E700" s="1" t="n">
        <v>46322</v>
      </c>
      <c r="F700" t="inlineStr">
        <is>
          <t>GÄVLEBORGS LÄN</t>
        </is>
      </c>
      <c r="G700" t="inlineStr">
        <is>
          <t>OCKELBO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46049</v>
      </c>
      <c r="E701" s="1" t="n">
        <v>46322</v>
      </c>
      <c r="F701" t="inlineStr">
        <is>
          <t>GÄVLEBORGS LÄN</t>
        </is>
      </c>
      <c r="G701" t="inlineStr">
        <is>
          <t>OCKELBO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13182-2026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46093</v>
      </c>
      <c r="E702" s="1" t="n">
        <v>46322</v>
      </c>
      <c r="F702" t="inlineStr">
        <is>
          <t>GÄVLEBORGS LÄN</t>
        </is>
      </c>
      <c r="G702" t="inlineStr">
        <is>
          <t>OCKELBO</t>
        </is>
      </c>
      <c r="I702" t="n">
        <v>8.199999999999999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46093</v>
      </c>
      <c r="E703" s="1" t="n">
        <v>46322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60122-2025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45994</v>
      </c>
      <c r="E704" s="1" t="n">
        <v>46322</v>
      </c>
      <c r="F704" t="inlineStr">
        <is>
          <t>GÄVLEBORGS LÄN</t>
        </is>
      </c>
      <c r="G704" t="inlineStr">
        <is>
          <t>OCKELBO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60120-2025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45994</v>
      </c>
      <c r="E705" s="1" t="n">
        <v>46322</v>
      </c>
      <c r="F705" t="inlineStr">
        <is>
          <t>GÄVLEBORGS LÄN</t>
        </is>
      </c>
      <c r="G705" t="inlineStr">
        <is>
          <t>OCKELBO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22712-2026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46156</v>
      </c>
      <c r="E706" s="1" t="n">
        <v>46322</v>
      </c>
      <c r="F706" t="inlineStr">
        <is>
          <t>GÄVLEBORGS LÄN</t>
        </is>
      </c>
      <c r="G706" t="inlineStr">
        <is>
          <t>OCKELBO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17862-2026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46122</v>
      </c>
      <c r="E707" s="1" t="n">
        <v>46322</v>
      </c>
      <c r="F707" t="inlineStr">
        <is>
          <t>GÄVLEBORGS LÄN</t>
        </is>
      </c>
      <c r="G707" t="inlineStr">
        <is>
          <t>OCKELBO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14474-2026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46100</v>
      </c>
      <c r="E708" s="1" t="n">
        <v>46322</v>
      </c>
      <c r="F708" t="inlineStr">
        <is>
          <t>GÄVLEBORGS LÄN</t>
        </is>
      </c>
      <c r="G708" t="inlineStr">
        <is>
          <t>OCKELBO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23040-2026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46161</v>
      </c>
      <c r="E709" s="1" t="n">
        <v>46322</v>
      </c>
      <c r="F709" t="inlineStr">
        <is>
          <t>GÄVLEBORGS LÄN</t>
        </is>
      </c>
      <c r="G709" t="inlineStr">
        <is>
          <t>OCKELBO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46322</v>
      </c>
      <c r="F710" t="inlineStr">
        <is>
          <t>GÄVLEBORGS LÄN</t>
        </is>
      </c>
      <c r="G710" t="inlineStr">
        <is>
          <t>OCKELBO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22843-2026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46160</v>
      </c>
      <c r="E711" s="1" t="n">
        <v>46322</v>
      </c>
      <c r="F711" t="inlineStr">
        <is>
          <t>GÄVLEBORGS LÄN</t>
        </is>
      </c>
      <c r="G711" t="inlineStr">
        <is>
          <t>OCKELBO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23149-2026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46161</v>
      </c>
      <c r="E712" s="1" t="n">
        <v>46322</v>
      </c>
      <c r="F712" t="inlineStr">
        <is>
          <t>GÄVLEBORGS LÄN</t>
        </is>
      </c>
      <c r="G712" t="inlineStr">
        <is>
          <t>OCKELBO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32123-2024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45511</v>
      </c>
      <c r="E713" s="1" t="n">
        <v>46322</v>
      </c>
      <c r="F713" t="inlineStr">
        <is>
          <t>GÄVLEBORGS LÄN</t>
        </is>
      </c>
      <c r="G713" t="inlineStr">
        <is>
          <t>OCKELBO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40140-2022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44820</v>
      </c>
      <c r="E714" s="1" t="n">
        <v>46322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36343-2023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45152</v>
      </c>
      <c r="E715" s="1" t="n">
        <v>46322</v>
      </c>
      <c r="F715" t="inlineStr">
        <is>
          <t>GÄVLEBORGS LÄN</t>
        </is>
      </c>
      <c r="G715" t="inlineStr">
        <is>
          <t>OCKELBO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12983-2022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44643</v>
      </c>
      <c r="E716" s="1" t="n">
        <v>46322</v>
      </c>
      <c r="F716" t="inlineStr">
        <is>
          <t>GÄVLEBORGS LÄN</t>
        </is>
      </c>
      <c r="G716" t="inlineStr">
        <is>
          <t>OCKELBO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56631-2022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44893</v>
      </c>
      <c r="E717" s="1" t="n">
        <v>46322</v>
      </c>
      <c r="F717" t="inlineStr">
        <is>
          <t>GÄVLEBORGS LÄN</t>
        </is>
      </c>
      <c r="G717" t="inlineStr">
        <is>
          <t>OCKELBO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29687-2023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46322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23513-2026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46163</v>
      </c>
      <c r="E719" s="1" t="n">
        <v>46322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9859-2025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45716</v>
      </c>
      <c r="E720" s="1" t="n">
        <v>46322</v>
      </c>
      <c r="F720" t="inlineStr">
        <is>
          <t>GÄVLEBORGS LÄN</t>
        </is>
      </c>
      <c r="G720" t="inlineStr">
        <is>
          <t>OCKELBO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56634-2023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45243</v>
      </c>
      <c r="E721" s="1" t="n">
        <v>46322</v>
      </c>
      <c r="F721" t="inlineStr">
        <is>
          <t>GÄVLEBORGS LÄN</t>
        </is>
      </c>
      <c r="G721" t="inlineStr">
        <is>
          <t>OCKELBO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8408-2026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46065</v>
      </c>
      <c r="E722" s="1" t="n">
        <v>46322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9542-2026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46071</v>
      </c>
      <c r="E723" s="1" t="n">
        <v>46322</v>
      </c>
      <c r="F723" t="inlineStr">
        <is>
          <t>GÄVLEBORGS LÄN</t>
        </is>
      </c>
      <c r="G723" t="inlineStr">
        <is>
          <t>OCKELBO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45671</v>
      </c>
      <c r="E724" s="1" t="n">
        <v>46322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8683-2026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46066</v>
      </c>
      <c r="E725" s="1" t="n">
        <v>46322</v>
      </c>
      <c r="F725" t="inlineStr">
        <is>
          <t>GÄVLEBORGS LÄN</t>
        </is>
      </c>
      <c r="G725" t="inlineStr">
        <is>
          <t>OCKELBO</t>
        </is>
      </c>
      <c r="I725" t="n">
        <v>6.4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49207-2023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45210</v>
      </c>
      <c r="E726" s="1" t="n">
        <v>46322</v>
      </c>
      <c r="F726" t="inlineStr">
        <is>
          <t>GÄVLEBORGS LÄN</t>
        </is>
      </c>
      <c r="G726" t="inlineStr">
        <is>
          <t>OCKELBO</t>
        </is>
      </c>
      <c r="I726" t="n">
        <v>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23663-2026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46164</v>
      </c>
      <c r="E727" s="1" t="n">
        <v>46322</v>
      </c>
      <c r="F727" t="inlineStr">
        <is>
          <t>GÄVLEBORGS LÄN</t>
        </is>
      </c>
      <c r="G727" t="inlineStr">
        <is>
          <t>OCKELBO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23786-2026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46164</v>
      </c>
      <c r="E728" s="1" t="n">
        <v>46322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46038</v>
      </c>
      <c r="E729" s="1" t="n">
        <v>46322</v>
      </c>
      <c r="F729" t="inlineStr">
        <is>
          <t>GÄVLEBORGS LÄN</t>
        </is>
      </c>
      <c r="G729" t="inlineStr">
        <is>
          <t>OCKELBO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4001-2026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46044</v>
      </c>
      <c r="E730" s="1" t="n">
        <v>46322</v>
      </c>
      <c r="F730" t="inlineStr">
        <is>
          <t>GÄVLEBORGS LÄN</t>
        </is>
      </c>
      <c r="G730" t="inlineStr">
        <is>
          <t>OCKELBO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24409-2026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46322</v>
      </c>
      <c r="F731" t="inlineStr">
        <is>
          <t>GÄVLEBORGS LÄN</t>
        </is>
      </c>
      <c r="G731" t="inlineStr">
        <is>
          <t>OCKELBO</t>
        </is>
      </c>
      <c r="I731" t="n">
        <v>8.1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24267-2026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46322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24333-2026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46169</v>
      </c>
      <c r="E733" s="1" t="n">
        <v>46322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24063-2026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46322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46322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24185-2026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46322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24408-2026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46322</v>
      </c>
      <c r="F737" t="inlineStr">
        <is>
          <t>GÄVLEBORGS LÄN</t>
        </is>
      </c>
      <c r="G737" t="inlineStr">
        <is>
          <t>OCKELBO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24059-2026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46168</v>
      </c>
      <c r="E738" s="1" t="n">
        <v>46322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46322</v>
      </c>
      <c r="F739" t="inlineStr">
        <is>
          <t>GÄVLEBORGS LÄN</t>
        </is>
      </c>
      <c r="G739" t="inlineStr">
        <is>
          <t>OCKELBO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48804-2024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45593</v>
      </c>
      <c r="E740" s="1" t="n">
        <v>46322</v>
      </c>
      <c r="F740" t="inlineStr">
        <is>
          <t>GÄVLEBORGS LÄN</t>
        </is>
      </c>
      <c r="G740" t="inlineStr">
        <is>
          <t>OCKELBO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24449-2026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46322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46322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46170</v>
      </c>
      <c r="E743" s="1" t="n">
        <v>46322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46322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24578-2026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46322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24521-2026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46322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14756-2026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46101</v>
      </c>
      <c r="E747" s="1" t="n">
        <v>46322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11974-2026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46085</v>
      </c>
      <c r="E748" s="1" t="n">
        <v>46322</v>
      </c>
      <c r="F748" t="inlineStr">
        <is>
          <t>GÄVLEBORGS LÄN</t>
        </is>
      </c>
      <c r="G748" t="inlineStr">
        <is>
          <t>OCKELBO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46023</v>
      </c>
      <c r="E749" s="1" t="n">
        <v>46322</v>
      </c>
      <c r="F749" t="inlineStr">
        <is>
          <t>GÄVLEBORGS LÄN</t>
        </is>
      </c>
      <c r="G749" t="inlineStr">
        <is>
          <t>OCKELBO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24968-2026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46174</v>
      </c>
      <c r="E750" s="1" t="n">
        <v>46322</v>
      </c>
      <c r="F750" t="inlineStr">
        <is>
          <t>GÄVLEBORGS LÄN</t>
        </is>
      </c>
      <c r="G750" t="inlineStr">
        <is>
          <t>OCKELBO</t>
        </is>
      </c>
      <c r="I750" t="n">
        <v>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40881-2026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46297</v>
      </c>
      <c r="E751" s="1" t="n">
        <v>46322</v>
      </c>
      <c r="F751" t="inlineStr">
        <is>
          <t>GÄVLEBORGS LÄN</t>
        </is>
      </c>
      <c r="G751" t="inlineStr">
        <is>
          <t>OCKELBO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54944-2025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45967</v>
      </c>
      <c r="E752" s="1" t="n">
        <v>46322</v>
      </c>
      <c r="F752" t="inlineStr">
        <is>
          <t>GÄVLEBORGS LÄN</t>
        </is>
      </c>
      <c r="G752" t="inlineStr">
        <is>
          <t>OCKELBO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24952-2026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46322</v>
      </c>
      <c r="F753" t="inlineStr">
        <is>
          <t>GÄVLEBORGS LÄN</t>
        </is>
      </c>
      <c r="G753" t="inlineStr">
        <is>
          <t>OCKELBO</t>
        </is>
      </c>
      <c r="I753" t="n">
        <v>7.9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34391-2026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46322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6.5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3034-2025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45678</v>
      </c>
      <c r="E755" s="1" t="n">
        <v>46322</v>
      </c>
      <c r="F755" t="inlineStr">
        <is>
          <t>GÄVLEBORGS LÄN</t>
        </is>
      </c>
      <c r="G755" t="inlineStr">
        <is>
          <t>OCKELBO</t>
        </is>
      </c>
      <c r="I755" t="n">
        <v>8.1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24974-2026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46322</v>
      </c>
      <c r="F756" t="inlineStr">
        <is>
          <t>GÄVLEBORGS LÄN</t>
        </is>
      </c>
      <c r="G756" t="inlineStr">
        <is>
          <t>OCKELBO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24624-2026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46171</v>
      </c>
      <c r="E757" s="1" t="n">
        <v>46322</v>
      </c>
      <c r="F757" t="inlineStr">
        <is>
          <t>GÄVLEBORGS LÄN</t>
        </is>
      </c>
      <c r="G757" t="inlineStr">
        <is>
          <t>OCKELBO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37438-2023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45156</v>
      </c>
      <c r="E758" s="1" t="n">
        <v>46322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46036</v>
      </c>
      <c r="E759" s="1" t="n">
        <v>46322</v>
      </c>
      <c r="F759" t="inlineStr">
        <is>
          <t>GÄVLEBORGS LÄN</t>
        </is>
      </c>
      <c r="G759" t="inlineStr">
        <is>
          <t>OCKELBO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2555-2025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45674</v>
      </c>
      <c r="E760" s="1" t="n">
        <v>46322</v>
      </c>
      <c r="F760" t="inlineStr">
        <is>
          <t>GÄVLEBORGS LÄN</t>
        </is>
      </c>
      <c r="G760" t="inlineStr">
        <is>
          <t>OCKELBO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25128-2026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46322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25133-2026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46175</v>
      </c>
      <c r="E762" s="1" t="n">
        <v>46322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50968-2024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45603</v>
      </c>
      <c r="E763" s="1" t="n">
        <v>46322</v>
      </c>
      <c r="F763" t="inlineStr">
        <is>
          <t>GÄVLEBORGS LÄN</t>
        </is>
      </c>
      <c r="G763" t="inlineStr">
        <is>
          <t>OCKELBO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25525-2026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46322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9.4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25599-2026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46177</v>
      </c>
      <c r="E765" s="1" t="n">
        <v>46322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20984-2026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46142</v>
      </c>
      <c r="E766" s="1" t="n">
        <v>46322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34944-2024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45527</v>
      </c>
      <c r="E767" s="1" t="n">
        <v>46322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26131-2026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46181</v>
      </c>
      <c r="E768" s="1" t="n">
        <v>46322</v>
      </c>
      <c r="F768" t="inlineStr">
        <is>
          <t>GÄVLEBORGS LÄN</t>
        </is>
      </c>
      <c r="G768" t="inlineStr">
        <is>
          <t>OCKELBO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17709-2026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46121</v>
      </c>
      <c r="E769" s="1" t="n">
        <v>46322</v>
      </c>
      <c r="F769" t="inlineStr">
        <is>
          <t>GÄVLEBORGS LÄN</t>
        </is>
      </c>
      <c r="G769" t="inlineStr">
        <is>
          <t>OCKELBO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22692-2026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46156</v>
      </c>
      <c r="E770" s="1" t="n">
        <v>46322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32301-2022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44781</v>
      </c>
      <c r="E771" s="1" t="n">
        <v>46322</v>
      </c>
      <c r="F771" t="inlineStr">
        <is>
          <t>GÄVLEBORGS LÄN</t>
        </is>
      </c>
      <c r="G771" t="inlineStr">
        <is>
          <t>OCKELBO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61116-2023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45261</v>
      </c>
      <c r="E772" s="1" t="n">
        <v>46322</v>
      </c>
      <c r="F772" t="inlineStr">
        <is>
          <t>GÄVLEBORGS LÄN</t>
        </is>
      </c>
      <c r="G772" t="inlineStr">
        <is>
          <t>OCKELBO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12947-2026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46092</v>
      </c>
      <c r="E773" s="1" t="n">
        <v>46322</v>
      </c>
      <c r="F773" t="inlineStr">
        <is>
          <t>GÄVLEBORGS LÄN</t>
        </is>
      </c>
      <c r="G773" t="inlineStr">
        <is>
          <t>OCKELBO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14410-2026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46100</v>
      </c>
      <c r="E774" s="1" t="n">
        <v>46322</v>
      </c>
      <c r="F774" t="inlineStr">
        <is>
          <t>GÄVLEBORGS LÄN</t>
        </is>
      </c>
      <c r="G774" t="inlineStr">
        <is>
          <t>OCKELBO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58727-2025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45986</v>
      </c>
      <c r="E775" s="1" t="n">
        <v>46322</v>
      </c>
      <c r="F775" t="inlineStr">
        <is>
          <t>GÄVLEBORGS LÄN</t>
        </is>
      </c>
      <c r="G775" t="inlineStr">
        <is>
          <t>OCKELBO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18326-2026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46126</v>
      </c>
      <c r="E776" s="1" t="n">
        <v>46322</v>
      </c>
      <c r="F776" t="inlineStr">
        <is>
          <t>GÄVLEBORGS LÄN</t>
        </is>
      </c>
      <c r="G776" t="inlineStr">
        <is>
          <t>OCKELBO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41071-2026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46300</v>
      </c>
      <c r="E777" s="1" t="n">
        <v>46322</v>
      </c>
      <c r="F777" t="inlineStr">
        <is>
          <t>GÄVLEBORGS LÄN</t>
        </is>
      </c>
      <c r="G777" t="inlineStr">
        <is>
          <t>OCKELBO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46079</v>
      </c>
      <c r="E778" s="1" t="n">
        <v>46322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27272-2026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46322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30990-2026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46213</v>
      </c>
      <c r="E780" s="1" t="n">
        <v>46322</v>
      </c>
      <c r="F780" t="inlineStr">
        <is>
          <t>GÄVLEBORGS LÄN</t>
        </is>
      </c>
      <c r="G780" t="inlineStr">
        <is>
          <t>OCKELBO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46045</v>
      </c>
      <c r="E781" s="1" t="n">
        <v>46322</v>
      </c>
      <c r="F781" t="inlineStr">
        <is>
          <t>GÄVLEBORGS LÄN</t>
        </is>
      </c>
      <c r="G781" t="inlineStr">
        <is>
          <t>OCKELBO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17682-2026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46121</v>
      </c>
      <c r="E782" s="1" t="n">
        <v>46322</v>
      </c>
      <c r="F782" t="inlineStr">
        <is>
          <t>GÄVLEBORGS LÄN</t>
        </is>
      </c>
      <c r="G782" t="inlineStr">
        <is>
          <t>OCKELBO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45758</v>
      </c>
      <c r="E783" s="1" t="n">
        <v>46322</v>
      </c>
      <c r="F783" t="inlineStr">
        <is>
          <t>GÄVLEBORGS LÄN</t>
        </is>
      </c>
      <c r="G783" t="inlineStr">
        <is>
          <t>OCKELBO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36362-2024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45534</v>
      </c>
      <c r="E784" s="1" t="n">
        <v>46322</v>
      </c>
      <c r="F784" t="inlineStr">
        <is>
          <t>GÄVLEBORGS LÄN</t>
        </is>
      </c>
      <c r="G784" t="inlineStr">
        <is>
          <t>OCKELBO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5558-2024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45334</v>
      </c>
      <c r="E785" s="1" t="n">
        <v>46322</v>
      </c>
      <c r="F785" t="inlineStr">
        <is>
          <t>GÄVLEBORGS LÄN</t>
        </is>
      </c>
      <c r="G785" t="inlineStr">
        <is>
          <t>OCKELBO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52335-2024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45609</v>
      </c>
      <c r="E786" s="1" t="n">
        <v>46322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15966-2023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45022</v>
      </c>
      <c r="E787" s="1" t="n">
        <v>46322</v>
      </c>
      <c r="F787" t="inlineStr">
        <is>
          <t>GÄVLEBORGS LÄN</t>
        </is>
      </c>
      <c r="G787" t="inlineStr">
        <is>
          <t>OCKELBO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34444-2023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45139</v>
      </c>
      <c r="E788" s="1" t="n">
        <v>46322</v>
      </c>
      <c r="F788" t="inlineStr">
        <is>
          <t>GÄVLEBORGS LÄN</t>
        </is>
      </c>
      <c r="G788" t="inlineStr">
        <is>
          <t>OCKELBO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55070-2023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45237</v>
      </c>
      <c r="E789" s="1" t="n">
        <v>46322</v>
      </c>
      <c r="F789" t="inlineStr">
        <is>
          <t>GÄVLEBORGS LÄN</t>
        </is>
      </c>
      <c r="G789" t="inlineStr">
        <is>
          <t>OCKELBO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6194-2025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45698</v>
      </c>
      <c r="E790" s="1" t="n">
        <v>46322</v>
      </c>
      <c r="F790" t="inlineStr">
        <is>
          <t>GÄVLEBORGS LÄN</t>
        </is>
      </c>
      <c r="G790" t="inlineStr">
        <is>
          <t>OCKELBO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11734-2025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45727</v>
      </c>
      <c r="E791" s="1" t="n">
        <v>46322</v>
      </c>
      <c r="F791" t="inlineStr">
        <is>
          <t>GÄVLEBORGS LÄN</t>
        </is>
      </c>
      <c r="G791" t="inlineStr">
        <is>
          <t>OCKELBO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30798-2024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45497</v>
      </c>
      <c r="E792" s="1" t="n">
        <v>46322</v>
      </c>
      <c r="F792" t="inlineStr">
        <is>
          <t>GÄVLEBORGS LÄN</t>
        </is>
      </c>
      <c r="G792" t="inlineStr">
        <is>
          <t>OCKELBO</t>
        </is>
      </c>
      <c r="I792" t="n">
        <v>8.699999999999999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43799-2022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44838</v>
      </c>
      <c r="E793" s="1" t="n">
        <v>46322</v>
      </c>
      <c r="F793" t="inlineStr">
        <is>
          <t>GÄVLEBORGS LÄN</t>
        </is>
      </c>
      <c r="G793" t="inlineStr">
        <is>
          <t>OCKELBO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37391-2023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45156</v>
      </c>
      <c r="E794" s="1" t="n">
        <v>46322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36280-2026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46268</v>
      </c>
      <c r="E795" s="1" t="n">
        <v>46322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33987-2023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45134</v>
      </c>
      <c r="E796" s="1" t="n">
        <v>46322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33879-2023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45134</v>
      </c>
      <c r="E797" s="1" t="n">
        <v>46322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49529-2024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45596</v>
      </c>
      <c r="E798" s="1" t="n">
        <v>46322</v>
      </c>
      <c r="F798" t="inlineStr">
        <is>
          <t>GÄVLEBORGS LÄN</t>
        </is>
      </c>
      <c r="G798" t="inlineStr">
        <is>
          <t>OCKELBO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36097-2026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46267</v>
      </c>
      <c r="E799" s="1" t="n">
        <v>46322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43135-2026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46311</v>
      </c>
      <c r="E800" s="1" t="n">
        <v>46322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56034-2023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45240</v>
      </c>
      <c r="E801" s="1" t="n">
        <v>46322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52330-2024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45609</v>
      </c>
      <c r="E802" s="1" t="n">
        <v>46322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34449-2023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45139</v>
      </c>
      <c r="E803" s="1" t="n">
        <v>46322</v>
      </c>
      <c r="F803" t="inlineStr">
        <is>
          <t>GÄVLEBORGS LÄN</t>
        </is>
      </c>
      <c r="G803" t="inlineStr">
        <is>
          <t>OCKELBO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13428-2026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46094</v>
      </c>
      <c r="E804" s="1" t="n">
        <v>46322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31591-2026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46224</v>
      </c>
      <c r="E805" s="1" t="n">
        <v>46322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36380-2026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46268</v>
      </c>
      <c r="E806" s="1" t="n">
        <v>46322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36562-2026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46269</v>
      </c>
      <c r="E807" s="1" t="n">
        <v>46322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37845-2024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45544</v>
      </c>
      <c r="E808" s="1" t="n">
        <v>46322</v>
      </c>
      <c r="F808" t="inlineStr">
        <is>
          <t>GÄVLEBORGS LÄN</t>
        </is>
      </c>
      <c r="G808" t="inlineStr">
        <is>
          <t>OCKELBO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36467-2026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46322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43604-2026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46315</v>
      </c>
      <c r="E810" s="1" t="n">
        <v>46322</v>
      </c>
      <c r="F810" t="inlineStr">
        <is>
          <t>GÄVLEBORGS LÄN</t>
        </is>
      </c>
      <c r="G810" t="inlineStr">
        <is>
          <t>OCKELBO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31517-2026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46223</v>
      </c>
      <c r="E811" s="1" t="n">
        <v>46322</v>
      </c>
      <c r="F811" t="inlineStr">
        <is>
          <t>GÄVLEBORGS LÄN</t>
        </is>
      </c>
      <c r="G811" t="inlineStr">
        <is>
          <t>OCKELBO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31519-2026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46223</v>
      </c>
      <c r="E812" s="1" t="n">
        <v>46322</v>
      </c>
      <c r="F812" t="inlineStr">
        <is>
          <t>GÄVLEBORGS LÄN</t>
        </is>
      </c>
      <c r="G812" t="inlineStr">
        <is>
          <t>OCKELBO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31530-2026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46223</v>
      </c>
      <c r="E813" s="1" t="n">
        <v>46322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34765-2026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46258</v>
      </c>
      <c r="E814" s="1" t="n">
        <v>46322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31571-2026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46224</v>
      </c>
      <c r="E815" s="1" t="n">
        <v>46322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31971-2026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46232</v>
      </c>
      <c r="E816" s="1" t="n">
        <v>46322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44039-2026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46317</v>
      </c>
      <c r="E817" s="1" t="n">
        <v>46322</v>
      </c>
      <c r="F817" t="inlineStr">
        <is>
          <t>GÄVLEBORGS LÄN</t>
        </is>
      </c>
      <c r="G817" t="inlineStr">
        <is>
          <t>OCKELBO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31443-2026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46220</v>
      </c>
      <c r="E818" s="1" t="n">
        <v>46322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43758-2026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46316</v>
      </c>
      <c r="E819" s="1" t="n">
        <v>46322</v>
      </c>
      <c r="F819" t="inlineStr">
        <is>
          <t>GÄVLEBORGS LÄN</t>
        </is>
      </c>
      <c r="G819" t="inlineStr">
        <is>
          <t>OCKELBO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35155-2026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46260</v>
      </c>
      <c r="E820" s="1" t="n">
        <v>46322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14905-2026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46104</v>
      </c>
      <c r="E821" s="1" t="n">
        <v>46322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44514-2026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46321</v>
      </c>
      <c r="E822" s="1" t="n">
        <v>46322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37841-2026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46279</v>
      </c>
      <c r="E823" s="1" t="n">
        <v>46322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44542-2026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46321</v>
      </c>
      <c r="E824" s="1" t="n">
        <v>46322</v>
      </c>
      <c r="F824" t="inlineStr">
        <is>
          <t>GÄVLEBORGS LÄN</t>
        </is>
      </c>
      <c r="G824" t="inlineStr">
        <is>
          <t>OCKELBO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37487-2026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46275</v>
      </c>
      <c r="E825" s="1" t="n">
        <v>46322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37321-2026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46275</v>
      </c>
      <c r="E826" s="1" t="n">
        <v>46322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282-2024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45323</v>
      </c>
      <c r="E827" s="1" t="n">
        <v>46322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5063-2024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45638</v>
      </c>
      <c r="E828" s="1" t="n">
        <v>46322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154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195-2024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45315</v>
      </c>
      <c r="E829" s="1" t="n">
        <v>46322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46.4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411-2025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45699</v>
      </c>
      <c r="E830" s="1" t="n">
        <v>46322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24.3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7041-2022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44904</v>
      </c>
      <c r="E831" s="1" t="n">
        <v>46322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22.8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297-2026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46058</v>
      </c>
      <c r="E832" s="1" t="n">
        <v>46322</v>
      </c>
      <c r="F832" t="inlineStr">
        <is>
          <t>GÄVLEBORGS LÄN</t>
        </is>
      </c>
      <c r="G832" t="inlineStr">
        <is>
          <t>OCKELBO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657-2026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46089</v>
      </c>
      <c r="E833" s="1" t="n">
        <v>46322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131.3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1344-2026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46322</v>
      </c>
      <c r="F834" t="inlineStr">
        <is>
          <t>GÄVLEBORGS LÄN</t>
        </is>
      </c>
      <c r="G834" t="inlineStr">
        <is>
          <t>OCKELBO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1345-2026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46322</v>
      </c>
      <c r="F835" t="inlineStr">
        <is>
          <t>GÄVLEBORGS LÄN</t>
        </is>
      </c>
      <c r="G835" t="inlineStr">
        <is>
          <t>OCKELBO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46048</v>
      </c>
      <c r="E836" s="1" t="n">
        <v>46322</v>
      </c>
      <c r="F836" t="inlineStr">
        <is>
          <t>GÄVLEBORGS LÄN</t>
        </is>
      </c>
      <c r="G836" t="inlineStr">
        <is>
          <t>OCKELBO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2540-2026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46293</v>
      </c>
      <c r="E837" s="1" t="n">
        <v>46322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2602-2026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46300</v>
      </c>
      <c r="E838" s="1" t="n">
        <v>46322</v>
      </c>
      <c r="F838" t="inlineStr">
        <is>
          <t>GÄVLEBORGS LÄN</t>
        </is>
      </c>
      <c r="G838" t="inlineStr">
        <is>
          <t>OCKELBO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2216-2026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46255</v>
      </c>
      <c r="E839" s="1" t="n">
        <v>46322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19.4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>
      <c r="A840" t="inlineStr">
        <is>
          <t>S 2657-2026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46307</v>
      </c>
      <c r="E840" s="1" t="n">
        <v>46322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väst AB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2026-10-27T03:12:08Z</dcterms:created>
  <dcterms:modified xmlns:dcterms="http://purl.org/dc/terms/" xmlns:xsi="http://www.w3.org/2001/XMLSchema-instance" xsi:type="dcterms:W3CDTF">2026-10-27T03:12:09Z</dcterms:modified>
</cp:coreProperties>
</file>