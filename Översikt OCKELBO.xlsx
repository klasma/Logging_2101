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46281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46281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14258-2026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46281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40.5</v>
      </c>
      <c r="J7" t="n">
        <v>0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14</v>
      </c>
      <c r="U7" t="n">
        <v>0</v>
      </c>
      <c r="V7" s="2" t="inlineStr">
        <is>
          <t>Garnlav
Blanksvart spiklav
Dropptaggsvamp
Vedskivlav
Mindre märgborre
Nästlav
Vågbandad barkbock</t>
        </is>
      </c>
      <c r="W7">
        <f>HYPERLINK("https://klasma.github.io/Logging_2101/artfynd/A 14258-2026 artfynd.xlsx", "A 14258-2026")</f>
        <v/>
      </c>
      <c r="X7">
        <f>HYPERLINK("https://klasma.github.io/Logging_2101/kartor/A 14258-2026 karta.png", "A 14258-2026")</f>
        <v/>
      </c>
      <c r="Y7">
        <f>HYPERLINK("https://klasma.github.io/Logging_2101/kartor_geotiff/A 14258-2026 georefererad karta.tif", "A 14258-2026")</f>
        <v/>
      </c>
      <c r="Z7">
        <f>HYPERLINK("https://klasma.github.io/Logging_2101/knärot/A 14258-2026 karta knärot.png", "A 14258-2026")</f>
        <v/>
      </c>
      <c r="AA7">
        <f>HYPERLINK("https://klasma.github.io/Logging_2101/klagomål/A 14258-2026 FSC-klagomål.docx", "A 14258-2026")</f>
        <v/>
      </c>
      <c r="AB7">
        <f>HYPERLINK("https://klasma.github.io/Logging_2101/klagomålsmail/A 14258-2026 FSC-klagomål mail.docx", "A 14258-2026")</f>
        <v/>
      </c>
      <c r="AC7">
        <f>HYPERLINK("https://klasma.github.io/Logging_2101/tillsyn/A 14258-2026 tillsynsbegäran.docx", "A 14258-2026")</f>
        <v/>
      </c>
      <c r="AD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46281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46281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46281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46281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46281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46281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46281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46281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46281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46281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46281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46281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46281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46281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46281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18117-2026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46281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14.1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Vanlig groda
Fläcknycklar</t>
        </is>
      </c>
      <c r="W30">
        <f>HYPERLINK("https://klasma.github.io/Logging_2101/artfynd/A 18117-2026 artfynd.xlsx", "A 18117-2026")</f>
        <v/>
      </c>
      <c r="X30">
        <f>HYPERLINK("https://klasma.github.io/Logging_2101/kartor/A 18117-2026 karta.png", "A 18117-2026")</f>
        <v/>
      </c>
      <c r="Y30">
        <f>HYPERLINK("https://klasma.github.io/Logging_2101/kartor_geotiff/A 18117-2026 georefererad karta.tif", "A 18117-2026")</f>
        <v/>
      </c>
      <c r="AA30">
        <f>HYPERLINK("https://klasma.github.io/Logging_2101/klagomål/A 18117-2026 FSC-klagomål.docx", "A 18117-2026")</f>
        <v/>
      </c>
      <c r="AB30">
        <f>HYPERLINK("https://klasma.github.io/Logging_2101/klagomålsmail/A 18117-2026 FSC-klagomål mail.docx", "A 18117-2026")</f>
        <v/>
      </c>
      <c r="AC30">
        <f>HYPERLINK("https://klasma.github.io/Logging_2101/tillsyn/A 18117-2026 tillsynsbegäran.docx", "A 18117-2026")</f>
        <v/>
      </c>
      <c r="AD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46281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5.8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Vanlig padda
Fläcknycklar</t>
        </is>
      </c>
      <c r="W31">
        <f>HYPERLINK("https://klasma.github.io/Logging_2101/artfynd/A 18120-2026 artfynd.xlsx", "A 18120-2026")</f>
        <v/>
      </c>
      <c r="X31">
        <f>HYPERLINK("https://klasma.github.io/Logging_2101/kartor/A 18120-2026 karta.png", "A 18120-2026")</f>
        <v/>
      </c>
      <c r="Y31">
        <f>HYPERLINK("https://klasma.github.io/Logging_2101/kartor_geotiff/A 18120-2026 georefererad karta.tif", "A 18120-2026")</f>
        <v/>
      </c>
      <c r="AA31">
        <f>HYPERLINK("https://klasma.github.io/Logging_2101/klagomål/A 18120-2026 FSC-klagomål.docx", "A 18120-2026")</f>
        <v/>
      </c>
      <c r="AB31">
        <f>HYPERLINK("https://klasma.github.io/Logging_2101/klagomålsmail/A 18120-2026 FSC-klagomål mail.docx", "A 18120-2026")</f>
        <v/>
      </c>
      <c r="AC31">
        <f>HYPERLINK("https://klasma.github.io/Logging_2101/tillsyn/A 18120-2026 tillsynsbegäran.docx", "A 18120-2026")</f>
        <v/>
      </c>
      <c r="AD31">
        <f>HYPERLINK("https://klasma.github.io/Logging_2101/tillsynsmail/A 18120-2026 tillsynsbegäran mail.docx", "A 18120-2026")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46281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Lopplummer (aggregat)</t>
        </is>
      </c>
      <c r="W32">
        <f>HYPERLINK("https://klasma.github.io/Logging_2101/artfynd/A 20299-2026 artfynd.xlsx", "A 20299-2026")</f>
        <v/>
      </c>
      <c r="X32">
        <f>HYPERLINK("https://klasma.github.io/Logging_2101/kartor/A 20299-2026 karta.png", "A 20299-2026")</f>
        <v/>
      </c>
      <c r="Y32">
        <f>HYPERLINK("https://klasma.github.io/Logging_2101/kartor_geotiff/A 20299-2026 georefererad karta.tif", "A 20299-2026")</f>
        <v/>
      </c>
      <c r="AA32">
        <f>HYPERLINK("https://klasma.github.io/Logging_2101/klagomål/A 20299-2026 FSC-klagomål.docx", "A 20299-2026")</f>
        <v/>
      </c>
      <c r="AB32">
        <f>HYPERLINK("https://klasma.github.io/Logging_2101/klagomålsmail/A 20299-2026 FSC-klagomål mail.docx", "A 20299-2026")</f>
        <v/>
      </c>
      <c r="AC32">
        <f>HYPERLINK("https://klasma.github.io/Logging_2101/tillsyn/A 20299-2026 tillsynsbegäran.docx", "A 20299-2026")</f>
        <v/>
      </c>
      <c r="AD32">
        <f>HYPERLINK("https://klasma.github.io/Logging_2101/tillsynsmail/A 20299-2026 tillsynsbegäran mail.docx", "A 20299-2026")</f>
        <v/>
      </c>
    </row>
    <row r="33" ht="15" customHeight="1">
      <c r="A33" t="inlineStr">
        <is>
          <t>A 2201-2026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46281</v>
      </c>
      <c r="F33" t="inlineStr">
        <is>
          <t>GÄVLEBORGS LÄN</t>
        </is>
      </c>
      <c r="G33" t="inlineStr">
        <is>
          <t>OCKELBO</t>
        </is>
      </c>
      <c r="I33" t="n">
        <v>2.4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Korallrot
Revlummer</t>
        </is>
      </c>
      <c r="W33">
        <f>HYPERLINK("https://klasma.github.io/Logging_2101/artfynd/A 2201-2026 artfynd.xlsx", "A 2201-2026")</f>
        <v/>
      </c>
      <c r="X33">
        <f>HYPERLINK("https://klasma.github.io/Logging_2101/kartor/A 2201-2026 karta.png", "A 2201-2026")</f>
        <v/>
      </c>
      <c r="Y33">
        <f>HYPERLINK("https://klasma.github.io/Logging_2101/kartor_geotiff/A 2201-2026 georefererad karta.tif", "A 2201-2026")</f>
        <v/>
      </c>
      <c r="AA33">
        <f>HYPERLINK("https://klasma.github.io/Logging_2101/klagomål/A 2201-2026 FSC-klagomål.docx", "A 2201-2026")</f>
        <v/>
      </c>
      <c r="AB33">
        <f>HYPERLINK("https://klasma.github.io/Logging_2101/klagomålsmail/A 2201-2026 FSC-klagomål mail.docx", "A 2201-2026")</f>
        <v/>
      </c>
      <c r="AC33">
        <f>HYPERLINK("https://klasma.github.io/Logging_2101/tillsyn/A 2201-2026 tillsynsbegäran.docx", "A 2201-2026")</f>
        <v/>
      </c>
      <c r="AD33">
        <f>HYPERLINK("https://klasma.github.io/Logging_2101/tillsynsmail/A 2201-2026 tillsynsbegäran mail.docx", "A 2201-2026")</f>
        <v/>
      </c>
    </row>
    <row r="34" ht="15" customHeight="1">
      <c r="A34" t="inlineStr">
        <is>
          <t>A 4180-2026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46044</v>
      </c>
      <c r="E34" s="1" t="n">
        <v>46281</v>
      </c>
      <c r="F34" t="inlineStr">
        <is>
          <t>GÄVLEBORGS LÄN</t>
        </is>
      </c>
      <c r="G34" t="inlineStr">
        <is>
          <t>OCKELBO</t>
        </is>
      </c>
      <c r="I34" t="n">
        <v>15.9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Tjäder
Revlummer</t>
        </is>
      </c>
      <c r="W34">
        <f>HYPERLINK("https://klasma.github.io/Logging_2101/artfynd/A 4180-2026 artfynd.xlsx", "A 4180-2026")</f>
        <v/>
      </c>
      <c r="X34">
        <f>HYPERLINK("https://klasma.github.io/Logging_2101/kartor/A 4180-2026 karta.png", "A 4180-2026")</f>
        <v/>
      </c>
      <c r="Y34">
        <f>HYPERLINK("https://klasma.github.io/Logging_2101/kartor_geotiff/A 4180-2026 georefererad karta.tif", "A 4180-2026")</f>
        <v/>
      </c>
      <c r="AA34">
        <f>HYPERLINK("https://klasma.github.io/Logging_2101/klagomål/A 4180-2026 FSC-klagomål.docx", "A 4180-2026")</f>
        <v/>
      </c>
      <c r="AB34">
        <f>HYPERLINK("https://klasma.github.io/Logging_2101/klagomålsmail/A 4180-2026 FSC-klagomål mail.docx", "A 4180-2026")</f>
        <v/>
      </c>
      <c r="AC34">
        <f>HYPERLINK("https://klasma.github.io/Logging_2101/tillsyn/A 4180-2026 tillsynsbegäran.docx", "A 4180-2026")</f>
        <v/>
      </c>
      <c r="AD34">
        <f>HYPERLINK("https://klasma.github.io/Logging_2101/tillsynsmail/A 4180-2026 tillsynsbegäran mail.docx", "A 4180-2026")</f>
        <v/>
      </c>
      <c r="AE34">
        <f>HYPERLINK("https://klasma.github.io/Logging_2101/fåglar/A 4180-2026 prioriterade fågelarter.docx", "A 4180-2026")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46281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16738-2025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46281</v>
      </c>
      <c r="F37" t="inlineStr">
        <is>
          <t>GÄVLEBORGS LÄN</t>
        </is>
      </c>
      <c r="G37" t="inlineStr">
        <is>
          <t>OCKELBO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HYPERLINK("https://klasma.github.io/Logging_2101/artfynd/A 16738-2025 artfynd.xlsx", "A 16738-2025")</f>
        <v/>
      </c>
      <c r="X37">
        <f>HYPERLINK("https://klasma.github.io/Logging_2101/kartor/A 16738-2025 karta.png", "A 16738-2025")</f>
        <v/>
      </c>
      <c r="Y37">
        <f>HYPERLINK("https://klasma.github.io/Logging_2101/kartor_geotiff/A 16738-2025 georefererad karta.tif", "A 16738-2025")</f>
        <v/>
      </c>
      <c r="AA37">
        <f>HYPERLINK("https://klasma.github.io/Logging_2101/klagomål/A 16738-2025 FSC-klagomål.docx", "A 16738-2025")</f>
        <v/>
      </c>
      <c r="AB37">
        <f>HYPERLINK("https://klasma.github.io/Logging_2101/klagomålsmail/A 16738-2025 FSC-klagomål mail.docx", "A 16738-2025")</f>
        <v/>
      </c>
      <c r="AC37">
        <f>HYPERLINK("https://klasma.github.io/Logging_2101/tillsyn/A 16738-2025 tillsynsbegäran.docx", "A 16738-2025")</f>
        <v/>
      </c>
      <c r="AD37">
        <f>HYPERLINK("https://klasma.github.io/Logging_2101/tillsynsmail/A 16738-2025 tillsynsbegäran mail.docx", "A 16738-2025")</f>
        <v/>
      </c>
    </row>
    <row r="38" ht="15" customHeight="1">
      <c r="A38" t="inlineStr">
        <is>
          <t>A 13640-2026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46281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HYPERLINK("https://klasma.github.io/Logging_2101/artfynd/A 13640-2026 artfynd.xlsx", "A 13640-2026")</f>
        <v/>
      </c>
      <c r="X38">
        <f>HYPERLINK("https://klasma.github.io/Logging_2101/kartor/A 13640-2026 karta.png", "A 13640-2026")</f>
        <v/>
      </c>
      <c r="Y38">
        <f>HYPERLINK("https://klasma.github.io/Logging_2101/kartor_geotiff/A 13640-2026 georefererad karta.tif", "A 13640-2026")</f>
        <v/>
      </c>
      <c r="AA38">
        <f>HYPERLINK("https://klasma.github.io/Logging_2101/klagomål/A 13640-2026 FSC-klagomål.docx", "A 13640-2026")</f>
        <v/>
      </c>
      <c r="AB38">
        <f>HYPERLINK("https://klasma.github.io/Logging_2101/klagomålsmail/A 13640-2026 FSC-klagomål mail.docx", "A 13640-2026")</f>
        <v/>
      </c>
      <c r="AC38">
        <f>HYPERLINK("https://klasma.github.io/Logging_2101/tillsyn/A 13640-2026 tillsynsbegäran.docx", "A 13640-2026")</f>
        <v/>
      </c>
      <c r="AD38">
        <f>HYPERLINK("https://klasma.github.io/Logging_2101/tillsynsmail/A 13640-2026 tillsynsbegäran mail.docx", "A 13640-2026")</f>
        <v/>
      </c>
    </row>
    <row r="39" ht="15" customHeight="1">
      <c r="A39" t="inlineStr">
        <is>
          <t>A 14479-2026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46281</v>
      </c>
      <c r="F39" t="inlineStr">
        <is>
          <t>GÄVLEBORGS LÄN</t>
        </is>
      </c>
      <c r="G39" t="inlineStr">
        <is>
          <t>OCKELBO</t>
        </is>
      </c>
      <c r="I39" t="n">
        <v>4.8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HYPERLINK("https://klasma.github.io/Logging_2101/artfynd/A 14479-2026 artfynd.xlsx", "A 14479-2026")</f>
        <v/>
      </c>
      <c r="X39">
        <f>HYPERLINK("https://klasma.github.io/Logging_2101/kartor/A 14479-2026 karta.png", "A 14479-2026")</f>
        <v/>
      </c>
      <c r="Y39">
        <f>HYPERLINK("https://klasma.github.io/Logging_2101/kartor_geotiff/A 14479-2026 georefererad karta.tif", "A 14479-2026")</f>
        <v/>
      </c>
      <c r="AA39">
        <f>HYPERLINK("https://klasma.github.io/Logging_2101/klagomål/A 14479-2026 FSC-klagomål.docx", "A 14479-2026")</f>
        <v/>
      </c>
      <c r="AB39">
        <f>HYPERLINK("https://klasma.github.io/Logging_2101/klagomålsmail/A 14479-2026 FSC-klagomål mail.docx", "A 14479-2026")</f>
        <v/>
      </c>
      <c r="AC39">
        <f>HYPERLINK("https://klasma.github.io/Logging_2101/tillsyn/A 14479-2026 tillsynsbegäran.docx", "A 14479-2026")</f>
        <v/>
      </c>
      <c r="AD39">
        <f>HYPERLINK("https://klasma.github.io/Logging_2101/tillsynsmail/A 14479-2026 tillsynsbegäran mail.docx", "A 14479-2026")</f>
        <v/>
      </c>
    </row>
    <row r="40" ht="15" customHeight="1">
      <c r="A40" t="inlineStr">
        <is>
          <t>A 14664-2026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46101</v>
      </c>
      <c r="E40" s="1" t="n">
        <v>46281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Tjäder</t>
        </is>
      </c>
      <c r="W40">
        <f>HYPERLINK("https://klasma.github.io/Logging_2101/artfynd/A 14664-2026 artfynd.xlsx", "A 14664-2026")</f>
        <v/>
      </c>
      <c r="X40">
        <f>HYPERLINK("https://klasma.github.io/Logging_2101/kartor/A 14664-2026 karta.png", "A 14664-2026")</f>
        <v/>
      </c>
      <c r="Y40">
        <f>HYPERLINK("https://klasma.github.io/Logging_2101/kartor_geotiff/A 14664-2026 georefererad karta.tif", "A 14664-2026")</f>
        <v/>
      </c>
      <c r="AA40">
        <f>HYPERLINK("https://klasma.github.io/Logging_2101/klagomål/A 14664-2026 FSC-klagomål.docx", "A 14664-2026")</f>
        <v/>
      </c>
      <c r="AB40">
        <f>HYPERLINK("https://klasma.github.io/Logging_2101/klagomålsmail/A 14664-2026 FSC-klagomål mail.docx", "A 14664-2026")</f>
        <v/>
      </c>
      <c r="AC40">
        <f>HYPERLINK("https://klasma.github.io/Logging_2101/tillsyn/A 14664-2026 tillsynsbegäran.docx", "A 14664-2026")</f>
        <v/>
      </c>
      <c r="AD40">
        <f>HYPERLINK("https://klasma.github.io/Logging_2101/tillsynsmail/A 14664-2026 tillsynsbegäran mail.docx", "A 14664-2026")</f>
        <v/>
      </c>
      <c r="AE40">
        <f>HYPERLINK("https://klasma.github.io/Logging_2101/fåglar/A 14664-2026 prioriterade fågelarter.docx", "A 14664-2026")</f>
        <v/>
      </c>
    </row>
    <row r="41" ht="15" customHeight="1">
      <c r="A41" t="inlineStr">
        <is>
          <t>A 64364-2023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46281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64364-2023 artfynd.xlsx", "A 64364-2023")</f>
        <v/>
      </c>
      <c r="X41">
        <f>HYPERLINK("https://klasma.github.io/Logging_2101/kartor/A 64364-2023 karta.png", "A 64364-2023")</f>
        <v/>
      </c>
      <c r="Y41">
        <f>HYPERLINK("https://klasma.github.io/Logging_2101/kartor_geotiff/A 64364-2023 georefererad karta.tif", "A 64364-2023")</f>
        <v/>
      </c>
      <c r="AA41">
        <f>HYPERLINK("https://klasma.github.io/Logging_2101/klagomål/A 64364-2023 FSC-klagomål.docx", "A 64364-2023")</f>
        <v/>
      </c>
      <c r="AB41">
        <f>HYPERLINK("https://klasma.github.io/Logging_2101/klagomålsmail/A 64364-2023 FSC-klagomål mail.docx", "A 64364-2023")</f>
        <v/>
      </c>
      <c r="AC41">
        <f>HYPERLINK("https://klasma.github.io/Logging_2101/tillsyn/A 64364-2023 tillsynsbegäran.docx", "A 64364-2023")</f>
        <v/>
      </c>
      <c r="AD41">
        <f>HYPERLINK("https://klasma.github.io/Logging_2101/tillsynsmail/A 64364-2023 tillsynsbegäran mail.docx", "A 64364-2023")</f>
        <v/>
      </c>
    </row>
    <row r="42" ht="15" customHeight="1">
      <c r="A42" t="inlineStr">
        <is>
          <t>A 18188-2026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46125</v>
      </c>
      <c r="E42" s="1" t="n">
        <v>46281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HYPERLINK("https://klasma.github.io/Logging_2101/artfynd/A 18188-2026 artfynd.xlsx", "A 18188-2026")</f>
        <v/>
      </c>
      <c r="X42">
        <f>HYPERLINK("https://klasma.github.io/Logging_2101/kartor/A 18188-2026 karta.png", "A 18188-2026")</f>
        <v/>
      </c>
      <c r="Y42">
        <f>HYPERLINK("https://klasma.github.io/Logging_2101/kartor_geotiff/A 18188-2026 georefererad karta.tif", "A 18188-2026")</f>
        <v/>
      </c>
      <c r="AA42">
        <f>HYPERLINK("https://klasma.github.io/Logging_2101/klagomål/A 18188-2026 FSC-klagomål.docx", "A 18188-2026")</f>
        <v/>
      </c>
      <c r="AB42">
        <f>HYPERLINK("https://klasma.github.io/Logging_2101/klagomålsmail/A 18188-2026 FSC-klagomål mail.docx", "A 18188-2026")</f>
        <v/>
      </c>
      <c r="AC42">
        <f>HYPERLINK("https://klasma.github.io/Logging_2101/tillsyn/A 18188-2026 tillsynsbegäran.docx", "A 18188-2026")</f>
        <v/>
      </c>
      <c r="AD42">
        <f>HYPERLINK("https://klasma.github.io/Logging_2101/tillsynsmail/A 18188-2026 tillsynsbegäran mail.docx", "A 18188-2026")</f>
        <v/>
      </c>
      <c r="AE42">
        <f>HYPERLINK("https://klasma.github.io/Logging_2101/fåglar/A 18188-2026 prioriterade fågelarter.docx", "A 18188-2026")</f>
        <v/>
      </c>
    </row>
    <row r="43" ht="15" customHeight="1">
      <c r="A43" t="inlineStr">
        <is>
          <t>A 57946-2023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46281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HYPERLINK("https://klasma.github.io/Logging_2101/artfynd/A 57946-2023 artfynd.xlsx", "A 57946-2023")</f>
        <v/>
      </c>
      <c r="X43">
        <f>HYPERLINK("https://klasma.github.io/Logging_2101/kartor/A 57946-2023 karta.png", "A 57946-2023")</f>
        <v/>
      </c>
      <c r="Y43">
        <f>HYPERLINK("https://klasma.github.io/Logging_2101/kartor_geotiff/A 57946-2023 georefererad karta.tif", "A 57946-2023")</f>
        <v/>
      </c>
      <c r="AA43">
        <f>HYPERLINK("https://klasma.github.io/Logging_2101/klagomål/A 57946-2023 FSC-klagomål.docx", "A 57946-2023")</f>
        <v/>
      </c>
      <c r="AB43">
        <f>HYPERLINK("https://klasma.github.io/Logging_2101/klagomålsmail/A 57946-2023 FSC-klagomål mail.docx", "A 57946-2023")</f>
        <v/>
      </c>
      <c r="AC43">
        <f>HYPERLINK("https://klasma.github.io/Logging_2101/tillsyn/A 57946-2023 tillsynsbegäran.docx", "A 57946-2023")</f>
        <v/>
      </c>
      <c r="AD43">
        <f>HYPERLINK("https://klasma.github.io/Logging_2101/tillsynsmail/A 57946-2023 tillsynsbegäran mail.docx", "A 57946-2023")</f>
        <v/>
      </c>
    </row>
    <row r="44" ht="15" customHeight="1">
      <c r="A44" t="inlineStr">
        <is>
          <t>A 12777-2026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46091</v>
      </c>
      <c r="E44" s="1" t="n">
        <v>46281</v>
      </c>
      <c r="F44" t="inlineStr">
        <is>
          <t>GÄVLEBORGS LÄN</t>
        </is>
      </c>
      <c r="G44" t="inlineStr">
        <is>
          <t>OCKELBO</t>
        </is>
      </c>
      <c r="I44" t="n">
        <v>4.2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HYPERLINK("https://klasma.github.io/Logging_2101/artfynd/A 12777-2026 artfynd.xlsx", "A 12777-2026")</f>
        <v/>
      </c>
      <c r="X44">
        <f>HYPERLINK("https://klasma.github.io/Logging_2101/kartor/A 12777-2026 karta.png", "A 12777-2026")</f>
        <v/>
      </c>
      <c r="Y44">
        <f>HYPERLINK("https://klasma.github.io/Logging_2101/kartor_geotiff/A 12777-2026 georefererad karta.tif", "A 12777-2026")</f>
        <v/>
      </c>
      <c r="AA44">
        <f>HYPERLINK("https://klasma.github.io/Logging_2101/klagomål/A 12777-2026 FSC-klagomål.docx", "A 12777-2026")</f>
        <v/>
      </c>
      <c r="AB44">
        <f>HYPERLINK("https://klasma.github.io/Logging_2101/klagomålsmail/A 12777-2026 FSC-klagomål mail.docx", "A 12777-2026")</f>
        <v/>
      </c>
      <c r="AC44">
        <f>HYPERLINK("https://klasma.github.io/Logging_2101/tillsyn/A 12777-2026 tillsynsbegäran.docx", "A 12777-2026")</f>
        <v/>
      </c>
      <c r="AD44">
        <f>HYPERLINK("https://klasma.github.io/Logging_2101/tillsynsmail/A 12777-2026 tillsynsbegäran mail.docx", "A 12777-2026")</f>
        <v/>
      </c>
      <c r="AE44">
        <f>HYPERLINK("https://klasma.github.io/Logging_2101/fåglar/A 12777-2026 prioriterade fågelarter.docx", "A 12777-2026")</f>
        <v/>
      </c>
    </row>
    <row r="45" ht="15" customHeight="1">
      <c r="A45" t="inlineStr">
        <is>
          <t>A 46481-2024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46281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HYPERLINK("https://klasma.github.io/Logging_2101/artfynd/A 46481-2024 artfynd.xlsx", "A 46481-2024")</f>
        <v/>
      </c>
      <c r="X45">
        <f>HYPERLINK("https://klasma.github.io/Logging_2101/kartor/A 46481-2024 karta.png", "A 46481-2024")</f>
        <v/>
      </c>
      <c r="Y45">
        <f>HYPERLINK("https://klasma.github.io/Logging_2101/kartor_geotiff/A 46481-2024 georefererad karta.tif", "A 46481-2024")</f>
        <v/>
      </c>
      <c r="AA45">
        <f>HYPERLINK("https://klasma.github.io/Logging_2101/klagomål/A 46481-2024 FSC-klagomål.docx", "A 46481-2024")</f>
        <v/>
      </c>
      <c r="AB45">
        <f>HYPERLINK("https://klasma.github.io/Logging_2101/klagomålsmail/A 46481-2024 FSC-klagomål mail.docx", "A 46481-2024")</f>
        <v/>
      </c>
      <c r="AC45">
        <f>HYPERLINK("https://klasma.github.io/Logging_2101/tillsyn/A 46481-2024 tillsynsbegäran.docx", "A 46481-2024")</f>
        <v/>
      </c>
      <c r="AD45">
        <f>HYPERLINK("https://klasma.github.io/Logging_2101/tillsynsmail/A 46481-2024 tillsynsbegäran mail.docx", "A 46481-2024")</f>
        <v/>
      </c>
    </row>
    <row r="46" ht="15" customHeight="1">
      <c r="A46" t="inlineStr">
        <is>
          <t>A 10145-2026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46076</v>
      </c>
      <c r="E46" s="1" t="n">
        <v>46281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öst AB</t>
        </is>
      </c>
      <c r="I46" t="n">
        <v>10.5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Fläcknycklar</t>
        </is>
      </c>
      <c r="W46">
        <f>HYPERLINK("https://klasma.github.io/Logging_2101/artfynd/A 10145-2026 artfynd.xlsx", "A 10145-2026")</f>
        <v/>
      </c>
      <c r="X46">
        <f>HYPERLINK("https://klasma.github.io/Logging_2101/kartor/A 10145-2026 karta.png", "A 10145-2026")</f>
        <v/>
      </c>
      <c r="Y46">
        <f>HYPERLINK("https://klasma.github.io/Logging_2101/kartor_geotiff/A 10145-2026 georefererad karta.tif", "A 10145-2026")</f>
        <v/>
      </c>
      <c r="Z46">
        <f>HYPERLINK("https://klasma.github.io/Logging_2101/knärot/A 10145-2026 karta knärot.png", "A 10145-2026")</f>
        <v/>
      </c>
      <c r="AA46">
        <f>HYPERLINK("https://klasma.github.io/Logging_2101/klagomål/A 10145-2026 FSC-klagomål.docx", "A 10145-2026")</f>
        <v/>
      </c>
      <c r="AB46">
        <f>HYPERLINK("https://klasma.github.io/Logging_2101/klagomålsmail/A 10145-2026 FSC-klagomål mail.docx", "A 10145-2026")</f>
        <v/>
      </c>
      <c r="AC46">
        <f>HYPERLINK("https://klasma.github.io/Logging_2101/tillsyn/A 10145-2026 tillsynsbegäran.docx", "A 10145-2026")</f>
        <v/>
      </c>
      <c r="AD46">
        <f>HYPERLINK("https://klasma.github.io/Logging_2101/tillsynsmail/A 10145-2026 tillsynsbegäran mail.docx", "A 10145-2026")</f>
        <v/>
      </c>
    </row>
    <row r="47" ht="15" customHeight="1">
      <c r="A47" t="inlineStr">
        <is>
          <t>A 60615-2021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46281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Vanlig padda</t>
        </is>
      </c>
      <c r="W47">
        <f>HYPERLINK("https://klasma.github.io/Logging_2101/artfynd/A 60615-2021 artfynd.xlsx", "A 60615-2021")</f>
        <v/>
      </c>
      <c r="X47">
        <f>HYPERLINK("https://klasma.github.io/Logging_2101/kartor/A 60615-2021 karta.png", "A 60615-2021")</f>
        <v/>
      </c>
      <c r="Y47">
        <f>HYPERLINK("https://klasma.github.io/Logging_2101/kartor_geotiff/A 60615-2021 georefererad karta.tif", "A 60615-2021")</f>
        <v/>
      </c>
      <c r="AA47">
        <f>HYPERLINK("https://klasma.github.io/Logging_2101/klagomål/A 60615-2021 FSC-klagomål.docx", "A 60615-2021")</f>
        <v/>
      </c>
      <c r="AB47">
        <f>HYPERLINK("https://klasma.github.io/Logging_2101/klagomålsmail/A 60615-2021 FSC-klagomål mail.docx", "A 60615-2021")</f>
        <v/>
      </c>
      <c r="AC47">
        <f>HYPERLINK("https://klasma.github.io/Logging_2101/tillsyn/A 60615-2021 tillsynsbegäran.docx", "A 60615-2021")</f>
        <v/>
      </c>
      <c r="AD47">
        <f>HYPERLINK("https://klasma.github.io/Logging_2101/tillsynsmail/A 60615-2021 tillsynsbegäran mail.docx", "A 60615-2021")</f>
        <v/>
      </c>
    </row>
    <row r="48" ht="15" customHeight="1">
      <c r="A48" t="inlineStr">
        <is>
          <t>A 9155-2026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46281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4.2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Kolflarnlav</t>
        </is>
      </c>
      <c r="W48">
        <f>HYPERLINK("https://klasma.github.io/Logging_2101/artfynd/A 9155-2026 artfynd.xlsx", "A 9155-2026")</f>
        <v/>
      </c>
      <c r="X48">
        <f>HYPERLINK("https://klasma.github.io/Logging_2101/kartor/A 9155-2026 karta.png", "A 9155-2026")</f>
        <v/>
      </c>
      <c r="Y48">
        <f>HYPERLINK("https://klasma.github.io/Logging_2101/kartor_geotiff/A 9155-2026 georefererad karta.tif", "A 9155-2026")</f>
        <v/>
      </c>
      <c r="AA48">
        <f>HYPERLINK("https://klasma.github.io/Logging_2101/klagomål/A 9155-2026 FSC-klagomål.docx", "A 9155-2026")</f>
        <v/>
      </c>
      <c r="AB48">
        <f>HYPERLINK("https://klasma.github.io/Logging_2101/klagomålsmail/A 9155-2026 FSC-klagomål mail.docx", "A 9155-2026")</f>
        <v/>
      </c>
      <c r="AC48">
        <f>HYPERLINK("https://klasma.github.io/Logging_2101/tillsyn/A 9155-2026 tillsynsbegäran.docx", "A 9155-2026")</f>
        <v/>
      </c>
      <c r="AD48">
        <f>HYPERLINK("https://klasma.github.io/Logging_2101/tillsynsmail/A 9155-2026 tillsynsbegäran mail.docx", "A 9155-2026")</f>
        <v/>
      </c>
    </row>
    <row r="49" ht="15" customHeight="1">
      <c r="A49" t="inlineStr">
        <is>
          <t>A 20233-2026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46139</v>
      </c>
      <c r="E49" s="1" t="n">
        <v>46281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17.9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Tibast</t>
        </is>
      </c>
      <c r="W49">
        <f>HYPERLINK("https://klasma.github.io/Logging_2101/artfynd/A 20233-2026 artfynd.xlsx", "A 20233-2026")</f>
        <v/>
      </c>
      <c r="X49">
        <f>HYPERLINK("https://klasma.github.io/Logging_2101/kartor/A 20233-2026 karta.png", "A 20233-2026")</f>
        <v/>
      </c>
      <c r="Y49">
        <f>HYPERLINK("https://klasma.github.io/Logging_2101/kartor_geotiff/A 20233-2026 georefererad karta.tif", "A 20233-2026")</f>
        <v/>
      </c>
      <c r="AA49">
        <f>HYPERLINK("https://klasma.github.io/Logging_2101/klagomål/A 20233-2026 FSC-klagomål.docx", "A 20233-2026")</f>
        <v/>
      </c>
      <c r="AB49">
        <f>HYPERLINK("https://klasma.github.io/Logging_2101/klagomålsmail/A 20233-2026 FSC-klagomål mail.docx", "A 20233-2026")</f>
        <v/>
      </c>
      <c r="AC49">
        <f>HYPERLINK("https://klasma.github.io/Logging_2101/tillsyn/A 20233-2026 tillsynsbegäran.docx", "A 20233-2026")</f>
        <v/>
      </c>
      <c r="AD49">
        <f>HYPERLINK("https://klasma.github.io/Logging_2101/tillsynsmail/A 20233-2026 tillsynsbegäran mail.docx", "A 20233-2026")</f>
        <v/>
      </c>
    </row>
    <row r="50" ht="15" customHeight="1">
      <c r="A50" t="inlineStr">
        <is>
          <t>A 22821-2024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46281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HYPERLINK("https://klasma.github.io/Logging_2101/artfynd/A 22821-2024 artfynd.xlsx", "A 22821-2024")</f>
        <v/>
      </c>
      <c r="X50">
        <f>HYPERLINK("https://klasma.github.io/Logging_2101/kartor/A 22821-2024 karta.png", "A 22821-2024")</f>
        <v/>
      </c>
      <c r="Y50">
        <f>HYPERLINK("https://klasma.github.io/Logging_2101/kartor_geotiff/A 22821-2024 georefererad karta.tif", "A 22821-2024")</f>
        <v/>
      </c>
      <c r="AA50">
        <f>HYPERLINK("https://klasma.github.io/Logging_2101/klagomål/A 22821-2024 FSC-klagomål.docx", "A 22821-2024")</f>
        <v/>
      </c>
      <c r="AB50">
        <f>HYPERLINK("https://klasma.github.io/Logging_2101/klagomålsmail/A 22821-2024 FSC-klagomål mail.docx", "A 22821-2024")</f>
        <v/>
      </c>
      <c r="AC50">
        <f>HYPERLINK("https://klasma.github.io/Logging_2101/tillsyn/A 22821-2024 tillsynsbegäran.docx", "A 22821-2024")</f>
        <v/>
      </c>
      <c r="AD50">
        <f>HYPERLINK("https://klasma.github.io/Logging_2101/tillsynsmail/A 22821-2024 tillsynsbegäran mail.docx", "A 22821-2024")</f>
        <v/>
      </c>
    </row>
    <row r="51" ht="15" customHeight="1">
      <c r="A51" t="inlineStr">
        <is>
          <t>A 26448-2024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46281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HYPERLINK("https://klasma.github.io/Logging_2101/artfynd/A 26448-2024 artfynd.xlsx", "A 26448-2024")</f>
        <v/>
      </c>
      <c r="X51">
        <f>HYPERLINK("https://klasma.github.io/Logging_2101/kartor/A 26448-2024 karta.png", "A 26448-2024")</f>
        <v/>
      </c>
      <c r="Y51">
        <f>HYPERLINK("https://klasma.github.io/Logging_2101/kartor_geotiff/A 26448-2024 georefererad karta.tif", "A 26448-2024")</f>
        <v/>
      </c>
      <c r="AA51">
        <f>HYPERLINK("https://klasma.github.io/Logging_2101/klagomål/A 26448-2024 FSC-klagomål.docx", "A 26448-2024")</f>
        <v/>
      </c>
      <c r="AB51">
        <f>HYPERLINK("https://klasma.github.io/Logging_2101/klagomålsmail/A 26448-2024 FSC-klagomål mail.docx", "A 26448-2024")</f>
        <v/>
      </c>
      <c r="AC51">
        <f>HYPERLINK("https://klasma.github.io/Logging_2101/tillsyn/A 26448-2024 tillsynsbegäran.docx", "A 26448-2024")</f>
        <v/>
      </c>
      <c r="AD51">
        <f>HYPERLINK("https://klasma.github.io/Logging_2101/tillsynsmail/A 26448-2024 tillsynsbegäran mail.docx", "A 26448-2024")</f>
        <v/>
      </c>
    </row>
    <row r="52" ht="15" customHeight="1">
      <c r="A52" t="inlineStr">
        <is>
          <t>A 55778-2025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46281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12.3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HYPERLINK("https://klasma.github.io/Logging_2101/artfynd/A 55778-2025 artfynd.xlsx", "A 55778-2025")</f>
        <v/>
      </c>
      <c r="X52">
        <f>HYPERLINK("https://klasma.github.io/Logging_2101/kartor/A 55778-2025 karta.png", "A 55778-2025")</f>
        <v/>
      </c>
      <c r="Y52">
        <f>HYPERLINK("https://klasma.github.io/Logging_2101/kartor_geotiff/A 55778-2025 georefererad karta.tif", "A 55778-2025")</f>
        <v/>
      </c>
      <c r="AA52">
        <f>HYPERLINK("https://klasma.github.io/Logging_2101/klagomål/A 55778-2025 FSC-klagomål.docx", "A 55778-2025")</f>
        <v/>
      </c>
      <c r="AB52">
        <f>HYPERLINK("https://klasma.github.io/Logging_2101/klagomålsmail/A 55778-2025 FSC-klagomål mail.docx", "A 55778-2025")</f>
        <v/>
      </c>
      <c r="AC52">
        <f>HYPERLINK("https://klasma.github.io/Logging_2101/tillsyn/A 55778-2025 tillsynsbegäran.docx", "A 55778-2025")</f>
        <v/>
      </c>
      <c r="AD52">
        <f>HYPERLINK("https://klasma.github.io/Logging_2101/tillsynsmail/A 55778-2025 tillsynsbegäran mail.docx", "A 55778-2025")</f>
        <v/>
      </c>
    </row>
    <row r="53" ht="15" customHeight="1">
      <c r="A53" t="inlineStr">
        <is>
          <t>A 4226-2023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46281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Skogsknipprot</t>
        </is>
      </c>
      <c r="W53">
        <f>HYPERLINK("https://klasma.github.io/Logging_2101/artfynd/A 4226-2023 artfynd.xlsx", "A 4226-2023")</f>
        <v/>
      </c>
      <c r="X53">
        <f>HYPERLINK("https://klasma.github.io/Logging_2101/kartor/A 4226-2023 karta.png", "A 4226-2023")</f>
        <v/>
      </c>
      <c r="Y53">
        <f>HYPERLINK("https://klasma.github.io/Logging_2101/kartor_geotiff/A 4226-2023 georefererad karta.tif", "A 4226-2023")</f>
        <v/>
      </c>
      <c r="AA53">
        <f>HYPERLINK("https://klasma.github.io/Logging_2101/klagomål/A 4226-2023 FSC-klagomål.docx", "A 4226-2023")</f>
        <v/>
      </c>
      <c r="AB53">
        <f>HYPERLINK("https://klasma.github.io/Logging_2101/klagomålsmail/A 4226-2023 FSC-klagomål mail.docx", "A 4226-2023")</f>
        <v/>
      </c>
      <c r="AC53">
        <f>HYPERLINK("https://klasma.github.io/Logging_2101/tillsyn/A 4226-2023 tillsynsbegäran.docx", "A 4226-2023")</f>
        <v/>
      </c>
      <c r="AD53">
        <f>HYPERLINK("https://klasma.github.io/Logging_2101/tillsynsmail/A 4226-2023 tillsynsbegäran mail.docx", "A 4226-2023")</f>
        <v/>
      </c>
    </row>
    <row r="54" ht="15" customHeight="1">
      <c r="A54" t="inlineStr">
        <is>
          <t>A 15039-2026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46281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18.2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HYPERLINK("https://klasma.github.io/Logging_2101/artfynd/A 15039-2026 artfynd.xlsx", "A 15039-2026")</f>
        <v/>
      </c>
      <c r="X54">
        <f>HYPERLINK("https://klasma.github.io/Logging_2101/kartor/A 15039-2026 karta.png", "A 15039-2026")</f>
        <v/>
      </c>
      <c r="Y54">
        <f>HYPERLINK("https://klasma.github.io/Logging_2101/kartor_geotiff/A 15039-2026 georefererad karta.tif", "A 15039-2026")</f>
        <v/>
      </c>
      <c r="AA54">
        <f>HYPERLINK("https://klasma.github.io/Logging_2101/klagomål/A 15039-2026 FSC-klagomål.docx", "A 15039-2026")</f>
        <v/>
      </c>
      <c r="AB54">
        <f>HYPERLINK("https://klasma.github.io/Logging_2101/klagomålsmail/A 15039-2026 FSC-klagomål mail.docx", "A 15039-2026")</f>
        <v/>
      </c>
      <c r="AC54">
        <f>HYPERLINK("https://klasma.github.io/Logging_2101/tillsyn/A 15039-2026 tillsynsbegäran.docx", "A 15039-2026")</f>
        <v/>
      </c>
      <c r="AD54">
        <f>HYPERLINK("https://klasma.github.io/Logging_2101/tillsynsmail/A 15039-2026 tillsynsbegäran mail.docx", "A 15039-2026")</f>
        <v/>
      </c>
      <c r="AE54">
        <f>HYPERLINK("https://klasma.github.io/Logging_2101/fåglar/A 15039-2026 prioriterade fågelarter.docx", "A 15039-2026")</f>
        <v/>
      </c>
    </row>
    <row r="55" ht="15" customHeight="1">
      <c r="A55" t="inlineStr">
        <is>
          <t>A 11970-2026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46085</v>
      </c>
      <c r="E55" s="1" t="n">
        <v>46281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HYPERLINK("https://klasma.github.io/Logging_2101/artfynd/A 11970-2026 artfynd.xlsx", "A 11970-2026")</f>
        <v/>
      </c>
      <c r="X55">
        <f>HYPERLINK("https://klasma.github.io/Logging_2101/kartor/A 11970-2026 karta.png", "A 11970-2026")</f>
        <v/>
      </c>
      <c r="Y55">
        <f>HYPERLINK("https://klasma.github.io/Logging_2101/kartor_geotiff/A 11970-2026 georefererad karta.tif", "A 11970-2026")</f>
        <v/>
      </c>
      <c r="AA55">
        <f>HYPERLINK("https://klasma.github.io/Logging_2101/klagomål/A 11970-2026 FSC-klagomål.docx", "A 11970-2026")</f>
        <v/>
      </c>
      <c r="AB55">
        <f>HYPERLINK("https://klasma.github.io/Logging_2101/klagomålsmail/A 11970-2026 FSC-klagomål mail.docx", "A 11970-2026")</f>
        <v/>
      </c>
      <c r="AC55">
        <f>HYPERLINK("https://klasma.github.io/Logging_2101/tillsyn/A 11970-2026 tillsynsbegäran.docx", "A 11970-2026")</f>
        <v/>
      </c>
      <c r="AD55">
        <f>HYPERLINK("https://klasma.github.io/Logging_2101/tillsynsmail/A 11970-2026 tillsynsbegäran mail.docx", "A 11970-2026")</f>
        <v/>
      </c>
      <c r="AE55">
        <f>HYPERLINK("https://klasma.github.io/Logging_2101/fåglar/A 11970-2026 prioriterade fågelarter.docx", "A 11970-2026")</f>
        <v/>
      </c>
    </row>
    <row r="56" ht="15" customHeight="1">
      <c r="A56" t="inlineStr">
        <is>
          <t>A 10448-2026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46281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Plattlummer</t>
        </is>
      </c>
      <c r="W56">
        <f>HYPERLINK("https://klasma.github.io/Logging_2101/artfynd/A 10448-2026 artfynd.xlsx", "A 10448-2026")</f>
        <v/>
      </c>
      <c r="X56">
        <f>HYPERLINK("https://klasma.github.io/Logging_2101/kartor/A 10448-2026 karta.png", "A 10448-2026")</f>
        <v/>
      </c>
      <c r="Y56">
        <f>HYPERLINK("https://klasma.github.io/Logging_2101/kartor_geotiff/A 10448-2026 georefererad karta.tif", "A 10448-2026")</f>
        <v/>
      </c>
      <c r="AA56">
        <f>HYPERLINK("https://klasma.github.io/Logging_2101/klagomål/A 10448-2026 FSC-klagomål.docx", "A 10448-2026")</f>
        <v/>
      </c>
      <c r="AB56">
        <f>HYPERLINK("https://klasma.github.io/Logging_2101/klagomålsmail/A 10448-2026 FSC-klagomål mail.docx", "A 10448-2026")</f>
        <v/>
      </c>
      <c r="AC56">
        <f>HYPERLINK("https://klasma.github.io/Logging_2101/tillsyn/A 10448-2026 tillsynsbegäran.docx", "A 10448-2026")</f>
        <v/>
      </c>
      <c r="AD56">
        <f>HYPERLINK("https://klasma.github.io/Logging_2101/tillsynsmail/A 10448-2026 tillsynsbegäran mail.docx", "A 10448-2026")</f>
        <v/>
      </c>
    </row>
    <row r="57" ht="15" customHeight="1">
      <c r="A57" t="inlineStr">
        <is>
          <t>A 62989-2025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46281</v>
      </c>
      <c r="F57" t="inlineStr">
        <is>
          <t>GÄVLEBORGS LÄN</t>
        </is>
      </c>
      <c r="G57" t="inlineStr">
        <is>
          <t>OCKELBO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Kortskaftad ärgspik</t>
        </is>
      </c>
      <c r="W57">
        <f>HYPERLINK("https://klasma.github.io/Logging_2101/artfynd/A 62989-2025 artfynd.xlsx", "A 62989-2025")</f>
        <v/>
      </c>
      <c r="X57">
        <f>HYPERLINK("https://klasma.github.io/Logging_2101/kartor/A 62989-2025 karta.png", "A 62989-2025")</f>
        <v/>
      </c>
      <c r="Y57">
        <f>HYPERLINK("https://klasma.github.io/Logging_2101/kartor_geotiff/A 62989-2025 georefererad karta.tif", "A 62989-2025")</f>
        <v/>
      </c>
      <c r="AA57">
        <f>HYPERLINK("https://klasma.github.io/Logging_2101/klagomål/A 62989-2025 FSC-klagomål.docx", "A 62989-2025")</f>
        <v/>
      </c>
      <c r="AB57">
        <f>HYPERLINK("https://klasma.github.io/Logging_2101/klagomålsmail/A 62989-2025 FSC-klagomål mail.docx", "A 62989-2025")</f>
        <v/>
      </c>
      <c r="AC57">
        <f>HYPERLINK("https://klasma.github.io/Logging_2101/tillsyn/A 62989-2025 tillsynsbegäran.docx", "A 62989-2025")</f>
        <v/>
      </c>
      <c r="AD57">
        <f>HYPERLINK("https://klasma.github.io/Logging_2101/tillsynsmail/A 62989-2025 tillsynsbegäran mail.docx", "A 62989-2025")</f>
        <v/>
      </c>
    </row>
    <row r="58" ht="15" customHeight="1">
      <c r="A58" t="inlineStr">
        <is>
          <t>A 15841-2023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45022</v>
      </c>
      <c r="E58" s="1" t="n">
        <v>46281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2.1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Havsörn</t>
        </is>
      </c>
      <c r="W58">
        <f>HYPERLINK("https://klasma.github.io/Logging_2101/artfynd/A 15841-2023 artfynd.xlsx", "A 15841-2023")</f>
        <v/>
      </c>
      <c r="X58">
        <f>HYPERLINK("https://klasma.github.io/Logging_2101/kartor/A 15841-2023 karta.png", "A 15841-2023")</f>
        <v/>
      </c>
      <c r="Y58">
        <f>HYPERLINK("https://klasma.github.io/Logging_2101/kartor_geotiff/A 15841-2023 georefererad karta.tif", "A 15841-2023")</f>
        <v/>
      </c>
      <c r="AA58">
        <f>HYPERLINK("https://klasma.github.io/Logging_2101/klagomål/A 15841-2023 FSC-klagomål.docx", "A 15841-2023")</f>
        <v/>
      </c>
      <c r="AB58">
        <f>HYPERLINK("https://klasma.github.io/Logging_2101/klagomålsmail/A 15841-2023 FSC-klagomål mail.docx", "A 15841-2023")</f>
        <v/>
      </c>
      <c r="AC58">
        <f>HYPERLINK("https://klasma.github.io/Logging_2101/tillsyn/A 15841-2023 tillsynsbegäran.docx", "A 15841-2023")</f>
        <v/>
      </c>
      <c r="AD58">
        <f>HYPERLINK("https://klasma.github.io/Logging_2101/tillsynsmail/A 15841-2023 tillsynsbegäran mail.docx", "A 15841-2023")</f>
        <v/>
      </c>
      <c r="AE58">
        <f>HYPERLINK("https://klasma.github.io/Logging_2101/fåglar/A 15841-2023 prioriterade fågelarter.docx", "A 15841-2023")</f>
        <v/>
      </c>
    </row>
    <row r="59" ht="15" customHeight="1">
      <c r="A59" t="inlineStr">
        <is>
          <t>A 2923-2026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46038</v>
      </c>
      <c r="E59" s="1" t="n">
        <v>46281</v>
      </c>
      <c r="F59" t="inlineStr">
        <is>
          <t>GÄVLEBORGS LÄN</t>
        </is>
      </c>
      <c r="G59" t="inlineStr">
        <is>
          <t>OCKELBO</t>
        </is>
      </c>
      <c r="I59" t="n">
        <v>2.8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HYPERLINK("https://klasma.github.io/Logging_2101/artfynd/A 2923-2026 artfynd.xlsx", "A 2923-2026")</f>
        <v/>
      </c>
      <c r="X59">
        <f>HYPERLINK("https://klasma.github.io/Logging_2101/kartor/A 2923-2026 karta.png", "A 2923-2026")</f>
        <v/>
      </c>
      <c r="Y59">
        <f>HYPERLINK("https://klasma.github.io/Logging_2101/kartor_geotiff/A 2923-2026 georefererad karta.tif", "A 2923-2026")</f>
        <v/>
      </c>
      <c r="Z59">
        <f>HYPERLINK("https://klasma.github.io/Logging_2101/knärot/A 2923-2026 karta knärot.png", "A 2923-2026")</f>
        <v/>
      </c>
      <c r="AA59">
        <f>HYPERLINK("https://klasma.github.io/Logging_2101/klagomål/A 2923-2026 FSC-klagomål.docx", "A 2923-2026")</f>
        <v/>
      </c>
      <c r="AB59">
        <f>HYPERLINK("https://klasma.github.io/Logging_2101/klagomålsmail/A 2923-2026 FSC-klagomål mail.docx", "A 2923-2026")</f>
        <v/>
      </c>
      <c r="AC59">
        <f>HYPERLINK("https://klasma.github.io/Logging_2101/tillsyn/A 2923-2026 tillsynsbegäran.docx", "A 2923-2026")</f>
        <v/>
      </c>
      <c r="AD59">
        <f>HYPERLINK("https://klasma.github.io/Logging_2101/tillsynsmail/A 2923-2026 tillsynsbegäran mail.docx", "A 2923-2026")</f>
        <v/>
      </c>
    </row>
    <row r="60" ht="15" customHeight="1">
      <c r="A60" t="inlineStr">
        <is>
          <t>A 6121-2026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46053</v>
      </c>
      <c r="E60" s="1" t="n">
        <v>46281</v>
      </c>
      <c r="F60" t="inlineStr">
        <is>
          <t>GÄVLEBORGS LÄN</t>
        </is>
      </c>
      <c r="G60" t="inlineStr">
        <is>
          <t>OCKELBO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6121-2026 artfynd.xlsx", "A 6121-2026")</f>
        <v/>
      </c>
      <c r="X60">
        <f>HYPERLINK("https://klasma.github.io/Logging_2101/kartor/A 6121-2026 karta.png", "A 6121-2026")</f>
        <v/>
      </c>
      <c r="Y60">
        <f>HYPERLINK("https://klasma.github.io/Logging_2101/kartor_geotiff/A 6121-2026 georefererad karta.tif", "A 6121-2026")</f>
        <v/>
      </c>
      <c r="AA60">
        <f>HYPERLINK("https://klasma.github.io/Logging_2101/klagomål/A 6121-2026 FSC-klagomål.docx", "A 6121-2026")</f>
        <v/>
      </c>
      <c r="AB60">
        <f>HYPERLINK("https://klasma.github.io/Logging_2101/klagomålsmail/A 6121-2026 FSC-klagomål mail.docx", "A 6121-2026")</f>
        <v/>
      </c>
      <c r="AC60">
        <f>HYPERLINK("https://klasma.github.io/Logging_2101/tillsyn/A 6121-2026 tillsynsbegäran.docx", "A 6121-2026")</f>
        <v/>
      </c>
      <c r="AD60">
        <f>HYPERLINK("https://klasma.github.io/Logging_2101/tillsynsmail/A 6121-2026 tillsynsbegäran mail.docx", "A 6121-2026")</f>
        <v/>
      </c>
      <c r="AE60">
        <f>HYPERLINK("https://klasma.github.io/Logging_2101/fåglar/A 6121-2026 prioriterade fågelarter.docx", "A 6121-2026")</f>
        <v/>
      </c>
    </row>
    <row r="61" ht="15" customHeight="1">
      <c r="A61" t="inlineStr">
        <is>
          <t>A 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46056</v>
      </c>
      <c r="E61" s="1" t="n">
        <v>46281</v>
      </c>
      <c r="F61" t="inlineStr">
        <is>
          <t>GÄVLEBORGS LÄN</t>
        </is>
      </c>
      <c r="G61" t="inlineStr">
        <is>
          <t>OCKELBO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HYPERLINK("https://klasma.github.io/Logging_2101/artfynd/A 6586-2026 artfynd.xlsx", "A 6586-2026")</f>
        <v/>
      </c>
      <c r="X61">
        <f>HYPERLINK("https://klasma.github.io/Logging_2101/kartor/A 6586-2026 karta.png", "A 6586-2026")</f>
        <v/>
      </c>
      <c r="Y61">
        <f>HYPERLINK("https://klasma.github.io/Logging_2101/kartor_geotiff/A 6586-2026 georefererad karta.tif", "A 6586-2026")</f>
        <v/>
      </c>
      <c r="AA61">
        <f>HYPERLINK("https://klasma.github.io/Logging_2101/klagomål/A 6586-2026 FSC-klagomål.docx", "A 6586-2026")</f>
        <v/>
      </c>
      <c r="AB61">
        <f>HYPERLINK("https://klasma.github.io/Logging_2101/klagomålsmail/A 6586-2026 FSC-klagomål mail.docx", "A 6586-2026")</f>
        <v/>
      </c>
      <c r="AC61">
        <f>HYPERLINK("https://klasma.github.io/Logging_2101/tillsyn/A 6586-2026 tillsynsbegäran.docx", "A 6586-2026")</f>
        <v/>
      </c>
      <c r="AD61">
        <f>HYPERLINK("https://klasma.github.io/Logging_2101/tillsynsmail/A 6586-2026 tillsynsbegäran mail.docx", "A 6586-2026")</f>
        <v/>
      </c>
    </row>
    <row r="62" ht="15" customHeight="1">
      <c r="A62" t="inlineStr">
        <is>
          <t>A 10484-2026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46281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Ullticka</t>
        </is>
      </c>
      <c r="W62">
        <f>HYPERLINK("https://klasma.github.io/Logging_2101/artfynd/A 10484-2026 artfynd.xlsx", "A 10484-2026")</f>
        <v/>
      </c>
      <c r="X62">
        <f>HYPERLINK("https://klasma.github.io/Logging_2101/kartor/A 10484-2026 karta.png", "A 10484-2026")</f>
        <v/>
      </c>
      <c r="Y62">
        <f>HYPERLINK("https://klasma.github.io/Logging_2101/kartor_geotiff/A 10484-2026 georefererad karta.tif", "A 10484-2026")</f>
        <v/>
      </c>
      <c r="AA62">
        <f>HYPERLINK("https://klasma.github.io/Logging_2101/klagomål/A 10484-2026 FSC-klagomål.docx", "A 10484-2026")</f>
        <v/>
      </c>
      <c r="AB62">
        <f>HYPERLINK("https://klasma.github.io/Logging_2101/klagomålsmail/A 10484-2026 FSC-klagomål mail.docx", "A 10484-2026")</f>
        <v/>
      </c>
      <c r="AC62">
        <f>HYPERLINK("https://klasma.github.io/Logging_2101/tillsyn/A 10484-2026 tillsynsbegäran.docx", "A 10484-2026")</f>
        <v/>
      </c>
      <c r="AD62">
        <f>HYPERLINK("https://klasma.github.io/Logging_2101/tillsynsmail/A 10484-2026 tillsynsbegäran mail.docx", "A 10484-2026")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46281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46281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46281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46281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46281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46281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46281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46281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46281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46281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46281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46281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46281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46281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46281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46281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46281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46281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46281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46281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46281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46281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46281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46281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46281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46281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45243</v>
      </c>
      <c r="E89" s="1" t="n">
        <v>46281</v>
      </c>
      <c r="F89" t="inlineStr">
        <is>
          <t>GÄVLEBORGS LÄN</t>
        </is>
      </c>
      <c r="G89" t="inlineStr">
        <is>
          <t>OCKELBO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46281</v>
      </c>
      <c r="F90" t="inlineStr">
        <is>
          <t>GÄVLEBORGS LÄN</t>
        </is>
      </c>
      <c r="G90" t="inlineStr">
        <is>
          <t>OCKELBO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46281</v>
      </c>
      <c r="F91" t="inlineStr">
        <is>
          <t>GÄVLEBORGS LÄN</t>
        </is>
      </c>
      <c r="G91" t="inlineStr">
        <is>
          <t>OCKELBO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45527</v>
      </c>
      <c r="E92" s="1" t="n">
        <v>46281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12.2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69580-2021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46281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46281</v>
      </c>
      <c r="F94" t="inlineStr">
        <is>
          <t>GÄVLEBORGS LÄN</t>
        </is>
      </c>
      <c r="G94" t="inlineStr">
        <is>
          <t>OCKELBO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46281</v>
      </c>
      <c r="F95" t="inlineStr">
        <is>
          <t>GÄVLEBORGS LÄN</t>
        </is>
      </c>
      <c r="G95" t="inlineStr">
        <is>
          <t>OCKELBO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46281</v>
      </c>
      <c r="F96" t="inlineStr">
        <is>
          <t>GÄVLEBORGS LÄN</t>
        </is>
      </c>
      <c r="G96" t="inlineStr">
        <is>
          <t>OCKELBO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46281</v>
      </c>
      <c r="F97" t="inlineStr">
        <is>
          <t>GÄVLEBORGS LÄN</t>
        </is>
      </c>
      <c r="G97" t="inlineStr">
        <is>
          <t>OCKELBO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46281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46281</v>
      </c>
      <c r="F99" t="inlineStr">
        <is>
          <t>GÄVLEBORGS LÄN</t>
        </is>
      </c>
      <c r="G99" t="inlineStr">
        <is>
          <t>OCKELBO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46281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46281</v>
      </c>
      <c r="F101" t="inlineStr">
        <is>
          <t>GÄVLEBORGS LÄN</t>
        </is>
      </c>
      <c r="G101" t="inlineStr">
        <is>
          <t>OCKELBO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46281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46281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46281</v>
      </c>
      <c r="F104" t="inlineStr">
        <is>
          <t>GÄVLEBORGS LÄN</t>
        </is>
      </c>
      <c r="G104" t="inlineStr">
        <is>
          <t>OCKELBO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46281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20231-2024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45434</v>
      </c>
      <c r="E106" s="1" t="n">
        <v>46281</v>
      </c>
      <c r="F106" t="inlineStr">
        <is>
          <t>GÄVLEBORGS LÄN</t>
        </is>
      </c>
      <c r="G106" t="inlineStr">
        <is>
          <t>OCKELBO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55422-2022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44887</v>
      </c>
      <c r="E107" s="1" t="n">
        <v>46281</v>
      </c>
      <c r="F107" t="inlineStr">
        <is>
          <t>GÄVLEBORGS LÄN</t>
        </is>
      </c>
      <c r="G107" t="inlineStr">
        <is>
          <t>OCKELBO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56635-2021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46281</v>
      </c>
      <c r="F108" t="inlineStr">
        <is>
          <t>GÄVLEBORGS LÄN</t>
        </is>
      </c>
      <c r="G108" t="inlineStr">
        <is>
          <t>OCKELBO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46281</v>
      </c>
      <c r="F109" t="inlineStr">
        <is>
          <t>GÄVLEBORGS LÄN</t>
        </is>
      </c>
      <c r="G109" t="inlineStr">
        <is>
          <t>OCKELBO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45134</v>
      </c>
      <c r="E110" s="1" t="n">
        <v>46281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46281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öst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46281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45203</v>
      </c>
      <c r="E113" s="1" t="n">
        <v>46281</v>
      </c>
      <c r="F113" t="inlineStr">
        <is>
          <t>GÄVLEBORGS LÄN</t>
        </is>
      </c>
      <c r="G113" t="inlineStr">
        <is>
          <t>OCKELBO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46281</v>
      </c>
      <c r="F114" t="inlineStr">
        <is>
          <t>GÄVLEBORGS LÄN</t>
        </is>
      </c>
      <c r="G114" t="inlineStr">
        <is>
          <t>OCKELBO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46281</v>
      </c>
      <c r="F115" t="inlineStr">
        <is>
          <t>GÄVLEBORGS LÄN</t>
        </is>
      </c>
      <c r="G115" t="inlineStr">
        <is>
          <t>OCKELBO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46281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45551</v>
      </c>
      <c r="E117" s="1" t="n">
        <v>46281</v>
      </c>
      <c r="F117" t="inlineStr">
        <is>
          <t>GÄVLEBORGS LÄN</t>
        </is>
      </c>
      <c r="G117" t="inlineStr">
        <is>
          <t>OCKELBO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44700</v>
      </c>
      <c r="E118" s="1" t="n">
        <v>46281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46281</v>
      </c>
      <c r="F119" t="inlineStr">
        <is>
          <t>GÄVLEBORGS LÄN</t>
        </is>
      </c>
      <c r="G119" t="inlineStr">
        <is>
          <t>OCKELBO</t>
        </is>
      </c>
      <c r="I119" t="n">
        <v>11.2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45744</v>
      </c>
      <c r="E120" s="1" t="n">
        <v>46281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46281</v>
      </c>
      <c r="F121" t="inlineStr">
        <is>
          <t>GÄVLEBORGS LÄN</t>
        </is>
      </c>
      <c r="G121" t="inlineStr">
        <is>
          <t>OCKELBO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46281</v>
      </c>
      <c r="F122" t="inlineStr">
        <is>
          <t>GÄVLEBORGS LÄN</t>
        </is>
      </c>
      <c r="G122" t="inlineStr">
        <is>
          <t>OCKELBO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45334</v>
      </c>
      <c r="E123" s="1" t="n">
        <v>46281</v>
      </c>
      <c r="F123" t="inlineStr">
        <is>
          <t>GÄVLEBORGS LÄN</t>
        </is>
      </c>
      <c r="G123" t="inlineStr">
        <is>
          <t>OCKELBO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45455</v>
      </c>
      <c r="E124" s="1" t="n">
        <v>46281</v>
      </c>
      <c r="F124" t="inlineStr">
        <is>
          <t>GÄVLEBORGS LÄN</t>
        </is>
      </c>
      <c r="G124" t="inlineStr">
        <is>
          <t>OCKELBO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46281</v>
      </c>
      <c r="F125" t="inlineStr">
        <is>
          <t>GÄVLEBORGS LÄN</t>
        </is>
      </c>
      <c r="G125" t="inlineStr">
        <is>
          <t>OCKELBO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45237</v>
      </c>
      <c r="E126" s="1" t="n">
        <v>46281</v>
      </c>
      <c r="F126" t="inlineStr">
        <is>
          <t>GÄVLEBORGS LÄN</t>
        </is>
      </c>
      <c r="G126" t="inlineStr">
        <is>
          <t>OCKELBO</t>
        </is>
      </c>
      <c r="I126" t="n">
        <v>14.6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45254</v>
      </c>
      <c r="E127" s="1" t="n">
        <v>46281</v>
      </c>
      <c r="F127" t="inlineStr">
        <is>
          <t>GÄVLEBORGS LÄN</t>
        </is>
      </c>
      <c r="G127" t="inlineStr">
        <is>
          <t>OCKELBO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46281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45481</v>
      </c>
      <c r="E129" s="1" t="n">
        <v>46281</v>
      </c>
      <c r="F129" t="inlineStr">
        <is>
          <t>GÄVLEBORGS LÄN</t>
        </is>
      </c>
      <c r="G129" t="inlineStr">
        <is>
          <t>OCKELBO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46281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13.3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46281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45478</v>
      </c>
      <c r="E132" s="1" t="n">
        <v>46281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46281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46281</v>
      </c>
      <c r="F134" t="inlineStr">
        <is>
          <t>GÄVLEBORGS LÄN</t>
        </is>
      </c>
      <c r="G134" t="inlineStr">
        <is>
          <t>OCKELBO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10456-2026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46077</v>
      </c>
      <c r="E135" s="1" t="n">
        <v>46281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öst AB</t>
        </is>
      </c>
      <c r="I135" t="n">
        <v>45.7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46281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46281</v>
      </c>
      <c r="F137" t="inlineStr">
        <is>
          <t>GÄVLEBORGS LÄN</t>
        </is>
      </c>
      <c r="G137" t="inlineStr">
        <is>
          <t>OCKELBO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46281</v>
      </c>
      <c r="F138" t="inlineStr">
        <is>
          <t>GÄVLEBORGS LÄN</t>
        </is>
      </c>
      <c r="G138" t="inlineStr">
        <is>
          <t>OCKELBO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46080</v>
      </c>
      <c r="E139" s="1" t="n">
        <v>46281</v>
      </c>
      <c r="F139" t="inlineStr">
        <is>
          <t>GÄVLEBORGS LÄN</t>
        </is>
      </c>
      <c r="G139" t="inlineStr">
        <is>
          <t>OCKELBO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46080</v>
      </c>
      <c r="E140" s="1" t="n">
        <v>46281</v>
      </c>
      <c r="F140" t="inlineStr">
        <is>
          <t>GÄVLEBORGS LÄN</t>
        </is>
      </c>
      <c r="G140" t="inlineStr">
        <is>
          <t>OCKELBO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46083</v>
      </c>
      <c r="E141" s="1" t="n">
        <v>46281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öst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46281</v>
      </c>
      <c r="F142" t="inlineStr">
        <is>
          <t>GÄVLEBORGS LÄN</t>
        </is>
      </c>
      <c r="G142" t="inlineStr">
        <is>
          <t>OCKELBO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46281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46080</v>
      </c>
      <c r="E144" s="1" t="n">
        <v>46281</v>
      </c>
      <c r="F144" t="inlineStr">
        <is>
          <t>GÄVLEBORGS LÄN</t>
        </is>
      </c>
      <c r="G144" t="inlineStr">
        <is>
          <t>OCKELBO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46281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46281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46281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46281</v>
      </c>
      <c r="F148" t="inlineStr">
        <is>
          <t>GÄVLEBORGS LÄN</t>
        </is>
      </c>
      <c r="G148" t="inlineStr">
        <is>
          <t>OCKELBO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46281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18326-2026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46126</v>
      </c>
      <c r="E150" s="1" t="n">
        <v>46281</v>
      </c>
      <c r="F150" t="inlineStr">
        <is>
          <t>GÄVLEBORGS LÄN</t>
        </is>
      </c>
      <c r="G150" t="inlineStr">
        <is>
          <t>OCKELBO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46085</v>
      </c>
      <c r="E151" s="1" t="n">
        <v>46281</v>
      </c>
      <c r="F151" t="inlineStr">
        <is>
          <t>GÄVLEBORGS LÄN</t>
        </is>
      </c>
      <c r="G151" t="inlineStr">
        <is>
          <t>OCKELBO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46281</v>
      </c>
      <c r="F152" t="inlineStr">
        <is>
          <t>GÄVLEBORGS LÄN</t>
        </is>
      </c>
      <c r="G152" t="inlineStr">
        <is>
          <t>OCKELBO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46281</v>
      </c>
      <c r="F153" t="inlineStr">
        <is>
          <t>GÄVLEBORGS LÄN</t>
        </is>
      </c>
      <c r="G153" t="inlineStr">
        <is>
          <t>OCKELBO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12341-2026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46087</v>
      </c>
      <c r="E154" s="1" t="n">
        <v>46281</v>
      </c>
      <c r="F154" t="inlineStr">
        <is>
          <t>GÄVLEBORGS LÄN</t>
        </is>
      </c>
      <c r="G154" t="inlineStr">
        <is>
          <t>OCKELBO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12370-2026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46089</v>
      </c>
      <c r="E155" s="1" t="n">
        <v>46281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29.9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46281</v>
      </c>
      <c r="F156" t="inlineStr">
        <is>
          <t>GÄVLEBORGS LÄN</t>
        </is>
      </c>
      <c r="G156" t="inlineStr">
        <is>
          <t>OCKELBO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46281</v>
      </c>
      <c r="F157" t="inlineStr">
        <is>
          <t>GÄVLEBORGS LÄN</t>
        </is>
      </c>
      <c r="G157" t="inlineStr">
        <is>
          <t>OCKELBO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46281</v>
      </c>
      <c r="F158" t="inlineStr">
        <is>
          <t>GÄVLEBORGS LÄN</t>
        </is>
      </c>
      <c r="G158" t="inlineStr">
        <is>
          <t>OCKELBO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45744</v>
      </c>
      <c r="E159" s="1" t="n">
        <v>46281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44496</v>
      </c>
      <c r="E160" s="1" t="n">
        <v>46281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46281</v>
      </c>
      <c r="F161" t="inlineStr">
        <is>
          <t>GÄVLEBORGS LÄN</t>
        </is>
      </c>
      <c r="G161" t="inlineStr">
        <is>
          <t>OCKELBO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46281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46281</v>
      </c>
      <c r="F163" t="inlineStr">
        <is>
          <t>GÄVLEBORGS LÄN</t>
        </is>
      </c>
      <c r="G163" t="inlineStr">
        <is>
          <t>OCKELBO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46281</v>
      </c>
      <c r="F164" t="inlineStr">
        <is>
          <t>GÄVLEBORGS LÄN</t>
        </is>
      </c>
      <c r="G164" t="inlineStr">
        <is>
          <t>OCKELBO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46281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12.1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46281</v>
      </c>
      <c r="F166" t="inlineStr">
        <is>
          <t>GÄVLEBORGS LÄN</t>
        </is>
      </c>
      <c r="G166" t="inlineStr">
        <is>
          <t>OCKELBO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46092</v>
      </c>
      <c r="E167" s="1" t="n">
        <v>46281</v>
      </c>
      <c r="F167" t="inlineStr">
        <is>
          <t>GÄVLEBORGS LÄN</t>
        </is>
      </c>
      <c r="G167" t="inlineStr">
        <is>
          <t>OCKELBO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45488</v>
      </c>
      <c r="E168" s="1" t="n">
        <v>46281</v>
      </c>
      <c r="F168" t="inlineStr">
        <is>
          <t>GÄVLEBORGS LÄN</t>
        </is>
      </c>
      <c r="G168" t="inlineStr">
        <is>
          <t>OCKELBO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46093</v>
      </c>
      <c r="E169" s="1" t="n">
        <v>46281</v>
      </c>
      <c r="F169" t="inlineStr">
        <is>
          <t>GÄVLEBORGS LÄN</t>
        </is>
      </c>
      <c r="G169" t="inlineStr">
        <is>
          <t>OCKELBO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46281</v>
      </c>
      <c r="F170" t="inlineStr">
        <is>
          <t>GÄVLEBORGS LÄN</t>
        </is>
      </c>
      <c r="G170" t="inlineStr">
        <is>
          <t>OCKELBO</t>
        </is>
      </c>
      <c r="H170" t="inlineStr">
        <is>
          <t>Naturvårdsverket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46097</v>
      </c>
      <c r="E171" s="1" t="n">
        <v>46281</v>
      </c>
      <c r="F171" t="inlineStr">
        <is>
          <t>GÄVLEBORGS LÄN</t>
        </is>
      </c>
      <c r="G171" t="inlineStr">
        <is>
          <t>OCKELBO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46281</v>
      </c>
      <c r="F172" t="inlineStr">
        <is>
          <t>GÄVLEBORGS LÄN</t>
        </is>
      </c>
      <c r="G172" t="inlineStr">
        <is>
          <t>OCKELBO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46281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46094</v>
      </c>
      <c r="E174" s="1" t="n">
        <v>46281</v>
      </c>
      <c r="F174" t="inlineStr">
        <is>
          <t>GÄVLEBORGS LÄN</t>
        </is>
      </c>
      <c r="G174" t="inlineStr">
        <is>
          <t>OCKELBO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46281</v>
      </c>
      <c r="F175" t="inlineStr">
        <is>
          <t>GÄVLEBORGS LÄN</t>
        </is>
      </c>
      <c r="G175" t="inlineStr">
        <is>
          <t>OCKELBO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13882-2026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46098</v>
      </c>
      <c r="E176" s="1" t="n">
        <v>46281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46098</v>
      </c>
      <c r="E177" s="1" t="n">
        <v>46281</v>
      </c>
      <c r="F177" t="inlineStr">
        <is>
          <t>GÄVLEBORGS LÄN</t>
        </is>
      </c>
      <c r="G177" t="inlineStr">
        <is>
          <t>OCKELBO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14232-2026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46099</v>
      </c>
      <c r="E178" s="1" t="n">
        <v>46281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46098</v>
      </c>
      <c r="E179" s="1" t="n">
        <v>46281</v>
      </c>
      <c r="F179" t="inlineStr">
        <is>
          <t>GÄVLEBORGS LÄN</t>
        </is>
      </c>
      <c r="G179" t="inlineStr">
        <is>
          <t>OCKELBO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46281</v>
      </c>
      <c r="F180" t="inlineStr">
        <is>
          <t>GÄVLEBORGS LÄN</t>
        </is>
      </c>
      <c r="G180" t="inlineStr">
        <is>
          <t>OCKELBO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46281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46281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46281</v>
      </c>
      <c r="F183" t="inlineStr">
        <is>
          <t>GÄVLEBORGS LÄN</t>
        </is>
      </c>
      <c r="G183" t="inlineStr">
        <is>
          <t>OCKELBO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46098</v>
      </c>
      <c r="E184" s="1" t="n">
        <v>46281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46098</v>
      </c>
      <c r="E185" s="1" t="n">
        <v>46281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46098</v>
      </c>
      <c r="E186" s="1" t="n">
        <v>46281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46281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46281</v>
      </c>
      <c r="F188" t="inlineStr">
        <is>
          <t>GÄVLEBORGS LÄN</t>
        </is>
      </c>
      <c r="G188" t="inlineStr">
        <is>
          <t>OCKELBO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45618</v>
      </c>
      <c r="E189" s="1" t="n">
        <v>46281</v>
      </c>
      <c r="F189" t="inlineStr">
        <is>
          <t>GÄVLEBORGS LÄN</t>
        </is>
      </c>
      <c r="G189" t="inlineStr">
        <is>
          <t>OCKELBO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46281</v>
      </c>
      <c r="F190" t="inlineStr">
        <is>
          <t>GÄVLEBORGS LÄN</t>
        </is>
      </c>
      <c r="G190" t="inlineStr">
        <is>
          <t>OCKELBO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46100</v>
      </c>
      <c r="E191" s="1" t="n">
        <v>46281</v>
      </c>
      <c r="F191" t="inlineStr">
        <is>
          <t>GÄVLEBORGS LÄN</t>
        </is>
      </c>
      <c r="G191" t="inlineStr">
        <is>
          <t>OCKELBO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46100</v>
      </c>
      <c r="E192" s="1" t="n">
        <v>46281</v>
      </c>
      <c r="F192" t="inlineStr">
        <is>
          <t>GÄVLEBORGS LÄN</t>
        </is>
      </c>
      <c r="G192" t="inlineStr">
        <is>
          <t>OCKELBO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46281</v>
      </c>
      <c r="F193" t="inlineStr">
        <is>
          <t>GÄVLEBORGS LÄN</t>
        </is>
      </c>
      <c r="G193" t="inlineStr">
        <is>
          <t>OCKELBO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46281</v>
      </c>
      <c r="F194" t="inlineStr">
        <is>
          <t>GÄVLEBORGS LÄN</t>
        </is>
      </c>
      <c r="G194" t="inlineStr">
        <is>
          <t>OCKELBO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46281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46101</v>
      </c>
      <c r="E196" s="1" t="n">
        <v>46281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46104</v>
      </c>
      <c r="E197" s="1" t="n">
        <v>46281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46281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öst AB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46104</v>
      </c>
      <c r="E199" s="1" t="n">
        <v>46281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46281</v>
      </c>
      <c r="F200" t="inlineStr">
        <is>
          <t>GÄVLEBORGS LÄN</t>
        </is>
      </c>
      <c r="G200" t="inlineStr">
        <is>
          <t>OCKELBO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46281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46281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46281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24.8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46281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46281</v>
      </c>
      <c r="F205" t="inlineStr">
        <is>
          <t>GÄVLEBORGS LÄN</t>
        </is>
      </c>
      <c r="G205" t="inlineStr">
        <is>
          <t>OCKELBO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46281</v>
      </c>
      <c r="F206" t="inlineStr">
        <is>
          <t>GÄVLEBORGS LÄN</t>
        </is>
      </c>
      <c r="G206" t="inlineStr">
        <is>
          <t>OCKELBO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46281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15043-2026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46104</v>
      </c>
      <c r="E208" s="1" t="n">
        <v>46281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46104</v>
      </c>
      <c r="E209" s="1" t="n">
        <v>46281</v>
      </c>
      <c r="F209" t="inlineStr">
        <is>
          <t>GÄVLEBORGS LÄN</t>
        </is>
      </c>
      <c r="G209" t="inlineStr">
        <is>
          <t>OCKELBO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46099</v>
      </c>
      <c r="E210" s="1" t="n">
        <v>46281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46281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46281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46281</v>
      </c>
      <c r="F213" t="inlineStr">
        <is>
          <t>GÄVLEBORGS LÄN</t>
        </is>
      </c>
      <c r="G213" t="inlineStr">
        <is>
          <t>OCKELBO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46281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64367-2023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45280</v>
      </c>
      <c r="E215" s="1" t="n">
        <v>46281</v>
      </c>
      <c r="F215" t="inlineStr">
        <is>
          <t>GÄVLEBORGS LÄN</t>
        </is>
      </c>
      <c r="G215" t="inlineStr">
        <is>
          <t>OCKELBO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46281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46281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46281</v>
      </c>
      <c r="F218" t="inlineStr">
        <is>
          <t>GÄVLEBORGS LÄN</t>
        </is>
      </c>
      <c r="G218" t="inlineStr">
        <is>
          <t>OCKELBO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16296-2026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46281</v>
      </c>
      <c r="F219" t="inlineStr">
        <is>
          <t>GÄVLEBORGS LÄN</t>
        </is>
      </c>
      <c r="G219" t="inlineStr">
        <is>
          <t>OCKELBO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46281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46281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40196-2024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46281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46281</v>
      </c>
      <c r="F223" t="inlineStr">
        <is>
          <t>GÄVLEBORGS LÄN</t>
        </is>
      </c>
      <c r="G223" t="inlineStr">
        <is>
          <t>OCKELBO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46281</v>
      </c>
      <c r="F224" t="inlineStr">
        <is>
          <t>GÄVLEBORGS LÄN</t>
        </is>
      </c>
      <c r="G224" t="inlineStr">
        <is>
          <t>OCKELBO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46112</v>
      </c>
      <c r="E225" s="1" t="n">
        <v>46281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46281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16535-2026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46112</v>
      </c>
      <c r="E227" s="1" t="n">
        <v>46281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46281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46114</v>
      </c>
      <c r="E229" s="1" t="n">
        <v>46281</v>
      </c>
      <c r="F229" t="inlineStr">
        <is>
          <t>GÄVLEBORGS LÄN</t>
        </is>
      </c>
      <c r="G229" t="inlineStr">
        <is>
          <t>OCKELBO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46281</v>
      </c>
      <c r="F230" t="inlineStr">
        <is>
          <t>GÄVLEBORGS LÄN</t>
        </is>
      </c>
      <c r="G230" t="inlineStr">
        <is>
          <t>OCKELBO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46281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46114</v>
      </c>
      <c r="E232" s="1" t="n">
        <v>46281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46281</v>
      </c>
      <c r="F233" t="inlineStr">
        <is>
          <t>GÄVLEBORGS LÄN</t>
        </is>
      </c>
      <c r="G233" t="inlineStr">
        <is>
          <t>OCKELBO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46119</v>
      </c>
      <c r="E234" s="1" t="n">
        <v>46281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46281</v>
      </c>
      <c r="F235" t="inlineStr">
        <is>
          <t>GÄVLEBORGS LÄN</t>
        </is>
      </c>
      <c r="G235" t="inlineStr">
        <is>
          <t>OCKELBO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46118</v>
      </c>
      <c r="E236" s="1" t="n">
        <v>46281</v>
      </c>
      <c r="F236" t="inlineStr">
        <is>
          <t>GÄVLEBORGS LÄN</t>
        </is>
      </c>
      <c r="G236" t="inlineStr">
        <is>
          <t>OCKELBO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46281</v>
      </c>
      <c r="F237" t="inlineStr">
        <is>
          <t>GÄVLEBORGS LÄN</t>
        </is>
      </c>
      <c r="G237" t="inlineStr">
        <is>
          <t>OCKELBO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46281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öst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46281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öst AB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46281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öst AB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46281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öst AB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46281</v>
      </c>
      <c r="F242" t="inlineStr">
        <is>
          <t>GÄVLEBORGS LÄN</t>
        </is>
      </c>
      <c r="G242" t="inlineStr">
        <is>
          <t>OCKELBO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46281</v>
      </c>
      <c r="F243" t="inlineStr">
        <is>
          <t>GÄVLEBORGS LÄN</t>
        </is>
      </c>
      <c r="G243" t="inlineStr">
        <is>
          <t>OCKELBO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46281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46281</v>
      </c>
      <c r="F245" t="inlineStr">
        <is>
          <t>GÄVLEBORGS LÄN</t>
        </is>
      </c>
      <c r="G245" t="inlineStr">
        <is>
          <t>OCKELBO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46281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öst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46281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45497</v>
      </c>
      <c r="E248" s="1" t="n">
        <v>46281</v>
      </c>
      <c r="F248" t="inlineStr">
        <is>
          <t>GÄVLEBORGS LÄN</t>
        </is>
      </c>
      <c r="G248" t="inlineStr">
        <is>
          <t>OCKELBO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46281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46281</v>
      </c>
      <c r="F250" t="inlineStr">
        <is>
          <t>GÄVLEBORGS LÄN</t>
        </is>
      </c>
      <c r="G250" t="inlineStr">
        <is>
          <t>OCKELBO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46125</v>
      </c>
      <c r="E251" s="1" t="n">
        <v>46281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44845</v>
      </c>
      <c r="E252" s="1" t="n">
        <v>46281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46281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46281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61622-2021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46281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46281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öst AB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46281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46281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46281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46281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67768-2021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46281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46126</v>
      </c>
      <c r="E262" s="1" t="n">
        <v>46281</v>
      </c>
      <c r="F262" t="inlineStr">
        <is>
          <t>GÄVLEBORGS LÄN</t>
        </is>
      </c>
      <c r="G262" t="inlineStr">
        <is>
          <t>OCKELBO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46281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46127</v>
      </c>
      <c r="E264" s="1" t="n">
        <v>46281</v>
      </c>
      <c r="F264" t="inlineStr">
        <is>
          <t>GÄVLEBORGS LÄN</t>
        </is>
      </c>
      <c r="G264" t="inlineStr">
        <is>
          <t>OCKELBO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46127</v>
      </c>
      <c r="E265" s="1" t="n">
        <v>46281</v>
      </c>
      <c r="F265" t="inlineStr">
        <is>
          <t>GÄVLEBORGS LÄN</t>
        </is>
      </c>
      <c r="G265" t="inlineStr">
        <is>
          <t>OCKELBO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46281</v>
      </c>
      <c r="F266" t="inlineStr">
        <is>
          <t>GÄVLEBORGS LÄN</t>
        </is>
      </c>
      <c r="G266" t="inlineStr">
        <is>
          <t>OCKELBO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46281</v>
      </c>
      <c r="F267" t="inlineStr">
        <is>
          <t>GÄVLEBORGS LÄN</t>
        </is>
      </c>
      <c r="G267" t="inlineStr">
        <is>
          <t>OCKELBO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46281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45602</v>
      </c>
      <c r="E269" s="1" t="n">
        <v>46281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45602</v>
      </c>
      <c r="E270" s="1" t="n">
        <v>46281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46281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46281</v>
      </c>
      <c r="F272" t="inlineStr">
        <is>
          <t>GÄVLEBORGS LÄN</t>
        </is>
      </c>
      <c r="G272" t="inlineStr">
        <is>
          <t>OCKELBO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45027</v>
      </c>
      <c r="E273" s="1" t="n">
        <v>46281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46281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46281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45644</v>
      </c>
      <c r="E276" s="1" t="n">
        <v>46281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50235-2023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45216</v>
      </c>
      <c r="E277" s="1" t="n">
        <v>46281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66825-2021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44522</v>
      </c>
      <c r="E278" s="1" t="n">
        <v>46281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46281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39710-2023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46281</v>
      </c>
      <c r="F280" t="inlineStr">
        <is>
          <t>GÄVLEBORGS LÄN</t>
        </is>
      </c>
      <c r="G280" t="inlineStr">
        <is>
          <t>OCKELBO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46281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46281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46281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46281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46281</v>
      </c>
      <c r="F285" t="inlineStr">
        <is>
          <t>GÄVLEBORGS LÄN</t>
        </is>
      </c>
      <c r="G285" t="inlineStr">
        <is>
          <t>OCKELBO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46281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18705-2026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46281</v>
      </c>
      <c r="F287" t="inlineStr">
        <is>
          <t>GÄVLEBORGS LÄN</t>
        </is>
      </c>
      <c r="G287" t="inlineStr">
        <is>
          <t>OCKELBO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46281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46281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46281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46132</v>
      </c>
      <c r="E291" s="1" t="n">
        <v>46281</v>
      </c>
      <c r="F291" t="inlineStr">
        <is>
          <t>GÄVLEBORGS LÄN</t>
        </is>
      </c>
      <c r="G291" t="inlineStr">
        <is>
          <t>OCKELBO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46281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46281</v>
      </c>
      <c r="F293" t="inlineStr">
        <is>
          <t>GÄVLEBORGS LÄN</t>
        </is>
      </c>
      <c r="G293" t="inlineStr">
        <is>
          <t>OCKELBO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46281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46281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46281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46281</v>
      </c>
      <c r="F297" t="inlineStr">
        <is>
          <t>GÄVLEBORGS LÄN</t>
        </is>
      </c>
      <c r="G297" t="inlineStr">
        <is>
          <t>OCKELBO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46281</v>
      </c>
      <c r="F298" t="inlineStr">
        <is>
          <t>GÄVLEBORGS LÄN</t>
        </is>
      </c>
      <c r="G298" t="inlineStr">
        <is>
          <t>OCKELBO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46281</v>
      </c>
      <c r="F299" t="inlineStr">
        <is>
          <t>GÄVLEBORGS LÄN</t>
        </is>
      </c>
      <c r="G299" t="inlineStr">
        <is>
          <t>OCKELBO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46134</v>
      </c>
      <c r="E300" s="1" t="n">
        <v>46281</v>
      </c>
      <c r="F300" t="inlineStr">
        <is>
          <t>GÄVLEBORGS LÄN</t>
        </is>
      </c>
      <c r="G300" t="inlineStr">
        <is>
          <t>OCKELBO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46281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46281</v>
      </c>
      <c r="F302" t="inlineStr">
        <is>
          <t>GÄVLEBORGS LÄN</t>
        </is>
      </c>
      <c r="G302" t="inlineStr">
        <is>
          <t>OCKELBO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19431-2026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46281</v>
      </c>
      <c r="F303" t="inlineStr">
        <is>
          <t>GÄVLEBORGS LÄN</t>
        </is>
      </c>
      <c r="G303" t="inlineStr">
        <is>
          <t>OCKELBO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46281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46281</v>
      </c>
      <c r="F305" t="inlineStr">
        <is>
          <t>GÄVLEBORGS LÄN</t>
        </is>
      </c>
      <c r="G305" t="inlineStr">
        <is>
          <t>OCKELBO</t>
        </is>
      </c>
      <c r="I305" t="n">
        <v>11.1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46281</v>
      </c>
      <c r="F306" t="inlineStr">
        <is>
          <t>GÄVLEBORGS LÄN</t>
        </is>
      </c>
      <c r="G306" t="inlineStr">
        <is>
          <t>OCKELBO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46281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46281</v>
      </c>
      <c r="F308" t="inlineStr">
        <is>
          <t>GÄVLEBORGS LÄN</t>
        </is>
      </c>
      <c r="G308" t="inlineStr">
        <is>
          <t>OCKELBO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46281</v>
      </c>
      <c r="F309" t="inlineStr">
        <is>
          <t>GÄVLEBORGS LÄN</t>
        </is>
      </c>
      <c r="G309" t="inlineStr">
        <is>
          <t>OCKELBO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49207-2023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45210</v>
      </c>
      <c r="E310" s="1" t="n">
        <v>46281</v>
      </c>
      <c r="F310" t="inlineStr">
        <is>
          <t>GÄVLEBORGS LÄN</t>
        </is>
      </c>
      <c r="G310" t="inlineStr">
        <is>
          <t>OCKELBO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31822-2025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46281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45656</v>
      </c>
      <c r="E312" s="1" t="n">
        <v>46281</v>
      </c>
      <c r="F312" t="inlineStr">
        <is>
          <t>GÄVLEBORGS LÄN</t>
        </is>
      </c>
      <c r="G312" t="inlineStr">
        <is>
          <t>OCKELBO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45548</v>
      </c>
      <c r="E313" s="1" t="n">
        <v>46281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44950</v>
      </c>
      <c r="E314" s="1" t="n">
        <v>46281</v>
      </c>
      <c r="F314" t="inlineStr">
        <is>
          <t>GÄVLEBORGS LÄN</t>
        </is>
      </c>
      <c r="G314" t="inlineStr">
        <is>
          <t>OCKELBO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46281</v>
      </c>
      <c r="F315" t="inlineStr">
        <is>
          <t>GÄVLEBORGS LÄN</t>
        </is>
      </c>
      <c r="G315" t="inlineStr">
        <is>
          <t>OCKELBO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17682-2026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46121</v>
      </c>
      <c r="E316" s="1" t="n">
        <v>46281</v>
      </c>
      <c r="F316" t="inlineStr">
        <is>
          <t>GÄVLEBORGS LÄN</t>
        </is>
      </c>
      <c r="G316" t="inlineStr">
        <is>
          <t>OCKELBO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46281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46281</v>
      </c>
      <c r="F318" t="inlineStr">
        <is>
          <t>GÄVLEBORGS LÄN</t>
        </is>
      </c>
      <c r="G318" t="inlineStr">
        <is>
          <t>OCKELBO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46114</v>
      </c>
      <c r="E319" s="1" t="n">
        <v>46281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46281</v>
      </c>
      <c r="F320" t="inlineStr">
        <is>
          <t>GÄVLEBORGS LÄN</t>
        </is>
      </c>
      <c r="G320" t="inlineStr">
        <is>
          <t>OCKELBO</t>
        </is>
      </c>
      <c r="I320" t="n">
        <v>14.7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46281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14937-2024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45398</v>
      </c>
      <c r="E322" s="1" t="n">
        <v>46281</v>
      </c>
      <c r="F322" t="inlineStr">
        <is>
          <t>GÄVLEBORGS LÄN</t>
        </is>
      </c>
      <c r="G322" t="inlineStr">
        <is>
          <t>OCKELBO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46281</v>
      </c>
      <c r="F323" t="inlineStr">
        <is>
          <t>GÄVLEBORGS LÄN</t>
        </is>
      </c>
      <c r="G323" t="inlineStr">
        <is>
          <t>OCKELBO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22824-2024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45448</v>
      </c>
      <c r="E324" s="1" t="n">
        <v>46281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46281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46140</v>
      </c>
      <c r="E326" s="1" t="n">
        <v>46281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46281</v>
      </c>
      <c r="F327" t="inlineStr">
        <is>
          <t>GÄVLEBORGS LÄN</t>
        </is>
      </c>
      <c r="G327" t="inlineStr">
        <is>
          <t>OCKELBO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46281</v>
      </c>
      <c r="F328" t="inlineStr">
        <is>
          <t>GÄVLEBORGS LÄN</t>
        </is>
      </c>
      <c r="G328" t="inlineStr">
        <is>
          <t>OCKELBO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46281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46281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46281</v>
      </c>
      <c r="F331" t="inlineStr">
        <is>
          <t>GÄVLEBORGS LÄN</t>
        </is>
      </c>
      <c r="G331" t="inlineStr">
        <is>
          <t>OCKELBO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46281</v>
      </c>
      <c r="F332" t="inlineStr">
        <is>
          <t>GÄVLEBORGS LÄN</t>
        </is>
      </c>
      <c r="G332" t="inlineStr">
        <is>
          <t>OCKELBO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46281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46281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46137</v>
      </c>
      <c r="E335" s="1" t="n">
        <v>46281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46137</v>
      </c>
      <c r="E336" s="1" t="n">
        <v>46281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46281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64609-2023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46281</v>
      </c>
      <c r="F338" t="inlineStr">
        <is>
          <t>GÄVLEBORGS LÄN</t>
        </is>
      </c>
      <c r="G338" t="inlineStr">
        <is>
          <t>OCKELBO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53391-2025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46281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46281</v>
      </c>
      <c r="F340" t="inlineStr">
        <is>
          <t>GÄVLEBORGS LÄN</t>
        </is>
      </c>
      <c r="G340" t="inlineStr">
        <is>
          <t>OCKELBO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46281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46281</v>
      </c>
      <c r="F342" t="inlineStr">
        <is>
          <t>GÄVLEBORGS LÄN</t>
        </is>
      </c>
      <c r="G342" t="inlineStr">
        <is>
          <t>OCKELBO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65259-2023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45291</v>
      </c>
      <c r="E343" s="1" t="n">
        <v>46281</v>
      </c>
      <c r="F343" t="inlineStr">
        <is>
          <t>GÄVLEBORGS LÄN</t>
        </is>
      </c>
      <c r="G343" t="inlineStr">
        <is>
          <t>OCKELBO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45821</v>
      </c>
      <c r="E344" s="1" t="n">
        <v>46281</v>
      </c>
      <c r="F344" t="inlineStr">
        <is>
          <t>GÄVLEBORGS LÄN</t>
        </is>
      </c>
      <c r="G344" t="inlineStr">
        <is>
          <t>OCKELBO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46281</v>
      </c>
      <c r="F345" t="inlineStr">
        <is>
          <t>GÄVLEBORGS LÄN</t>
        </is>
      </c>
      <c r="G345" t="inlineStr">
        <is>
          <t>OCKELBO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46281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46281</v>
      </c>
      <c r="F347" t="inlineStr">
        <is>
          <t>GÄVLEBORGS LÄN</t>
        </is>
      </c>
      <c r="G347" t="inlineStr">
        <is>
          <t>OCKELBO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46281</v>
      </c>
      <c r="F348" t="inlineStr">
        <is>
          <t>GÄVLEBORGS LÄN</t>
        </is>
      </c>
      <c r="G348" t="inlineStr">
        <is>
          <t>OCKELBO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29953-2024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45488</v>
      </c>
      <c r="E349" s="1" t="n">
        <v>46281</v>
      </c>
      <c r="F349" t="inlineStr">
        <is>
          <t>GÄVLEBORGS LÄN</t>
        </is>
      </c>
      <c r="G349" t="inlineStr">
        <is>
          <t>OCKELBO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46281</v>
      </c>
      <c r="F350" t="inlineStr">
        <is>
          <t>GÄVLEBORGS LÄN</t>
        </is>
      </c>
      <c r="G350" t="inlineStr">
        <is>
          <t>OCKELBO</t>
        </is>
      </c>
      <c r="I350" t="n">
        <v>11.5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46281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45967</v>
      </c>
      <c r="E352" s="1" t="n">
        <v>46281</v>
      </c>
      <c r="F352" t="inlineStr">
        <is>
          <t>GÄVLEBORGS LÄN</t>
        </is>
      </c>
      <c r="G352" t="inlineStr">
        <is>
          <t>OCKELBO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46281</v>
      </c>
      <c r="F353" t="inlineStr">
        <is>
          <t>GÄVLEBORGS LÄN</t>
        </is>
      </c>
      <c r="G353" t="inlineStr">
        <is>
          <t>OCKELBO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46281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46281</v>
      </c>
      <c r="F355" t="inlineStr">
        <is>
          <t>GÄVLEBORGS LÄN</t>
        </is>
      </c>
      <c r="G355" t="inlineStr">
        <is>
          <t>OCKELBO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45972</v>
      </c>
      <c r="E356" s="1" t="n">
        <v>46281</v>
      </c>
      <c r="F356" t="inlineStr">
        <is>
          <t>GÄVLEBORGS LÄN</t>
        </is>
      </c>
      <c r="G356" t="inlineStr">
        <is>
          <t>OCKELBO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46281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46138</v>
      </c>
      <c r="E358" s="1" t="n">
        <v>46281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29534-2023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46281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46281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52335-2024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45609</v>
      </c>
      <c r="E361" s="1" t="n">
        <v>46281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46281</v>
      </c>
      <c r="F362" t="inlineStr">
        <is>
          <t>GÄVLEBORGS LÄN</t>
        </is>
      </c>
      <c r="G362" t="inlineStr">
        <is>
          <t>OCKELBO</t>
        </is>
      </c>
      <c r="I362" t="n">
        <v>36.1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34792-2024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45526</v>
      </c>
      <c r="E363" s="1" t="n">
        <v>46281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45972</v>
      </c>
      <c r="E364" s="1" t="n">
        <v>46281</v>
      </c>
      <c r="F364" t="inlineStr">
        <is>
          <t>GÄVLEBORGS LÄN</t>
        </is>
      </c>
      <c r="G364" t="inlineStr">
        <is>
          <t>OCKELBO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46281</v>
      </c>
      <c r="F365" t="inlineStr">
        <is>
          <t>GÄVLEBORGS LÄN</t>
        </is>
      </c>
      <c r="G365" t="inlineStr">
        <is>
          <t>OCKELBO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45972</v>
      </c>
      <c r="E366" s="1" t="n">
        <v>46281</v>
      </c>
      <c r="F366" t="inlineStr">
        <is>
          <t>GÄVLEBORGS LÄN</t>
        </is>
      </c>
      <c r="G366" t="inlineStr">
        <is>
          <t>OCKELBO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46281</v>
      </c>
      <c r="F367" t="inlineStr">
        <is>
          <t>GÄVLEBORGS LÄN</t>
        </is>
      </c>
      <c r="G367" t="inlineStr">
        <is>
          <t>OCKELBO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46281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46281</v>
      </c>
      <c r="F369" t="inlineStr">
        <is>
          <t>GÄVLEBORGS LÄN</t>
        </is>
      </c>
      <c r="G369" t="inlineStr">
        <is>
          <t>OCKELBO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55926-2025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46281</v>
      </c>
      <c r="F370" t="inlineStr">
        <is>
          <t>GÄVLEBORGS LÄN</t>
        </is>
      </c>
      <c r="G370" t="inlineStr">
        <is>
          <t>OCKELBO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46281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46281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45817</v>
      </c>
      <c r="E373" s="1" t="n">
        <v>46281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46281</v>
      </c>
      <c r="F374" t="inlineStr">
        <is>
          <t>GÄVLEBORGS LÄN</t>
        </is>
      </c>
      <c r="G374" t="inlineStr">
        <is>
          <t>OCKELBO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46281</v>
      </c>
      <c r="F375" t="inlineStr">
        <is>
          <t>GÄVLEBORGS LÄN</t>
        </is>
      </c>
      <c r="G375" t="inlineStr">
        <is>
          <t>OCKELBO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46281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55911-2025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45973</v>
      </c>
      <c r="E377" s="1" t="n">
        <v>46281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46281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46281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46021</v>
      </c>
      <c r="E380" s="1" t="n">
        <v>46281</v>
      </c>
      <c r="F380" t="inlineStr">
        <is>
          <t>GÄVLEBORGS LÄN</t>
        </is>
      </c>
      <c r="G380" t="inlineStr">
        <is>
          <t>OCKELBO</t>
        </is>
      </c>
      <c r="I380" t="n">
        <v>18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46281</v>
      </c>
      <c r="F381" t="inlineStr">
        <is>
          <t>GÄVLEBORGS LÄN</t>
        </is>
      </c>
      <c r="G381" t="inlineStr">
        <is>
          <t>OCKELBO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45674</v>
      </c>
      <c r="E382" s="1" t="n">
        <v>46281</v>
      </c>
      <c r="F382" t="inlineStr">
        <is>
          <t>GÄVLEBORGS LÄN</t>
        </is>
      </c>
      <c r="G382" t="inlineStr">
        <is>
          <t>OCKELBO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46281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46281</v>
      </c>
      <c r="F384" t="inlineStr">
        <is>
          <t>GÄVLEBORGS LÄN</t>
        </is>
      </c>
      <c r="G384" t="inlineStr">
        <is>
          <t>OCKELBO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46281</v>
      </c>
      <c r="F385" t="inlineStr">
        <is>
          <t>GÄVLEBORGS LÄN</t>
        </is>
      </c>
      <c r="G385" t="inlineStr">
        <is>
          <t>OCKELBO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36604-2025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45870</v>
      </c>
      <c r="E386" s="1" t="n">
        <v>46281</v>
      </c>
      <c r="F386" t="inlineStr">
        <is>
          <t>GÄVLEBORGS LÄN</t>
        </is>
      </c>
      <c r="G386" t="inlineStr">
        <is>
          <t>OCKELBO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46281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46281</v>
      </c>
      <c r="F388" t="inlineStr">
        <is>
          <t>GÄVLEBORGS LÄN</t>
        </is>
      </c>
      <c r="G388" t="inlineStr">
        <is>
          <t>OCKELBO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46281</v>
      </c>
      <c r="F389" t="inlineStr">
        <is>
          <t>GÄVLEBORGS LÄN</t>
        </is>
      </c>
      <c r="G389" t="inlineStr">
        <is>
          <t>OCKELBO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46281</v>
      </c>
      <c r="F390" t="inlineStr">
        <is>
          <t>GÄVLEBORGS LÄN</t>
        </is>
      </c>
      <c r="G390" t="inlineStr">
        <is>
          <t>OCKELBO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46281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46281</v>
      </c>
      <c r="F392" t="inlineStr">
        <is>
          <t>GÄVLEBORGS LÄN</t>
        </is>
      </c>
      <c r="G392" t="inlineStr">
        <is>
          <t>OCKELBO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45800</v>
      </c>
      <c r="E393" s="1" t="n">
        <v>46281</v>
      </c>
      <c r="F393" t="inlineStr">
        <is>
          <t>GÄVLEBORGS LÄN</t>
        </is>
      </c>
      <c r="G393" t="inlineStr">
        <is>
          <t>OCKELBO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46281</v>
      </c>
      <c r="F394" t="inlineStr">
        <is>
          <t>GÄVLEBORGS LÄN</t>
        </is>
      </c>
      <c r="G394" t="inlineStr">
        <is>
          <t>OCKELBO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46281</v>
      </c>
      <c r="F395" t="inlineStr">
        <is>
          <t>GÄVLEBORGS LÄN</t>
        </is>
      </c>
      <c r="G395" t="inlineStr">
        <is>
          <t>OCKELBO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46281</v>
      </c>
      <c r="F396" t="inlineStr">
        <is>
          <t>GÄVLEBORGS LÄN</t>
        </is>
      </c>
      <c r="G396" t="inlineStr">
        <is>
          <t>OCKELBO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46281</v>
      </c>
      <c r="F397" t="inlineStr">
        <is>
          <t>GÄVLEBORGS LÄN</t>
        </is>
      </c>
      <c r="G397" t="inlineStr">
        <is>
          <t>OCKELBO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46281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56454-2025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46281</v>
      </c>
      <c r="F399" t="inlineStr">
        <is>
          <t>GÄVLEBORGS LÄN</t>
        </is>
      </c>
      <c r="G399" t="inlineStr">
        <is>
          <t>OCKELBO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20151-2026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46137</v>
      </c>
      <c r="E400" s="1" t="n">
        <v>46281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46281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46281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46281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15694-2022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44663</v>
      </c>
      <c r="E404" s="1" t="n">
        <v>46281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46065</v>
      </c>
      <c r="E405" s="1" t="n">
        <v>46281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46281</v>
      </c>
      <c r="F406" t="inlineStr">
        <is>
          <t>GÄVLEBORGS LÄN</t>
        </is>
      </c>
      <c r="G406" t="inlineStr">
        <is>
          <t>OCKELBO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61335-2022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44915</v>
      </c>
      <c r="E407" s="1" t="n">
        <v>46281</v>
      </c>
      <c r="F407" t="inlineStr">
        <is>
          <t>GÄVLEBORGS LÄN</t>
        </is>
      </c>
      <c r="G407" t="inlineStr">
        <is>
          <t>OCKELBO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46281</v>
      </c>
      <c r="F408" t="inlineStr">
        <is>
          <t>GÄVLEBORGS LÄN</t>
        </is>
      </c>
      <c r="G408" t="inlineStr">
        <is>
          <t>OCKELBO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46281</v>
      </c>
      <c r="F409" t="inlineStr">
        <is>
          <t>GÄVLEBORGS LÄN</t>
        </is>
      </c>
      <c r="G409" t="inlineStr">
        <is>
          <t>OCKELBO</t>
        </is>
      </c>
      <c r="I409" t="n">
        <v>10.3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45666</v>
      </c>
      <c r="E410" s="1" t="n">
        <v>46281</v>
      </c>
      <c r="F410" t="inlineStr">
        <is>
          <t>GÄVLEBORGS LÄN</t>
        </is>
      </c>
      <c r="G410" t="inlineStr">
        <is>
          <t>OCKELBO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32011-2024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45510</v>
      </c>
      <c r="E411" s="1" t="n">
        <v>46281</v>
      </c>
      <c r="F411" t="inlineStr">
        <is>
          <t>GÄVLEBORGS LÄN</t>
        </is>
      </c>
      <c r="G411" t="inlineStr">
        <is>
          <t>OCKELBO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33617-2023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45132</v>
      </c>
      <c r="E412" s="1" t="n">
        <v>46281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46281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46034</v>
      </c>
      <c r="E414" s="1" t="n">
        <v>46281</v>
      </c>
      <c r="F414" t="inlineStr">
        <is>
          <t>GÄVLEBORGS LÄN</t>
        </is>
      </c>
      <c r="G414" t="inlineStr">
        <is>
          <t>OCKELBO</t>
        </is>
      </c>
      <c r="I414" t="n">
        <v>9.300000000000001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46281</v>
      </c>
      <c r="F415" t="inlineStr">
        <is>
          <t>GÄVLEBORGS LÄN</t>
        </is>
      </c>
      <c r="G415" t="inlineStr">
        <is>
          <t>OCKELBO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46281</v>
      </c>
      <c r="F416" t="inlineStr">
        <is>
          <t>GÄVLEBORGS LÄN</t>
        </is>
      </c>
      <c r="G416" t="inlineStr">
        <is>
          <t>OCKELBO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46091</v>
      </c>
      <c r="E417" s="1" t="n">
        <v>46281</v>
      </c>
      <c r="F417" t="inlineStr">
        <is>
          <t>GÄVLEBORGS LÄN</t>
        </is>
      </c>
      <c r="G417" t="inlineStr">
        <is>
          <t>OCKELBO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46281</v>
      </c>
      <c r="F418" t="inlineStr">
        <is>
          <t>GÄVLEBORGS LÄN</t>
        </is>
      </c>
      <c r="G418" t="inlineStr">
        <is>
          <t>OCKELBO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46281</v>
      </c>
      <c r="F419" t="inlineStr">
        <is>
          <t>GÄVLEBORGS LÄN</t>
        </is>
      </c>
      <c r="G419" t="inlineStr">
        <is>
          <t>OCKELBO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32123-2024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45511</v>
      </c>
      <c r="E420" s="1" t="n">
        <v>46281</v>
      </c>
      <c r="F420" t="inlineStr">
        <is>
          <t>GÄVLEBORGS LÄN</t>
        </is>
      </c>
      <c r="G420" t="inlineStr">
        <is>
          <t>OCKELBO</t>
        </is>
      </c>
      <c r="I420" t="n">
        <v>11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46281</v>
      </c>
      <c r="F421" t="inlineStr">
        <is>
          <t>GÄVLEBORGS LÄN</t>
        </is>
      </c>
      <c r="G421" t="inlineStr">
        <is>
          <t>OCKELBO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15484-2026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46281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10489-2026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46077</v>
      </c>
      <c r="E423" s="1" t="n">
        <v>46281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45111</v>
      </c>
      <c r="E424" s="1" t="n">
        <v>46281</v>
      </c>
      <c r="F424" t="inlineStr">
        <is>
          <t>GÄVLEBORGS LÄN</t>
        </is>
      </c>
      <c r="G424" t="inlineStr">
        <is>
          <t>OCKELBO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45139</v>
      </c>
      <c r="E425" s="1" t="n">
        <v>46281</v>
      </c>
      <c r="F425" t="inlineStr">
        <is>
          <t>GÄVLEBORGS LÄN</t>
        </is>
      </c>
      <c r="G425" t="inlineStr">
        <is>
          <t>OCKELBO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22385-2023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45070</v>
      </c>
      <c r="E426" s="1" t="n">
        <v>46281</v>
      </c>
      <c r="F426" t="inlineStr">
        <is>
          <t>GÄVLEBORGS LÄN</t>
        </is>
      </c>
      <c r="G426" t="inlineStr">
        <is>
          <t>OCKELBO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61456-2024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46281</v>
      </c>
      <c r="F427" t="inlineStr">
        <is>
          <t>GÄVLEBORGS LÄN</t>
        </is>
      </c>
      <c r="G427" t="inlineStr">
        <is>
          <t>OCKELBO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7955-2026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46281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23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46281</v>
      </c>
      <c r="F429" t="inlineStr">
        <is>
          <t>GÄVLEBORGS LÄN</t>
        </is>
      </c>
      <c r="G429" t="inlineStr">
        <is>
          <t>OCKELBO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45645</v>
      </c>
      <c r="E430" s="1" t="n">
        <v>46281</v>
      </c>
      <c r="F430" t="inlineStr">
        <is>
          <t>GÄVLEBORGS LÄN</t>
        </is>
      </c>
      <c r="G430" t="inlineStr">
        <is>
          <t>OCKELBO</t>
        </is>
      </c>
      <c r="H430" t="inlineStr">
        <is>
          <t>Kyrkan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46281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46281</v>
      </c>
      <c r="F432" t="inlineStr">
        <is>
          <t>GÄVLEBORGS LÄN</t>
        </is>
      </c>
      <c r="G432" t="inlineStr">
        <is>
          <t>OCKELBO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46064</v>
      </c>
      <c r="E433" s="1" t="n">
        <v>46281</v>
      </c>
      <c r="F433" t="inlineStr">
        <is>
          <t>GÄVLEBORGS LÄN</t>
        </is>
      </c>
      <c r="G433" t="inlineStr">
        <is>
          <t>OCKELBO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46037</v>
      </c>
      <c r="E434" s="1" t="n">
        <v>46281</v>
      </c>
      <c r="F434" t="inlineStr">
        <is>
          <t>GÄVLEBORGS LÄN</t>
        </is>
      </c>
      <c r="G434" t="inlineStr">
        <is>
          <t>OCKELBO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46281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46281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46281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46027</v>
      </c>
      <c r="E438" s="1" t="n">
        <v>46281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45727</v>
      </c>
      <c r="E439" s="1" t="n">
        <v>46281</v>
      </c>
      <c r="F439" t="inlineStr">
        <is>
          <t>GÄVLEBORGS LÄN</t>
        </is>
      </c>
      <c r="G439" t="inlineStr">
        <is>
          <t>OCKELBO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44950</v>
      </c>
      <c r="E440" s="1" t="n">
        <v>46281</v>
      </c>
      <c r="F440" t="inlineStr">
        <is>
          <t>GÄVLEBORGS LÄN</t>
        </is>
      </c>
      <c r="G440" t="inlineStr">
        <is>
          <t>OCKELBO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46281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45600</v>
      </c>
      <c r="E442" s="1" t="n">
        <v>46281</v>
      </c>
      <c r="F442" t="inlineStr">
        <is>
          <t>GÄVLEBORGS LÄN</t>
        </is>
      </c>
      <c r="G442" t="inlineStr">
        <is>
          <t>OCKELBO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46281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46281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45699</v>
      </c>
      <c r="E445" s="1" t="n">
        <v>46281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60183-2025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45994</v>
      </c>
      <c r="E446" s="1" t="n">
        <v>46281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46281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46281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45609</v>
      </c>
      <c r="E449" s="1" t="n">
        <v>46281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17951-2026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46122</v>
      </c>
      <c r="E450" s="1" t="n">
        <v>46281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60616-2025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45996</v>
      </c>
      <c r="E451" s="1" t="n">
        <v>46281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45995</v>
      </c>
      <c r="E452" s="1" t="n">
        <v>46281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46281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18097-2026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46125</v>
      </c>
      <c r="E454" s="1" t="n">
        <v>46281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29567-2024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45484</v>
      </c>
      <c r="E455" s="1" t="n">
        <v>46281</v>
      </c>
      <c r="F455" t="inlineStr">
        <is>
          <t>GÄVLEBORGS LÄN</t>
        </is>
      </c>
      <c r="G455" t="inlineStr">
        <is>
          <t>OCKELBO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46281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46281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46148</v>
      </c>
      <c r="E458" s="1" t="n">
        <v>46281</v>
      </c>
      <c r="F458" t="inlineStr">
        <is>
          <t>GÄVLEBORGS LÄN</t>
        </is>
      </c>
      <c r="G458" t="inlineStr">
        <is>
          <t>OCKELBO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15908-2026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46107</v>
      </c>
      <c r="E459" s="1" t="n">
        <v>46281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öst AB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46281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46281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46147</v>
      </c>
      <c r="E462" s="1" t="n">
        <v>46281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öst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46281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46147</v>
      </c>
      <c r="E464" s="1" t="n">
        <v>46281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46281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46281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45534</v>
      </c>
      <c r="E467" s="1" t="n">
        <v>46281</v>
      </c>
      <c r="F467" t="inlineStr">
        <is>
          <t>GÄVLEBORGS LÄN</t>
        </is>
      </c>
      <c r="G467" t="inlineStr">
        <is>
          <t>OCKELBO</t>
        </is>
      </c>
      <c r="H467" t="inlineStr">
        <is>
          <t>Kyrkan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21459-2026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46148</v>
      </c>
      <c r="E468" s="1" t="n">
        <v>46281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46281</v>
      </c>
      <c r="F469" t="inlineStr">
        <is>
          <t>GÄVLEBORGS LÄN</t>
        </is>
      </c>
      <c r="G469" t="inlineStr">
        <is>
          <t>OCKELBO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21640-2026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46149</v>
      </c>
      <c r="E470" s="1" t="n">
        <v>46281</v>
      </c>
      <c r="F470" t="inlineStr">
        <is>
          <t>GÄVLEBORGS LÄN</t>
        </is>
      </c>
      <c r="G470" t="inlineStr">
        <is>
          <t>OCKELBO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22057-2026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46281</v>
      </c>
      <c r="F471" t="inlineStr">
        <is>
          <t>GÄVLEBORGS LÄN</t>
        </is>
      </c>
      <c r="G471" t="inlineStr">
        <is>
          <t>OCKELBO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46281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46093</v>
      </c>
      <c r="E473" s="1" t="n">
        <v>46281</v>
      </c>
      <c r="F473" t="inlineStr">
        <is>
          <t>GÄVLEBORGS LÄN</t>
        </is>
      </c>
      <c r="G473" t="inlineStr">
        <is>
          <t>OCKELBO</t>
        </is>
      </c>
      <c r="I473" t="n">
        <v>8.199999999999999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46281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46119</v>
      </c>
      <c r="E475" s="1" t="n">
        <v>46281</v>
      </c>
      <c r="F475" t="inlineStr">
        <is>
          <t>GÄVLEBORGS LÄN</t>
        </is>
      </c>
      <c r="G475" t="inlineStr">
        <is>
          <t>OCKELBO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46093</v>
      </c>
      <c r="E476" s="1" t="n">
        <v>46281</v>
      </c>
      <c r="F476" t="inlineStr">
        <is>
          <t>GÄVLEBORGS LÄN</t>
        </is>
      </c>
      <c r="G476" t="inlineStr">
        <is>
          <t>OCKELBO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12352-2026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46088</v>
      </c>
      <c r="E477" s="1" t="n">
        <v>46281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46071</v>
      </c>
      <c r="E478" s="1" t="n">
        <v>46281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46281</v>
      </c>
      <c r="F479" t="inlineStr">
        <is>
          <t>GÄVLEBORGS LÄN</t>
        </is>
      </c>
      <c r="G479" t="inlineStr">
        <is>
          <t>OCKELBO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43071-2025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45909</v>
      </c>
      <c r="E480" s="1" t="n">
        <v>46281</v>
      </c>
      <c r="F480" t="inlineStr">
        <is>
          <t>GÄVLEBORGS LÄN</t>
        </is>
      </c>
      <c r="G480" t="inlineStr">
        <is>
          <t>OCKELBO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46281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62196-2025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46006</v>
      </c>
      <c r="E482" s="1" t="n">
        <v>46281</v>
      </c>
      <c r="F482" t="inlineStr">
        <is>
          <t>GÄVLEBORGS LÄN</t>
        </is>
      </c>
      <c r="G482" t="inlineStr">
        <is>
          <t>OCKELBO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59383-2025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45989</v>
      </c>
      <c r="E483" s="1" t="n">
        <v>46281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46281</v>
      </c>
      <c r="F484" t="inlineStr">
        <is>
          <t>GÄVLEBORGS LÄN</t>
        </is>
      </c>
      <c r="G484" t="inlineStr">
        <is>
          <t>OCKELBO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46281</v>
      </c>
      <c r="F485" t="inlineStr">
        <is>
          <t>GÄVLEBORGS LÄN</t>
        </is>
      </c>
      <c r="G485" t="inlineStr">
        <is>
          <t>OCKELBO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15034-2026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46281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46154</v>
      </c>
      <c r="E487" s="1" t="n">
        <v>46281</v>
      </c>
      <c r="F487" t="inlineStr">
        <is>
          <t>GÄVLEBORGS LÄN</t>
        </is>
      </c>
      <c r="G487" t="inlineStr">
        <is>
          <t>OCKELBO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8408-2026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46065</v>
      </c>
      <c r="E488" s="1" t="n">
        <v>46281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8865-2026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46281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45698</v>
      </c>
      <c r="E490" s="1" t="n">
        <v>46281</v>
      </c>
      <c r="F490" t="inlineStr">
        <is>
          <t>GÄVLEBORGS LÄN</t>
        </is>
      </c>
      <c r="G490" t="inlineStr">
        <is>
          <t>OCKELBO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46281</v>
      </c>
      <c r="F491" t="inlineStr">
        <is>
          <t>GÄVLEBORGS LÄN</t>
        </is>
      </c>
      <c r="G491" t="inlineStr">
        <is>
          <t>OCKELBO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46281</v>
      </c>
      <c r="F492" t="inlineStr">
        <is>
          <t>GÄVLEBORGS LÄN</t>
        </is>
      </c>
      <c r="G492" t="inlineStr">
        <is>
          <t>OCKELBO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46281</v>
      </c>
      <c r="F493" t="inlineStr">
        <is>
          <t>GÄVLEBORGS LÄN</t>
        </is>
      </c>
      <c r="G493" t="inlineStr">
        <is>
          <t>OCKELBO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46281</v>
      </c>
      <c r="F494" t="inlineStr">
        <is>
          <t>GÄVLEBORGS LÄN</t>
        </is>
      </c>
      <c r="G494" t="inlineStr">
        <is>
          <t>OCKELBO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22712-2026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46156</v>
      </c>
      <c r="E495" s="1" t="n">
        <v>46281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46281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60120-2025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45994</v>
      </c>
      <c r="E497" s="1" t="n">
        <v>46281</v>
      </c>
      <c r="F497" t="inlineStr">
        <is>
          <t>GÄVLEBORGS LÄN</t>
        </is>
      </c>
      <c r="G497" t="inlineStr">
        <is>
          <t>OCKELBO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46281</v>
      </c>
      <c r="F498" t="inlineStr">
        <is>
          <t>GÄVLEBORGS LÄN</t>
        </is>
      </c>
      <c r="G498" t="inlineStr">
        <is>
          <t>OCKELBO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46609-2025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46281</v>
      </c>
      <c r="F499" t="inlineStr">
        <is>
          <t>GÄVLEBORGS LÄN</t>
        </is>
      </c>
      <c r="G499" t="inlineStr">
        <is>
          <t>OCKELBO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46155</v>
      </c>
      <c r="E500" s="1" t="n">
        <v>46281</v>
      </c>
      <c r="F500" t="inlineStr">
        <is>
          <t>GÄVLEBORGS LÄN</t>
        </is>
      </c>
      <c r="G500" t="inlineStr">
        <is>
          <t>OCKELBO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62914-2025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46009</v>
      </c>
      <c r="E501" s="1" t="n">
        <v>46281</v>
      </c>
      <c r="F501" t="inlineStr">
        <is>
          <t>GÄVLEBORGS LÄN</t>
        </is>
      </c>
      <c r="G501" t="inlineStr">
        <is>
          <t>OCKELBO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46155</v>
      </c>
      <c r="E502" s="1" t="n">
        <v>46281</v>
      </c>
      <c r="F502" t="inlineStr">
        <is>
          <t>GÄVLEBORGS LÄN</t>
        </is>
      </c>
      <c r="G502" t="inlineStr">
        <is>
          <t>OCKELBO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46013</v>
      </c>
      <c r="E503" s="1" t="n">
        <v>46281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46014</v>
      </c>
      <c r="E504" s="1" t="n">
        <v>46281</v>
      </c>
      <c r="F504" t="inlineStr">
        <is>
          <t>GÄVLEBORGS LÄN</t>
        </is>
      </c>
      <c r="G504" t="inlineStr">
        <is>
          <t>OCKELBO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63224-2025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46010</v>
      </c>
      <c r="E505" s="1" t="n">
        <v>46281</v>
      </c>
      <c r="F505" t="inlineStr">
        <is>
          <t>GÄVLEBORGS LÄN</t>
        </is>
      </c>
      <c r="G505" t="inlineStr">
        <is>
          <t>OCKELBO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63464-2025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46013</v>
      </c>
      <c r="E506" s="1" t="n">
        <v>46281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46100</v>
      </c>
      <c r="E507" s="1" t="n">
        <v>46281</v>
      </c>
      <c r="F507" t="inlineStr">
        <is>
          <t>GÄVLEBORGS LÄN</t>
        </is>
      </c>
      <c r="G507" t="inlineStr">
        <is>
          <t>OCKELBO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46281</v>
      </c>
      <c r="F508" t="inlineStr">
        <is>
          <t>GÄVLEBORGS LÄN</t>
        </is>
      </c>
      <c r="G508" t="inlineStr">
        <is>
          <t>OCKELBO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45111</v>
      </c>
      <c r="E509" s="1" t="n">
        <v>46281</v>
      </c>
      <c r="F509" t="inlineStr">
        <is>
          <t>GÄVLEBORGS LÄN</t>
        </is>
      </c>
      <c r="G509" t="inlineStr">
        <is>
          <t>OCKELBO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63017-2025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46009</v>
      </c>
      <c r="E510" s="1" t="n">
        <v>46281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22843-2026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46160</v>
      </c>
      <c r="E511" s="1" t="n">
        <v>46281</v>
      </c>
      <c r="F511" t="inlineStr">
        <is>
          <t>GÄVLEBORGS LÄN</t>
        </is>
      </c>
      <c r="G511" t="inlineStr">
        <is>
          <t>OCKELBO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46281</v>
      </c>
      <c r="F512" t="inlineStr">
        <is>
          <t>GÄVLEBORGS LÄN</t>
        </is>
      </c>
      <c r="G512" t="inlineStr">
        <is>
          <t>OCKELBO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15966-2023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45022</v>
      </c>
      <c r="E513" s="1" t="n">
        <v>46281</v>
      </c>
      <c r="F513" t="inlineStr">
        <is>
          <t>GÄVLEBORGS LÄN</t>
        </is>
      </c>
      <c r="G513" t="inlineStr">
        <is>
          <t>OCKELBO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56232-2022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44890</v>
      </c>
      <c r="E514" s="1" t="n">
        <v>46281</v>
      </c>
      <c r="F514" t="inlineStr">
        <is>
          <t>GÄVLEBORGS LÄN</t>
        </is>
      </c>
      <c r="G514" t="inlineStr">
        <is>
          <t>OCKELBO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23040-2026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46161</v>
      </c>
      <c r="E515" s="1" t="n">
        <v>46281</v>
      </c>
      <c r="F515" t="inlineStr">
        <is>
          <t>GÄVLEBORGS LÄN</t>
        </is>
      </c>
      <c r="G515" t="inlineStr">
        <is>
          <t>OCKELBO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46281</v>
      </c>
      <c r="F516" t="inlineStr">
        <is>
          <t>GÄVLEBORGS LÄN</t>
        </is>
      </c>
      <c r="G516" t="inlineStr">
        <is>
          <t>OCKELBO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23149-2026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46161</v>
      </c>
      <c r="E517" s="1" t="n">
        <v>46281</v>
      </c>
      <c r="F517" t="inlineStr">
        <is>
          <t>GÄVLEBORGS LÄN</t>
        </is>
      </c>
      <c r="G517" t="inlineStr">
        <is>
          <t>OCKELBO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64006-2025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46021</v>
      </c>
      <c r="E518" s="1" t="n">
        <v>46281</v>
      </c>
      <c r="F518" t="inlineStr">
        <is>
          <t>GÄVLEBORGS LÄN</t>
        </is>
      </c>
      <c r="G518" t="inlineStr">
        <is>
          <t>OCKELBO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46024</v>
      </c>
      <c r="E519" s="1" t="n">
        <v>46281</v>
      </c>
      <c r="F519" t="inlineStr">
        <is>
          <t>GÄVLEBORGS LÄN</t>
        </is>
      </c>
      <c r="G519" t="inlineStr">
        <is>
          <t>OCKELBO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54817-2022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44883</v>
      </c>
      <c r="E520" s="1" t="n">
        <v>46281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46281</v>
      </c>
      <c r="F521" t="inlineStr">
        <is>
          <t>GÄVLEBORGS LÄN</t>
        </is>
      </c>
      <c r="G521" t="inlineStr">
        <is>
          <t>OCKELBO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46281</v>
      </c>
      <c r="F522" t="inlineStr">
        <is>
          <t>GÄVLEBORGS LÄN</t>
        </is>
      </c>
      <c r="G522" t="inlineStr">
        <is>
          <t>OCKELBO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46027</v>
      </c>
      <c r="E523" s="1" t="n">
        <v>46281</v>
      </c>
      <c r="F523" t="inlineStr">
        <is>
          <t>GÄVLEBORGS LÄN</t>
        </is>
      </c>
      <c r="G523" t="inlineStr">
        <is>
          <t>OCKELBO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46281</v>
      </c>
      <c r="F524" t="inlineStr">
        <is>
          <t>GÄVLEBORGS LÄN</t>
        </is>
      </c>
      <c r="G524" t="inlineStr">
        <is>
          <t>OCKELBO</t>
        </is>
      </c>
      <c r="I524" t="n">
        <v>16.2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46027</v>
      </c>
      <c r="E525" s="1" t="n">
        <v>46281</v>
      </c>
      <c r="F525" t="inlineStr">
        <is>
          <t>GÄVLEBORGS LÄN</t>
        </is>
      </c>
      <c r="G525" t="inlineStr">
        <is>
          <t>OCKELBO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45716</v>
      </c>
      <c r="E526" s="1" t="n">
        <v>46281</v>
      </c>
      <c r="F526" t="inlineStr">
        <is>
          <t>GÄVLEBORGS LÄN</t>
        </is>
      </c>
      <c r="G526" t="inlineStr">
        <is>
          <t>OCKELBO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46027</v>
      </c>
      <c r="E527" s="1" t="n">
        <v>46281</v>
      </c>
      <c r="F527" t="inlineStr">
        <is>
          <t>GÄVLEBORGS LÄN</t>
        </is>
      </c>
      <c r="G527" t="inlineStr">
        <is>
          <t>OCKELBO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23060-2026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46281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46281</v>
      </c>
      <c r="F529" t="inlineStr">
        <is>
          <t>GÄVLEBORGS LÄN</t>
        </is>
      </c>
      <c r="G529" t="inlineStr">
        <is>
          <t>OCKELBO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22151-2022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46281</v>
      </c>
      <c r="F530" t="inlineStr">
        <is>
          <t>GÄVLEBORGS LÄN</t>
        </is>
      </c>
      <c r="G530" t="inlineStr">
        <is>
          <t>OCKELBO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46028</v>
      </c>
      <c r="E531" s="1" t="n">
        <v>46281</v>
      </c>
      <c r="F531" t="inlineStr">
        <is>
          <t>GÄVLEBORGS LÄN</t>
        </is>
      </c>
      <c r="G531" t="inlineStr">
        <is>
          <t>OCKELBO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45134</v>
      </c>
      <c r="E532" s="1" t="n">
        <v>46281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46281</v>
      </c>
      <c r="F533" t="inlineStr">
        <is>
          <t>GÄVLEBORGS LÄN</t>
        </is>
      </c>
      <c r="G533" t="inlineStr">
        <is>
          <t>OCKELBO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46281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46028</v>
      </c>
      <c r="E535" s="1" t="n">
        <v>46281</v>
      </c>
      <c r="F535" t="inlineStr">
        <is>
          <t>GÄVLEBORGS LÄN</t>
        </is>
      </c>
      <c r="G535" t="inlineStr">
        <is>
          <t>OCKELBO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46029</v>
      </c>
      <c r="E536" s="1" t="n">
        <v>46281</v>
      </c>
      <c r="F536" t="inlineStr">
        <is>
          <t>GÄVLEBORGS LÄN</t>
        </is>
      </c>
      <c r="G536" t="inlineStr">
        <is>
          <t>OCKELBO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46281</v>
      </c>
      <c r="F537" t="inlineStr">
        <is>
          <t>GÄVLEBORGS LÄN</t>
        </is>
      </c>
      <c r="G537" t="inlineStr">
        <is>
          <t>OCKELBO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46024</v>
      </c>
      <c r="E538" s="1" t="n">
        <v>46281</v>
      </c>
      <c r="F538" t="inlineStr">
        <is>
          <t>GÄVLEBORGS LÄN</t>
        </is>
      </c>
      <c r="G538" t="inlineStr">
        <is>
          <t>OCKELBO</t>
        </is>
      </c>
      <c r="I538" t="n">
        <v>12.9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46281</v>
      </c>
      <c r="F539" t="inlineStr">
        <is>
          <t>GÄVLEBORGS LÄN</t>
        </is>
      </c>
      <c r="G539" t="inlineStr">
        <is>
          <t>OCKELBO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36362-2024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45534</v>
      </c>
      <c r="E540" s="1" t="n">
        <v>46281</v>
      </c>
      <c r="F540" t="inlineStr">
        <is>
          <t>GÄVLEBORGS LÄN</t>
        </is>
      </c>
      <c r="G540" t="inlineStr">
        <is>
          <t>OCKELBO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46281</v>
      </c>
      <c r="F541" t="inlineStr">
        <is>
          <t>GÄVLEBORGS LÄN</t>
        </is>
      </c>
      <c r="G541" t="inlineStr">
        <is>
          <t>OCKELBO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23786-2026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46164</v>
      </c>
      <c r="E542" s="1" t="n">
        <v>46281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46164</v>
      </c>
      <c r="E543" s="1" t="n">
        <v>46281</v>
      </c>
      <c r="F543" t="inlineStr">
        <is>
          <t>GÄVLEBORGS LÄN</t>
        </is>
      </c>
      <c r="G543" t="inlineStr">
        <is>
          <t>OCKELBO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46033</v>
      </c>
      <c r="E544" s="1" t="n">
        <v>46281</v>
      </c>
      <c r="F544" t="inlineStr">
        <is>
          <t>GÄVLEBORGS LÄN</t>
        </is>
      </c>
      <c r="G544" t="inlineStr">
        <is>
          <t>OCKELBO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46281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46281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46031</v>
      </c>
      <c r="E547" s="1" t="n">
        <v>46281</v>
      </c>
      <c r="F547" t="inlineStr">
        <is>
          <t>GÄVLEBORGS LÄN</t>
        </is>
      </c>
      <c r="G547" t="inlineStr">
        <is>
          <t>OCKELBO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46036</v>
      </c>
      <c r="E548" s="1" t="n">
        <v>46281</v>
      </c>
      <c r="F548" t="inlineStr">
        <is>
          <t>GÄVLEBORGS LÄN</t>
        </is>
      </c>
      <c r="G548" t="inlineStr">
        <is>
          <t>OCKELBO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46036</v>
      </c>
      <c r="E549" s="1" t="n">
        <v>46281</v>
      </c>
      <c r="F549" t="inlineStr">
        <is>
          <t>GÄVLEBORGS LÄN</t>
        </is>
      </c>
      <c r="G549" t="inlineStr">
        <is>
          <t>OCKELBO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46035</v>
      </c>
      <c r="E550" s="1" t="n">
        <v>46281</v>
      </c>
      <c r="F550" t="inlineStr">
        <is>
          <t>GÄVLEBORGS LÄN</t>
        </is>
      </c>
      <c r="G550" t="inlineStr">
        <is>
          <t>OCKELBO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46281</v>
      </c>
      <c r="F551" t="inlineStr">
        <is>
          <t>GÄVLEBORGS LÄN</t>
        </is>
      </c>
      <c r="G551" t="inlineStr">
        <is>
          <t>OCKELBO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46035</v>
      </c>
      <c r="E552" s="1" t="n">
        <v>46281</v>
      </c>
      <c r="F552" t="inlineStr">
        <is>
          <t>GÄVLEBORGS LÄN</t>
        </is>
      </c>
      <c r="G552" t="inlineStr">
        <is>
          <t>OCKELBO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46281</v>
      </c>
      <c r="F553" t="inlineStr">
        <is>
          <t>GÄVLEBORGS LÄN</t>
        </is>
      </c>
      <c r="G553" t="inlineStr">
        <is>
          <t>OCKELBO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46281</v>
      </c>
      <c r="F554" t="inlineStr">
        <is>
          <t>GÄVLEBORGS LÄN</t>
        </is>
      </c>
      <c r="G554" t="inlineStr">
        <is>
          <t>OCKELBO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46281</v>
      </c>
      <c r="F555" t="inlineStr">
        <is>
          <t>GÄVLEBORGS LÄN</t>
        </is>
      </c>
      <c r="G555" t="inlineStr">
        <is>
          <t>OCKELBO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46281</v>
      </c>
      <c r="F556" t="inlineStr">
        <is>
          <t>GÄVLEBORGS LÄN</t>
        </is>
      </c>
      <c r="G556" t="inlineStr">
        <is>
          <t>OCKELBO</t>
        </is>
      </c>
      <c r="I556" t="n">
        <v>16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46281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46044</v>
      </c>
      <c r="E558" s="1" t="n">
        <v>46281</v>
      </c>
      <c r="F558" t="inlineStr">
        <is>
          <t>GÄVLEBORGS LÄN</t>
        </is>
      </c>
      <c r="G558" t="inlineStr">
        <is>
          <t>OCKELBO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46281</v>
      </c>
      <c r="F559" t="inlineStr">
        <is>
          <t>GÄVLEBORGS LÄN</t>
        </is>
      </c>
      <c r="G559" t="inlineStr">
        <is>
          <t>OCKELBO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24063-2026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46281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46281</v>
      </c>
      <c r="F561" t="inlineStr">
        <is>
          <t>GÄVLEBORGS LÄN</t>
        </is>
      </c>
      <c r="G561" t="inlineStr">
        <is>
          <t>OCKELBO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46281</v>
      </c>
      <c r="F562" t="inlineStr">
        <is>
          <t>GÄVLEBORGS LÄN</t>
        </is>
      </c>
      <c r="G562" t="inlineStr">
        <is>
          <t>OCKELBO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46169</v>
      </c>
      <c r="E563" s="1" t="n">
        <v>46281</v>
      </c>
      <c r="F563" t="inlineStr">
        <is>
          <t>GÄVLEBORGS LÄN</t>
        </is>
      </c>
      <c r="G563" t="inlineStr">
        <is>
          <t>OCKELBO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61116-2023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45261</v>
      </c>
      <c r="E564" s="1" t="n">
        <v>46281</v>
      </c>
      <c r="F564" t="inlineStr">
        <is>
          <t>GÄVLEBORGS LÄN</t>
        </is>
      </c>
      <c r="G564" t="inlineStr">
        <is>
          <t>OCKELBO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24267-2026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46169</v>
      </c>
      <c r="E565" s="1" t="n">
        <v>46281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46169</v>
      </c>
      <c r="E566" s="1" t="n">
        <v>46281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46281</v>
      </c>
      <c r="F567" t="inlineStr">
        <is>
          <t>GÄVLEBORGS LÄN</t>
        </is>
      </c>
      <c r="G567" t="inlineStr">
        <is>
          <t>OCKELBO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24333-2026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46169</v>
      </c>
      <c r="E568" s="1" t="n">
        <v>46281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46169</v>
      </c>
      <c r="E569" s="1" t="n">
        <v>46281</v>
      </c>
      <c r="F569" t="inlineStr">
        <is>
          <t>GÄVLEBORGS LÄN</t>
        </is>
      </c>
      <c r="G569" t="inlineStr">
        <is>
          <t>OCKELBO</t>
        </is>
      </c>
      <c r="I569" t="n">
        <v>8.1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46036</v>
      </c>
      <c r="E570" s="1" t="n">
        <v>46281</v>
      </c>
      <c r="F570" t="inlineStr">
        <is>
          <t>GÄVLEBORGS LÄN</t>
        </is>
      </c>
      <c r="G570" t="inlineStr">
        <is>
          <t>OCKELBO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46281</v>
      </c>
      <c r="F571" t="inlineStr">
        <is>
          <t>GÄVLEBORGS LÄN</t>
        </is>
      </c>
      <c r="G571" t="inlineStr">
        <is>
          <t>OCKELBO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46023</v>
      </c>
      <c r="E572" s="1" t="n">
        <v>46281</v>
      </c>
      <c r="F572" t="inlineStr">
        <is>
          <t>GÄVLEBORGS LÄN</t>
        </is>
      </c>
      <c r="G572" t="inlineStr">
        <is>
          <t>OCKELBO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24567-2026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46281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46170</v>
      </c>
      <c r="E574" s="1" t="n">
        <v>46281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54944-2025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45967</v>
      </c>
      <c r="E575" s="1" t="n">
        <v>46281</v>
      </c>
      <c r="F575" t="inlineStr">
        <is>
          <t>GÄVLEBORGS LÄN</t>
        </is>
      </c>
      <c r="G575" t="inlineStr">
        <is>
          <t>OCKELBO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24451-2026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46170</v>
      </c>
      <c r="E576" s="1" t="n">
        <v>46281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46281</v>
      </c>
      <c r="F577" t="inlineStr">
        <is>
          <t>GÄVLEBORGS LÄN</t>
        </is>
      </c>
      <c r="G577" t="inlineStr">
        <is>
          <t>OCKELBO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46041</v>
      </c>
      <c r="E578" s="1" t="n">
        <v>46281</v>
      </c>
      <c r="F578" t="inlineStr">
        <is>
          <t>GÄVLEBORGS LÄN</t>
        </is>
      </c>
      <c r="G578" t="inlineStr">
        <is>
          <t>OCKELBO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46044</v>
      </c>
      <c r="E579" s="1" t="n">
        <v>46281</v>
      </c>
      <c r="F579" t="inlineStr">
        <is>
          <t>GÄVLEBORGS LÄN</t>
        </is>
      </c>
      <c r="G579" t="inlineStr">
        <is>
          <t>OCKELBO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46281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46281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46281</v>
      </c>
      <c r="F582" t="inlineStr">
        <is>
          <t>GÄVLEBORGS LÄN</t>
        </is>
      </c>
      <c r="G582" t="inlineStr">
        <is>
          <t>OCKELBO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46281</v>
      </c>
      <c r="F583" t="inlineStr">
        <is>
          <t>GÄVLEBORGS LÄN</t>
        </is>
      </c>
      <c r="G583" t="inlineStr">
        <is>
          <t>OCKELBO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46281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46281</v>
      </c>
      <c r="F585" t="inlineStr">
        <is>
          <t>GÄVLEBORGS LÄN</t>
        </is>
      </c>
      <c r="G585" t="inlineStr">
        <is>
          <t>OCKELBO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46281</v>
      </c>
      <c r="F586" t="inlineStr">
        <is>
          <t>GÄVLEBORGS LÄN</t>
        </is>
      </c>
      <c r="G586" t="inlineStr">
        <is>
          <t>OCKELBO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46281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46175</v>
      </c>
      <c r="E588" s="1" t="n">
        <v>46281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46038</v>
      </c>
      <c r="E589" s="1" t="n">
        <v>46281</v>
      </c>
      <c r="F589" t="inlineStr">
        <is>
          <t>GÄVLEBORGS LÄN</t>
        </is>
      </c>
      <c r="G589" t="inlineStr">
        <is>
          <t>OCKELBO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46281</v>
      </c>
      <c r="F590" t="inlineStr">
        <is>
          <t>GÄVLEBORGS LÄN</t>
        </is>
      </c>
      <c r="G590" t="inlineStr">
        <is>
          <t>OCKELBO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45754</v>
      </c>
      <c r="E591" s="1" t="n">
        <v>46281</v>
      </c>
      <c r="F591" t="inlineStr">
        <is>
          <t>GÄVLEBORGS LÄN</t>
        </is>
      </c>
      <c r="G591" t="inlineStr">
        <is>
          <t>OCKELBO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46281</v>
      </c>
      <c r="F592" t="inlineStr">
        <is>
          <t>GÄVLEBORGS LÄN</t>
        </is>
      </c>
      <c r="G592" t="inlineStr">
        <is>
          <t>OCKELBO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46281</v>
      </c>
      <c r="F593" t="inlineStr">
        <is>
          <t>GÄVLEBORGS LÄN</t>
        </is>
      </c>
      <c r="G593" t="inlineStr">
        <is>
          <t>OCKELBO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46281</v>
      </c>
      <c r="F594" t="inlineStr">
        <is>
          <t>GÄVLEBORGS LÄN</t>
        </is>
      </c>
      <c r="G594" t="inlineStr">
        <is>
          <t>OCKELBO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46036</v>
      </c>
      <c r="E595" s="1" t="n">
        <v>46281</v>
      </c>
      <c r="F595" t="inlineStr">
        <is>
          <t>GÄVLEBORGS LÄN</t>
        </is>
      </c>
      <c r="G595" t="inlineStr">
        <is>
          <t>OCKELBO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46044</v>
      </c>
      <c r="E596" s="1" t="n">
        <v>46281</v>
      </c>
      <c r="F596" t="inlineStr">
        <is>
          <t>GÄVLEBORGS LÄN</t>
        </is>
      </c>
      <c r="G596" t="inlineStr">
        <is>
          <t>OCKELBO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46281</v>
      </c>
      <c r="F597" t="inlineStr">
        <is>
          <t>GÄVLEBORGS LÄN</t>
        </is>
      </c>
      <c r="G597" t="inlineStr">
        <is>
          <t>OCKELBO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46281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46281</v>
      </c>
      <c r="F599" t="inlineStr">
        <is>
          <t>GÄVLEBORGS LÄN</t>
        </is>
      </c>
      <c r="G599" t="inlineStr">
        <is>
          <t>OCKELBO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46281</v>
      </c>
      <c r="F600" t="inlineStr">
        <is>
          <t>GÄVLEBORGS LÄN</t>
        </is>
      </c>
      <c r="G600" t="inlineStr">
        <is>
          <t>OCKELBO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50968-2024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45603</v>
      </c>
      <c r="E601" s="1" t="n">
        <v>46281</v>
      </c>
      <c r="F601" t="inlineStr">
        <is>
          <t>GÄVLEBORGS LÄN</t>
        </is>
      </c>
      <c r="G601" t="inlineStr">
        <is>
          <t>OCKELBO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46281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44281-2022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44839</v>
      </c>
      <c r="E603" s="1" t="n">
        <v>46281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46177</v>
      </c>
      <c r="E604" s="1" t="n">
        <v>46281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46281</v>
      </c>
      <c r="F605" t="inlineStr">
        <is>
          <t>GÄVLEBORGS LÄN</t>
        </is>
      </c>
      <c r="G605" t="inlineStr">
        <is>
          <t>OCKELBO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46050</v>
      </c>
      <c r="E606" s="1" t="n">
        <v>46281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46049</v>
      </c>
      <c r="E607" s="1" t="n">
        <v>46281</v>
      </c>
      <c r="F607" t="inlineStr">
        <is>
          <t>GÄVLEBORGS LÄN</t>
        </is>
      </c>
      <c r="G607" t="inlineStr">
        <is>
          <t>OCKELBO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46050</v>
      </c>
      <c r="E608" s="1" t="n">
        <v>46281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6.9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17730-2025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45758</v>
      </c>
      <c r="E609" s="1" t="n">
        <v>46281</v>
      </c>
      <c r="F609" t="inlineStr">
        <is>
          <t>GÄVLEBORGS LÄN</t>
        </is>
      </c>
      <c r="G609" t="inlineStr">
        <is>
          <t>OCKELBO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5596-2026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46051</v>
      </c>
      <c r="E610" s="1" t="n">
        <v>46281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46281</v>
      </c>
      <c r="F611" t="inlineStr">
        <is>
          <t>GÄVLEBORGS LÄN</t>
        </is>
      </c>
      <c r="G611" t="inlineStr">
        <is>
          <t>OCKELBO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46052</v>
      </c>
      <c r="E612" s="1" t="n">
        <v>46281</v>
      </c>
      <c r="F612" t="inlineStr">
        <is>
          <t>GÄVLEBORGS LÄN</t>
        </is>
      </c>
      <c r="G612" t="inlineStr">
        <is>
          <t>OCKELBO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46281</v>
      </c>
      <c r="F613" t="inlineStr">
        <is>
          <t>GÄVLEBORGS LÄN</t>
        </is>
      </c>
      <c r="G613" t="inlineStr">
        <is>
          <t>OCKELBO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46281</v>
      </c>
      <c r="F614" t="inlineStr">
        <is>
          <t>GÄVLEBORGS LÄN</t>
        </is>
      </c>
      <c r="G614" t="inlineStr">
        <is>
          <t>OCKELBO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46281</v>
      </c>
      <c r="F615" t="inlineStr">
        <is>
          <t>GÄVLEBORGS LÄN</t>
        </is>
      </c>
      <c r="G615" t="inlineStr">
        <is>
          <t>OCKELBO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46056</v>
      </c>
      <c r="E616" s="1" t="n">
        <v>46281</v>
      </c>
      <c r="F616" t="inlineStr">
        <is>
          <t>GÄVLEBORGS LÄN</t>
        </is>
      </c>
      <c r="G616" t="inlineStr">
        <is>
          <t>OCKELBO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46281</v>
      </c>
      <c r="F617" t="inlineStr">
        <is>
          <t>GÄVLEBORGS LÄN</t>
        </is>
      </c>
      <c r="G617" t="inlineStr">
        <is>
          <t>OCKELBO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46053</v>
      </c>
      <c r="E618" s="1" t="n">
        <v>46281</v>
      </c>
      <c r="F618" t="inlineStr">
        <is>
          <t>GÄVLEBORGS LÄN</t>
        </is>
      </c>
      <c r="G618" t="inlineStr">
        <is>
          <t>OCKELBO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46281</v>
      </c>
      <c r="F619" t="inlineStr">
        <is>
          <t>GÄVLEBORGS LÄN</t>
        </is>
      </c>
      <c r="G619" t="inlineStr">
        <is>
          <t>OCKELBO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46281</v>
      </c>
      <c r="F620" t="inlineStr">
        <is>
          <t>GÄVLEBORGS LÄN</t>
        </is>
      </c>
      <c r="G620" t="inlineStr">
        <is>
          <t>OCKELBO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46281</v>
      </c>
      <c r="F621" t="inlineStr">
        <is>
          <t>GÄVLEBORGS LÄN</t>
        </is>
      </c>
      <c r="G621" t="inlineStr">
        <is>
          <t>OCKELBO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46281</v>
      </c>
      <c r="F622" t="inlineStr">
        <is>
          <t>GÄVLEBORGS LÄN</t>
        </is>
      </c>
      <c r="G622" t="inlineStr">
        <is>
          <t>OCKELBO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46056</v>
      </c>
      <c r="E623" s="1" t="n">
        <v>46281</v>
      </c>
      <c r="F623" t="inlineStr">
        <is>
          <t>GÄVLEBORGS LÄN</t>
        </is>
      </c>
      <c r="G623" t="inlineStr">
        <is>
          <t>OCKELBO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46281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46281</v>
      </c>
      <c r="F625" t="inlineStr">
        <is>
          <t>GÄVLEBORGS LÄN</t>
        </is>
      </c>
      <c r="G625" t="inlineStr">
        <is>
          <t>OCKELBO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46281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9.4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15325-2025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45747</v>
      </c>
      <c r="E627" s="1" t="n">
        <v>46281</v>
      </c>
      <c r="F627" t="inlineStr">
        <is>
          <t>GÄVLEBORGS LÄN</t>
        </is>
      </c>
      <c r="G627" t="inlineStr">
        <is>
          <t>OCKELBO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46057</v>
      </c>
      <c r="E628" s="1" t="n">
        <v>46281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46281</v>
      </c>
      <c r="F629" t="inlineStr">
        <is>
          <t>GÄVLEBORGS LÄN</t>
        </is>
      </c>
      <c r="G629" t="inlineStr">
        <is>
          <t>OCKELBO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7544-2026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46281</v>
      </c>
      <c r="F630" t="inlineStr">
        <is>
          <t>GÄVLEBORGS LÄN</t>
        </is>
      </c>
      <c r="G630" t="inlineStr">
        <is>
          <t>OCKELBO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7639-2026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46062</v>
      </c>
      <c r="E631" s="1" t="n">
        <v>46281</v>
      </c>
      <c r="F631" t="inlineStr">
        <is>
          <t>GÄVLEBORGS LÄN</t>
        </is>
      </c>
      <c r="G631" t="inlineStr">
        <is>
          <t>OCKELBO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7681-2026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46281</v>
      </c>
      <c r="F632" t="inlineStr">
        <is>
          <t>GÄVLEBORGS LÄN</t>
        </is>
      </c>
      <c r="G632" t="inlineStr">
        <is>
          <t>OCKELBO</t>
        </is>
      </c>
      <c r="H632" t="inlineStr">
        <is>
          <t>Kyrkan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22692-2026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46156</v>
      </c>
      <c r="E633" s="1" t="n">
        <v>46281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7769-2026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46281</v>
      </c>
      <c r="F634" t="inlineStr">
        <is>
          <t>GÄVLEBORGS LÄN</t>
        </is>
      </c>
      <c r="G634" t="inlineStr">
        <is>
          <t>OCKELBO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8351-2026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46064</v>
      </c>
      <c r="E635" s="1" t="n">
        <v>46281</v>
      </c>
      <c r="F635" t="inlineStr">
        <is>
          <t>GÄVLEBORGS LÄN</t>
        </is>
      </c>
      <c r="G635" t="inlineStr">
        <is>
          <t>OCKELBO</t>
        </is>
      </c>
      <c r="I635" t="n">
        <v>17.4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46281</v>
      </c>
      <c r="F636" t="inlineStr">
        <is>
          <t>GÄVLEBORGS LÄN</t>
        </is>
      </c>
      <c r="G636" t="inlineStr">
        <is>
          <t>OCKELBO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46281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8402-2026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46281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8429-2026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46281</v>
      </c>
      <c r="F639" t="inlineStr">
        <is>
          <t>GÄVLEBORGS LÄN</t>
        </is>
      </c>
      <c r="G639" t="inlineStr">
        <is>
          <t>OCKELBO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29687-2023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46281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46281</v>
      </c>
      <c r="F641" t="inlineStr">
        <is>
          <t>GÄVLEBORGS LÄN</t>
        </is>
      </c>
      <c r="G641" t="inlineStr">
        <is>
          <t>OCKELBO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46281</v>
      </c>
      <c r="F642" t="inlineStr">
        <is>
          <t>GÄVLEBORGS LÄN</t>
        </is>
      </c>
      <c r="G642" t="inlineStr">
        <is>
          <t>OCKELBO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46069</v>
      </c>
      <c r="E643" s="1" t="n">
        <v>46281</v>
      </c>
      <c r="F643" t="inlineStr">
        <is>
          <t>GÄVLEBORGS LÄN</t>
        </is>
      </c>
      <c r="G643" t="inlineStr">
        <is>
          <t>OCKELBO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46281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46281</v>
      </c>
      <c r="F645" t="inlineStr">
        <is>
          <t>GÄVLEBORGS LÄN</t>
        </is>
      </c>
      <c r="G645" t="inlineStr">
        <is>
          <t>OCKELBO</t>
        </is>
      </c>
      <c r="I645" t="n">
        <v>14.6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46281</v>
      </c>
      <c r="F646" t="inlineStr">
        <is>
          <t>GÄVLEBORGS LÄN</t>
        </is>
      </c>
      <c r="G646" t="inlineStr">
        <is>
          <t>OCKELBO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46071</v>
      </c>
      <c r="E647" s="1" t="n">
        <v>46281</v>
      </c>
      <c r="F647" t="inlineStr">
        <is>
          <t>GÄVLEBORGS LÄN</t>
        </is>
      </c>
      <c r="G647" t="inlineStr">
        <is>
          <t>OCKELBO</t>
        </is>
      </c>
      <c r="I647" t="n">
        <v>8.1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9414-2026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46281</v>
      </c>
      <c r="F648" t="inlineStr">
        <is>
          <t>GÄVLEBORGS LÄN</t>
        </is>
      </c>
      <c r="G648" t="inlineStr">
        <is>
          <t>OCKELBO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46281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46281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46281</v>
      </c>
      <c r="F651" t="inlineStr">
        <is>
          <t>GÄVLEBORGS LÄN</t>
        </is>
      </c>
      <c r="G651" t="inlineStr">
        <is>
          <t>OCKELBO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46281</v>
      </c>
      <c r="F652" t="inlineStr">
        <is>
          <t>GÄVLEBORGS LÄN</t>
        </is>
      </c>
      <c r="G652" t="inlineStr">
        <is>
          <t>OCKELBO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46281</v>
      </c>
      <c r="F653" t="inlineStr">
        <is>
          <t>GÄVLEBORGS LÄN</t>
        </is>
      </c>
      <c r="G653" t="inlineStr">
        <is>
          <t>OCKELBO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46281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9732-2026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46072</v>
      </c>
      <c r="E655" s="1" t="n">
        <v>46281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46281</v>
      </c>
      <c r="F656" t="inlineStr">
        <is>
          <t>GÄVLEBORGS LÄN</t>
        </is>
      </c>
      <c r="G656" t="inlineStr">
        <is>
          <t>OCKELBO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46281</v>
      </c>
      <c r="F657" t="inlineStr">
        <is>
          <t>GÄVLEBORGS LÄN</t>
        </is>
      </c>
      <c r="G657" t="inlineStr">
        <is>
          <t>OCKELBO</t>
        </is>
      </c>
      <c r="I657" t="n">
        <v>10.4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46281</v>
      </c>
      <c r="F658" t="inlineStr">
        <is>
          <t>GÄVLEBORGS LÄN</t>
        </is>
      </c>
      <c r="G658" t="inlineStr">
        <is>
          <t>OCKELBO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9470-2026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46071</v>
      </c>
      <c r="E659" s="1" t="n">
        <v>46281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10159-2026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46076</v>
      </c>
      <c r="E660" s="1" t="n">
        <v>46281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46281</v>
      </c>
      <c r="F661" t="inlineStr">
        <is>
          <t>GÄVLEBORGS LÄN</t>
        </is>
      </c>
      <c r="G661" t="inlineStr">
        <is>
          <t>OCKELBO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10437-2026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46077</v>
      </c>
      <c r="E662" s="1" t="n">
        <v>46281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46077</v>
      </c>
      <c r="E663" s="1" t="n">
        <v>46281</v>
      </c>
      <c r="F663" t="inlineStr">
        <is>
          <t>GÄVLEBORGS LÄN</t>
        </is>
      </c>
      <c r="G663" t="inlineStr">
        <is>
          <t>OCKELBO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10501-2026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46077</v>
      </c>
      <c r="E664" s="1" t="n">
        <v>46281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10454-2026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46281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46073</v>
      </c>
      <c r="E666" s="1" t="n">
        <v>46281</v>
      </c>
      <c r="F666" t="inlineStr">
        <is>
          <t>GÄVLEBORGS LÄN</t>
        </is>
      </c>
      <c r="G666" t="inlineStr">
        <is>
          <t>OCKELBO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10529-2026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46077</v>
      </c>
      <c r="E667" s="1" t="n">
        <v>46281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öst AB</t>
        </is>
      </c>
      <c r="I667" t="n">
        <v>5.9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27416-2026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46281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10535-2026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46077</v>
      </c>
      <c r="E669" s="1" t="n">
        <v>46281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öst AB</t>
        </is>
      </c>
      <c r="I669" t="n">
        <v>6.2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46189</v>
      </c>
      <c r="E670" s="1" t="n">
        <v>46281</v>
      </c>
      <c r="F670" t="inlineStr">
        <is>
          <t>GÄVLEBORGS LÄN</t>
        </is>
      </c>
      <c r="G670" t="inlineStr">
        <is>
          <t>OCKELBO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46189</v>
      </c>
      <c r="E671" s="1" t="n">
        <v>46281</v>
      </c>
      <c r="F671" t="inlineStr">
        <is>
          <t>GÄVLEBORGS LÄN</t>
        </is>
      </c>
      <c r="G671" t="inlineStr">
        <is>
          <t>OCKELBO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46281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37442-2023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45156</v>
      </c>
      <c r="E673" s="1" t="n">
        <v>46281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53702-2024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45615</v>
      </c>
      <c r="E674" s="1" t="n">
        <v>46281</v>
      </c>
      <c r="F674" t="inlineStr">
        <is>
          <t>GÄVLEBORGS LÄN</t>
        </is>
      </c>
      <c r="G674" t="inlineStr">
        <is>
          <t>OCKELBO</t>
        </is>
      </c>
      <c r="I674" t="n">
        <v>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27272-2026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46188</v>
      </c>
      <c r="E675" s="1" t="n">
        <v>46281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37438-2023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45156</v>
      </c>
      <c r="E676" s="1" t="n">
        <v>46281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27379-2026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46281</v>
      </c>
      <c r="F677" t="inlineStr">
        <is>
          <t>GÄVLEBORGS LÄN</t>
        </is>
      </c>
      <c r="G677" t="inlineStr">
        <is>
          <t>OCKELBO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46281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44950</v>
      </c>
      <c r="E679" s="1" t="n">
        <v>46281</v>
      </c>
      <c r="F679" t="inlineStr">
        <is>
          <t>GÄVLEBORGS LÄN</t>
        </is>
      </c>
      <c r="G679" t="inlineStr">
        <is>
          <t>OCKELBO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45981</v>
      </c>
      <c r="E680" s="1" t="n">
        <v>46281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46281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46281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46190</v>
      </c>
      <c r="E683" s="1" t="n">
        <v>46281</v>
      </c>
      <c r="F683" t="inlineStr">
        <is>
          <t>GÄVLEBORGS LÄN</t>
        </is>
      </c>
      <c r="G683" t="inlineStr">
        <is>
          <t>OCKELBO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27623-2026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46190</v>
      </c>
      <c r="E684" s="1" t="n">
        <v>46281</v>
      </c>
      <c r="F684" t="inlineStr">
        <is>
          <t>GÄVLEBORGS LÄN</t>
        </is>
      </c>
      <c r="G684" t="inlineStr">
        <is>
          <t>OCKELBO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27630-2026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46281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27562-2026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46190</v>
      </c>
      <c r="E686" s="1" t="n">
        <v>46281</v>
      </c>
      <c r="F686" t="inlineStr">
        <is>
          <t>GÄVLEBORGS LÄN</t>
        </is>
      </c>
      <c r="G686" t="inlineStr">
        <is>
          <t>OCKELBO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27889-2026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46191</v>
      </c>
      <c r="E687" s="1" t="n">
        <v>46281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33879-2023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45134</v>
      </c>
      <c r="E688" s="1" t="n">
        <v>46281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33987-2023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45134</v>
      </c>
      <c r="E689" s="1" t="n">
        <v>46281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27995-2026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46195</v>
      </c>
      <c r="E690" s="1" t="n">
        <v>46281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28289-2026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46196</v>
      </c>
      <c r="E691" s="1" t="n">
        <v>46281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46281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46281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29963-2024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45488</v>
      </c>
      <c r="E694" s="1" t="n">
        <v>46281</v>
      </c>
      <c r="F694" t="inlineStr">
        <is>
          <t>GÄVLEBORGS LÄN</t>
        </is>
      </c>
      <c r="G694" t="inlineStr">
        <is>
          <t>OCKELBO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48804-2024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45593</v>
      </c>
      <c r="E695" s="1" t="n">
        <v>46281</v>
      </c>
      <c r="F695" t="inlineStr">
        <is>
          <t>GÄVLEBORGS LÄN</t>
        </is>
      </c>
      <c r="G695" t="inlineStr">
        <is>
          <t>OCKELBO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46281</v>
      </c>
      <c r="F696" t="inlineStr">
        <is>
          <t>GÄVLEBORGS LÄN</t>
        </is>
      </c>
      <c r="G696" t="inlineStr">
        <is>
          <t>OCKELBO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45041</v>
      </c>
      <c r="E697" s="1" t="n">
        <v>46281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46045</v>
      </c>
      <c r="E698" s="1" t="n">
        <v>46281</v>
      </c>
      <c r="F698" t="inlineStr">
        <is>
          <t>GÄVLEBORGS LÄN</t>
        </is>
      </c>
      <c r="G698" t="inlineStr">
        <is>
          <t>OCKELBO</t>
        </is>
      </c>
      <c r="I698" t="n">
        <v>6.8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26481-2026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46183</v>
      </c>
      <c r="E699" s="1" t="n">
        <v>46281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46199</v>
      </c>
      <c r="E700" s="1" t="n">
        <v>46281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47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52241-2024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45608</v>
      </c>
      <c r="E701" s="1" t="n">
        <v>46281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7.7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52243-2024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45608</v>
      </c>
      <c r="E702" s="1" t="n">
        <v>46281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46281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45139</v>
      </c>
      <c r="E704" s="1" t="n">
        <v>46281</v>
      </c>
      <c r="F704" t="inlineStr">
        <is>
          <t>GÄVLEBORGS LÄN</t>
        </is>
      </c>
      <c r="G704" t="inlineStr">
        <is>
          <t>OCKELBO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29968-2024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46281</v>
      </c>
      <c r="F705" t="inlineStr">
        <is>
          <t>GÄVLEBORGS LÄN</t>
        </is>
      </c>
      <c r="G705" t="inlineStr">
        <is>
          <t>OCKELBO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46199</v>
      </c>
      <c r="E706" s="1" t="n">
        <v>46281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46281</v>
      </c>
      <c r="F707" t="inlineStr">
        <is>
          <t>GÄVLEBORGS LÄN</t>
        </is>
      </c>
      <c r="G707" t="inlineStr">
        <is>
          <t>OCKELBO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53137-2024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45611</v>
      </c>
      <c r="E708" s="1" t="n">
        <v>46281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33176-2026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46245</v>
      </c>
      <c r="E709" s="1" t="n">
        <v>46281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29386-2026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46281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46203</v>
      </c>
      <c r="E711" s="1" t="n">
        <v>46281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46203</v>
      </c>
      <c r="E712" s="1" t="n">
        <v>46281</v>
      </c>
      <c r="F712" t="inlineStr">
        <is>
          <t>GÄVLEBORGS LÄN</t>
        </is>
      </c>
      <c r="G712" t="inlineStr">
        <is>
          <t>OCKELBO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51989-2023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45223</v>
      </c>
      <c r="E713" s="1" t="n">
        <v>46281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29835-2026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46281</v>
      </c>
      <c r="F714" t="inlineStr">
        <is>
          <t>GÄVLEBORGS LÄN</t>
        </is>
      </c>
      <c r="G714" t="inlineStr">
        <is>
          <t>OCKELBO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46281</v>
      </c>
      <c r="F715" t="inlineStr">
        <is>
          <t>GÄVLEBORGS LÄN</t>
        </is>
      </c>
      <c r="G715" t="inlineStr">
        <is>
          <t>OCKELBO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21900-2023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45068</v>
      </c>
      <c r="E716" s="1" t="n">
        <v>46281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29611-2026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46281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7276-2023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44970</v>
      </c>
      <c r="E718" s="1" t="n">
        <v>46281</v>
      </c>
      <c r="F718" t="inlineStr">
        <is>
          <t>GÄVLEBORGS LÄN</t>
        </is>
      </c>
      <c r="G718" t="inlineStr">
        <is>
          <t>OCKELBO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61732-2024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45649</v>
      </c>
      <c r="E719" s="1" t="n">
        <v>46281</v>
      </c>
      <c r="F719" t="inlineStr">
        <is>
          <t>GÄVLEBORGS LÄN</t>
        </is>
      </c>
      <c r="G719" t="inlineStr">
        <is>
          <t>OCKELBO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46205</v>
      </c>
      <c r="E720" s="1" t="n">
        <v>46281</v>
      </c>
      <c r="F720" t="inlineStr">
        <is>
          <t>GÄVLEBORGS LÄN</t>
        </is>
      </c>
      <c r="G720" t="inlineStr">
        <is>
          <t>OCKELBO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14827-2026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46104</v>
      </c>
      <c r="E721" s="1" t="n">
        <v>46281</v>
      </c>
      <c r="F721" t="inlineStr">
        <is>
          <t>GÄVLEBORGS LÄN</t>
        </is>
      </c>
      <c r="G721" t="inlineStr">
        <is>
          <t>OCKELBO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3034-2025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45678</v>
      </c>
      <c r="E722" s="1" t="n">
        <v>46281</v>
      </c>
      <c r="F722" t="inlineStr">
        <is>
          <t>GÄVLEBORGS LÄN</t>
        </is>
      </c>
      <c r="G722" t="inlineStr">
        <is>
          <t>OCKELBO</t>
        </is>
      </c>
      <c r="I722" t="n">
        <v>8.1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56741-2024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45628</v>
      </c>
      <c r="E723" s="1" t="n">
        <v>46281</v>
      </c>
      <c r="F723" t="inlineStr">
        <is>
          <t>GÄVLEBORGS LÄN</t>
        </is>
      </c>
      <c r="G723" t="inlineStr">
        <is>
          <t>OCKELBO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22952-2023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45072</v>
      </c>
      <c r="E724" s="1" t="n">
        <v>46281</v>
      </c>
      <c r="F724" t="inlineStr">
        <is>
          <t>GÄVLEBORGS LÄN</t>
        </is>
      </c>
      <c r="G724" t="inlineStr">
        <is>
          <t>OCKELBO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54977-2024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45620</v>
      </c>
      <c r="E725" s="1" t="n">
        <v>46281</v>
      </c>
      <c r="F725" t="inlineStr">
        <is>
          <t>GÄVLEBORGS LÄN</t>
        </is>
      </c>
      <c r="G725" t="inlineStr">
        <is>
          <t>OCKELBO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49529-2024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45596</v>
      </c>
      <c r="E726" s="1" t="n">
        <v>46281</v>
      </c>
      <c r="F726" t="inlineStr">
        <is>
          <t>GÄVLEBORGS LÄN</t>
        </is>
      </c>
      <c r="G726" t="inlineStr">
        <is>
          <t>OCKELBO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6568-2024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45341</v>
      </c>
      <c r="E727" s="1" t="n">
        <v>46281</v>
      </c>
      <c r="F727" t="inlineStr">
        <is>
          <t>GÄVLEBORGS LÄN</t>
        </is>
      </c>
      <c r="G727" t="inlineStr">
        <is>
          <t>OCKELBO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50194-2024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45600</v>
      </c>
      <c r="E728" s="1" t="n">
        <v>46281</v>
      </c>
      <c r="F728" t="inlineStr">
        <is>
          <t>GÄVLEBORGS LÄN</t>
        </is>
      </c>
      <c r="G728" t="inlineStr">
        <is>
          <t>OCKELBO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49448-2023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46281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30031-2026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46281</v>
      </c>
      <c r="F730" t="inlineStr">
        <is>
          <t>GÄVLEBORGS LÄN</t>
        </is>
      </c>
      <c r="G730" t="inlineStr">
        <is>
          <t>OCKELBO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19772-2025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45771</v>
      </c>
      <c r="E731" s="1" t="n">
        <v>46281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19774-2025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45771</v>
      </c>
      <c r="E732" s="1" t="n">
        <v>46281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46254</v>
      </c>
      <c r="E733" s="1" t="n">
        <v>46281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46074-2024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45581</v>
      </c>
      <c r="E734" s="1" t="n">
        <v>46281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54309-2024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45617</v>
      </c>
      <c r="E735" s="1" t="n">
        <v>46281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21878-2023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45068</v>
      </c>
      <c r="E736" s="1" t="n">
        <v>46281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42585-2023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45181</v>
      </c>
      <c r="E737" s="1" t="n">
        <v>46281</v>
      </c>
      <c r="F737" t="inlineStr">
        <is>
          <t>GÄVLEBORGS LÄN</t>
        </is>
      </c>
      <c r="G737" t="inlineStr">
        <is>
          <t>OCKELBO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56352-2024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45624</v>
      </c>
      <c r="E738" s="1" t="n">
        <v>46281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42313-2023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45180</v>
      </c>
      <c r="E739" s="1" t="n">
        <v>46281</v>
      </c>
      <c r="F739" t="inlineStr">
        <is>
          <t>GÄVLEBORGS LÄN</t>
        </is>
      </c>
      <c r="G739" t="inlineStr">
        <is>
          <t>OCKELBO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34765-2026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46258</v>
      </c>
      <c r="E740" s="1" t="n">
        <v>46281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39430-2024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45551</v>
      </c>
      <c r="E741" s="1" t="n">
        <v>46281</v>
      </c>
      <c r="F741" t="inlineStr">
        <is>
          <t>GÄVLEBORGS LÄN</t>
        </is>
      </c>
      <c r="G741" t="inlineStr">
        <is>
          <t>OCKELBO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60915-2024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45645</v>
      </c>
      <c r="E742" s="1" t="n">
        <v>46281</v>
      </c>
      <c r="F742" t="inlineStr">
        <is>
          <t>GÄVLEBORGS LÄN</t>
        </is>
      </c>
      <c r="G742" t="inlineStr">
        <is>
          <t>OCKELBO</t>
        </is>
      </c>
      <c r="H742" t="inlineStr">
        <is>
          <t>Kyrkan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30990-2026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46281</v>
      </c>
      <c r="F743" t="inlineStr">
        <is>
          <t>GÄVLEBORGS LÄN</t>
        </is>
      </c>
      <c r="G743" t="inlineStr">
        <is>
          <t>OCKELBO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46052</v>
      </c>
      <c r="E744" s="1" t="n">
        <v>46281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36343-2023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45152</v>
      </c>
      <c r="E745" s="1" t="n">
        <v>46281</v>
      </c>
      <c r="F745" t="inlineStr">
        <is>
          <t>GÄVLEBORGS LÄN</t>
        </is>
      </c>
      <c r="G745" t="inlineStr">
        <is>
          <t>OCKELBO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46260</v>
      </c>
      <c r="E746" s="1" t="n">
        <v>46281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19762-2024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45432</v>
      </c>
      <c r="E747" s="1" t="n">
        <v>46281</v>
      </c>
      <c r="F747" t="inlineStr">
        <is>
          <t>GÄVLEBORGS LÄN</t>
        </is>
      </c>
      <c r="G747" t="inlineStr">
        <is>
          <t>OCKELBO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21582-2024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46281</v>
      </c>
      <c r="F748" t="inlineStr">
        <is>
          <t>GÄVLEBORGS LÄN</t>
        </is>
      </c>
      <c r="G748" t="inlineStr">
        <is>
          <t>OCKELBO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46216</v>
      </c>
      <c r="E749" s="1" t="n">
        <v>46281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45671</v>
      </c>
      <c r="E750" s="1" t="n">
        <v>46281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17548-2025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45757</v>
      </c>
      <c r="E751" s="1" t="n">
        <v>46281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7478-2025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45705</v>
      </c>
      <c r="E752" s="1" t="n">
        <v>46281</v>
      </c>
      <c r="F752" t="inlineStr">
        <is>
          <t>GÄVLEBORGS LÄN</t>
        </is>
      </c>
      <c r="G752" t="inlineStr">
        <is>
          <t>OCKELBO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55070-2023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45237</v>
      </c>
      <c r="E753" s="1" t="n">
        <v>46281</v>
      </c>
      <c r="F753" t="inlineStr">
        <is>
          <t>GÄVLEBORGS LÄN</t>
        </is>
      </c>
      <c r="G753" t="inlineStr">
        <is>
          <t>OCKELBO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31277-2026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46218</v>
      </c>
      <c r="E754" s="1" t="n">
        <v>46281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12983-2022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44643</v>
      </c>
      <c r="E755" s="1" t="n">
        <v>46281</v>
      </c>
      <c r="F755" t="inlineStr">
        <is>
          <t>GÄVLEBORGS LÄN</t>
        </is>
      </c>
      <c r="G755" t="inlineStr">
        <is>
          <t>OCKELBO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37391-2023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45156</v>
      </c>
      <c r="E756" s="1" t="n">
        <v>46281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31443-2026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46220</v>
      </c>
      <c r="E757" s="1" t="n">
        <v>46281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40218-2023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45169</v>
      </c>
      <c r="E758" s="1" t="n">
        <v>46281</v>
      </c>
      <c r="F758" t="inlineStr">
        <is>
          <t>GÄVLEBORGS LÄN</t>
        </is>
      </c>
      <c r="G758" t="inlineStr">
        <is>
          <t>OCKELBO</t>
        </is>
      </c>
      <c r="I758" t="n">
        <v>13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58156-2025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46281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46281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31530-2026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46223</v>
      </c>
      <c r="E761" s="1" t="n">
        <v>46281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9461-2026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46071</v>
      </c>
      <c r="E762" s="1" t="n">
        <v>46281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19178-2023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45048</v>
      </c>
      <c r="E763" s="1" t="n">
        <v>46281</v>
      </c>
      <c r="F763" t="inlineStr">
        <is>
          <t>GÄVLEBORGS LÄN</t>
        </is>
      </c>
      <c r="G763" t="inlineStr">
        <is>
          <t>OCKELBO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31517-2026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46223</v>
      </c>
      <c r="E764" s="1" t="n">
        <v>46281</v>
      </c>
      <c r="F764" t="inlineStr">
        <is>
          <t>GÄVLEBORGS LÄN</t>
        </is>
      </c>
      <c r="G764" t="inlineStr">
        <is>
          <t>OCKELBO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46223</v>
      </c>
      <c r="E765" s="1" t="n">
        <v>46281</v>
      </c>
      <c r="F765" t="inlineStr">
        <is>
          <t>GÄVLEBORGS LÄN</t>
        </is>
      </c>
      <c r="G765" t="inlineStr">
        <is>
          <t>OCKELBO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46224</v>
      </c>
      <c r="E766" s="1" t="n">
        <v>46281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46224</v>
      </c>
      <c r="E767" s="1" t="n">
        <v>46281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36097-2026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46267</v>
      </c>
      <c r="E768" s="1" t="n">
        <v>46281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37386-2023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45156</v>
      </c>
      <c r="E769" s="1" t="n">
        <v>46281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36280-2026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46268</v>
      </c>
      <c r="E770" s="1" t="n">
        <v>46281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36380-2026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46268</v>
      </c>
      <c r="E771" s="1" t="n">
        <v>46281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45674</v>
      </c>
      <c r="E772" s="1" t="n">
        <v>46281</v>
      </c>
      <c r="F772" t="inlineStr">
        <is>
          <t>GÄVLEBORGS LÄN</t>
        </is>
      </c>
      <c r="G772" t="inlineStr">
        <is>
          <t>OCKELBO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36467-2026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46281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36562-2026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46281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45252</v>
      </c>
      <c r="E775" s="1" t="n">
        <v>46281</v>
      </c>
      <c r="F775" t="inlineStr">
        <is>
          <t>GÄVLEBORGS LÄN</t>
        </is>
      </c>
      <c r="G775" t="inlineStr">
        <is>
          <t>OCKELBO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10150-2023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44986</v>
      </c>
      <c r="E776" s="1" t="n">
        <v>46281</v>
      </c>
      <c r="F776" t="inlineStr">
        <is>
          <t>GÄVLEBORGS LÄN</t>
        </is>
      </c>
      <c r="G776" t="inlineStr">
        <is>
          <t>OCKELBO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37845-2024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45544</v>
      </c>
      <c r="E777" s="1" t="n">
        <v>46281</v>
      </c>
      <c r="F777" t="inlineStr">
        <is>
          <t>GÄVLEBORGS LÄN</t>
        </is>
      </c>
      <c r="G777" t="inlineStr">
        <is>
          <t>OCKELBO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31804-2026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46230</v>
      </c>
      <c r="E778" s="1" t="n">
        <v>46281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37110-2026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46274</v>
      </c>
      <c r="E779" s="1" t="n">
        <v>46281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46275</v>
      </c>
      <c r="E780" s="1" t="n">
        <v>46281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46281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31971-2026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46232</v>
      </c>
      <c r="E782" s="1" t="n">
        <v>46281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20775-2025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45776</v>
      </c>
      <c r="E783" s="1" t="n">
        <v>46281</v>
      </c>
      <c r="F783" t="inlineStr">
        <is>
          <t>GÄVLEBORGS LÄN</t>
        </is>
      </c>
      <c r="G783" t="inlineStr">
        <is>
          <t>OCKELBO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37841-2026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46279</v>
      </c>
      <c r="E784" s="1" t="n">
        <v>46281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20605-2026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46140</v>
      </c>
      <c r="E785" s="1" t="n">
        <v>46281</v>
      </c>
      <c r="F785" t="inlineStr">
        <is>
          <t>GÄVLEBORGS LÄN</t>
        </is>
      </c>
      <c r="G785" t="inlineStr">
        <is>
          <t>OCKELBO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20408-2026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46140</v>
      </c>
      <c r="E786" s="1" t="n">
        <v>46281</v>
      </c>
      <c r="F786" t="inlineStr">
        <is>
          <t>GÄVLEBORGS LÄN</t>
        </is>
      </c>
      <c r="G786" t="inlineStr">
        <is>
          <t>OCKELBO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52273-2024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45608</v>
      </c>
      <c r="E787" s="1" t="n">
        <v>46281</v>
      </c>
      <c r="F787" t="inlineStr">
        <is>
          <t>GÄVLEBORGS LÄN</t>
        </is>
      </c>
      <c r="G787" t="inlineStr">
        <is>
          <t>OCKELBO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54323-2024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45617</v>
      </c>
      <c r="E788" s="1" t="n">
        <v>46281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60253-2023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45258</v>
      </c>
      <c r="E789" s="1" t="n">
        <v>46281</v>
      </c>
      <c r="F789" t="inlineStr">
        <is>
          <t>GÄVLEBORGS LÄN</t>
        </is>
      </c>
      <c r="G789" t="inlineStr">
        <is>
          <t>OCKELBO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37848-2024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45544</v>
      </c>
      <c r="E790" s="1" t="n">
        <v>46281</v>
      </c>
      <c r="F790" t="inlineStr">
        <is>
          <t>GÄVLEBORGS LÄN</t>
        </is>
      </c>
      <c r="G790" t="inlineStr">
        <is>
          <t>OCKELBO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45786</v>
      </c>
      <c r="E791" s="1" t="n">
        <v>46281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23780-2024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45455</v>
      </c>
      <c r="E792" s="1" t="n">
        <v>46281</v>
      </c>
      <c r="F792" t="inlineStr">
        <is>
          <t>GÄVLEBORGS LÄN</t>
        </is>
      </c>
      <c r="G792" t="inlineStr">
        <is>
          <t>OCKELBO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22385-2025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46281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28584-2024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45478</v>
      </c>
      <c r="E794" s="1" t="n">
        <v>46281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28181-2022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44746</v>
      </c>
      <c r="E795" s="1" t="n">
        <v>46281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23004-2025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45790</v>
      </c>
      <c r="E796" s="1" t="n">
        <v>46281</v>
      </c>
      <c r="F796" t="inlineStr">
        <is>
          <t>GÄVLEBORGS LÄN</t>
        </is>
      </c>
      <c r="G796" t="inlineStr">
        <is>
          <t>OCKELBO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48803-2024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45593</v>
      </c>
      <c r="E797" s="1" t="n">
        <v>46281</v>
      </c>
      <c r="F797" t="inlineStr">
        <is>
          <t>GÄVLEBORGS LÄN</t>
        </is>
      </c>
      <c r="G797" t="inlineStr">
        <is>
          <t>OCKELBO</t>
        </is>
      </c>
      <c r="I797" t="n">
        <v>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20689-2025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45776</v>
      </c>
      <c r="E798" s="1" t="n">
        <v>46281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64924-2023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45282</v>
      </c>
      <c r="E799" s="1" t="n">
        <v>46281</v>
      </c>
      <c r="F799" t="inlineStr">
        <is>
          <t>GÄVLEBORGS LÄN</t>
        </is>
      </c>
      <c r="G799" t="inlineStr">
        <is>
          <t>OCKELBO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20207-2024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45434</v>
      </c>
      <c r="E800" s="1" t="n">
        <v>46281</v>
      </c>
      <c r="F800" t="inlineStr">
        <is>
          <t>GÄVLEBORGS LÄN</t>
        </is>
      </c>
      <c r="G800" t="inlineStr">
        <is>
          <t>OCKELBO</t>
        </is>
      </c>
      <c r="I800" t="n">
        <v>7.6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55011-2024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45621</v>
      </c>
      <c r="E801" s="1" t="n">
        <v>46281</v>
      </c>
      <c r="F801" t="inlineStr">
        <is>
          <t>GÄVLEBORGS LÄN</t>
        </is>
      </c>
      <c r="G801" t="inlineStr">
        <is>
          <t>OCKELBO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15403-2022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44659</v>
      </c>
      <c r="E802" s="1" t="n">
        <v>46281</v>
      </c>
      <c r="F802" t="inlineStr">
        <is>
          <t>GÄVLEBORGS LÄN</t>
        </is>
      </c>
      <c r="G802" t="inlineStr">
        <is>
          <t>OCKELBO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26085-2024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45468</v>
      </c>
      <c r="E803" s="1" t="n">
        <v>46281</v>
      </c>
      <c r="F803" t="inlineStr">
        <is>
          <t>GÄVLEBORGS LÄN</t>
        </is>
      </c>
      <c r="G803" t="inlineStr">
        <is>
          <t>OCKELBO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16752-2025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45754</v>
      </c>
      <c r="E804" s="1" t="n">
        <v>46281</v>
      </c>
      <c r="F804" t="inlineStr">
        <is>
          <t>GÄVLEBORGS LÄN</t>
        </is>
      </c>
      <c r="G804" t="inlineStr">
        <is>
          <t>OCKELBO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15502-2025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45747</v>
      </c>
      <c r="E805" s="1" t="n">
        <v>46281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49470-2024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45596</v>
      </c>
      <c r="E806" s="1" t="n">
        <v>46281</v>
      </c>
      <c r="F806" t="inlineStr">
        <is>
          <t>GÄVLEBORGS LÄN</t>
        </is>
      </c>
      <c r="G806" t="inlineStr">
        <is>
          <t>OCKELBO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25246-2025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46281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25250-2025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45800</v>
      </c>
      <c r="E808" s="1" t="n">
        <v>46281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25248-2025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46281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25191-2025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45800</v>
      </c>
      <c r="E810" s="1" t="n">
        <v>46281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25233-2025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45800</v>
      </c>
      <c r="E811" s="1" t="n">
        <v>46281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25234-2025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46281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25640-2025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45803</v>
      </c>
      <c r="E813" s="1" t="n">
        <v>46281</v>
      </c>
      <c r="F813" t="inlineStr">
        <is>
          <t>GÄVLEBORGS LÄN</t>
        </is>
      </c>
      <c r="G813" t="inlineStr">
        <is>
          <t>OCKELBO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26195-2025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45805</v>
      </c>
      <c r="E814" s="1" t="n">
        <v>46281</v>
      </c>
      <c r="F814" t="inlineStr">
        <is>
          <t>GÄVLEBORGS LÄN</t>
        </is>
      </c>
      <c r="G814" t="inlineStr">
        <is>
          <t>OCKELBO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27990-2025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45817</v>
      </c>
      <c r="E815" s="1" t="n">
        <v>46281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7.8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28006-2025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45817</v>
      </c>
      <c r="E816" s="1" t="n">
        <v>46281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8.1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28080-2025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45817</v>
      </c>
      <c r="E817" s="1" t="n">
        <v>46281</v>
      </c>
      <c r="F817" t="inlineStr">
        <is>
          <t>GÄVLEBORGS LÄN</t>
        </is>
      </c>
      <c r="G817" t="inlineStr">
        <is>
          <t>OCKELBO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28576-2025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45819</v>
      </c>
      <c r="E818" s="1" t="n">
        <v>46281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28669-2025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45819</v>
      </c>
      <c r="E819" s="1" t="n">
        <v>46281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29274-2025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45824</v>
      </c>
      <c r="E820" s="1" t="n">
        <v>46281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29158-2025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45821</v>
      </c>
      <c r="E821" s="1" t="n">
        <v>46281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30331-2025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45827</v>
      </c>
      <c r="E822" s="1" t="n">
        <v>46281</v>
      </c>
      <c r="F822" t="inlineStr">
        <is>
          <t>GÄVLEBORGS LÄN</t>
        </is>
      </c>
      <c r="G822" t="inlineStr">
        <is>
          <t>OCKELBO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30229-2025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45827</v>
      </c>
      <c r="E823" s="1" t="n">
        <v>46281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45827</v>
      </c>
      <c r="E824" s="1" t="n">
        <v>46281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30179-2025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45827</v>
      </c>
      <c r="E825" s="1" t="n">
        <v>46281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32449-2025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45838</v>
      </c>
      <c r="E826" s="1" t="n">
        <v>46281</v>
      </c>
      <c r="F826" t="inlineStr">
        <is>
          <t>GÄVLEBORGS LÄN</t>
        </is>
      </c>
      <c r="G826" t="inlineStr">
        <is>
          <t>OCKELBO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33228-2025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45840</v>
      </c>
      <c r="E827" s="1" t="n">
        <v>46281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33231-2025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45840</v>
      </c>
      <c r="E828" s="1" t="n">
        <v>46281</v>
      </c>
      <c r="F828" t="inlineStr">
        <is>
          <t>GÄVLEBORGS LÄN</t>
        </is>
      </c>
      <c r="G828" t="inlineStr">
        <is>
          <t>OCKELBO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30011-2023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45109</v>
      </c>
      <c r="E829" s="1" t="n">
        <v>46281</v>
      </c>
      <c r="F829" t="inlineStr">
        <is>
          <t>GÄVLEBORGS LÄN</t>
        </is>
      </c>
      <c r="G829" t="inlineStr">
        <is>
          <t>OCKELBO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10149-2025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45719</v>
      </c>
      <c r="E830" s="1" t="n">
        <v>46281</v>
      </c>
      <c r="F830" t="inlineStr">
        <is>
          <t>GÄVLEBORGS LÄN</t>
        </is>
      </c>
      <c r="G830" t="inlineStr">
        <is>
          <t>OCKELBO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23006-2023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45073</v>
      </c>
      <c r="E831" s="1" t="n">
        <v>46281</v>
      </c>
      <c r="F831" t="inlineStr">
        <is>
          <t>GÄVLEBORGS LÄN</t>
        </is>
      </c>
      <c r="G831" t="inlineStr">
        <is>
          <t>OCKELBO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35017-2025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45851</v>
      </c>
      <c r="E832" s="1" t="n">
        <v>46281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282-2024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45323</v>
      </c>
      <c r="E833" s="1" t="n">
        <v>46281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5063-2024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45638</v>
      </c>
      <c r="E834" s="1" t="n">
        <v>46281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154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195-2024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45315</v>
      </c>
      <c r="E835" s="1" t="n">
        <v>46281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öst AB</t>
        </is>
      </c>
      <c r="I835" t="n">
        <v>46.4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411-2025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45699</v>
      </c>
      <c r="E836" s="1" t="n">
        <v>46281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24.3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7041-2022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44904</v>
      </c>
      <c r="E837" s="1" t="n">
        <v>46281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297-2026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46058</v>
      </c>
      <c r="E838" s="1" t="n">
        <v>46281</v>
      </c>
      <c r="F838" t="inlineStr">
        <is>
          <t>GÄVLEBORGS LÄN</t>
        </is>
      </c>
      <c r="G838" t="inlineStr">
        <is>
          <t>OCKELBO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657-2026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46089</v>
      </c>
      <c r="E839" s="1" t="n">
        <v>46281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öst AB</t>
        </is>
      </c>
      <c r="I839" t="n">
        <v>131.3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1344-2026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46148</v>
      </c>
      <c r="E840" s="1" t="n">
        <v>46281</v>
      </c>
      <c r="F840" t="inlineStr">
        <is>
          <t>GÄVLEBORGS LÄN</t>
        </is>
      </c>
      <c r="G840" t="inlineStr">
        <is>
          <t>OCKELBO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1345-2026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46148</v>
      </c>
      <c r="E841" s="1" t="n">
        <v>46281</v>
      </c>
      <c r="F841" t="inlineStr">
        <is>
          <t>GÄVLEBORGS LÄN</t>
        </is>
      </c>
      <c r="G841" t="inlineStr">
        <is>
          <t>OCKELBO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190-2026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46048</v>
      </c>
      <c r="E842" s="1" t="n">
        <v>46281</v>
      </c>
      <c r="F842" t="inlineStr">
        <is>
          <t>GÄVLEBORGS LÄN</t>
        </is>
      </c>
      <c r="G842" t="inlineStr">
        <is>
          <t>OCKELBO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2026-09-16T01:59:24Z</dcterms:created>
  <dcterms:modified xmlns:dcterms="http://purl.org/dc/terms/" xmlns:xsi="http://www.w3.org/2001/XMLSchema-instance" xsi:type="dcterms:W3CDTF">2026-09-16T01:59:25Z</dcterms:modified>
</cp:coreProperties>
</file>