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46296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46296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46296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46296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46296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46296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46296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46296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46296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46296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46296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46296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46296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46296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46296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4226-2023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44953</v>
      </c>
      <c r="E38" s="1" t="n">
        <v>46296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Skogsknipprot</t>
        </is>
      </c>
      <c r="W38">
        <f>HYPERLINK("https://klasma.github.io/Logging_2101/artfynd/A 4226-2023 artfynd.xlsx", "A 4226-2023")</f>
        <v/>
      </c>
      <c r="X38">
        <f>HYPERLINK("https://klasma.github.io/Logging_2101/kartor/A 4226-2023 karta.png", "A 4226-2023")</f>
        <v/>
      </c>
      <c r="Y38">
        <f>HYPERLINK("https://klasma.github.io/Logging_2101/kartor_geotiff/A 4226-2023 georefererad karta.tif", "A 4226-2023")</f>
        <v/>
      </c>
      <c r="AA38">
        <f>HYPERLINK("https://klasma.github.io/Logging_2101/klagomål/A 4226-2023 FSC-klagomål.docx", "A 4226-2023")</f>
        <v/>
      </c>
      <c r="AB38">
        <f>HYPERLINK("https://klasma.github.io/Logging_2101/klagomålsmail/A 4226-2023 FSC-klagomål mail.docx", "A 4226-2023")</f>
        <v/>
      </c>
      <c r="AC38">
        <f>HYPERLINK("https://klasma.github.io/Logging_2101/tillsyn/A 4226-2023 tillsynsbegäran.docx", "A 4226-2023")</f>
        <v/>
      </c>
      <c r="AD38">
        <f>HYPERLINK("https://klasma.github.io/Logging_2101/tillsynsmail/A 4226-2023 tillsynsbegäran mail.docx", "A 4226-2023")</f>
        <v/>
      </c>
    </row>
    <row r="39" ht="15" customHeight="1">
      <c r="A39" t="inlineStr">
        <is>
          <t>A 33384-2024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46296</v>
      </c>
      <c r="F39" t="inlineStr">
        <is>
          <t>GÄVLEBORGS LÄN</t>
        </is>
      </c>
      <c r="G39" t="inlineStr">
        <is>
          <t>OCKELBO</t>
        </is>
      </c>
      <c r="I39" t="n">
        <v>3.8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HYPERLINK("https://klasma.github.io/Logging_2101/artfynd/A 33384-2024 artfynd.xlsx", "A 33384-2024")</f>
        <v/>
      </c>
      <c r="X39">
        <f>HYPERLINK("https://klasma.github.io/Logging_2101/kartor/A 33384-2024 karta.png", "A 33384-2024")</f>
        <v/>
      </c>
      <c r="Y39">
        <f>HYPERLINK("https://klasma.github.io/Logging_2101/kartor_geotiff/A 33384-2024 georefererad karta.tif", "A 33384-2024")</f>
        <v/>
      </c>
      <c r="AA39">
        <f>HYPERLINK("https://klasma.github.io/Logging_2101/klagomål/A 33384-2024 FSC-klagomål.docx", "A 33384-2024")</f>
        <v/>
      </c>
      <c r="AB39">
        <f>HYPERLINK("https://klasma.github.io/Logging_2101/klagomålsmail/A 33384-2024 FSC-klagomål mail.docx", "A 33384-2024")</f>
        <v/>
      </c>
      <c r="AC39">
        <f>HYPERLINK("https://klasma.github.io/Logging_2101/tillsyn/A 33384-2024 tillsynsbegäran.docx", "A 33384-2024")</f>
        <v/>
      </c>
      <c r="AD39">
        <f>HYPERLINK("https://klasma.github.io/Logging_2101/tillsynsmail/A 33384-2024 tillsynsbegäran mail.docx", "A 33384-2024")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46296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46296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16738-2025 artfynd.xlsx", "A 16738-2025")</f>
        <v/>
      </c>
      <c r="X41">
        <f>HYPERLINK("https://klasma.github.io/Logging_2101/kartor/A 16738-2025 karta.png", "A 16738-2025")</f>
        <v/>
      </c>
      <c r="Y41">
        <f>HYPERLINK("https://klasma.github.io/Logging_2101/kartor_geotiff/A 16738-2025 georefererad karta.tif", "A 16738-2025")</f>
        <v/>
      </c>
      <c r="AA41">
        <f>HYPERLINK("https://klasma.github.io/Logging_2101/klagomål/A 16738-2025 FSC-klagomål.docx", "A 16738-2025")</f>
        <v/>
      </c>
      <c r="AB41">
        <f>HYPERLINK("https://klasma.github.io/Logging_2101/klagomålsmail/A 16738-2025 FSC-klagomål mail.docx", "A 16738-2025")</f>
        <v/>
      </c>
      <c r="AC41">
        <f>HYPERLINK("https://klasma.github.io/Logging_2101/tillsyn/A 16738-2025 tillsynsbegäran.docx", "A 16738-2025")</f>
        <v/>
      </c>
      <c r="AD41">
        <f>HYPERLINK("https://klasma.github.io/Logging_2101/tillsynsmail/A 16738-2025 tillsynsbegäran mail.docx", "A 16738-2025")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46296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46296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57946-2023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46296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HYPERLINK("https://klasma.github.io/Logging_2101/artfynd/A 57946-2023 artfynd.xlsx", "A 57946-2023")</f>
        <v/>
      </c>
      <c r="X44">
        <f>HYPERLINK("https://klasma.github.io/Logging_2101/kartor/A 57946-2023 karta.png", "A 57946-2023")</f>
        <v/>
      </c>
      <c r="Y44">
        <f>HYPERLINK("https://klasma.github.io/Logging_2101/kartor_geotiff/A 57946-2023 georefererad karta.tif", "A 57946-2023")</f>
        <v/>
      </c>
      <c r="AA44">
        <f>HYPERLINK("https://klasma.github.io/Logging_2101/klagomål/A 57946-2023 FSC-klagomål.docx", "A 57946-2023")</f>
        <v/>
      </c>
      <c r="AB44">
        <f>HYPERLINK("https://klasma.github.io/Logging_2101/klagomålsmail/A 57946-2023 FSC-klagomål mail.docx", "A 57946-2023")</f>
        <v/>
      </c>
      <c r="AC44">
        <f>HYPERLINK("https://klasma.github.io/Logging_2101/tillsyn/A 57946-2023 tillsynsbegäran.docx", "A 57946-2023")</f>
        <v/>
      </c>
      <c r="AD44">
        <f>HYPERLINK("https://klasma.github.io/Logging_2101/tillsynsmail/A 57946-2023 tillsynsbegäran mail.docx", "A 57946-2023")</f>
        <v/>
      </c>
    </row>
    <row r="45" ht="15" customHeight="1">
      <c r="A45" t="inlineStr">
        <is>
          <t>A 46481-2024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46296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HYPERLINK("https://klasma.github.io/Logging_2101/artfynd/A 46481-2024 artfynd.xlsx", "A 46481-2024")</f>
        <v/>
      </c>
      <c r="X45">
        <f>HYPERLINK("https://klasma.github.io/Logging_2101/kartor/A 46481-2024 karta.png", "A 46481-2024")</f>
        <v/>
      </c>
      <c r="Y45">
        <f>HYPERLINK("https://klasma.github.io/Logging_2101/kartor_geotiff/A 46481-2024 georefererad karta.tif", "A 46481-2024")</f>
        <v/>
      </c>
      <c r="AA45">
        <f>HYPERLINK("https://klasma.github.io/Logging_2101/klagomål/A 46481-2024 FSC-klagomål.docx", "A 46481-2024")</f>
        <v/>
      </c>
      <c r="AB45">
        <f>HYPERLINK("https://klasma.github.io/Logging_2101/klagomålsmail/A 46481-2024 FSC-klagomål mail.docx", "A 46481-2024")</f>
        <v/>
      </c>
      <c r="AC45">
        <f>HYPERLINK("https://klasma.github.io/Logging_2101/tillsyn/A 46481-2024 tillsynsbegäran.docx", "A 46481-2024")</f>
        <v/>
      </c>
      <c r="AD45">
        <f>HYPERLINK("https://klasma.github.io/Logging_2101/tillsynsmail/A 46481-2024 tillsynsbegäran mail.docx", "A 46481-2024")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46296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2923-2026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46038</v>
      </c>
      <c r="E47" s="1" t="n">
        <v>46296</v>
      </c>
      <c r="F47" t="inlineStr">
        <is>
          <t>GÄVLEBORGS LÄN</t>
        </is>
      </c>
      <c r="G47" t="inlineStr">
        <is>
          <t>OCKELBO</t>
        </is>
      </c>
      <c r="I47" t="n">
        <v>2.8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HYPERLINK("https://klasma.github.io/Logging_2101/artfynd/A 2923-2026 artfynd.xlsx", "A 2923-2026")</f>
        <v/>
      </c>
      <c r="X47">
        <f>HYPERLINK("https://klasma.github.io/Logging_2101/kartor/A 2923-2026 karta.png", "A 2923-2026")</f>
        <v/>
      </c>
      <c r="Y47">
        <f>HYPERLINK("https://klasma.github.io/Logging_2101/kartor_geotiff/A 2923-2026 georefererad karta.tif", "A 2923-2026")</f>
        <v/>
      </c>
      <c r="Z47">
        <f>HYPERLINK("https://klasma.github.io/Logging_2101/knärot/A 2923-2026 karta knärot.png", "A 2923-2026")</f>
        <v/>
      </c>
      <c r="AA47">
        <f>HYPERLINK("https://klasma.github.io/Logging_2101/klagomål/A 2923-2026 FSC-klagomål.docx", "A 2923-2026")</f>
        <v/>
      </c>
      <c r="AB47">
        <f>HYPERLINK("https://klasma.github.io/Logging_2101/klagomålsmail/A 2923-2026 FSC-klagomål mail.docx", "A 2923-2026")</f>
        <v/>
      </c>
      <c r="AC47">
        <f>HYPERLINK("https://klasma.github.io/Logging_2101/tillsyn/A 2923-2026 tillsynsbegäran.docx", "A 2923-2026")</f>
        <v/>
      </c>
      <c r="AD47">
        <f>HYPERLINK("https://klasma.github.io/Logging_2101/tillsynsmail/A 2923-2026 tillsynsbegäran mail.docx", "A 2923-2026")</f>
        <v/>
      </c>
    </row>
    <row r="48" ht="15" customHeight="1">
      <c r="A48" t="inlineStr">
        <is>
          <t>A 6121-2026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46053</v>
      </c>
      <c r="E48" s="1" t="n">
        <v>46296</v>
      </c>
      <c r="F48" t="inlineStr">
        <is>
          <t>GÄVLEBORGS LÄN</t>
        </is>
      </c>
      <c r="G48" t="inlineStr">
        <is>
          <t>OCKELBO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HYPERLINK("https://klasma.github.io/Logging_2101/artfynd/A 6121-2026 artfynd.xlsx", "A 6121-2026")</f>
        <v/>
      </c>
      <c r="X48">
        <f>HYPERLINK("https://klasma.github.io/Logging_2101/kartor/A 6121-2026 karta.png", "A 6121-2026")</f>
        <v/>
      </c>
      <c r="Y48">
        <f>HYPERLINK("https://klasma.github.io/Logging_2101/kartor_geotiff/A 6121-2026 georefererad karta.tif", "A 6121-2026")</f>
        <v/>
      </c>
      <c r="AA48">
        <f>HYPERLINK("https://klasma.github.io/Logging_2101/klagomål/A 6121-2026 FSC-klagomål.docx", "A 6121-2026")</f>
        <v/>
      </c>
      <c r="AB48">
        <f>HYPERLINK("https://klasma.github.io/Logging_2101/klagomålsmail/A 6121-2026 FSC-klagomål mail.docx", "A 6121-2026")</f>
        <v/>
      </c>
      <c r="AC48">
        <f>HYPERLINK("https://klasma.github.io/Logging_2101/tillsyn/A 6121-2026 tillsynsbegäran.docx", "A 6121-2026")</f>
        <v/>
      </c>
      <c r="AD48">
        <f>HYPERLINK("https://klasma.github.io/Logging_2101/tillsynsmail/A 6121-2026 tillsynsbegäran mail.docx", "A 6121-2026")</f>
        <v/>
      </c>
      <c r="AE48">
        <f>HYPERLINK("https://klasma.github.io/Logging_2101/fåglar/A 6121-2026 prioriterade fågelarter.docx", "A 6121-2026")</f>
        <v/>
      </c>
    </row>
    <row r="49" ht="15" customHeight="1">
      <c r="A49" t="inlineStr">
        <is>
          <t>A 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46296</v>
      </c>
      <c r="F49" t="inlineStr">
        <is>
          <t>GÄVLEBORGS LÄN</t>
        </is>
      </c>
      <c r="G49" t="inlineStr">
        <is>
          <t>OCKELBO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6586-2026 artfynd.xlsx", "A 6586-2026")</f>
        <v/>
      </c>
      <c r="X49">
        <f>HYPERLINK("https://klasma.github.io/Logging_2101/kartor/A 6586-2026 karta.png", "A 6586-2026")</f>
        <v/>
      </c>
      <c r="Y49">
        <f>HYPERLINK("https://klasma.github.io/Logging_2101/kartor_geotiff/A 6586-2026 georefererad karta.tif", "A 6586-2026")</f>
        <v/>
      </c>
      <c r="AA49">
        <f>HYPERLINK("https://klasma.github.io/Logging_2101/klagomål/A 6586-2026 FSC-klagomål.docx", "A 6586-2026")</f>
        <v/>
      </c>
      <c r="AB49">
        <f>HYPERLINK("https://klasma.github.io/Logging_2101/klagomålsmail/A 6586-2026 FSC-klagomål mail.docx", "A 6586-2026")</f>
        <v/>
      </c>
      <c r="AC49">
        <f>HYPERLINK("https://klasma.github.io/Logging_2101/tillsyn/A 6586-2026 tillsynsbegäran.docx", "A 6586-2026")</f>
        <v/>
      </c>
      <c r="AD49">
        <f>HYPERLINK("https://klasma.github.io/Logging_2101/tillsynsmail/A 6586-2026 tillsynsbegäran mail.docx", "A 6586-2026")</f>
        <v/>
      </c>
    </row>
    <row r="50" ht="15" customHeight="1">
      <c r="A50" t="inlineStr">
        <is>
          <t>A 10484-2026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46296</v>
      </c>
      <c r="F50" t="inlineStr">
        <is>
          <t>GÄVLEBORGS LÄN</t>
        </is>
      </c>
      <c r="G50" t="inlineStr">
        <is>
          <t>OCKELBO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Ullticka</t>
        </is>
      </c>
      <c r="W50">
        <f>HYPERLINK("https://klasma.github.io/Logging_2101/artfynd/A 10484-2026 artfynd.xlsx", "A 10484-2026")</f>
        <v/>
      </c>
      <c r="X50">
        <f>HYPERLINK("https://klasma.github.io/Logging_2101/kartor/A 10484-2026 karta.png", "A 10484-2026")</f>
        <v/>
      </c>
      <c r="Y50">
        <f>HYPERLINK("https://klasma.github.io/Logging_2101/kartor_geotiff/A 10484-2026 georefererad karta.tif", "A 10484-2026")</f>
        <v/>
      </c>
      <c r="AA50">
        <f>HYPERLINK("https://klasma.github.io/Logging_2101/klagomål/A 10484-2026 FSC-klagomål.docx", "A 10484-2026")</f>
        <v/>
      </c>
      <c r="AB50">
        <f>HYPERLINK("https://klasma.github.io/Logging_2101/klagomålsmail/A 10484-2026 FSC-klagomål mail.docx", "A 10484-2026")</f>
        <v/>
      </c>
      <c r="AC50">
        <f>HYPERLINK("https://klasma.github.io/Logging_2101/tillsyn/A 10484-2026 tillsynsbegäran.docx", "A 10484-2026")</f>
        <v/>
      </c>
      <c r="AD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46296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HYPERLINK("https://klasma.github.io/Logging_2101/artfynd/A 13640-2026 artfynd.xlsx", "A 13640-2026")</f>
        <v/>
      </c>
      <c r="X51">
        <f>HYPERLINK("https://klasma.github.io/Logging_2101/kartor/A 13640-2026 karta.png", "A 13640-2026")</f>
        <v/>
      </c>
      <c r="Y51">
        <f>HYPERLINK("https://klasma.github.io/Logging_2101/kartor_geotiff/A 13640-2026 georefererad karta.tif", "A 13640-2026")</f>
        <v/>
      </c>
      <c r="AA51">
        <f>HYPERLINK("https://klasma.github.io/Logging_2101/klagomål/A 13640-2026 FSC-klagomål.docx", "A 13640-2026")</f>
        <v/>
      </c>
      <c r="AB51">
        <f>HYPERLINK("https://klasma.github.io/Logging_2101/klagomålsmail/A 13640-2026 FSC-klagomål mail.docx", "A 13640-2026")</f>
        <v/>
      </c>
      <c r="AC51">
        <f>HYPERLINK("https://klasma.github.io/Logging_2101/tillsyn/A 13640-2026 tillsynsbegäran.docx", "A 13640-2026")</f>
        <v/>
      </c>
      <c r="AD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46296</v>
      </c>
      <c r="F52" t="inlineStr">
        <is>
          <t>GÄVLEBORGS LÄN</t>
        </is>
      </c>
      <c r="G52" t="inlineStr">
        <is>
          <t>OCKELBO</t>
        </is>
      </c>
      <c r="I52" t="n">
        <v>4.8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14479-2026 artfynd.xlsx", "A 14479-2026")</f>
        <v/>
      </c>
      <c r="X52">
        <f>HYPERLINK("https://klasma.github.io/Logging_2101/kartor/A 14479-2026 karta.png", "A 14479-2026")</f>
        <v/>
      </c>
      <c r="Y52">
        <f>HYPERLINK("https://klasma.github.io/Logging_2101/kartor_geotiff/A 14479-2026 georefererad karta.tif", "A 14479-2026")</f>
        <v/>
      </c>
      <c r="AA52">
        <f>HYPERLINK("https://klasma.github.io/Logging_2101/klagomål/A 14479-2026 FSC-klagomål.docx", "A 14479-2026")</f>
        <v/>
      </c>
      <c r="AB52">
        <f>HYPERLINK("https://klasma.github.io/Logging_2101/klagomålsmail/A 14479-2026 FSC-klagomål mail.docx", "A 14479-2026")</f>
        <v/>
      </c>
      <c r="AC52">
        <f>HYPERLINK("https://klasma.github.io/Logging_2101/tillsyn/A 14479-2026 tillsynsbegäran.docx", "A 14479-2026")</f>
        <v/>
      </c>
      <c r="AD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46101</v>
      </c>
      <c r="E53" s="1" t="n">
        <v>46296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Tjäder</t>
        </is>
      </c>
      <c r="W53">
        <f>HYPERLINK("https://klasma.github.io/Logging_2101/artfynd/A 14664-2026 artfynd.xlsx", "A 14664-2026")</f>
        <v/>
      </c>
      <c r="X53">
        <f>HYPERLINK("https://klasma.github.io/Logging_2101/kartor/A 14664-2026 karta.png", "A 14664-2026")</f>
        <v/>
      </c>
      <c r="Y53">
        <f>HYPERLINK("https://klasma.github.io/Logging_2101/kartor_geotiff/A 14664-2026 georefererad karta.tif", "A 14664-2026")</f>
        <v/>
      </c>
      <c r="AA53">
        <f>HYPERLINK("https://klasma.github.io/Logging_2101/klagomål/A 14664-2026 FSC-klagomål.docx", "A 14664-2026")</f>
        <v/>
      </c>
      <c r="AB53">
        <f>HYPERLINK("https://klasma.github.io/Logging_2101/klagomålsmail/A 14664-2026 FSC-klagomål mail.docx", "A 14664-2026")</f>
        <v/>
      </c>
      <c r="AC53">
        <f>HYPERLINK("https://klasma.github.io/Logging_2101/tillsyn/A 14664-2026 tillsynsbegäran.docx", "A 14664-2026")</f>
        <v/>
      </c>
      <c r="AD53">
        <f>HYPERLINK("https://klasma.github.io/Logging_2101/tillsynsmail/A 14664-2026 tillsynsbegäran mail.docx", "A 14664-2026")</f>
        <v/>
      </c>
      <c r="AE53">
        <f>HYPERLINK("https://klasma.github.io/Logging_2101/fåglar/A 14664-2026 prioriterade fågelarter.docx", "A 14664-2026")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46296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46296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46296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46296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HYPERLINK("https://klasma.github.io/Logging_2101/artfynd/A 22821-2024 artfynd.xlsx", "A 22821-2024")</f>
        <v/>
      </c>
      <c r="X57">
        <f>HYPERLINK("https://klasma.github.io/Logging_2101/kartor/A 22821-2024 karta.png", "A 22821-2024")</f>
        <v/>
      </c>
      <c r="Y57">
        <f>HYPERLINK("https://klasma.github.io/Logging_2101/kartor_geotiff/A 22821-2024 georefererad karta.tif", "A 22821-2024")</f>
        <v/>
      </c>
      <c r="AA57">
        <f>HYPERLINK("https://klasma.github.io/Logging_2101/klagomål/A 22821-2024 FSC-klagomål.docx", "A 22821-2024")</f>
        <v/>
      </c>
      <c r="AB57">
        <f>HYPERLINK("https://klasma.github.io/Logging_2101/klagomålsmail/A 22821-2024 FSC-klagomål mail.docx", "A 22821-2024")</f>
        <v/>
      </c>
      <c r="AC57">
        <f>HYPERLINK("https://klasma.github.io/Logging_2101/tillsyn/A 22821-2024 tillsynsbegäran.docx", "A 22821-2024")</f>
        <v/>
      </c>
      <c r="AD57">
        <f>HYPERLINK("https://klasma.github.io/Logging_2101/tillsynsmail/A 22821-2024 tillsynsbegäran mail.docx", "A 22821-2024")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46296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26448-2024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46296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4.5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HYPERLINK("https://klasma.github.io/Logging_2101/artfynd/A 26448-2024 artfynd.xlsx", "A 26448-2024")</f>
        <v/>
      </c>
      <c r="X59">
        <f>HYPERLINK("https://klasma.github.io/Logging_2101/kartor/A 26448-2024 karta.png", "A 26448-2024")</f>
        <v/>
      </c>
      <c r="Y59">
        <f>HYPERLINK("https://klasma.github.io/Logging_2101/kartor_geotiff/A 26448-2024 georefererad karta.tif", "A 26448-2024")</f>
        <v/>
      </c>
      <c r="AA59">
        <f>HYPERLINK("https://klasma.github.io/Logging_2101/klagomål/A 26448-2024 FSC-klagomål.docx", "A 26448-2024")</f>
        <v/>
      </c>
      <c r="AB59">
        <f>HYPERLINK("https://klasma.github.io/Logging_2101/klagomålsmail/A 26448-2024 FSC-klagomål mail.docx", "A 26448-2024")</f>
        <v/>
      </c>
      <c r="AC59">
        <f>HYPERLINK("https://klasma.github.io/Logging_2101/tillsyn/A 26448-2024 tillsynsbegäran.docx", "A 26448-2024")</f>
        <v/>
      </c>
      <c r="AD59">
        <f>HYPERLINK("https://klasma.github.io/Logging_2101/tillsynsmail/A 26448-2024 tillsynsbegäran mail.docx", "A 26448-2024")</f>
        <v/>
      </c>
    </row>
    <row r="60" ht="15" customHeight="1">
      <c r="A60" t="inlineStr">
        <is>
          <t>A 20233-2026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46296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17.9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Tibast</t>
        </is>
      </c>
      <c r="W60">
        <f>HYPERLINK("https://klasma.github.io/Logging_2101/artfynd/A 20233-2026 artfynd.xlsx", "A 20233-2026")</f>
        <v/>
      </c>
      <c r="X60">
        <f>HYPERLINK("https://klasma.github.io/Logging_2101/kartor/A 20233-2026 karta.png", "A 20233-2026")</f>
        <v/>
      </c>
      <c r="Y60">
        <f>HYPERLINK("https://klasma.github.io/Logging_2101/kartor_geotiff/A 20233-2026 georefererad karta.tif", "A 20233-2026")</f>
        <v/>
      </c>
      <c r="AA60">
        <f>HYPERLINK("https://klasma.github.io/Logging_2101/klagomål/A 20233-2026 FSC-klagomål.docx", "A 20233-2026")</f>
        <v/>
      </c>
      <c r="AB60">
        <f>HYPERLINK("https://klasma.github.io/Logging_2101/klagomålsmail/A 20233-2026 FSC-klagomål mail.docx", "A 20233-2026")</f>
        <v/>
      </c>
      <c r="AC60">
        <f>HYPERLINK("https://klasma.github.io/Logging_2101/tillsyn/A 20233-2026 tillsynsbegäran.docx", "A 20233-2026")</f>
        <v/>
      </c>
      <c r="AD60">
        <f>HYPERLINK("https://klasma.github.io/Logging_2101/tillsynsmail/A 20233-2026 tillsynsbegäran mail.docx", "A 20233-2026")</f>
        <v/>
      </c>
    </row>
    <row r="61" ht="15" customHeight="1">
      <c r="A61" t="inlineStr">
        <is>
          <t>A 15039-2026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46104</v>
      </c>
      <c r="E61" s="1" t="n">
        <v>46296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18.2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HYPERLINK("https://klasma.github.io/Logging_2101/artfynd/A 15039-2026 artfynd.xlsx", "A 15039-2026")</f>
        <v/>
      </c>
      <c r="X61">
        <f>HYPERLINK("https://klasma.github.io/Logging_2101/kartor/A 15039-2026 karta.png", "A 15039-2026")</f>
        <v/>
      </c>
      <c r="Y61">
        <f>HYPERLINK("https://klasma.github.io/Logging_2101/kartor_geotiff/A 15039-2026 georefererad karta.tif", "A 15039-2026")</f>
        <v/>
      </c>
      <c r="AA61">
        <f>HYPERLINK("https://klasma.github.io/Logging_2101/klagomål/A 15039-2026 FSC-klagomål.docx", "A 15039-2026")</f>
        <v/>
      </c>
      <c r="AB61">
        <f>HYPERLINK("https://klasma.github.io/Logging_2101/klagomålsmail/A 15039-2026 FSC-klagomål mail.docx", "A 15039-2026")</f>
        <v/>
      </c>
      <c r="AC61">
        <f>HYPERLINK("https://klasma.github.io/Logging_2101/tillsyn/A 15039-2026 tillsynsbegäran.docx", "A 15039-2026")</f>
        <v/>
      </c>
      <c r="AD61">
        <f>HYPERLINK("https://klasma.github.io/Logging_2101/tillsynsmail/A 15039-2026 tillsynsbegäran mail.docx", "A 15039-2026")</f>
        <v/>
      </c>
      <c r="AE61">
        <f>HYPERLINK("https://klasma.github.io/Logging_2101/fåglar/A 15039-2026 prioriterade fågelarter.docx", "A 15039-2026")</f>
        <v/>
      </c>
    </row>
    <row r="62" ht="15" customHeight="1">
      <c r="A62" t="inlineStr">
        <is>
          <t>A 11970-2026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46296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HYPERLINK("https://klasma.github.io/Logging_2101/artfynd/A 11970-2026 artfynd.xlsx", "A 11970-2026")</f>
        <v/>
      </c>
      <c r="X62">
        <f>HYPERLINK("https://klasma.github.io/Logging_2101/kartor/A 11970-2026 karta.png", "A 11970-2026")</f>
        <v/>
      </c>
      <c r="Y62">
        <f>HYPERLINK("https://klasma.github.io/Logging_2101/kartor_geotiff/A 11970-2026 georefererad karta.tif", "A 11970-2026")</f>
        <v/>
      </c>
      <c r="AA62">
        <f>HYPERLINK("https://klasma.github.io/Logging_2101/klagomål/A 11970-2026 FSC-klagomål.docx", "A 11970-2026")</f>
        <v/>
      </c>
      <c r="AB62">
        <f>HYPERLINK("https://klasma.github.io/Logging_2101/klagomålsmail/A 11970-2026 FSC-klagomål mail.docx", "A 11970-2026")</f>
        <v/>
      </c>
      <c r="AC62">
        <f>HYPERLINK("https://klasma.github.io/Logging_2101/tillsyn/A 11970-2026 tillsynsbegäran.docx", "A 11970-2026")</f>
        <v/>
      </c>
      <c r="AD62">
        <f>HYPERLINK("https://klasma.github.io/Logging_2101/tillsynsmail/A 11970-2026 tillsynsbegäran mail.docx", "A 11970-2026")</f>
        <v/>
      </c>
      <c r="AE62">
        <f>HYPERLINK("https://klasma.github.io/Logging_2101/fåglar/A 11970-2026 prioriterade fågelarter.docx", "A 11970-2026")</f>
        <v/>
      </c>
    </row>
    <row r="63" ht="15" customHeight="1">
      <c r="A63" t="inlineStr">
        <is>
          <t>A 10448-2026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46296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Plattlummer</t>
        </is>
      </c>
      <c r="W63">
        <f>HYPERLINK("https://klasma.github.io/Logging_2101/artfynd/A 10448-2026 artfynd.xlsx", "A 10448-2026")</f>
        <v/>
      </c>
      <c r="X63">
        <f>HYPERLINK("https://klasma.github.io/Logging_2101/kartor/A 10448-2026 karta.png", "A 10448-2026")</f>
        <v/>
      </c>
      <c r="Y63">
        <f>HYPERLINK("https://klasma.github.io/Logging_2101/kartor_geotiff/A 10448-2026 georefererad karta.tif", "A 10448-2026")</f>
        <v/>
      </c>
      <c r="AA63">
        <f>HYPERLINK("https://klasma.github.io/Logging_2101/klagomål/A 10448-2026 FSC-klagomål.docx", "A 10448-2026")</f>
        <v/>
      </c>
      <c r="AB63">
        <f>HYPERLINK("https://klasma.github.io/Logging_2101/klagomålsmail/A 10448-2026 FSC-klagomål mail.docx", "A 10448-2026")</f>
        <v/>
      </c>
      <c r="AC63">
        <f>HYPERLINK("https://klasma.github.io/Logging_2101/tillsyn/A 10448-2026 tillsynsbegäran.docx", "A 10448-2026")</f>
        <v/>
      </c>
      <c r="AD63">
        <f>HYPERLINK("https://klasma.github.io/Logging_2101/tillsynsmail/A 10448-2026 tillsynsbegäran mail.docx", "A 10448-2026")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46296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38351-2026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46296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38351-2026 artfynd.xlsx", "A 38351-2026")</f>
        <v/>
      </c>
      <c r="X65">
        <f>HYPERLINK("https://klasma.github.io/Logging_2101/kartor/A 38351-2026 karta.png", "A 38351-2026")</f>
        <v/>
      </c>
      <c r="Y65">
        <f>HYPERLINK("https://klasma.github.io/Logging_2101/kartor_geotiff/A 38351-2026 georefererad karta.tif", "A 38351-2026")</f>
        <v/>
      </c>
      <c r="AA65">
        <f>HYPERLINK("https://klasma.github.io/Logging_2101/klagomål/A 38351-2026 FSC-klagomål.docx", "A 38351-2026")</f>
        <v/>
      </c>
      <c r="AB65">
        <f>HYPERLINK("https://klasma.github.io/Logging_2101/klagomålsmail/A 38351-2026 FSC-klagomål mail.docx", "A 38351-2026")</f>
        <v/>
      </c>
      <c r="AC65">
        <f>HYPERLINK("https://klasma.github.io/Logging_2101/tillsyn/A 38351-2026 tillsynsbegäran.docx", "A 38351-2026")</f>
        <v/>
      </c>
      <c r="AD65">
        <f>HYPERLINK("https://klasma.github.io/Logging_2101/tillsynsmail/A 38351-2026 tillsynsbegäran mail.docx", "A 38351-2026")</f>
        <v/>
      </c>
      <c r="AE65">
        <f>HYPERLINK("https://klasma.github.io/Logging_2101/fåglar/A 38351-2026 prioriterade fågelarter.docx", "A 38351-2026")</f>
        <v/>
      </c>
    </row>
    <row r="66" ht="15" customHeight="1">
      <c r="A66" t="inlineStr">
        <is>
          <t>A 38355-2026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46282</v>
      </c>
      <c r="E66" s="1" t="n">
        <v>46296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HYPERLINK("https://klasma.github.io/Logging_2101/artfynd/A 38355-2026 artfynd.xlsx", "A 38355-2026")</f>
        <v/>
      </c>
      <c r="X66">
        <f>HYPERLINK("https://klasma.github.io/Logging_2101/kartor/A 38355-2026 karta.png", "A 38355-2026")</f>
        <v/>
      </c>
      <c r="Y66">
        <f>HYPERLINK("https://klasma.github.io/Logging_2101/kartor_geotiff/A 38355-2026 georefererad karta.tif", "A 38355-2026")</f>
        <v/>
      </c>
      <c r="AA66">
        <f>HYPERLINK("https://klasma.github.io/Logging_2101/klagomål/A 38355-2026 FSC-klagomål.docx", "A 38355-2026")</f>
        <v/>
      </c>
      <c r="AB66">
        <f>HYPERLINK("https://klasma.github.io/Logging_2101/klagomålsmail/A 38355-2026 FSC-klagomål mail.docx", "A 38355-2026")</f>
        <v/>
      </c>
      <c r="AC66">
        <f>HYPERLINK("https://klasma.github.io/Logging_2101/tillsyn/A 38355-2026 tillsynsbegäran.docx", "A 38355-2026")</f>
        <v/>
      </c>
      <c r="AD66">
        <f>HYPERLINK("https://klasma.github.io/Logging_2101/tillsynsmail/A 38355-2026 tillsynsbegäran mail.docx", "A 38355-2026")</f>
        <v/>
      </c>
      <c r="AE66">
        <f>HYPERLINK("https://klasma.github.io/Logging_2101/fåglar/A 38355-2026 prioriterade fågelarter.docx", "A 38355-2026")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46296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46296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46296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46296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46296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46296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46296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46296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46296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46296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46296</v>
      </c>
      <c r="F80" t="inlineStr">
        <is>
          <t>GÄVLEBORGS LÄN</t>
        </is>
      </c>
      <c r="G80" t="inlineStr">
        <is>
          <t>OCKELBO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44881</v>
      </c>
      <c r="E81" s="1" t="n">
        <v>46296</v>
      </c>
      <c r="F81" t="inlineStr">
        <is>
          <t>GÄVLEBORGS LÄN</t>
        </is>
      </c>
      <c r="G81" t="inlineStr">
        <is>
          <t>OCKELBO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46296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46296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46296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44795</v>
      </c>
      <c r="E85" s="1" t="n">
        <v>46296</v>
      </c>
      <c r="F85" t="inlineStr">
        <is>
          <t>GÄVLEBORGS LÄN</t>
        </is>
      </c>
      <c r="G85" t="inlineStr">
        <is>
          <t>OCKELBO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46296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46296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46296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46296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45156</v>
      </c>
      <c r="E90" s="1" t="n">
        <v>46296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46296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46296</v>
      </c>
      <c r="F92" t="inlineStr">
        <is>
          <t>GÄVLEBORGS LÄN</t>
        </is>
      </c>
      <c r="G92" t="inlineStr">
        <is>
          <t>OCKELBO</t>
        </is>
      </c>
      <c r="H92" t="inlineStr">
        <is>
          <t>Kyrkan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46296</v>
      </c>
      <c r="F93" t="inlineStr">
        <is>
          <t>GÄVLEBORGS LÄN</t>
        </is>
      </c>
      <c r="G93" t="inlineStr">
        <is>
          <t>OCKELBO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46296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55422-2022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44887</v>
      </c>
      <c r="E95" s="1" t="n">
        <v>46296</v>
      </c>
      <c r="F95" t="inlineStr">
        <is>
          <t>GÄVLEBORGS LÄN</t>
        </is>
      </c>
      <c r="G95" t="inlineStr">
        <is>
          <t>OCKELBO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46296</v>
      </c>
      <c r="F96" t="inlineStr">
        <is>
          <t>GÄVLEBORGS LÄN</t>
        </is>
      </c>
      <c r="G96" t="inlineStr">
        <is>
          <t>OCKELBO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28965-2024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46296</v>
      </c>
      <c r="F97" t="inlineStr">
        <is>
          <t>GÄVLEBORGS LÄN</t>
        </is>
      </c>
      <c r="G97" t="inlineStr">
        <is>
          <t>OCKELBO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45623</v>
      </c>
      <c r="E98" s="1" t="n">
        <v>46296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46296</v>
      </c>
      <c r="F99" t="inlineStr">
        <is>
          <t>GÄVLEBORGS LÄN</t>
        </is>
      </c>
      <c r="G99" t="inlineStr">
        <is>
          <t>OCKELBO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46296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45620</v>
      </c>
      <c r="E101" s="1" t="n">
        <v>46296</v>
      </c>
      <c r="F101" t="inlineStr">
        <is>
          <t>GÄVLEBORGS LÄN</t>
        </is>
      </c>
      <c r="G101" t="inlineStr">
        <is>
          <t>OCKELBO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46296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46296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44725</v>
      </c>
      <c r="E104" s="1" t="n">
        <v>46296</v>
      </c>
      <c r="F104" t="inlineStr">
        <is>
          <t>GÄVLEBORGS LÄN</t>
        </is>
      </c>
      <c r="G104" t="inlineStr">
        <is>
          <t>OCKELBO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64609-2023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46296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45048</v>
      </c>
      <c r="E106" s="1" t="n">
        <v>46296</v>
      </c>
      <c r="F106" t="inlineStr">
        <is>
          <t>GÄVLEBORGS LÄN</t>
        </is>
      </c>
      <c r="G106" t="inlineStr">
        <is>
          <t>OCKELBO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46296</v>
      </c>
      <c r="F107" t="inlineStr">
        <is>
          <t>GÄVLEBORGS LÄN</t>
        </is>
      </c>
      <c r="G107" t="inlineStr">
        <is>
          <t>OCKELBO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45488</v>
      </c>
      <c r="E108" s="1" t="n">
        <v>46296</v>
      </c>
      <c r="F108" t="inlineStr">
        <is>
          <t>GÄVLEBORGS LÄN</t>
        </is>
      </c>
      <c r="G108" t="inlineStr">
        <is>
          <t>OCKELBO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46296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45041</v>
      </c>
      <c r="E110" s="1" t="n">
        <v>46296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14937-2024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45398</v>
      </c>
      <c r="E111" s="1" t="n">
        <v>46296</v>
      </c>
      <c r="F111" t="inlineStr">
        <is>
          <t>GÄVLEBORGS LÄN</t>
        </is>
      </c>
      <c r="G111" t="inlineStr">
        <is>
          <t>OCKELBO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33880-2023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46296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46296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46296</v>
      </c>
      <c r="F114" t="inlineStr">
        <is>
          <t>GÄVLEBORGS LÄN</t>
        </is>
      </c>
      <c r="G114" t="inlineStr">
        <is>
          <t>OCKELBO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46296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46296</v>
      </c>
      <c r="F116" t="inlineStr">
        <is>
          <t>GÄVLEBORGS LÄN</t>
        </is>
      </c>
      <c r="G116" t="inlineStr">
        <is>
          <t>OCKELBO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46296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32011-2024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45510</v>
      </c>
      <c r="E118" s="1" t="n">
        <v>46296</v>
      </c>
      <c r="F118" t="inlineStr">
        <is>
          <t>GÄVLEBORGS LÄN</t>
        </is>
      </c>
      <c r="G118" t="inlineStr">
        <is>
          <t>OCKELBO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46296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46296</v>
      </c>
      <c r="F120" t="inlineStr">
        <is>
          <t>GÄVLEBORGS LÄN</t>
        </is>
      </c>
      <c r="G120" t="inlineStr">
        <is>
          <t>OCKELBO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46296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46296</v>
      </c>
      <c r="F122" t="inlineStr">
        <is>
          <t>GÄVLEBORGS LÄN</t>
        </is>
      </c>
      <c r="G122" t="inlineStr">
        <is>
          <t>OCKELBO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46296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46296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46296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46296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46296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45070</v>
      </c>
      <c r="E128" s="1" t="n">
        <v>46296</v>
      </c>
      <c r="F128" t="inlineStr">
        <is>
          <t>GÄVLEBORGS LÄN</t>
        </is>
      </c>
      <c r="G128" t="inlineStr">
        <is>
          <t>OCKELBO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46296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45628</v>
      </c>
      <c r="E130" s="1" t="n">
        <v>46296</v>
      </c>
      <c r="F130" t="inlineStr">
        <is>
          <t>GÄVLEBORGS LÄN</t>
        </is>
      </c>
      <c r="G130" t="inlineStr">
        <is>
          <t>OCKELBO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46296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46296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29567-2024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45484</v>
      </c>
      <c r="E133" s="1" t="n">
        <v>46296</v>
      </c>
      <c r="F133" t="inlineStr">
        <is>
          <t>GÄVLEBORGS LÄN</t>
        </is>
      </c>
      <c r="G133" t="inlineStr">
        <is>
          <t>OCKELBO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45280</v>
      </c>
      <c r="E134" s="1" t="n">
        <v>46296</v>
      </c>
      <c r="F134" t="inlineStr">
        <is>
          <t>GÄVLEBORGS LÄN</t>
        </is>
      </c>
      <c r="G134" t="inlineStr">
        <is>
          <t>OCKELBO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46296</v>
      </c>
      <c r="F135" t="inlineStr">
        <is>
          <t>GÄVLEBORGS LÄN</t>
        </is>
      </c>
      <c r="G135" t="inlineStr">
        <is>
          <t>OCKELBO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46296</v>
      </c>
      <c r="F136" t="inlineStr">
        <is>
          <t>GÄVLEBORGS LÄN</t>
        </is>
      </c>
      <c r="G136" t="inlineStr">
        <is>
          <t>OCKELBO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46296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46296</v>
      </c>
      <c r="F138" t="inlineStr">
        <is>
          <t>GÄVLEBORGS LÄN</t>
        </is>
      </c>
      <c r="G138" t="inlineStr">
        <is>
          <t>OCKELBO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46296</v>
      </c>
      <c r="F139" t="inlineStr">
        <is>
          <t>GÄVLEBORGS LÄN</t>
        </is>
      </c>
      <c r="G139" t="inlineStr">
        <is>
          <t>OCKELBO</t>
        </is>
      </c>
      <c r="I139" t="n">
        <v>11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46296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46296</v>
      </c>
      <c r="F141" t="inlineStr">
        <is>
          <t>GÄVLEBORGS LÄN</t>
        </is>
      </c>
      <c r="G141" t="inlineStr">
        <is>
          <t>OCKELBO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44643</v>
      </c>
      <c r="E142" s="1" t="n">
        <v>46296</v>
      </c>
      <c r="F142" t="inlineStr">
        <is>
          <t>GÄVLEBORGS LÄN</t>
        </is>
      </c>
      <c r="G142" t="inlineStr">
        <is>
          <t>OCKELBO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46296</v>
      </c>
      <c r="F143" t="inlineStr">
        <is>
          <t>GÄVLEBORGS LÄN</t>
        </is>
      </c>
      <c r="G143" t="inlineStr">
        <is>
          <t>OCKELBO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46296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46296</v>
      </c>
      <c r="F145" t="inlineStr">
        <is>
          <t>GÄVLEBORGS LÄN</t>
        </is>
      </c>
      <c r="G145" t="inlineStr">
        <is>
          <t>OCKELBO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46296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46296</v>
      </c>
      <c r="F147" t="inlineStr">
        <is>
          <t>GÄVLEBORGS LÄN</t>
        </is>
      </c>
      <c r="G147" t="inlineStr">
        <is>
          <t>OCKELBO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46296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46296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46296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46296</v>
      </c>
      <c r="F151" t="inlineStr">
        <is>
          <t>GÄVLEBORGS LÄN</t>
        </is>
      </c>
      <c r="G151" t="inlineStr">
        <is>
          <t>OCKELBO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45139</v>
      </c>
      <c r="E152" s="1" t="n">
        <v>46296</v>
      </c>
      <c r="F152" t="inlineStr">
        <is>
          <t>GÄVLEBORGS LÄN</t>
        </is>
      </c>
      <c r="G152" t="inlineStr">
        <is>
          <t>OCKELBO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49207-2023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45210</v>
      </c>
      <c r="E153" s="1" t="n">
        <v>46296</v>
      </c>
      <c r="F153" t="inlineStr">
        <is>
          <t>GÄVLEBORGS LÄN</t>
        </is>
      </c>
      <c r="G153" t="inlineStr">
        <is>
          <t>OCKELBO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46296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46296</v>
      </c>
      <c r="F155" t="inlineStr">
        <is>
          <t>GÄVLEBORGS LÄN</t>
        </is>
      </c>
      <c r="G155" t="inlineStr">
        <is>
          <t>OCKELBO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46296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46296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44700</v>
      </c>
      <c r="E158" s="1" t="n">
        <v>46296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46296</v>
      </c>
      <c r="F159" t="inlineStr">
        <is>
          <t>GÄVLEBORGS LÄN</t>
        </is>
      </c>
      <c r="G159" t="inlineStr">
        <is>
          <t>OCKELBO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45593</v>
      </c>
      <c r="E160" s="1" t="n">
        <v>46296</v>
      </c>
      <c r="F160" t="inlineStr">
        <is>
          <t>GÄVLEBORGS LÄN</t>
        </is>
      </c>
      <c r="G160" t="inlineStr">
        <is>
          <t>OCKELBO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45617</v>
      </c>
      <c r="E161" s="1" t="n">
        <v>46296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22824-2024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45448</v>
      </c>
      <c r="E162" s="1" t="n">
        <v>46296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46296</v>
      </c>
      <c r="F163" t="inlineStr">
        <is>
          <t>GÄVLEBORGS LÄN</t>
        </is>
      </c>
      <c r="G163" t="inlineStr">
        <is>
          <t>OCKELBO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46296</v>
      </c>
      <c r="F164" t="inlineStr">
        <is>
          <t>GÄVLEBORGS LÄN</t>
        </is>
      </c>
      <c r="G164" t="inlineStr">
        <is>
          <t>OCKELBO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46296</v>
      </c>
      <c r="F165" t="inlineStr">
        <is>
          <t>GÄVLEBORGS LÄN</t>
        </is>
      </c>
      <c r="G165" t="inlineStr">
        <is>
          <t>OCKELBO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46296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45334</v>
      </c>
      <c r="E167" s="1" t="n">
        <v>46296</v>
      </c>
      <c r="F167" t="inlineStr">
        <is>
          <t>GÄVLEBORGS LÄN</t>
        </is>
      </c>
      <c r="G167" t="inlineStr">
        <is>
          <t>OCKELBO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46296</v>
      </c>
      <c r="F168" t="inlineStr">
        <is>
          <t>GÄVLEBORGS LÄN</t>
        </is>
      </c>
      <c r="G168" t="inlineStr">
        <is>
          <t>OCKELBO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46296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46296</v>
      </c>
      <c r="F170" t="inlineStr">
        <is>
          <t>GÄVLEBORGS LÄN</t>
        </is>
      </c>
      <c r="G170" t="inlineStr">
        <is>
          <t>OCKELBO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45674</v>
      </c>
      <c r="E171" s="1" t="n">
        <v>46296</v>
      </c>
      <c r="F171" t="inlineStr">
        <is>
          <t>GÄVLEBORGS LÄN</t>
        </is>
      </c>
      <c r="G171" t="inlineStr">
        <is>
          <t>OCKELBO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46296</v>
      </c>
      <c r="F172" t="inlineStr">
        <is>
          <t>GÄVLEBORGS LÄN</t>
        </is>
      </c>
      <c r="G172" t="inlineStr">
        <is>
          <t>OCKELBO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46296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46296</v>
      </c>
      <c r="F174" t="inlineStr">
        <is>
          <t>GÄVLEBORGS LÄN</t>
        </is>
      </c>
      <c r="G174" t="inlineStr">
        <is>
          <t>OCKELBO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46296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46296</v>
      </c>
      <c r="F176" t="inlineStr">
        <is>
          <t>GÄVLEBORGS LÄN</t>
        </is>
      </c>
      <c r="G176" t="inlineStr">
        <is>
          <t>OCKELBO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44950</v>
      </c>
      <c r="E177" s="1" t="n">
        <v>46296</v>
      </c>
      <c r="F177" t="inlineStr">
        <is>
          <t>GÄVLEBORGS LÄN</t>
        </is>
      </c>
      <c r="G177" t="inlineStr">
        <is>
          <t>OCKELBO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45366</v>
      </c>
      <c r="E178" s="1" t="n">
        <v>46296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46296</v>
      </c>
      <c r="F179" t="inlineStr">
        <is>
          <t>GÄVLEBORGS LÄN</t>
        </is>
      </c>
      <c r="G179" t="inlineStr">
        <is>
          <t>OCKELBO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45488</v>
      </c>
      <c r="E180" s="1" t="n">
        <v>46296</v>
      </c>
      <c r="F180" t="inlineStr">
        <is>
          <t>GÄVLEBORGS LÄN</t>
        </is>
      </c>
      <c r="G180" t="inlineStr">
        <is>
          <t>OCKELBO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46296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45301</v>
      </c>
      <c r="E182" s="1" t="n">
        <v>46296</v>
      </c>
      <c r="F182" t="inlineStr">
        <is>
          <t>GÄVLEBORGS LÄN</t>
        </is>
      </c>
      <c r="G182" t="inlineStr">
        <is>
          <t>OCKELBO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45527</v>
      </c>
      <c r="E183" s="1" t="n">
        <v>46296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46296</v>
      </c>
      <c r="F184" t="inlineStr">
        <is>
          <t>GÄVLEBORGS LÄN</t>
        </is>
      </c>
      <c r="G184" t="inlineStr">
        <is>
          <t>OCKELBO</t>
        </is>
      </c>
      <c r="I184" t="n">
        <v>14.6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46296</v>
      </c>
      <c r="F185" t="inlineStr">
        <is>
          <t>GÄVLEBORGS LÄN</t>
        </is>
      </c>
      <c r="G185" t="inlineStr">
        <is>
          <t>OCKELBO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52273-2024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46296</v>
      </c>
      <c r="F186" t="inlineStr">
        <is>
          <t>GÄVLEBORGS LÄN</t>
        </is>
      </c>
      <c r="G186" t="inlineStr">
        <is>
          <t>OCKELBO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44781</v>
      </c>
      <c r="E187" s="1" t="n">
        <v>46296</v>
      </c>
      <c r="F187" t="inlineStr">
        <is>
          <t>GÄVLEBORGS LÄN</t>
        </is>
      </c>
      <c r="G187" t="inlineStr">
        <is>
          <t>OCKELBO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46296</v>
      </c>
      <c r="F188" t="inlineStr">
        <is>
          <t>GÄVLEBORGS LÄN</t>
        </is>
      </c>
      <c r="G188" t="inlineStr">
        <is>
          <t>OCKELBO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46296</v>
      </c>
      <c r="F189" t="inlineStr">
        <is>
          <t>GÄVLEBORGS LÄN</t>
        </is>
      </c>
      <c r="G189" t="inlineStr">
        <is>
          <t>OCKELBO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45258</v>
      </c>
      <c r="E190" s="1" t="n">
        <v>46296</v>
      </c>
      <c r="F190" t="inlineStr">
        <is>
          <t>GÄVLEBORGS LÄN</t>
        </is>
      </c>
      <c r="G190" t="inlineStr">
        <is>
          <t>OCKELBO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45261</v>
      </c>
      <c r="E191" s="1" t="n">
        <v>46296</v>
      </c>
      <c r="F191" t="inlineStr">
        <is>
          <t>GÄVLEBORGS LÄN</t>
        </is>
      </c>
      <c r="G191" t="inlineStr">
        <is>
          <t>OCKELBO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46296</v>
      </c>
      <c r="F192" t="inlineStr">
        <is>
          <t>GÄVLEBORGS LÄN</t>
        </is>
      </c>
      <c r="G192" t="inlineStr">
        <is>
          <t>OCKELBO</t>
        </is>
      </c>
      <c r="H192" t="inlineStr">
        <is>
          <t>Kyrkan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45488</v>
      </c>
      <c r="E193" s="1" t="n">
        <v>46296</v>
      </c>
      <c r="F193" t="inlineStr">
        <is>
          <t>GÄVLEBORGS LÄN</t>
        </is>
      </c>
      <c r="G193" t="inlineStr">
        <is>
          <t>OCKELBO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45786</v>
      </c>
      <c r="E194" s="1" t="n">
        <v>46296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45786</v>
      </c>
      <c r="E195" s="1" t="n">
        <v>46296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46296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46296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46296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46296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46296</v>
      </c>
      <c r="F200" t="inlineStr">
        <is>
          <t>GÄVLEBORGS LÄN</t>
        </is>
      </c>
      <c r="G200" t="inlineStr">
        <is>
          <t>OCKELBO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23004-2025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45790</v>
      </c>
      <c r="E201" s="1" t="n">
        <v>46296</v>
      </c>
      <c r="F201" t="inlineStr">
        <is>
          <t>GÄVLEBORGS LÄN</t>
        </is>
      </c>
      <c r="G201" t="inlineStr">
        <is>
          <t>OCKELBO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46296</v>
      </c>
      <c r="F202" t="inlineStr">
        <is>
          <t>GÄVLEBORGS LÄN</t>
        </is>
      </c>
      <c r="G202" t="inlineStr">
        <is>
          <t>OCKELBO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46296</v>
      </c>
      <c r="F203" t="inlineStr">
        <is>
          <t>GÄVLEBORGS LÄN</t>
        </is>
      </c>
      <c r="G203" t="inlineStr">
        <is>
          <t>OCKELBO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45468</v>
      </c>
      <c r="E204" s="1" t="n">
        <v>46296</v>
      </c>
      <c r="F204" t="inlineStr">
        <is>
          <t>GÄVLEBORGS LÄN</t>
        </is>
      </c>
      <c r="G204" t="inlineStr">
        <is>
          <t>OCKELBO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46296</v>
      </c>
      <c r="F205" t="inlineStr">
        <is>
          <t>GÄVLEBORGS LÄN</t>
        </is>
      </c>
      <c r="G205" t="inlineStr">
        <is>
          <t>OCKELBO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45754</v>
      </c>
      <c r="E206" s="1" t="n">
        <v>46296</v>
      </c>
      <c r="F206" t="inlineStr">
        <is>
          <t>GÄVLEBORGS LÄN</t>
        </is>
      </c>
      <c r="G206" t="inlineStr">
        <is>
          <t>OCKELBO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46296</v>
      </c>
      <c r="F207" t="inlineStr">
        <is>
          <t>GÄVLEBORGS LÄN</t>
        </is>
      </c>
      <c r="G207" t="inlineStr">
        <is>
          <t>OCKELBO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44659</v>
      </c>
      <c r="E208" s="1" t="n">
        <v>46296</v>
      </c>
      <c r="F208" t="inlineStr">
        <is>
          <t>GÄVLEBORGS LÄN</t>
        </is>
      </c>
      <c r="G208" t="inlineStr">
        <is>
          <t>OCKELBO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46296</v>
      </c>
      <c r="F209" t="inlineStr">
        <is>
          <t>GÄVLEBORGS LÄN</t>
        </is>
      </c>
      <c r="G209" t="inlineStr">
        <is>
          <t>OCKELBO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46296</v>
      </c>
      <c r="F210" t="inlineStr">
        <is>
          <t>GÄVLEBORGS LÄN</t>
        </is>
      </c>
      <c r="G210" t="inlineStr">
        <is>
          <t>OCKELBO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45434</v>
      </c>
      <c r="E211" s="1" t="n">
        <v>46296</v>
      </c>
      <c r="F211" t="inlineStr">
        <is>
          <t>GÄVLEBORGS LÄN</t>
        </is>
      </c>
      <c r="G211" t="inlineStr">
        <is>
          <t>OCKELBO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44950</v>
      </c>
      <c r="E212" s="1" t="n">
        <v>46296</v>
      </c>
      <c r="F212" t="inlineStr">
        <is>
          <t>GÄVLEBORGS LÄN</t>
        </is>
      </c>
      <c r="G212" t="inlineStr">
        <is>
          <t>OCKELBO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45772</v>
      </c>
      <c r="E213" s="1" t="n">
        <v>46296</v>
      </c>
      <c r="F213" t="inlineStr">
        <is>
          <t>GÄVLEBORGS LÄN</t>
        </is>
      </c>
      <c r="G213" t="inlineStr">
        <is>
          <t>OCKELBO</t>
        </is>
      </c>
      <c r="I213" t="n">
        <v>14.8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45254</v>
      </c>
      <c r="E214" s="1" t="n">
        <v>46296</v>
      </c>
      <c r="F214" t="inlineStr">
        <is>
          <t>GÄVLEBORGS LÄN</t>
        </is>
      </c>
      <c r="G214" t="inlineStr">
        <is>
          <t>OCKELBO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46296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46296</v>
      </c>
      <c r="F216" t="inlineStr">
        <is>
          <t>GÄVLEBORGS LÄN</t>
        </is>
      </c>
      <c r="G216" t="inlineStr">
        <is>
          <t>OCKELBO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46296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46296</v>
      </c>
      <c r="F218" t="inlineStr">
        <is>
          <t>GÄVLEBORGS LÄN</t>
        </is>
      </c>
      <c r="G218" t="inlineStr">
        <is>
          <t>OCKELBO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46296</v>
      </c>
      <c r="F219" t="inlineStr">
        <is>
          <t>GÄVLEBORGS LÄN</t>
        </is>
      </c>
      <c r="G219" t="inlineStr">
        <is>
          <t>OCKELBO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45334</v>
      </c>
      <c r="E220" s="1" t="n">
        <v>46296</v>
      </c>
      <c r="F220" t="inlineStr">
        <is>
          <t>GÄVLEBORGS LÄN</t>
        </is>
      </c>
      <c r="G220" t="inlineStr">
        <is>
          <t>OCKELBO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46296</v>
      </c>
      <c r="F221" t="inlineStr">
        <is>
          <t>GÄVLEBORGS LÄN</t>
        </is>
      </c>
      <c r="G221" t="inlineStr">
        <is>
          <t>OCKELBO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46296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52335-2024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45609</v>
      </c>
      <c r="E223" s="1" t="n">
        <v>46296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46296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45022</v>
      </c>
      <c r="E225" s="1" t="n">
        <v>46296</v>
      </c>
      <c r="F225" t="inlineStr">
        <is>
          <t>GÄVLEBORGS LÄN</t>
        </is>
      </c>
      <c r="G225" t="inlineStr">
        <is>
          <t>OCKELBO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45139</v>
      </c>
      <c r="E226" s="1" t="n">
        <v>46296</v>
      </c>
      <c r="F226" t="inlineStr">
        <is>
          <t>GÄVLEBORGS LÄN</t>
        </is>
      </c>
      <c r="G226" t="inlineStr">
        <is>
          <t>OCKELBO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46296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46296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46296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46296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25250-2025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45800</v>
      </c>
      <c r="E231" s="1" t="n">
        <v>46296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46296</v>
      </c>
      <c r="F232" t="inlineStr">
        <is>
          <t>GÄVLEBORGS LÄN</t>
        </is>
      </c>
      <c r="G232" t="inlineStr">
        <is>
          <t>OCKELBO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46296</v>
      </c>
      <c r="F233" t="inlineStr">
        <is>
          <t>GÄVLEBORGS LÄN</t>
        </is>
      </c>
      <c r="G233" t="inlineStr">
        <is>
          <t>OCKELBO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45698</v>
      </c>
      <c r="E234" s="1" t="n">
        <v>46296</v>
      </c>
      <c r="F234" t="inlineStr">
        <is>
          <t>GÄVLEBORGS LÄN</t>
        </is>
      </c>
      <c r="G234" t="inlineStr">
        <is>
          <t>OCKELBO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46296</v>
      </c>
      <c r="F235" t="inlineStr">
        <is>
          <t>GÄVLEBORGS LÄN</t>
        </is>
      </c>
      <c r="G235" t="inlineStr">
        <is>
          <t>OCKELBO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45674</v>
      </c>
      <c r="E236" s="1" t="n">
        <v>46296</v>
      </c>
      <c r="F236" t="inlineStr">
        <is>
          <t>GÄVLEBORGS LÄN</t>
        </is>
      </c>
      <c r="G236" t="inlineStr">
        <is>
          <t>OCKELBO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20231-2024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45434</v>
      </c>
      <c r="E237" s="1" t="n">
        <v>46296</v>
      </c>
      <c r="F237" t="inlineStr">
        <is>
          <t>GÄVLEBORGS LÄN</t>
        </is>
      </c>
      <c r="G237" t="inlineStr">
        <is>
          <t>OCKELBO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46296</v>
      </c>
      <c r="F238" t="inlineStr">
        <is>
          <t>GÄVLEBORGS LÄN</t>
        </is>
      </c>
      <c r="G238" t="inlineStr">
        <is>
          <t>OCKELBO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46296</v>
      </c>
      <c r="F239" t="inlineStr">
        <is>
          <t>GÄVLEBORGS LÄN</t>
        </is>
      </c>
      <c r="G239" t="inlineStr">
        <is>
          <t>OCKELBO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45497</v>
      </c>
      <c r="E240" s="1" t="n">
        <v>46296</v>
      </c>
      <c r="F240" t="inlineStr">
        <is>
          <t>GÄVLEBORGS LÄN</t>
        </is>
      </c>
      <c r="G240" t="inlineStr">
        <is>
          <t>OCKELBO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46296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46296</v>
      </c>
      <c r="F242" t="inlineStr">
        <is>
          <t>GÄVLEBORGS LÄN</t>
        </is>
      </c>
      <c r="G242" t="inlineStr">
        <is>
          <t>OCKELBO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45291</v>
      </c>
      <c r="E243" s="1" t="n">
        <v>46296</v>
      </c>
      <c r="F243" t="inlineStr">
        <is>
          <t>GÄVLEBORGS LÄN</t>
        </is>
      </c>
      <c r="G243" t="inlineStr">
        <is>
          <t>OCKELBO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46296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45624</v>
      </c>
      <c r="E245" s="1" t="n">
        <v>46296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44838</v>
      </c>
      <c r="E246" s="1" t="n">
        <v>46296</v>
      </c>
      <c r="F246" t="inlineStr">
        <is>
          <t>GÄVLEBORGS LÄN</t>
        </is>
      </c>
      <c r="G246" t="inlineStr">
        <is>
          <t>OCKELBO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46296</v>
      </c>
      <c r="F247" t="inlineStr">
        <is>
          <t>GÄVLEBORGS LÄN</t>
        </is>
      </c>
      <c r="G247" t="inlineStr">
        <is>
          <t>OCKELBO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46296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46296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46296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45618</v>
      </c>
      <c r="E251" s="1" t="n">
        <v>46296</v>
      </c>
      <c r="F251" t="inlineStr">
        <is>
          <t>GÄVLEBORGS LÄN</t>
        </is>
      </c>
      <c r="G251" t="inlineStr">
        <is>
          <t>OCKELBO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46296</v>
      </c>
      <c r="F252" t="inlineStr">
        <is>
          <t>GÄVLEBORGS LÄN</t>
        </is>
      </c>
      <c r="G252" t="inlineStr">
        <is>
          <t>OCKELBO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46296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46296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45134</v>
      </c>
      <c r="E255" s="1" t="n">
        <v>46296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46296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46296</v>
      </c>
      <c r="F257" t="inlineStr">
        <is>
          <t>GÄVLEBORGS LÄN</t>
        </is>
      </c>
      <c r="G257" t="inlineStr">
        <is>
          <t>OCKELBO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46296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45132</v>
      </c>
      <c r="E259" s="1" t="n">
        <v>46296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46296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46296</v>
      </c>
      <c r="F261" t="inlineStr">
        <is>
          <t>GÄVLEBORGS LÄN</t>
        </is>
      </c>
      <c r="G261" t="inlineStr">
        <is>
          <t>OCKELBO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46296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30152-2025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46296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46296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46296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46296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46296</v>
      </c>
      <c r="F267" t="inlineStr">
        <is>
          <t>GÄVLEBORGS LÄN</t>
        </is>
      </c>
      <c r="G267" t="inlineStr">
        <is>
          <t>OCKELBO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46296</v>
      </c>
      <c r="F268" t="inlineStr">
        <is>
          <t>GÄVLEBORGS LÄN</t>
        </is>
      </c>
      <c r="G268" t="inlineStr">
        <is>
          <t>OCKELBO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46296</v>
      </c>
      <c r="F269" t="inlineStr">
        <is>
          <t>GÄVLEBORGS LÄN</t>
        </is>
      </c>
      <c r="G269" t="inlineStr">
        <is>
          <t>OCKELBO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45840</v>
      </c>
      <c r="E270" s="1" t="n">
        <v>46296</v>
      </c>
      <c r="F270" t="inlineStr">
        <is>
          <t>GÄVLEBORGS LÄN</t>
        </is>
      </c>
      <c r="G270" t="inlineStr">
        <is>
          <t>OCKELBO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46296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45109</v>
      </c>
      <c r="E272" s="1" t="n">
        <v>46296</v>
      </c>
      <c r="F272" t="inlineStr">
        <is>
          <t>GÄVLEBORGS LÄN</t>
        </is>
      </c>
      <c r="G272" t="inlineStr">
        <is>
          <t>OCKELBO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50197-2024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46296</v>
      </c>
      <c r="F273" t="inlineStr">
        <is>
          <t>GÄVLEBORGS LÄN</t>
        </is>
      </c>
      <c r="G273" t="inlineStr">
        <is>
          <t>OCKELBO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46296</v>
      </c>
      <c r="F274" t="inlineStr">
        <is>
          <t>GÄVLEBORGS LÄN</t>
        </is>
      </c>
      <c r="G274" t="inlineStr">
        <is>
          <t>OCKELBO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23006-2023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45073</v>
      </c>
      <c r="E275" s="1" t="n">
        <v>46296</v>
      </c>
      <c r="F275" t="inlineStr">
        <is>
          <t>GÄVLEBORGS LÄN</t>
        </is>
      </c>
      <c r="G275" t="inlineStr">
        <is>
          <t>OCKELBO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46296</v>
      </c>
      <c r="F276" t="inlineStr">
        <is>
          <t>GÄVLEBORGS LÄN</t>
        </is>
      </c>
      <c r="G276" t="inlineStr">
        <is>
          <t>OCKELBO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35017-2025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45851</v>
      </c>
      <c r="E277" s="1" t="n">
        <v>46296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27.8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45455</v>
      </c>
      <c r="E278" s="1" t="n">
        <v>46296</v>
      </c>
      <c r="F278" t="inlineStr">
        <is>
          <t>GÄVLEBORGS LÄN</t>
        </is>
      </c>
      <c r="G278" t="inlineStr">
        <is>
          <t>OCKELBO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46296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44883</v>
      </c>
      <c r="E280" s="1" t="n">
        <v>46296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46296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46296</v>
      </c>
      <c r="F282" t="inlineStr">
        <is>
          <t>GÄVLEBORGS LÄN</t>
        </is>
      </c>
      <c r="G282" t="inlineStr">
        <is>
          <t>OCKELBO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46296</v>
      </c>
      <c r="F283" t="inlineStr">
        <is>
          <t>GÄVLEBORGS LÄN</t>
        </is>
      </c>
      <c r="G283" t="inlineStr">
        <is>
          <t>OCKELBO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46296</v>
      </c>
      <c r="F284" t="inlineStr">
        <is>
          <t>GÄVLEBORGS LÄN</t>
        </is>
      </c>
      <c r="G284" t="inlineStr">
        <is>
          <t>OCKELBO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46296</v>
      </c>
      <c r="F285" t="inlineStr">
        <is>
          <t>GÄVLEBORGS LÄN</t>
        </is>
      </c>
      <c r="G285" t="inlineStr">
        <is>
          <t>OCKELBO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46296</v>
      </c>
      <c r="F286" t="inlineStr">
        <is>
          <t>GÄVLEBORGS LÄN</t>
        </is>
      </c>
      <c r="G286" t="inlineStr">
        <is>
          <t>OCKELBO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46296</v>
      </c>
      <c r="F287" t="inlineStr">
        <is>
          <t>GÄVLEBORGS LÄN</t>
        </is>
      </c>
      <c r="G287" t="inlineStr">
        <is>
          <t>OCKELBO</t>
        </is>
      </c>
      <c r="I287" t="n">
        <v>13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46296</v>
      </c>
      <c r="F288" t="inlineStr">
        <is>
          <t>GÄVLEBORGS LÄN</t>
        </is>
      </c>
      <c r="G288" t="inlineStr">
        <is>
          <t>OCKELBO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46296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46296</v>
      </c>
      <c r="F290" t="inlineStr">
        <is>
          <t>GÄVLEBORGS LÄN</t>
        </is>
      </c>
      <c r="G290" t="inlineStr">
        <is>
          <t>OCKELBO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46296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39360-2025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45889</v>
      </c>
      <c r="E292" s="1" t="n">
        <v>46296</v>
      </c>
      <c r="F292" t="inlineStr">
        <is>
          <t>GÄVLEBORGS LÄN</t>
        </is>
      </c>
      <c r="G292" t="inlineStr">
        <is>
          <t>OCKELBO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45719</v>
      </c>
      <c r="E293" s="1" t="n">
        <v>46296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öst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46296</v>
      </c>
      <c r="F294" t="inlineStr">
        <is>
          <t>GÄVLEBORGS LÄN</t>
        </is>
      </c>
      <c r="G294" t="inlineStr">
        <is>
          <t>OCKELBO</t>
        </is>
      </c>
      <c r="H294" t="inlineStr">
        <is>
          <t>Kyrkan</t>
        </is>
      </c>
      <c r="I294" t="n">
        <v>12.5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46296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46296</v>
      </c>
      <c r="F296" t="inlineStr">
        <is>
          <t>GÄVLEBORGS LÄN</t>
        </is>
      </c>
      <c r="G296" t="inlineStr">
        <is>
          <t>OCKELBO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46296</v>
      </c>
      <c r="F297" t="inlineStr">
        <is>
          <t>GÄVLEBORGS LÄN</t>
        </is>
      </c>
      <c r="G297" t="inlineStr">
        <is>
          <t>OCKELBO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46296</v>
      </c>
      <c r="F298" t="inlineStr">
        <is>
          <t>GÄVLEBORGS LÄN</t>
        </is>
      </c>
      <c r="G298" t="inlineStr">
        <is>
          <t>OCKELBO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45891</v>
      </c>
      <c r="E299" s="1" t="n">
        <v>46296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45744</v>
      </c>
      <c r="E300" s="1" t="n">
        <v>46296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46296</v>
      </c>
      <c r="F301" t="inlineStr">
        <is>
          <t>GÄVLEBORGS LÄN</t>
        </is>
      </c>
      <c r="G301" t="inlineStr">
        <is>
          <t>OCKELBO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46296</v>
      </c>
      <c r="F302" t="inlineStr">
        <is>
          <t>GÄVLEBORGS LÄN</t>
        </is>
      </c>
      <c r="G302" t="inlineStr">
        <is>
          <t>OCKELBO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46296</v>
      </c>
      <c r="F303" t="inlineStr">
        <is>
          <t>GÄVLEBORGS LÄN</t>
        </is>
      </c>
      <c r="G303" t="inlineStr">
        <is>
          <t>OCKELBO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46296</v>
      </c>
      <c r="F304" t="inlineStr">
        <is>
          <t>GÄVLEBORGS LÄN</t>
        </is>
      </c>
      <c r="G304" t="inlineStr">
        <is>
          <t>OCKELBO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46296</v>
      </c>
      <c r="F305" t="inlineStr">
        <is>
          <t>GÄVLEBORGS LÄN</t>
        </is>
      </c>
      <c r="G305" t="inlineStr">
        <is>
          <t>OCKELBO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46296</v>
      </c>
      <c r="F306" t="inlineStr">
        <is>
          <t>GÄVLEBORGS LÄN</t>
        </is>
      </c>
      <c r="G306" t="inlineStr">
        <is>
          <t>OCKELBO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45903</v>
      </c>
      <c r="E307" s="1" t="n">
        <v>46296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46296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46296</v>
      </c>
      <c r="F309" t="inlineStr">
        <is>
          <t>GÄVLEBORGS LÄN</t>
        </is>
      </c>
      <c r="G309" t="inlineStr">
        <is>
          <t>OCKELBO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46296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46296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46296</v>
      </c>
      <c r="F312" t="inlineStr">
        <is>
          <t>GÄVLEBORGS LÄN</t>
        </is>
      </c>
      <c r="G312" t="inlineStr">
        <is>
          <t>OCKELBO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52461-2025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46296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46296</v>
      </c>
      <c r="F314" t="inlineStr">
        <is>
          <t>GÄVLEBORGS LÄN</t>
        </is>
      </c>
      <c r="G314" t="inlineStr">
        <is>
          <t>OCKELBO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46296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46296</v>
      </c>
      <c r="F316" t="inlineStr">
        <is>
          <t>GÄVLEBORGS LÄN</t>
        </is>
      </c>
      <c r="G316" t="inlineStr">
        <is>
          <t>OCKELBO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46296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46296</v>
      </c>
      <c r="F318" t="inlineStr">
        <is>
          <t>GÄVLEBORGS LÄN</t>
        </is>
      </c>
      <c r="G318" t="inlineStr">
        <is>
          <t>OCKELBO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46296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46296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46296</v>
      </c>
      <c r="F321" t="inlineStr">
        <is>
          <t>GÄVLEBORGS LÄN</t>
        </is>
      </c>
      <c r="G321" t="inlineStr">
        <is>
          <t>OCKELBO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54879-2025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46296</v>
      </c>
      <c r="F322" t="inlineStr">
        <is>
          <t>GÄVLEBORGS LÄN</t>
        </is>
      </c>
      <c r="G322" t="inlineStr">
        <is>
          <t>OCKELBO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45967</v>
      </c>
      <c r="E323" s="1" t="n">
        <v>46296</v>
      </c>
      <c r="F323" t="inlineStr">
        <is>
          <t>GÄVLEBORGS LÄN</t>
        </is>
      </c>
      <c r="G323" t="inlineStr">
        <is>
          <t>OCKELBO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46296</v>
      </c>
      <c r="F324" t="inlineStr">
        <is>
          <t>GÄVLEBORGS LÄN</t>
        </is>
      </c>
      <c r="G324" t="inlineStr">
        <is>
          <t>OCKELBO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46296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46296</v>
      </c>
      <c r="F326" t="inlineStr">
        <is>
          <t>GÄVLEBORGS LÄN</t>
        </is>
      </c>
      <c r="G326" t="inlineStr">
        <is>
          <t>OCKELBO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46296</v>
      </c>
      <c r="F327" t="inlineStr">
        <is>
          <t>GÄVLEBORGS LÄN</t>
        </is>
      </c>
      <c r="G327" t="inlineStr">
        <is>
          <t>OCKELBO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55632-2025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46296</v>
      </c>
      <c r="F328" t="inlineStr">
        <is>
          <t>GÄVLEBORGS LÄN</t>
        </is>
      </c>
      <c r="G328" t="inlineStr">
        <is>
          <t>OCKELBO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46296</v>
      </c>
      <c r="F329" t="inlineStr">
        <is>
          <t>GÄVLEBORGS LÄN</t>
        </is>
      </c>
      <c r="G329" t="inlineStr">
        <is>
          <t>OCKELBO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46296</v>
      </c>
      <c r="F330" t="inlineStr">
        <is>
          <t>GÄVLEBORGS LÄN</t>
        </is>
      </c>
      <c r="G330" t="inlineStr">
        <is>
          <t>OCKELBO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46296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46296</v>
      </c>
      <c r="F332" t="inlineStr">
        <is>
          <t>GÄVLEBORGS LÄN</t>
        </is>
      </c>
      <c r="G332" t="inlineStr">
        <is>
          <t>OCKELBO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46296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50693-2024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45602</v>
      </c>
      <c r="E334" s="1" t="n">
        <v>46296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55911-2025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45973</v>
      </c>
      <c r="E335" s="1" t="n">
        <v>46296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46296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45027</v>
      </c>
      <c r="E337" s="1" t="n">
        <v>46296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45602</v>
      </c>
      <c r="E338" s="1" t="n">
        <v>46296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45602</v>
      </c>
      <c r="E339" s="1" t="n">
        <v>46296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46296</v>
      </c>
      <c r="F340" t="inlineStr">
        <is>
          <t>GÄVLEBORGS LÄN</t>
        </is>
      </c>
      <c r="G340" t="inlineStr">
        <is>
          <t>OCKELBO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52140-2024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45608</v>
      </c>
      <c r="E341" s="1" t="n">
        <v>46296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46296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66825-2021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44522</v>
      </c>
      <c r="E343" s="1" t="n">
        <v>46296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45846</v>
      </c>
      <c r="E344" s="1" t="n">
        <v>46296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45554</v>
      </c>
      <c r="E345" s="1" t="n">
        <v>46296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45216</v>
      </c>
      <c r="E346" s="1" t="n">
        <v>46296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45554</v>
      </c>
      <c r="E347" s="1" t="n">
        <v>46296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38893-2022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44816</v>
      </c>
      <c r="E348" s="1" t="n">
        <v>46296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46296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46296</v>
      </c>
      <c r="F350" t="inlineStr">
        <is>
          <t>GÄVLEBORGS LÄN</t>
        </is>
      </c>
      <c r="G350" t="inlineStr">
        <is>
          <t>OCKELBO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46296</v>
      </c>
      <c r="F351" t="inlineStr">
        <is>
          <t>GÄVLEBORGS LÄN</t>
        </is>
      </c>
      <c r="G351" t="inlineStr">
        <is>
          <t>OCKELBO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61622-2021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44501</v>
      </c>
      <c r="E352" s="1" t="n">
        <v>46296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46296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44845</v>
      </c>
      <c r="E354" s="1" t="n">
        <v>46296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67768-2021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44525</v>
      </c>
      <c r="E355" s="1" t="n">
        <v>46296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45582</v>
      </c>
      <c r="E356" s="1" t="n">
        <v>46296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29768-2023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46296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47267-2025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46296</v>
      </c>
      <c r="F358" t="inlineStr">
        <is>
          <t>GÄVLEBORGS LÄN</t>
        </is>
      </c>
      <c r="G358" t="inlineStr">
        <is>
          <t>OCKELBO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46296</v>
      </c>
      <c r="F359" t="inlineStr">
        <is>
          <t>GÄVLEBORGS LÄN</t>
        </is>
      </c>
      <c r="G359" t="inlineStr">
        <is>
          <t>OCKELBO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46296</v>
      </c>
      <c r="F360" t="inlineStr">
        <is>
          <t>GÄVLEBORGS LÄN</t>
        </is>
      </c>
      <c r="G360" t="inlineStr">
        <is>
          <t>OCKELBO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46296</v>
      </c>
      <c r="F361" t="inlineStr">
        <is>
          <t>GÄVLEBORGS LÄN</t>
        </is>
      </c>
      <c r="G361" t="inlineStr">
        <is>
          <t>OCKELBO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46296</v>
      </c>
      <c r="F362" t="inlineStr">
        <is>
          <t>GÄVLEBORGS LÄN</t>
        </is>
      </c>
      <c r="G362" t="inlineStr">
        <is>
          <t>OCKELBO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46296</v>
      </c>
      <c r="F363" t="inlineStr">
        <is>
          <t>GÄVLEBORGS LÄN</t>
        </is>
      </c>
      <c r="G363" t="inlineStr">
        <is>
          <t>OCKELBO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46296</v>
      </c>
      <c r="F364" t="inlineStr">
        <is>
          <t>GÄVLEBORGS LÄN</t>
        </is>
      </c>
      <c r="G364" t="inlineStr">
        <is>
          <t>OCKELBO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56803-2025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46296</v>
      </c>
      <c r="F365" t="inlineStr">
        <is>
          <t>GÄVLEBORGS LÄN</t>
        </is>
      </c>
      <c r="G365" t="inlineStr">
        <is>
          <t>OCKELBO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45932</v>
      </c>
      <c r="E366" s="1" t="n">
        <v>46296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46296</v>
      </c>
      <c r="F367" t="inlineStr">
        <is>
          <t>GÄVLEBORGS LÄN</t>
        </is>
      </c>
      <c r="G367" t="inlineStr">
        <is>
          <t>OCKELBO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46296</v>
      </c>
      <c r="F368" t="inlineStr">
        <is>
          <t>GÄVLEBORGS LÄN</t>
        </is>
      </c>
      <c r="G368" t="inlineStr">
        <is>
          <t>OCKELBO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46296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45986</v>
      </c>
      <c r="E370" s="1" t="n">
        <v>46296</v>
      </c>
      <c r="F370" t="inlineStr">
        <is>
          <t>GÄVLEBORGS LÄN</t>
        </is>
      </c>
      <c r="G370" t="inlineStr">
        <is>
          <t>OCKELBO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46296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46296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46296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60183-2025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45994</v>
      </c>
      <c r="E374" s="1" t="n">
        <v>46296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45996</v>
      </c>
      <c r="E375" s="1" t="n">
        <v>46296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46296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62196-2025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46006</v>
      </c>
      <c r="E377" s="1" t="n">
        <v>46296</v>
      </c>
      <c r="F377" t="inlineStr">
        <is>
          <t>GÄVLEBORGS LÄN</t>
        </is>
      </c>
      <c r="G377" t="inlineStr">
        <is>
          <t>OCKELBO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46296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46296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62914-2025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46296</v>
      </c>
      <c r="F380" t="inlineStr">
        <is>
          <t>GÄVLEBORGS LÄN</t>
        </is>
      </c>
      <c r="G380" t="inlineStr">
        <is>
          <t>OCKELBO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46013</v>
      </c>
      <c r="E381" s="1" t="n">
        <v>46296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46296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46010</v>
      </c>
      <c r="E383" s="1" t="n">
        <v>46296</v>
      </c>
      <c r="F383" t="inlineStr">
        <is>
          <t>GÄVLEBORGS LÄN</t>
        </is>
      </c>
      <c r="G383" t="inlineStr">
        <is>
          <t>OCKELBO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46296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46014</v>
      </c>
      <c r="E385" s="1" t="n">
        <v>46296</v>
      </c>
      <c r="F385" t="inlineStr">
        <is>
          <t>GÄVLEBORGS LÄN</t>
        </is>
      </c>
      <c r="G385" t="inlineStr">
        <is>
          <t>OCKELBO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64006-2025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46021</v>
      </c>
      <c r="E386" s="1" t="n">
        <v>46296</v>
      </c>
      <c r="F386" t="inlineStr">
        <is>
          <t>GÄVLEBORGS LÄN</t>
        </is>
      </c>
      <c r="G386" t="inlineStr">
        <is>
          <t>OCKELBO</t>
        </is>
      </c>
      <c r="I386" t="n">
        <v>13.6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46296</v>
      </c>
      <c r="F387" t="inlineStr">
        <is>
          <t>GÄVLEBORGS LÄN</t>
        </is>
      </c>
      <c r="G387" t="inlineStr">
        <is>
          <t>OCKELBO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46296</v>
      </c>
      <c r="F388" t="inlineStr">
        <is>
          <t>GÄVLEBORGS LÄN</t>
        </is>
      </c>
      <c r="G388" t="inlineStr">
        <is>
          <t>OCKELBO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46296</v>
      </c>
      <c r="F389" t="inlineStr">
        <is>
          <t>GÄVLEBORGS LÄN</t>
        </is>
      </c>
      <c r="G389" t="inlineStr">
        <is>
          <t>OCKELBO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46296</v>
      </c>
      <c r="F390" t="inlineStr">
        <is>
          <t>GÄVLEBORGS LÄN</t>
        </is>
      </c>
      <c r="G390" t="inlineStr">
        <is>
          <t>OCKELBO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46296</v>
      </c>
      <c r="F391" t="inlineStr">
        <is>
          <t>GÄVLEBORGS LÄN</t>
        </is>
      </c>
      <c r="G391" t="inlineStr">
        <is>
          <t>OCKELBO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46296</v>
      </c>
      <c r="F392" t="inlineStr">
        <is>
          <t>GÄVLEBORGS LÄN</t>
        </is>
      </c>
      <c r="G392" t="inlineStr">
        <is>
          <t>OCKELBO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46027</v>
      </c>
      <c r="E393" s="1" t="n">
        <v>46296</v>
      </c>
      <c r="F393" t="inlineStr">
        <is>
          <t>GÄVLEBORGS LÄN</t>
        </is>
      </c>
      <c r="G393" t="inlineStr">
        <is>
          <t>OCKELBO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46296</v>
      </c>
      <c r="F394" t="inlineStr">
        <is>
          <t>GÄVLEBORGS LÄN</t>
        </is>
      </c>
      <c r="G394" t="inlineStr">
        <is>
          <t>OCKELBO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46028</v>
      </c>
      <c r="E395" s="1" t="n">
        <v>46296</v>
      </c>
      <c r="F395" t="inlineStr">
        <is>
          <t>GÄVLEBORGS LÄN</t>
        </is>
      </c>
      <c r="G395" t="inlineStr">
        <is>
          <t>OCKELBO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46028</v>
      </c>
      <c r="E396" s="1" t="n">
        <v>46296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46296</v>
      </c>
      <c r="F397" t="inlineStr">
        <is>
          <t>GÄVLEBORGS LÄN</t>
        </is>
      </c>
      <c r="G397" t="inlineStr">
        <is>
          <t>OCKELBO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46024</v>
      </c>
      <c r="E398" s="1" t="n">
        <v>46296</v>
      </c>
      <c r="F398" t="inlineStr">
        <is>
          <t>GÄVLEBORGS LÄN</t>
        </is>
      </c>
      <c r="G398" t="inlineStr">
        <is>
          <t>OCKELBO</t>
        </is>
      </c>
      <c r="I398" t="n">
        <v>12.9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46296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46296</v>
      </c>
      <c r="F400" t="inlineStr">
        <is>
          <t>GÄVLEBORGS LÄN</t>
        </is>
      </c>
      <c r="G400" t="inlineStr">
        <is>
          <t>OCKELBO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46296</v>
      </c>
      <c r="F401" t="inlineStr">
        <is>
          <t>GÄVLEBORGS LÄN</t>
        </is>
      </c>
      <c r="G401" t="inlineStr">
        <is>
          <t>OCKELBO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46296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46296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46296</v>
      </c>
      <c r="F404" t="inlineStr">
        <is>
          <t>GÄVLEBORGS LÄN</t>
        </is>
      </c>
      <c r="G404" t="inlineStr">
        <is>
          <t>OCKELBO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46033</v>
      </c>
      <c r="E405" s="1" t="n">
        <v>46296</v>
      </c>
      <c r="F405" t="inlineStr">
        <is>
          <t>GÄVLEBORGS LÄN</t>
        </is>
      </c>
      <c r="G405" t="inlineStr">
        <is>
          <t>OCKELBO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46296</v>
      </c>
      <c r="F406" t="inlineStr">
        <is>
          <t>GÄVLEBORGS LÄN</t>
        </is>
      </c>
      <c r="G406" t="inlineStr">
        <is>
          <t>OCKELBO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46296</v>
      </c>
      <c r="F407" t="inlineStr">
        <is>
          <t>GÄVLEBORGS LÄN</t>
        </is>
      </c>
      <c r="G407" t="inlineStr">
        <is>
          <t>OCKELBO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46296</v>
      </c>
      <c r="F408" t="inlineStr">
        <is>
          <t>GÄVLEBORGS LÄN</t>
        </is>
      </c>
      <c r="G408" t="inlineStr">
        <is>
          <t>OCKELBO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46296</v>
      </c>
      <c r="F409" t="inlineStr">
        <is>
          <t>GÄVLEBORGS LÄN</t>
        </is>
      </c>
      <c r="G409" t="inlineStr">
        <is>
          <t>OCKELBO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46296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46296</v>
      </c>
      <c r="F411" t="inlineStr">
        <is>
          <t>GÄVLEBORGS LÄN</t>
        </is>
      </c>
      <c r="G411" t="inlineStr">
        <is>
          <t>OCKELBO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46296</v>
      </c>
      <c r="F412" t="inlineStr">
        <is>
          <t>GÄVLEBORGS LÄN</t>
        </is>
      </c>
      <c r="G412" t="inlineStr">
        <is>
          <t>OCKELBO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46296</v>
      </c>
      <c r="F413" t="inlineStr">
        <is>
          <t>GÄVLEBORGS LÄN</t>
        </is>
      </c>
      <c r="G413" t="inlineStr">
        <is>
          <t>OCKELBO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46296</v>
      </c>
      <c r="F414" t="inlineStr">
        <is>
          <t>GÄVLEBORGS LÄN</t>
        </is>
      </c>
      <c r="G414" t="inlineStr">
        <is>
          <t>OCKELBO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46296</v>
      </c>
      <c r="F415" t="inlineStr">
        <is>
          <t>GÄVLEBORGS LÄN</t>
        </is>
      </c>
      <c r="G415" t="inlineStr">
        <is>
          <t>OCKELBO</t>
        </is>
      </c>
      <c r="I415" t="n">
        <v>16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46296</v>
      </c>
      <c r="F416" t="inlineStr">
        <is>
          <t>GÄVLEBORGS LÄN</t>
        </is>
      </c>
      <c r="G416" t="inlineStr">
        <is>
          <t>OCKELBO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46296</v>
      </c>
      <c r="F417" t="inlineStr">
        <is>
          <t>GÄVLEBORGS LÄN</t>
        </is>
      </c>
      <c r="G417" t="inlineStr">
        <is>
          <t>OCKELBO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46296</v>
      </c>
      <c r="F418" t="inlineStr">
        <is>
          <t>GÄVLEBORGS LÄN</t>
        </is>
      </c>
      <c r="G418" t="inlineStr">
        <is>
          <t>OCKELBO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46038</v>
      </c>
      <c r="E419" s="1" t="n">
        <v>46296</v>
      </c>
      <c r="F419" t="inlineStr">
        <is>
          <t>GÄVLEBORGS LÄN</t>
        </is>
      </c>
      <c r="G419" t="inlineStr">
        <is>
          <t>OCKELBO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46296</v>
      </c>
      <c r="F420" t="inlineStr">
        <is>
          <t>GÄVLEBORGS LÄN</t>
        </is>
      </c>
      <c r="G420" t="inlineStr">
        <is>
          <t>OCKELBO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46296</v>
      </c>
      <c r="F421" t="inlineStr">
        <is>
          <t>GÄVLEBORGS LÄN</t>
        </is>
      </c>
      <c r="G421" t="inlineStr">
        <is>
          <t>OCKELBO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46296</v>
      </c>
      <c r="F422" t="inlineStr">
        <is>
          <t>GÄVLEBORGS LÄN</t>
        </is>
      </c>
      <c r="G422" t="inlineStr">
        <is>
          <t>OCKELBO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46296</v>
      </c>
      <c r="F423" t="inlineStr">
        <is>
          <t>GÄVLEBORGS LÄN</t>
        </is>
      </c>
      <c r="G423" t="inlineStr">
        <is>
          <t>OCKELBO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46296</v>
      </c>
      <c r="F424" t="inlineStr">
        <is>
          <t>GÄVLEBORGS LÄN</t>
        </is>
      </c>
      <c r="G424" t="inlineStr">
        <is>
          <t>OCKELBO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46296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46296</v>
      </c>
      <c r="F426" t="inlineStr">
        <is>
          <t>GÄVLEBORGS LÄN</t>
        </is>
      </c>
      <c r="G426" t="inlineStr">
        <is>
          <t>OCKELBO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46296</v>
      </c>
      <c r="F427" t="inlineStr">
        <is>
          <t>GÄVLEBORGS LÄN</t>
        </is>
      </c>
      <c r="G427" t="inlineStr">
        <is>
          <t>OCKELBO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46296</v>
      </c>
      <c r="F428" t="inlineStr">
        <is>
          <t>GÄVLEBORGS LÄN</t>
        </is>
      </c>
      <c r="G428" t="inlineStr">
        <is>
          <t>OCKELBO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46296</v>
      </c>
      <c r="F429" t="inlineStr">
        <is>
          <t>GÄVLEBORGS LÄN</t>
        </is>
      </c>
      <c r="G429" t="inlineStr">
        <is>
          <t>OCKELBO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46049</v>
      </c>
      <c r="E430" s="1" t="n">
        <v>46296</v>
      </c>
      <c r="F430" t="inlineStr">
        <is>
          <t>GÄVLEBORGS LÄN</t>
        </is>
      </c>
      <c r="G430" t="inlineStr">
        <is>
          <t>OCKELBO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46038</v>
      </c>
      <c r="E431" s="1" t="n">
        <v>46296</v>
      </c>
      <c r="F431" t="inlineStr">
        <is>
          <t>GÄVLEBORGS LÄN</t>
        </is>
      </c>
      <c r="G431" t="inlineStr">
        <is>
          <t>OCKELBO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46296</v>
      </c>
      <c r="F432" t="inlineStr">
        <is>
          <t>GÄVLEBORGS LÄN</t>
        </is>
      </c>
      <c r="G432" t="inlineStr">
        <is>
          <t>OCKELBO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46296</v>
      </c>
      <c r="F433" t="inlineStr">
        <is>
          <t>GÄVLEBORGS LÄN</t>
        </is>
      </c>
      <c r="G433" t="inlineStr">
        <is>
          <t>OCKELBO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46296</v>
      </c>
      <c r="F434" t="inlineStr">
        <is>
          <t>GÄVLEBORGS LÄN</t>
        </is>
      </c>
      <c r="G434" t="inlineStr">
        <is>
          <t>OCKELBO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46296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46296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46296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46051</v>
      </c>
      <c r="E438" s="1" t="n">
        <v>46296</v>
      </c>
      <c r="F438" t="inlineStr">
        <is>
          <t>GÄVLEBORGS LÄN</t>
        </is>
      </c>
      <c r="G438" t="inlineStr">
        <is>
          <t>OCKELBO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46296</v>
      </c>
      <c r="F439" t="inlineStr">
        <is>
          <t>GÄVLEBORGS LÄN</t>
        </is>
      </c>
      <c r="G439" t="inlineStr">
        <is>
          <t>OCKELBO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46053</v>
      </c>
      <c r="E440" s="1" t="n">
        <v>46296</v>
      </c>
      <c r="F440" t="inlineStr">
        <is>
          <t>GÄVLEBORGS LÄN</t>
        </is>
      </c>
      <c r="G440" t="inlineStr">
        <is>
          <t>OCKELBO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46052</v>
      </c>
      <c r="E441" s="1" t="n">
        <v>46296</v>
      </c>
      <c r="F441" t="inlineStr">
        <is>
          <t>GÄVLEBORGS LÄN</t>
        </is>
      </c>
      <c r="G441" t="inlineStr">
        <is>
          <t>OCKELBO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46296</v>
      </c>
      <c r="F442" t="inlineStr">
        <is>
          <t>GÄVLEBORGS LÄN</t>
        </is>
      </c>
      <c r="G442" t="inlineStr">
        <is>
          <t>OCKELBO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46296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46296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9.4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46296</v>
      </c>
      <c r="F445" t="inlineStr">
        <is>
          <t>GÄVLEBORGS LÄN</t>
        </is>
      </c>
      <c r="G445" t="inlineStr">
        <is>
          <t>OCKELBO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46296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46296</v>
      </c>
      <c r="F447" t="inlineStr">
        <is>
          <t>GÄVLEBORGS LÄN</t>
        </is>
      </c>
      <c r="G447" t="inlineStr">
        <is>
          <t>OCKELBO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46296</v>
      </c>
      <c r="F448" t="inlineStr">
        <is>
          <t>GÄVLEBORGS LÄN</t>
        </is>
      </c>
      <c r="G448" t="inlineStr">
        <is>
          <t>OCKELBO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46296</v>
      </c>
      <c r="F449" t="inlineStr">
        <is>
          <t>GÄVLEBORGS LÄN</t>
        </is>
      </c>
      <c r="G449" t="inlineStr">
        <is>
          <t>OCKELBO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46296</v>
      </c>
      <c r="F450" t="inlineStr">
        <is>
          <t>GÄVLEBORGS LÄN</t>
        </is>
      </c>
      <c r="G450" t="inlineStr">
        <is>
          <t>OCKELBO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46296</v>
      </c>
      <c r="F451" t="inlineStr">
        <is>
          <t>GÄVLEBORGS LÄN</t>
        </is>
      </c>
      <c r="G451" t="inlineStr">
        <is>
          <t>OCKELBO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46056</v>
      </c>
      <c r="E452" s="1" t="n">
        <v>46296</v>
      </c>
      <c r="F452" t="inlineStr">
        <is>
          <t>GÄVLEBORGS LÄN</t>
        </is>
      </c>
      <c r="G452" t="inlineStr">
        <is>
          <t>OCKELBO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46296</v>
      </c>
      <c r="F453" t="inlineStr">
        <is>
          <t>GÄVLEBORGS LÄN</t>
        </is>
      </c>
      <c r="G453" t="inlineStr">
        <is>
          <t>OCKELBO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46296</v>
      </c>
      <c r="F454" t="inlineStr">
        <is>
          <t>GÄVLEBORGS LÄN</t>
        </is>
      </c>
      <c r="G454" t="inlineStr">
        <is>
          <t>OCKELBO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46296</v>
      </c>
      <c r="F455" t="inlineStr">
        <is>
          <t>GÄVLEBORGS LÄN</t>
        </is>
      </c>
      <c r="G455" t="inlineStr">
        <is>
          <t>OCKELBO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46296</v>
      </c>
      <c r="F456" t="inlineStr">
        <is>
          <t>GÄVLEBORGS LÄN</t>
        </is>
      </c>
      <c r="G456" t="inlineStr">
        <is>
          <t>OCKELBO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46296</v>
      </c>
      <c r="F457" t="inlineStr">
        <is>
          <t>GÄVLEBORGS LÄN</t>
        </is>
      </c>
      <c r="G457" t="inlineStr">
        <is>
          <t>OCKELBO</t>
        </is>
      </c>
      <c r="H457" t="inlineStr">
        <is>
          <t>Kyrkan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46296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46064</v>
      </c>
      <c r="E459" s="1" t="n">
        <v>46296</v>
      </c>
      <c r="F459" t="inlineStr">
        <is>
          <t>GÄVLEBORGS LÄN</t>
        </is>
      </c>
      <c r="G459" t="inlineStr">
        <is>
          <t>OCKELBO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46296</v>
      </c>
      <c r="F460" t="inlineStr">
        <is>
          <t>GÄVLEBORGS LÄN</t>
        </is>
      </c>
      <c r="G460" t="inlineStr">
        <is>
          <t>OCKELBO</t>
        </is>
      </c>
      <c r="I460" t="n">
        <v>17.4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46296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46296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46296</v>
      </c>
      <c r="F463" t="inlineStr">
        <is>
          <t>GÄVLEBORGS LÄN</t>
        </is>
      </c>
      <c r="G463" t="inlineStr">
        <is>
          <t>OCKELBO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46296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46296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46296</v>
      </c>
      <c r="F466" t="inlineStr">
        <is>
          <t>GÄVLEBORGS LÄN</t>
        </is>
      </c>
      <c r="G466" t="inlineStr">
        <is>
          <t>OCKELBO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46296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46296</v>
      </c>
      <c r="F468" t="inlineStr">
        <is>
          <t>GÄVLEBORGS LÄN</t>
        </is>
      </c>
      <c r="G468" t="inlineStr">
        <is>
          <t>OCKELBO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46296</v>
      </c>
      <c r="F469" t="inlineStr">
        <is>
          <t>GÄVLEBORGS LÄN</t>
        </is>
      </c>
      <c r="G469" t="inlineStr">
        <is>
          <t>OCKELBO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46296</v>
      </c>
      <c r="F470" t="inlineStr">
        <is>
          <t>GÄVLEBORGS LÄN</t>
        </is>
      </c>
      <c r="G470" t="inlineStr">
        <is>
          <t>OCKELBO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46296</v>
      </c>
      <c r="F471" t="inlineStr">
        <is>
          <t>GÄVLEBORGS LÄN</t>
        </is>
      </c>
      <c r="G471" t="inlineStr">
        <is>
          <t>OCKELBO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46296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46031</v>
      </c>
      <c r="E473" s="1" t="n">
        <v>46296</v>
      </c>
      <c r="F473" t="inlineStr">
        <is>
          <t>GÄVLEBORGS LÄN</t>
        </is>
      </c>
      <c r="G473" t="inlineStr">
        <is>
          <t>OCKELBO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9675-2026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46296</v>
      </c>
      <c r="F474" t="inlineStr">
        <is>
          <t>GÄVLEBORGS LÄN</t>
        </is>
      </c>
      <c r="G474" t="inlineStr">
        <is>
          <t>OCKELBO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46072</v>
      </c>
      <c r="E475" s="1" t="n">
        <v>46296</v>
      </c>
      <c r="F475" t="inlineStr">
        <is>
          <t>GÄVLEBORGS LÄN</t>
        </is>
      </c>
      <c r="G475" t="inlineStr">
        <is>
          <t>OCKELBO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46296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9732-2026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46296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46296</v>
      </c>
      <c r="F478" t="inlineStr">
        <is>
          <t>GÄVLEBORGS LÄN</t>
        </is>
      </c>
      <c r="G478" t="inlineStr">
        <is>
          <t>OCKELBO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46077</v>
      </c>
      <c r="E479" s="1" t="n">
        <v>46296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46078</v>
      </c>
      <c r="E480" s="1" t="n">
        <v>46296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46077</v>
      </c>
      <c r="E481" s="1" t="n">
        <v>46296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öst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10454-2026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46296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46296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öst AB</t>
        </is>
      </c>
      <c r="I483" t="n">
        <v>45.7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46296</v>
      </c>
      <c r="F484" t="inlineStr">
        <is>
          <t>GÄVLEBORGS LÄN</t>
        </is>
      </c>
      <c r="G484" t="inlineStr">
        <is>
          <t>OCKELBO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46296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46296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46077</v>
      </c>
      <c r="E487" s="1" t="n">
        <v>46296</v>
      </c>
      <c r="F487" t="inlineStr">
        <is>
          <t>GÄVLEBORGS LÄN</t>
        </is>
      </c>
      <c r="G487" t="inlineStr">
        <is>
          <t>OCKELBO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46296</v>
      </c>
      <c r="F488" t="inlineStr">
        <is>
          <t>GÄVLEBORGS LÄN</t>
        </is>
      </c>
      <c r="G488" t="inlineStr">
        <is>
          <t>OCKELBO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46296</v>
      </c>
      <c r="F489" t="inlineStr">
        <is>
          <t>GÄVLEBORGS LÄN</t>
        </is>
      </c>
      <c r="G489" t="inlineStr">
        <is>
          <t>OCKELBO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46080</v>
      </c>
      <c r="E490" s="1" t="n">
        <v>46296</v>
      </c>
      <c r="F490" t="inlineStr">
        <is>
          <t>GÄVLEBORGS LÄN</t>
        </is>
      </c>
      <c r="G490" t="inlineStr">
        <is>
          <t>OCKELBO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46080</v>
      </c>
      <c r="E491" s="1" t="n">
        <v>46296</v>
      </c>
      <c r="F491" t="inlineStr">
        <is>
          <t>GÄVLEBORGS LÄN</t>
        </is>
      </c>
      <c r="G491" t="inlineStr">
        <is>
          <t>OCKELBO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46296</v>
      </c>
      <c r="F492" t="inlineStr">
        <is>
          <t>GÄVLEBORGS LÄN</t>
        </is>
      </c>
      <c r="G492" t="inlineStr">
        <is>
          <t>OCKELBO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18326-2026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46126</v>
      </c>
      <c r="E493" s="1" t="n">
        <v>46296</v>
      </c>
      <c r="F493" t="inlineStr">
        <is>
          <t>GÄVLEBORGS LÄN</t>
        </is>
      </c>
      <c r="G493" t="inlineStr">
        <is>
          <t>OCKELBO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46296</v>
      </c>
      <c r="F494" t="inlineStr">
        <is>
          <t>GÄVLEBORGS LÄN</t>
        </is>
      </c>
      <c r="G494" t="inlineStr">
        <is>
          <t>OCKELBO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11432-2026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46296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46296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öst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11810-2026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46085</v>
      </c>
      <c r="E497" s="1" t="n">
        <v>46296</v>
      </c>
      <c r="F497" t="inlineStr">
        <is>
          <t>GÄVLEBORGS LÄN</t>
        </is>
      </c>
      <c r="G497" t="inlineStr">
        <is>
          <t>OCKELBO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46087</v>
      </c>
      <c r="E498" s="1" t="n">
        <v>46296</v>
      </c>
      <c r="F498" t="inlineStr">
        <is>
          <t>GÄVLEBORGS LÄN</t>
        </is>
      </c>
      <c r="G498" t="inlineStr">
        <is>
          <t>OCKELBO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46089</v>
      </c>
      <c r="E499" s="1" t="n">
        <v>46296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29.9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12807-2026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46296</v>
      </c>
      <c r="F500" t="inlineStr">
        <is>
          <t>GÄVLEBORGS LÄN</t>
        </is>
      </c>
      <c r="G500" t="inlineStr">
        <is>
          <t>OCKELBO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46091</v>
      </c>
      <c r="E501" s="1" t="n">
        <v>46296</v>
      </c>
      <c r="F501" t="inlineStr">
        <is>
          <t>GÄVLEBORGS LÄN</t>
        </is>
      </c>
      <c r="G501" t="inlineStr">
        <is>
          <t>OCKELBO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46296</v>
      </c>
      <c r="F502" t="inlineStr">
        <is>
          <t>GÄVLEBORGS LÄN</t>
        </is>
      </c>
      <c r="G502" t="inlineStr">
        <is>
          <t>OCKELBO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46296</v>
      </c>
      <c r="F503" t="inlineStr">
        <is>
          <t>GÄVLEBORGS LÄN</t>
        </is>
      </c>
      <c r="G503" t="inlineStr">
        <is>
          <t>OCKELBO</t>
        </is>
      </c>
      <c r="H503" t="inlineStr">
        <is>
          <t>Naturvårdsverket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46296</v>
      </c>
      <c r="F504" t="inlineStr">
        <is>
          <t>GÄVLEBORGS LÄN</t>
        </is>
      </c>
      <c r="G504" t="inlineStr">
        <is>
          <t>OCKELBO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46296</v>
      </c>
      <c r="F505" t="inlineStr">
        <is>
          <t>GÄVLEBORGS LÄN</t>
        </is>
      </c>
      <c r="G505" t="inlineStr">
        <is>
          <t>OCKELBO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46296</v>
      </c>
      <c r="F506" t="inlineStr">
        <is>
          <t>GÄVLEBORGS LÄN</t>
        </is>
      </c>
      <c r="G506" t="inlineStr">
        <is>
          <t>OCKELBO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46296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46296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46296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46296</v>
      </c>
      <c r="F510" t="inlineStr">
        <is>
          <t>GÄVLEBORGS LÄN</t>
        </is>
      </c>
      <c r="G510" t="inlineStr">
        <is>
          <t>OCKELBO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12947-2026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46092</v>
      </c>
      <c r="E511" s="1" t="n">
        <v>46296</v>
      </c>
      <c r="F511" t="inlineStr">
        <is>
          <t>GÄVLEBORGS LÄN</t>
        </is>
      </c>
      <c r="G511" t="inlineStr">
        <is>
          <t>OCKELBO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46296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46296</v>
      </c>
      <c r="F513" t="inlineStr">
        <is>
          <t>GÄVLEBORGS LÄN</t>
        </is>
      </c>
      <c r="G513" t="inlineStr">
        <is>
          <t>OCKELBO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46296</v>
      </c>
      <c r="F514" t="inlineStr">
        <is>
          <t>GÄVLEBORGS LÄN</t>
        </is>
      </c>
      <c r="G514" t="inlineStr">
        <is>
          <t>OCKELBO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46296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46296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46296</v>
      </c>
      <c r="F517" t="inlineStr">
        <is>
          <t>GÄVLEBORGS LÄN</t>
        </is>
      </c>
      <c r="G517" t="inlineStr">
        <is>
          <t>OCKELBO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46100</v>
      </c>
      <c r="E518" s="1" t="n">
        <v>46296</v>
      </c>
      <c r="F518" t="inlineStr">
        <is>
          <t>GÄVLEBORGS LÄN</t>
        </is>
      </c>
      <c r="G518" t="inlineStr">
        <is>
          <t>OCKELBO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46296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15018-2026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46296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46296</v>
      </c>
      <c r="F521" t="inlineStr">
        <is>
          <t>GÄVLEBORGS LÄN</t>
        </is>
      </c>
      <c r="G521" t="inlineStr">
        <is>
          <t>OCKELBO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46296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46296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15029-2026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46296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46296</v>
      </c>
      <c r="F525" t="inlineStr">
        <is>
          <t>GÄVLEBORGS LÄN</t>
        </is>
      </c>
      <c r="G525" t="inlineStr">
        <is>
          <t>OCKELBO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46296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14756-2026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46101</v>
      </c>
      <c r="E527" s="1" t="n">
        <v>46296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46106</v>
      </c>
      <c r="E528" s="1" t="n">
        <v>46296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15575-2026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46106</v>
      </c>
      <c r="E529" s="1" t="n">
        <v>46296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15572-2026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46296</v>
      </c>
      <c r="F530" t="inlineStr">
        <is>
          <t>GÄVLEBORGS LÄN</t>
        </is>
      </c>
      <c r="G530" t="inlineStr">
        <is>
          <t>OCKELBO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46099</v>
      </c>
      <c r="E531" s="1" t="n">
        <v>46296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46099</v>
      </c>
      <c r="E532" s="1" t="n">
        <v>46296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46105</v>
      </c>
      <c r="E533" s="1" t="n">
        <v>46296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öst AB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46296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46296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16006-2026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46108</v>
      </c>
      <c r="E536" s="1" t="n">
        <v>46296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9.699999999999999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16054-2026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46108</v>
      </c>
      <c r="E537" s="1" t="n">
        <v>46296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46296</v>
      </c>
      <c r="F538" t="inlineStr">
        <is>
          <t>GÄVLEBORGS LÄN</t>
        </is>
      </c>
      <c r="G538" t="inlineStr">
        <is>
          <t>OCKELBO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46296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46296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46296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46296</v>
      </c>
      <c r="F542" t="inlineStr">
        <is>
          <t>GÄVLEBORGS LÄN</t>
        </is>
      </c>
      <c r="G542" t="inlineStr">
        <is>
          <t>OCKELBO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16981-2026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46114</v>
      </c>
      <c r="E543" s="1" t="n">
        <v>46296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9.4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46114</v>
      </c>
      <c r="E544" s="1" t="n">
        <v>46296</v>
      </c>
      <c r="F544" t="inlineStr">
        <is>
          <t>GÄVLEBORGS LÄN</t>
        </is>
      </c>
      <c r="G544" t="inlineStr">
        <is>
          <t>OCKELBO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46296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16989-2026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46114</v>
      </c>
      <c r="E546" s="1" t="n">
        <v>46296</v>
      </c>
      <c r="F546" t="inlineStr">
        <is>
          <t>GÄVLEBORGS LÄN</t>
        </is>
      </c>
      <c r="G546" t="inlineStr">
        <is>
          <t>OCKELBO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46296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46296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öst AB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46296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öst AB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46296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öst AB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46296</v>
      </c>
      <c r="F551" t="inlineStr">
        <is>
          <t>GÄVLEBORGS LÄN</t>
        </is>
      </c>
      <c r="G551" t="inlineStr">
        <is>
          <t>OCKELBO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46296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öst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46296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46118</v>
      </c>
      <c r="E554" s="1" t="n">
        <v>46296</v>
      </c>
      <c r="F554" t="inlineStr">
        <is>
          <t>GÄVLEBORGS LÄN</t>
        </is>
      </c>
      <c r="G554" t="inlineStr">
        <is>
          <t>OCKELBO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46296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öst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17709-2026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46296</v>
      </c>
      <c r="F556" t="inlineStr">
        <is>
          <t>GÄVLEBORGS LÄN</t>
        </is>
      </c>
      <c r="G556" t="inlineStr">
        <is>
          <t>OCKELBO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46121</v>
      </c>
      <c r="E557" s="1" t="n">
        <v>46296</v>
      </c>
      <c r="F557" t="inlineStr">
        <is>
          <t>GÄVLEBORGS LÄN</t>
        </is>
      </c>
      <c r="G557" t="inlineStr">
        <is>
          <t>OCKELBO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17600-2026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46296</v>
      </c>
      <c r="F558" t="inlineStr">
        <is>
          <t>GÄVLEBORGS LÄN</t>
        </is>
      </c>
      <c r="G558" t="inlineStr">
        <is>
          <t>OCKELBO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5240-2026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46049</v>
      </c>
      <c r="E559" s="1" t="n">
        <v>46296</v>
      </c>
      <c r="F559" t="inlineStr">
        <is>
          <t>GÄVLEBORGS LÄN</t>
        </is>
      </c>
      <c r="G559" t="inlineStr">
        <is>
          <t>OCKELBO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18133-2026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46125</v>
      </c>
      <c r="E560" s="1" t="n">
        <v>46296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46296</v>
      </c>
      <c r="F561" t="inlineStr">
        <is>
          <t>GÄVLEBORGS LÄN</t>
        </is>
      </c>
      <c r="G561" t="inlineStr">
        <is>
          <t>OCKELBO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46296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46296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46127</v>
      </c>
      <c r="E564" s="1" t="n">
        <v>46296</v>
      </c>
      <c r="F564" t="inlineStr">
        <is>
          <t>GÄVLEBORGS LÄN</t>
        </is>
      </c>
      <c r="G564" t="inlineStr">
        <is>
          <t>OCKELBO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46105</v>
      </c>
      <c r="E565" s="1" t="n">
        <v>46296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46127</v>
      </c>
      <c r="E566" s="1" t="n">
        <v>46296</v>
      </c>
      <c r="F566" t="inlineStr">
        <is>
          <t>GÄVLEBORGS LÄN</t>
        </is>
      </c>
      <c r="G566" t="inlineStr">
        <is>
          <t>OCKELBO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16572-2026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46296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46296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16530-2026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46112</v>
      </c>
      <c r="E569" s="1" t="n">
        <v>46296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46128</v>
      </c>
      <c r="E570" s="1" t="n">
        <v>46296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46296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öst AB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46296</v>
      </c>
      <c r="F572" t="inlineStr">
        <is>
          <t>GÄVLEBORGS LÄN</t>
        </is>
      </c>
      <c r="G572" t="inlineStr">
        <is>
          <t>OCKELBO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46296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46296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46296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46296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46296</v>
      </c>
      <c r="F577" t="inlineStr">
        <is>
          <t>GÄVLEBORGS LÄN</t>
        </is>
      </c>
      <c r="G577" t="inlineStr">
        <is>
          <t>OCKELBO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46296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46296</v>
      </c>
      <c r="F579" t="inlineStr">
        <is>
          <t>GÄVLEBORGS LÄN</t>
        </is>
      </c>
      <c r="G579" t="inlineStr">
        <is>
          <t>OCKELBO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46296</v>
      </c>
      <c r="F580" t="inlineStr">
        <is>
          <t>GÄVLEBORGS LÄN</t>
        </is>
      </c>
      <c r="G580" t="inlineStr">
        <is>
          <t>OCKELBO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46296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46296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46296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19491-2026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46296</v>
      </c>
      <c r="F584" t="inlineStr">
        <is>
          <t>GÄVLEBORGS LÄN</t>
        </is>
      </c>
      <c r="G584" t="inlineStr">
        <is>
          <t>OCKELBO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19603-2026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46296</v>
      </c>
      <c r="F585" t="inlineStr">
        <is>
          <t>GÄVLEBORGS LÄN</t>
        </is>
      </c>
      <c r="G585" t="inlineStr">
        <is>
          <t>OCKELBO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17117-2026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46296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46119</v>
      </c>
      <c r="E587" s="1" t="n">
        <v>46296</v>
      </c>
      <c r="F587" t="inlineStr">
        <is>
          <t>GÄVLEBORGS LÄN</t>
        </is>
      </c>
      <c r="G587" t="inlineStr">
        <is>
          <t>OCKELBO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19431-2026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46296</v>
      </c>
      <c r="F588" t="inlineStr">
        <is>
          <t>GÄVLEBORGS LÄN</t>
        </is>
      </c>
      <c r="G588" t="inlineStr">
        <is>
          <t>OCKELBO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46296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46296</v>
      </c>
      <c r="F590" t="inlineStr">
        <is>
          <t>GÄVLEBORGS LÄN</t>
        </is>
      </c>
      <c r="G590" t="inlineStr">
        <is>
          <t>OCKELBO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8343-2026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46064</v>
      </c>
      <c r="E591" s="1" t="n">
        <v>46296</v>
      </c>
      <c r="F591" t="inlineStr">
        <is>
          <t>GÄVLEBORGS LÄN</t>
        </is>
      </c>
      <c r="G591" t="inlineStr">
        <is>
          <t>OCKELBO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46137</v>
      </c>
      <c r="E592" s="1" t="n">
        <v>46296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25404-2025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46296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46296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46296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50742-2025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45946</v>
      </c>
      <c r="E596" s="1" t="n">
        <v>46296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15694-2022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44663</v>
      </c>
      <c r="E597" s="1" t="n">
        <v>46296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46316-2025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45925</v>
      </c>
      <c r="E598" s="1" t="n">
        <v>46296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46296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9.1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46055</v>
      </c>
      <c r="E600" s="1" t="n">
        <v>46296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46029</v>
      </c>
      <c r="E601" s="1" t="n">
        <v>46296</v>
      </c>
      <c r="F601" t="inlineStr">
        <is>
          <t>GÄVLEBORGS LÄN</t>
        </is>
      </c>
      <c r="G601" t="inlineStr">
        <is>
          <t>OCKELBO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36604-2025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45870</v>
      </c>
      <c r="E602" s="1" t="n">
        <v>46296</v>
      </c>
      <c r="F602" t="inlineStr">
        <is>
          <t>GÄVLEBORGS LÄN</t>
        </is>
      </c>
      <c r="G602" t="inlineStr">
        <is>
          <t>OCKELBO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46050</v>
      </c>
      <c r="E603" s="1" t="n">
        <v>46296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45656</v>
      </c>
      <c r="E604" s="1" t="n">
        <v>46296</v>
      </c>
      <c r="F604" t="inlineStr">
        <is>
          <t>GÄVLEBORGS LÄN</t>
        </is>
      </c>
      <c r="G604" t="inlineStr">
        <is>
          <t>OCKELBO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20149-2026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46137</v>
      </c>
      <c r="E605" s="1" t="n">
        <v>46296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46137</v>
      </c>
      <c r="E606" s="1" t="n">
        <v>46296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46296</v>
      </c>
      <c r="F607" t="inlineStr">
        <is>
          <t>GÄVLEBORGS LÄN</t>
        </is>
      </c>
      <c r="G607" t="inlineStr">
        <is>
          <t>OCKELBO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46296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46296</v>
      </c>
      <c r="F609" t="inlineStr">
        <is>
          <t>GÄVLEBORGS LÄN</t>
        </is>
      </c>
      <c r="G609" t="inlineStr">
        <is>
          <t>OCKELBO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46296</v>
      </c>
      <c r="F610" t="inlineStr">
        <is>
          <t>GÄVLEBORGS LÄN</t>
        </is>
      </c>
      <c r="G610" t="inlineStr">
        <is>
          <t>OCKELBO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46296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61335-2022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46296</v>
      </c>
      <c r="F612" t="inlineStr">
        <is>
          <t>GÄVLEBORGS LÄN</t>
        </is>
      </c>
      <c r="G612" t="inlineStr">
        <is>
          <t>OCKELBO</t>
        </is>
      </c>
      <c r="I612" t="n">
        <v>8.5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45821</v>
      </c>
      <c r="E613" s="1" t="n">
        <v>46296</v>
      </c>
      <c r="F613" t="inlineStr">
        <is>
          <t>GÄVLEBORGS LÄN</t>
        </is>
      </c>
      <c r="G613" t="inlineStr">
        <is>
          <t>OCKELBO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46036</v>
      </c>
      <c r="E614" s="1" t="n">
        <v>46296</v>
      </c>
      <c r="F614" t="inlineStr">
        <is>
          <t>GÄVLEBORGS LÄN</t>
        </is>
      </c>
      <c r="G614" t="inlineStr">
        <is>
          <t>OCKELBO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63977-2025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46021</v>
      </c>
      <c r="E615" s="1" t="n">
        <v>46296</v>
      </c>
      <c r="F615" t="inlineStr">
        <is>
          <t>GÄVLEBORGS LÄN</t>
        </is>
      </c>
      <c r="G615" t="inlineStr">
        <is>
          <t>OCKELBO</t>
        </is>
      </c>
      <c r="I615" t="n">
        <v>18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20251-2026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46139</v>
      </c>
      <c r="E616" s="1" t="n">
        <v>46296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15739-2026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46296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19924-2026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46296</v>
      </c>
      <c r="F618" t="inlineStr">
        <is>
          <t>GÄVLEBORGS LÄN</t>
        </is>
      </c>
      <c r="G618" t="inlineStr">
        <is>
          <t>OCKELBO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46136</v>
      </c>
      <c r="E619" s="1" t="n">
        <v>46296</v>
      </c>
      <c r="F619" t="inlineStr">
        <is>
          <t>GÄVLEBORGS LÄN</t>
        </is>
      </c>
      <c r="G619" t="inlineStr">
        <is>
          <t>OCKELBO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46296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46138</v>
      </c>
      <c r="E621" s="1" t="n">
        <v>46296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46296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46065</v>
      </c>
      <c r="E623" s="1" t="n">
        <v>46296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8662-2025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45712</v>
      </c>
      <c r="E624" s="1" t="n">
        <v>46296</v>
      </c>
      <c r="F624" t="inlineStr">
        <is>
          <t>GÄVLEBORGS LÄN</t>
        </is>
      </c>
      <c r="G624" t="inlineStr">
        <is>
          <t>OCKELBO</t>
        </is>
      </c>
      <c r="I624" t="n">
        <v>14.7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46296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33079-2025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45840</v>
      </c>
      <c r="E626" s="1" t="n">
        <v>46296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46296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27997-2025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45817</v>
      </c>
      <c r="E628" s="1" t="n">
        <v>46296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20604-2026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46140</v>
      </c>
      <c r="E629" s="1" t="n">
        <v>46296</v>
      </c>
      <c r="F629" t="inlineStr">
        <is>
          <t>GÄVLEBORGS LÄN</t>
        </is>
      </c>
      <c r="G629" t="inlineStr">
        <is>
          <t>OCKELBO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46296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46064</v>
      </c>
      <c r="E631" s="1" t="n">
        <v>46296</v>
      </c>
      <c r="F631" t="inlineStr">
        <is>
          <t>GÄVLEBORGS LÄN</t>
        </is>
      </c>
      <c r="G631" t="inlineStr">
        <is>
          <t>OCKELBO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46296</v>
      </c>
      <c r="F632" t="inlineStr">
        <is>
          <t>GÄVLEBORGS LÄN</t>
        </is>
      </c>
      <c r="G632" t="inlineStr">
        <is>
          <t>OCKELBO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46296</v>
      </c>
      <c r="F633" t="inlineStr">
        <is>
          <t>GÄVLEBORGS LÄN</t>
        </is>
      </c>
      <c r="G633" t="inlineStr">
        <is>
          <t>OCKELBO</t>
        </is>
      </c>
      <c r="I633" t="n">
        <v>11.9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46296</v>
      </c>
      <c r="F634" t="inlineStr">
        <is>
          <t>GÄVLEBORGS LÄN</t>
        </is>
      </c>
      <c r="G634" t="inlineStr">
        <is>
          <t>OCKELBO</t>
        </is>
      </c>
      <c r="I634" t="n">
        <v>36.1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20467-2026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46140</v>
      </c>
      <c r="E635" s="1" t="n">
        <v>46296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20571-2026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46140</v>
      </c>
      <c r="E636" s="1" t="n">
        <v>46296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46296</v>
      </c>
      <c r="F637" t="inlineStr">
        <is>
          <t>GÄVLEBORGS LÄN</t>
        </is>
      </c>
      <c r="G637" t="inlineStr">
        <is>
          <t>OCKELBO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45111</v>
      </c>
      <c r="E638" s="1" t="n">
        <v>46296</v>
      </c>
      <c r="F638" t="inlineStr">
        <is>
          <t>GÄVLEBORGS LÄN</t>
        </is>
      </c>
      <c r="G638" t="inlineStr">
        <is>
          <t>OCKELBO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46027</v>
      </c>
      <c r="E639" s="1" t="n">
        <v>46296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46296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46042</v>
      </c>
      <c r="E641" s="1" t="n">
        <v>46296</v>
      </c>
      <c r="F641" t="inlineStr">
        <is>
          <t>GÄVLEBORGS LÄN</t>
        </is>
      </c>
      <c r="G641" t="inlineStr">
        <is>
          <t>OCKELBO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7907-2026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46296</v>
      </c>
      <c r="F642" t="inlineStr">
        <is>
          <t>GÄVLEBORGS LÄN</t>
        </is>
      </c>
      <c r="G642" t="inlineStr">
        <is>
          <t>OCKELBO</t>
        </is>
      </c>
      <c r="I642" t="n">
        <v>11.5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20502-2026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46296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20641-2026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46141</v>
      </c>
      <c r="E644" s="1" t="n">
        <v>46296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9401-2026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46296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29953-2024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45488</v>
      </c>
      <c r="E646" s="1" t="n">
        <v>46296</v>
      </c>
      <c r="F646" t="inlineStr">
        <is>
          <t>GÄVLEBORGS LÄN</t>
        </is>
      </c>
      <c r="G646" t="inlineStr">
        <is>
          <t>OCKELBO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13857-2026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46098</v>
      </c>
      <c r="E647" s="1" t="n">
        <v>46296</v>
      </c>
      <c r="F647" t="inlineStr">
        <is>
          <t>GÄVLEBORGS LÄN</t>
        </is>
      </c>
      <c r="G647" t="inlineStr">
        <is>
          <t>OCKELBO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34792-2024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45526</v>
      </c>
      <c r="E648" s="1" t="n">
        <v>46296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20469-2026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46296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11116-2026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46079</v>
      </c>
      <c r="E650" s="1" t="n">
        <v>46296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46125</v>
      </c>
      <c r="E651" s="1" t="n">
        <v>46296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46091</v>
      </c>
      <c r="E652" s="1" t="n">
        <v>46296</v>
      </c>
      <c r="F652" t="inlineStr">
        <is>
          <t>GÄVLEBORGS LÄN</t>
        </is>
      </c>
      <c r="G652" t="inlineStr">
        <is>
          <t>OCKELBO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46029</v>
      </c>
      <c r="E653" s="1" t="n">
        <v>46296</v>
      </c>
      <c r="F653" t="inlineStr">
        <is>
          <t>GÄVLEBORGS LÄN</t>
        </is>
      </c>
      <c r="G653" t="inlineStr">
        <is>
          <t>OCKELBO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7955-2026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46296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23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46296</v>
      </c>
      <c r="F655" t="inlineStr">
        <is>
          <t>GÄVLEBORGS LÄN</t>
        </is>
      </c>
      <c r="G655" t="inlineStr">
        <is>
          <t>OCKELBO</t>
        </is>
      </c>
      <c r="I655" t="n">
        <v>10.3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46037</v>
      </c>
      <c r="E656" s="1" t="n">
        <v>46296</v>
      </c>
      <c r="F656" t="inlineStr">
        <is>
          <t>GÄVLEBORGS LÄN</t>
        </is>
      </c>
      <c r="G656" t="inlineStr">
        <is>
          <t>OCKELBO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46296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46296</v>
      </c>
      <c r="F658" t="inlineStr">
        <is>
          <t>GÄVLEBORGS LÄN</t>
        </is>
      </c>
      <c r="G658" t="inlineStr">
        <is>
          <t>OCKELBO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46052</v>
      </c>
      <c r="E659" s="1" t="n">
        <v>46296</v>
      </c>
      <c r="F659" t="inlineStr">
        <is>
          <t>GÄVLEBORGS LÄN</t>
        </is>
      </c>
      <c r="G659" t="inlineStr">
        <is>
          <t>OCKELBO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46296</v>
      </c>
      <c r="F660" t="inlineStr">
        <is>
          <t>GÄVLEBORGS LÄN</t>
        </is>
      </c>
      <c r="G660" t="inlineStr">
        <is>
          <t>OCKELBO</t>
        </is>
      </c>
      <c r="I660" t="n">
        <v>9.300000000000001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10489-2026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46077</v>
      </c>
      <c r="E661" s="1" t="n">
        <v>46296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20481-2026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46140</v>
      </c>
      <c r="E662" s="1" t="n">
        <v>46296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7949-2026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46296</v>
      </c>
      <c r="F663" t="inlineStr">
        <is>
          <t>GÄVLEBORGS LÄN</t>
        </is>
      </c>
      <c r="G663" t="inlineStr">
        <is>
          <t>OCKELBO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46142</v>
      </c>
      <c r="E664" s="1" t="n">
        <v>46296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14905-2026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46296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60117-2025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45994</v>
      </c>
      <c r="E666" s="1" t="n">
        <v>46296</v>
      </c>
      <c r="F666" t="inlineStr">
        <is>
          <t>GÄVLEBORGS LÄN</t>
        </is>
      </c>
      <c r="G666" t="inlineStr">
        <is>
          <t>OCKELBO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46296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18549-2026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46127</v>
      </c>
      <c r="E668" s="1" t="n">
        <v>46296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17951-2026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46122</v>
      </c>
      <c r="E669" s="1" t="n">
        <v>46296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18097-2026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46125</v>
      </c>
      <c r="E670" s="1" t="n">
        <v>46296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46296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öst AB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46296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öst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21461-2026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46148</v>
      </c>
      <c r="E673" s="1" t="n">
        <v>46296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21500-2026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46148</v>
      </c>
      <c r="E674" s="1" t="n">
        <v>46296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46296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21640-2026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46149</v>
      </c>
      <c r="E676" s="1" t="n">
        <v>46296</v>
      </c>
      <c r="F676" t="inlineStr">
        <is>
          <t>GÄVLEBORGS LÄN</t>
        </is>
      </c>
      <c r="G676" t="inlineStr">
        <is>
          <t>OCKELBO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21459-2026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46148</v>
      </c>
      <c r="E677" s="1" t="n">
        <v>46296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46296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46296</v>
      </c>
      <c r="F679" t="inlineStr">
        <is>
          <t>GÄVLEBORGS LÄN</t>
        </is>
      </c>
      <c r="G679" t="inlineStr">
        <is>
          <t>OCKELBO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46119</v>
      </c>
      <c r="E680" s="1" t="n">
        <v>46296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8865-2026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46066</v>
      </c>
      <c r="E681" s="1" t="n">
        <v>46296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46296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46296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9.1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46296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22057-2026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46153</v>
      </c>
      <c r="E685" s="1" t="n">
        <v>46296</v>
      </c>
      <c r="F685" t="inlineStr">
        <is>
          <t>GÄVLEBORGS LÄN</t>
        </is>
      </c>
      <c r="G685" t="inlineStr">
        <is>
          <t>OCKELBO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58718-2025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45986</v>
      </c>
      <c r="E686" s="1" t="n">
        <v>46296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46296</v>
      </c>
      <c r="F687" t="inlineStr">
        <is>
          <t>GÄVLEBORGS LÄN</t>
        </is>
      </c>
      <c r="G687" t="inlineStr">
        <is>
          <t>OCKELBO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46609-2025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45926</v>
      </c>
      <c r="E688" s="1" t="n">
        <v>46296</v>
      </c>
      <c r="F688" t="inlineStr">
        <is>
          <t>GÄVLEBORGS LÄN</t>
        </is>
      </c>
      <c r="G688" t="inlineStr">
        <is>
          <t>OCKELBO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22569-2026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46155</v>
      </c>
      <c r="E689" s="1" t="n">
        <v>46296</v>
      </c>
      <c r="F689" t="inlineStr">
        <is>
          <t>GÄVLEBORGS LÄN</t>
        </is>
      </c>
      <c r="G689" t="inlineStr">
        <is>
          <t>OCKELBO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22329-2026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46154</v>
      </c>
      <c r="E690" s="1" t="n">
        <v>46296</v>
      </c>
      <c r="F690" t="inlineStr">
        <is>
          <t>GÄVLEBORGS LÄN</t>
        </is>
      </c>
      <c r="G690" t="inlineStr">
        <is>
          <t>OCKELBO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46155</v>
      </c>
      <c r="E691" s="1" t="n">
        <v>46296</v>
      </c>
      <c r="F691" t="inlineStr">
        <is>
          <t>GÄVLEBORGS LÄN</t>
        </is>
      </c>
      <c r="G691" t="inlineStr">
        <is>
          <t>OCKELBO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46296</v>
      </c>
      <c r="F692" t="inlineStr">
        <is>
          <t>GÄVLEBORGS LÄN</t>
        </is>
      </c>
      <c r="G692" t="inlineStr">
        <is>
          <t>OCKELBO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46119</v>
      </c>
      <c r="E693" s="1" t="n">
        <v>46296</v>
      </c>
      <c r="F693" t="inlineStr">
        <is>
          <t>GÄVLEBORGS LÄN</t>
        </is>
      </c>
      <c r="G693" t="inlineStr">
        <is>
          <t>OCKELBO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46296</v>
      </c>
      <c r="F694" t="inlineStr">
        <is>
          <t>GÄVLEBORGS LÄN</t>
        </is>
      </c>
      <c r="G694" t="inlineStr">
        <is>
          <t>OCKELBO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43071-2025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45909</v>
      </c>
      <c r="E695" s="1" t="n">
        <v>46296</v>
      </c>
      <c r="F695" t="inlineStr">
        <is>
          <t>GÄVLEBORGS LÄN</t>
        </is>
      </c>
      <c r="G695" t="inlineStr">
        <is>
          <t>OCKELBO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22594-2026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46296</v>
      </c>
      <c r="F696" t="inlineStr">
        <is>
          <t>GÄVLEBORGS LÄN</t>
        </is>
      </c>
      <c r="G696" t="inlineStr">
        <is>
          <t>OCKELBO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15034-2026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46104</v>
      </c>
      <c r="E697" s="1" t="n">
        <v>46296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12352-2026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46088</v>
      </c>
      <c r="E698" s="1" t="n">
        <v>46296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46044</v>
      </c>
      <c r="E699" s="1" t="n">
        <v>46296</v>
      </c>
      <c r="F699" t="inlineStr">
        <is>
          <t>GÄVLEBORGS LÄN</t>
        </is>
      </c>
      <c r="G699" t="inlineStr">
        <is>
          <t>OCKELBO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46049</v>
      </c>
      <c r="E700" s="1" t="n">
        <v>46296</v>
      </c>
      <c r="F700" t="inlineStr">
        <is>
          <t>GÄVLEBORGS LÄN</t>
        </is>
      </c>
      <c r="G700" t="inlineStr">
        <is>
          <t>OCKELBO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46093</v>
      </c>
      <c r="E701" s="1" t="n">
        <v>46296</v>
      </c>
      <c r="F701" t="inlineStr">
        <is>
          <t>GÄVLEBORGS LÄN</t>
        </is>
      </c>
      <c r="G701" t="inlineStr">
        <is>
          <t>OCKELBO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46296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60122-2025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45994</v>
      </c>
      <c r="E703" s="1" t="n">
        <v>46296</v>
      </c>
      <c r="F703" t="inlineStr">
        <is>
          <t>GÄVLEBORGS LÄN</t>
        </is>
      </c>
      <c r="G703" t="inlineStr">
        <is>
          <t>OCKELBO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60120-2025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45994</v>
      </c>
      <c r="E704" s="1" t="n">
        <v>46296</v>
      </c>
      <c r="F704" t="inlineStr">
        <is>
          <t>GÄVLEBORGS LÄN</t>
        </is>
      </c>
      <c r="G704" t="inlineStr">
        <is>
          <t>OCKELBO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22712-2026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46156</v>
      </c>
      <c r="E705" s="1" t="n">
        <v>46296</v>
      </c>
      <c r="F705" t="inlineStr">
        <is>
          <t>GÄVLEBORGS LÄN</t>
        </is>
      </c>
      <c r="G705" t="inlineStr">
        <is>
          <t>OCKELBO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46122</v>
      </c>
      <c r="E706" s="1" t="n">
        <v>46296</v>
      </c>
      <c r="F706" t="inlineStr">
        <is>
          <t>GÄVLEBORGS LÄN</t>
        </is>
      </c>
      <c r="G706" t="inlineStr">
        <is>
          <t>OCKELBO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46296</v>
      </c>
      <c r="F707" t="inlineStr">
        <is>
          <t>GÄVLEBORGS LÄN</t>
        </is>
      </c>
      <c r="G707" t="inlineStr">
        <is>
          <t>OCKELBO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23040-2026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46161</v>
      </c>
      <c r="E708" s="1" t="n">
        <v>46296</v>
      </c>
      <c r="F708" t="inlineStr">
        <is>
          <t>GÄVLEBORGS LÄN</t>
        </is>
      </c>
      <c r="G708" t="inlineStr">
        <is>
          <t>OCKELBO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23060-2026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46161</v>
      </c>
      <c r="E709" s="1" t="n">
        <v>46296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22843-2026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46160</v>
      </c>
      <c r="E710" s="1" t="n">
        <v>46296</v>
      </c>
      <c r="F710" t="inlineStr">
        <is>
          <t>GÄVLEBORGS LÄN</t>
        </is>
      </c>
      <c r="G710" t="inlineStr">
        <is>
          <t>OCKELBO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23149-2026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46161</v>
      </c>
      <c r="E711" s="1" t="n">
        <v>46296</v>
      </c>
      <c r="F711" t="inlineStr">
        <is>
          <t>GÄVLEBORGS LÄN</t>
        </is>
      </c>
      <c r="G711" t="inlineStr">
        <is>
          <t>OCKELBO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46296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9859-2025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45716</v>
      </c>
      <c r="E713" s="1" t="n">
        <v>46296</v>
      </c>
      <c r="F713" t="inlineStr">
        <is>
          <t>GÄVLEBORGS LÄN</t>
        </is>
      </c>
      <c r="G713" t="inlineStr">
        <is>
          <t>OCKELBO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23663-2026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46164</v>
      </c>
      <c r="E714" s="1" t="n">
        <v>46296</v>
      </c>
      <c r="F714" t="inlineStr">
        <is>
          <t>GÄVLEBORGS LÄN</t>
        </is>
      </c>
      <c r="G714" t="inlineStr">
        <is>
          <t>OCKELBO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46296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46296</v>
      </c>
      <c r="F716" t="inlineStr">
        <is>
          <t>GÄVLEBORGS LÄN</t>
        </is>
      </c>
      <c r="G716" t="inlineStr">
        <is>
          <t>OCKELBO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46169</v>
      </c>
      <c r="E717" s="1" t="n">
        <v>46296</v>
      </c>
      <c r="F717" t="inlineStr">
        <is>
          <t>GÄVLEBORGS LÄN</t>
        </is>
      </c>
      <c r="G717" t="inlineStr">
        <is>
          <t>OCKELBO</t>
        </is>
      </c>
      <c r="I717" t="n">
        <v>8.1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46296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46296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46296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46296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46296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46296</v>
      </c>
      <c r="F723" t="inlineStr">
        <is>
          <t>GÄVLEBORGS LÄN</t>
        </is>
      </c>
      <c r="G723" t="inlineStr">
        <is>
          <t>OCKELBO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46296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24569-2026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46170</v>
      </c>
      <c r="E725" s="1" t="n">
        <v>46296</v>
      </c>
      <c r="F725" t="inlineStr">
        <is>
          <t>GÄVLEBORGS LÄN</t>
        </is>
      </c>
      <c r="G725" t="inlineStr">
        <is>
          <t>OCKELBO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46296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46296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24451-2026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46170</v>
      </c>
      <c r="E728" s="1" t="n">
        <v>46296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24598-2026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46170</v>
      </c>
      <c r="E729" s="1" t="n">
        <v>46296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46296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46296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46296</v>
      </c>
      <c r="F732" t="inlineStr">
        <is>
          <t>GÄVLEBORGS LÄN</t>
        </is>
      </c>
      <c r="G732" t="inlineStr">
        <is>
          <t>OCKELBO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46023</v>
      </c>
      <c r="E733" s="1" t="n">
        <v>46296</v>
      </c>
      <c r="F733" t="inlineStr">
        <is>
          <t>GÄVLEBORGS LÄN</t>
        </is>
      </c>
      <c r="G733" t="inlineStr">
        <is>
          <t>OCKELBO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46174</v>
      </c>
      <c r="E734" s="1" t="n">
        <v>46296</v>
      </c>
      <c r="F734" t="inlineStr">
        <is>
          <t>GÄVLEBORGS LÄN</t>
        </is>
      </c>
      <c r="G734" t="inlineStr">
        <is>
          <t>OCKELBO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54944-2025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45967</v>
      </c>
      <c r="E735" s="1" t="n">
        <v>46296</v>
      </c>
      <c r="F735" t="inlineStr">
        <is>
          <t>GÄVLEBORGS LÄN</t>
        </is>
      </c>
      <c r="G735" t="inlineStr">
        <is>
          <t>OCKELBO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46296</v>
      </c>
      <c r="F736" t="inlineStr">
        <is>
          <t>GÄVLEBORGS LÄN</t>
        </is>
      </c>
      <c r="G736" t="inlineStr">
        <is>
          <t>OCKELBO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46296</v>
      </c>
      <c r="F737" t="inlineStr">
        <is>
          <t>GÄVLEBORGS LÄN</t>
        </is>
      </c>
      <c r="G737" t="inlineStr">
        <is>
          <t>OCKELBO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24624-2026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46171</v>
      </c>
      <c r="E738" s="1" t="n">
        <v>46296</v>
      </c>
      <c r="F738" t="inlineStr">
        <is>
          <t>GÄVLEBORGS LÄN</t>
        </is>
      </c>
      <c r="G738" t="inlineStr">
        <is>
          <t>OCKELBO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25128-2026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46175</v>
      </c>
      <c r="E739" s="1" t="n">
        <v>46296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46296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50968-2024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45603</v>
      </c>
      <c r="E741" s="1" t="n">
        <v>46296</v>
      </c>
      <c r="F741" t="inlineStr">
        <is>
          <t>GÄVLEBORGS LÄN</t>
        </is>
      </c>
      <c r="G741" t="inlineStr">
        <is>
          <t>OCKELBO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25525-2026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46296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25599-2026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46177</v>
      </c>
      <c r="E743" s="1" t="n">
        <v>46296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46156</v>
      </c>
      <c r="E744" s="1" t="n">
        <v>46296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26131-2026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46181</v>
      </c>
      <c r="E745" s="1" t="n">
        <v>46296</v>
      </c>
      <c r="F745" t="inlineStr">
        <is>
          <t>GÄVLEBORGS LÄN</t>
        </is>
      </c>
      <c r="G745" t="inlineStr">
        <is>
          <t>OCKELBO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46296</v>
      </c>
      <c r="F746" t="inlineStr">
        <is>
          <t>GÄVLEBORGS LÄN</t>
        </is>
      </c>
      <c r="G746" t="inlineStr">
        <is>
          <t>OCKELBO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46296</v>
      </c>
      <c r="F747" t="inlineStr">
        <is>
          <t>GÄVLEBORGS LÄN</t>
        </is>
      </c>
      <c r="G747" t="inlineStr">
        <is>
          <t>OCKELBO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27231-2026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46296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46188</v>
      </c>
      <c r="E749" s="1" t="n">
        <v>46296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26924-2026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46296</v>
      </c>
      <c r="F750" t="inlineStr">
        <is>
          <t>GÄVLEBORGS LÄN</t>
        </is>
      </c>
      <c r="G750" t="inlineStr">
        <is>
          <t>OCKELBO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46296</v>
      </c>
      <c r="F751" t="inlineStr">
        <is>
          <t>GÄVLEBORGS LÄN</t>
        </is>
      </c>
      <c r="G751" t="inlineStr">
        <is>
          <t>OCKELBO</t>
        </is>
      </c>
      <c r="I751" t="n">
        <v>14.6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26845-2026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46296</v>
      </c>
      <c r="F752" t="inlineStr">
        <is>
          <t>GÄVLEBORGS LÄN</t>
        </is>
      </c>
      <c r="G752" t="inlineStr">
        <is>
          <t>OCKELBO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27562-2026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46190</v>
      </c>
      <c r="E753" s="1" t="n">
        <v>46296</v>
      </c>
      <c r="F753" t="inlineStr">
        <is>
          <t>GÄVLEBORGS LÄN</t>
        </is>
      </c>
      <c r="G753" t="inlineStr">
        <is>
          <t>OCKELBO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57614-2025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45981</v>
      </c>
      <c r="E754" s="1" t="n">
        <v>46296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10184-2026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46296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27620-2026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46296</v>
      </c>
      <c r="F756" t="inlineStr">
        <is>
          <t>GÄVLEBORGS LÄN</t>
        </is>
      </c>
      <c r="G756" t="inlineStr">
        <is>
          <t>OCKELBO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46190</v>
      </c>
      <c r="E757" s="1" t="n">
        <v>46296</v>
      </c>
      <c r="F757" t="inlineStr">
        <is>
          <t>GÄVLEBORGS LÄN</t>
        </is>
      </c>
      <c r="G757" t="inlineStr">
        <is>
          <t>OCKELBO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27630-2026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46190</v>
      </c>
      <c r="E758" s="1" t="n">
        <v>46296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53702-2024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45615</v>
      </c>
      <c r="E759" s="1" t="n">
        <v>46296</v>
      </c>
      <c r="F759" t="inlineStr">
        <is>
          <t>GÄVLEBORGS LÄN</t>
        </is>
      </c>
      <c r="G759" t="inlineStr">
        <is>
          <t>OCKELBO</t>
        </is>
      </c>
      <c r="I759" t="n">
        <v>5.8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27381-2026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46189</v>
      </c>
      <c r="E760" s="1" t="n">
        <v>46296</v>
      </c>
      <c r="F760" t="inlineStr">
        <is>
          <t>GÄVLEBORGS LÄN</t>
        </is>
      </c>
      <c r="G760" t="inlineStr">
        <is>
          <t>OCKELBO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46189</v>
      </c>
      <c r="E761" s="1" t="n">
        <v>46296</v>
      </c>
      <c r="F761" t="inlineStr">
        <is>
          <t>GÄVLEBORGS LÄN</t>
        </is>
      </c>
      <c r="G761" t="inlineStr">
        <is>
          <t>OCKELBO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27416-2026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46189</v>
      </c>
      <c r="E762" s="1" t="n">
        <v>46296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27379-2026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46189</v>
      </c>
      <c r="E763" s="1" t="n">
        <v>46296</v>
      </c>
      <c r="F763" t="inlineStr">
        <is>
          <t>GÄVLEBORGS LÄN</t>
        </is>
      </c>
      <c r="G763" t="inlineStr">
        <is>
          <t>OCKELBO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46189</v>
      </c>
      <c r="E764" s="1" t="n">
        <v>46296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46191</v>
      </c>
      <c r="E765" s="1" t="n">
        <v>46296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46296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46296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46296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46296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27995-2026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46195</v>
      </c>
      <c r="E770" s="1" t="n">
        <v>46296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46296</v>
      </c>
      <c r="F771" t="inlineStr">
        <is>
          <t>GÄVLEBORGS LÄN</t>
        </is>
      </c>
      <c r="G771" t="inlineStr">
        <is>
          <t>OCKELBO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28725-2026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46296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46296</v>
      </c>
      <c r="F773" t="inlineStr">
        <is>
          <t>GÄVLEBORGS LÄN</t>
        </is>
      </c>
      <c r="G773" t="inlineStr">
        <is>
          <t>OCKELBO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29078-2026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46199</v>
      </c>
      <c r="E774" s="1" t="n">
        <v>46296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47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29001-2026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46199</v>
      </c>
      <c r="E775" s="1" t="n">
        <v>46296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46296</v>
      </c>
      <c r="F776" t="inlineStr">
        <is>
          <t>GÄVLEBORGS LÄN</t>
        </is>
      </c>
      <c r="G776" t="inlineStr">
        <is>
          <t>OCKELBO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46296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14827-2026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46104</v>
      </c>
      <c r="E778" s="1" t="n">
        <v>46296</v>
      </c>
      <c r="F778" t="inlineStr">
        <is>
          <t>GÄVLEBORGS LÄN</t>
        </is>
      </c>
      <c r="G778" t="inlineStr">
        <is>
          <t>OCKELBO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29611-2026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46296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29437-2026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46203</v>
      </c>
      <c r="E780" s="1" t="n">
        <v>46296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29386-2026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46203</v>
      </c>
      <c r="E781" s="1" t="n">
        <v>46296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29415-2026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46203</v>
      </c>
      <c r="E782" s="1" t="n">
        <v>46296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46296</v>
      </c>
      <c r="F783" t="inlineStr">
        <is>
          <t>GÄVLEBORGS LÄN</t>
        </is>
      </c>
      <c r="G783" t="inlineStr">
        <is>
          <t>OCKELBO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46296</v>
      </c>
      <c r="F784" t="inlineStr">
        <is>
          <t>GÄVLEBORGS LÄN</t>
        </is>
      </c>
      <c r="G784" t="inlineStr">
        <is>
          <t>OCKELBO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46205</v>
      </c>
      <c r="E785" s="1" t="n">
        <v>46296</v>
      </c>
      <c r="F785" t="inlineStr">
        <is>
          <t>GÄVLEBORGS LÄN</t>
        </is>
      </c>
      <c r="G785" t="inlineStr">
        <is>
          <t>OCKELBO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29835-2026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46296</v>
      </c>
      <c r="F786" t="inlineStr">
        <is>
          <t>GÄVLEBORGS LÄN</t>
        </is>
      </c>
      <c r="G786" t="inlineStr">
        <is>
          <t>OCKELBO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34391-2026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46254</v>
      </c>
      <c r="E787" s="1" t="n">
        <v>46296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31083-2026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46216</v>
      </c>
      <c r="E788" s="1" t="n">
        <v>46296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46296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46296</v>
      </c>
      <c r="F790" t="inlineStr">
        <is>
          <t>GÄVLEBORGS LÄN</t>
        </is>
      </c>
      <c r="G790" t="inlineStr">
        <is>
          <t>OCKELBO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35155-2026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46260</v>
      </c>
      <c r="E791" s="1" t="n">
        <v>46296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46218</v>
      </c>
      <c r="E792" s="1" t="n">
        <v>46296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9461-2026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46296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31443-2026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46220</v>
      </c>
      <c r="E794" s="1" t="n">
        <v>46296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13931-2026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46098</v>
      </c>
      <c r="E795" s="1" t="n">
        <v>46296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58156-2025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45982</v>
      </c>
      <c r="E796" s="1" t="n">
        <v>46296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46267</v>
      </c>
      <c r="E797" s="1" t="n">
        <v>46296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46223</v>
      </c>
      <c r="E798" s="1" t="n">
        <v>46296</v>
      </c>
      <c r="F798" t="inlineStr">
        <is>
          <t>GÄVLEBORGS LÄN</t>
        </is>
      </c>
      <c r="G798" t="inlineStr">
        <is>
          <t>OCKELBO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31517-2026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46223</v>
      </c>
      <c r="E799" s="1" t="n">
        <v>46296</v>
      </c>
      <c r="F799" t="inlineStr">
        <is>
          <t>GÄVLEBORGS LÄN</t>
        </is>
      </c>
      <c r="G799" t="inlineStr">
        <is>
          <t>OCKELBO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31591-2026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46224</v>
      </c>
      <c r="E800" s="1" t="n">
        <v>46296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46223</v>
      </c>
      <c r="E801" s="1" t="n">
        <v>46296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31571-2026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46224</v>
      </c>
      <c r="E802" s="1" t="n">
        <v>46296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36280-2026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46268</v>
      </c>
      <c r="E803" s="1" t="n">
        <v>46296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46269</v>
      </c>
      <c r="E804" s="1" t="n">
        <v>46296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46296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36380-2026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46268</v>
      </c>
      <c r="E806" s="1" t="n">
        <v>46296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46296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46232</v>
      </c>
      <c r="E808" s="1" t="n">
        <v>46296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37321-2026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46275</v>
      </c>
      <c r="E809" s="1" t="n">
        <v>46296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46296</v>
      </c>
      <c r="F810" t="inlineStr">
        <is>
          <t>GÄVLEBORGS LÄN</t>
        </is>
      </c>
      <c r="G810" t="inlineStr">
        <is>
          <t>OCKELBO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46275</v>
      </c>
      <c r="E811" s="1" t="n">
        <v>46296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20605-2026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46140</v>
      </c>
      <c r="E812" s="1" t="n">
        <v>46296</v>
      </c>
      <c r="F812" t="inlineStr">
        <is>
          <t>GÄVLEBORGS LÄN</t>
        </is>
      </c>
      <c r="G812" t="inlineStr">
        <is>
          <t>OCKELBO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46279</v>
      </c>
      <c r="E813" s="1" t="n">
        <v>46296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20408-2026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46140</v>
      </c>
      <c r="E814" s="1" t="n">
        <v>46296</v>
      </c>
      <c r="F814" t="inlineStr">
        <is>
          <t>GÄVLEBORGS LÄN</t>
        </is>
      </c>
      <c r="G814" t="inlineStr">
        <is>
          <t>OCKELBO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38648-2026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46283</v>
      </c>
      <c r="E815" s="1" t="n">
        <v>46296</v>
      </c>
      <c r="F815" t="inlineStr">
        <is>
          <t>GÄVLEBORGS LÄN</t>
        </is>
      </c>
      <c r="G815" t="inlineStr">
        <is>
          <t>OCKELBO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38668-2026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46283</v>
      </c>
      <c r="E816" s="1" t="n">
        <v>46296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5887-2026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46296</v>
      </c>
      <c r="F817" t="inlineStr">
        <is>
          <t>GÄVLEBORGS LÄN</t>
        </is>
      </c>
      <c r="G817" t="inlineStr">
        <is>
          <t>OCKELBO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39681-2026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46289</v>
      </c>
      <c r="E818" s="1" t="n">
        <v>46296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46245</v>
      </c>
      <c r="E819" s="1" t="n">
        <v>46296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14071-2026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46099</v>
      </c>
      <c r="E820" s="1" t="n">
        <v>46296</v>
      </c>
      <c r="F820" t="inlineStr">
        <is>
          <t>GÄVLEBORGS LÄN</t>
        </is>
      </c>
      <c r="G820" t="inlineStr">
        <is>
          <t>OCKELBO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46296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46296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46296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46296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46296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5898-2026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46052</v>
      </c>
      <c r="E826" s="1" t="n">
        <v>46296</v>
      </c>
      <c r="F826" t="inlineStr">
        <is>
          <t>GÄVLEBORGS LÄN</t>
        </is>
      </c>
      <c r="G826" t="inlineStr">
        <is>
          <t>OCKELBO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17682-2026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46121</v>
      </c>
      <c r="E827" s="1" t="n">
        <v>46296</v>
      </c>
      <c r="F827" t="inlineStr">
        <is>
          <t>GÄVLEBORGS LÄN</t>
        </is>
      </c>
      <c r="G827" t="inlineStr">
        <is>
          <t>OCKELBO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8408-2026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46296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46296</v>
      </c>
      <c r="F829" t="inlineStr">
        <is>
          <t>GÄVLEBORGS LÄN</t>
        </is>
      </c>
      <c r="G829" t="inlineStr">
        <is>
          <t>OCKELBO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8683-2026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46296</v>
      </c>
      <c r="F830" t="inlineStr">
        <is>
          <t>GÄVLEBORGS LÄN</t>
        </is>
      </c>
      <c r="G830" t="inlineStr">
        <is>
          <t>OCKELBO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282-2024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45323</v>
      </c>
      <c r="E831" s="1" t="n">
        <v>46296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5063-2024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45638</v>
      </c>
      <c r="E832" s="1" t="n">
        <v>46296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154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195-2024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45315</v>
      </c>
      <c r="E833" s="1" t="n">
        <v>46296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46.4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411-2025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45699</v>
      </c>
      <c r="E834" s="1" t="n">
        <v>46296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7041-2022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44904</v>
      </c>
      <c r="E835" s="1" t="n">
        <v>46296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22.8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297-2026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46058</v>
      </c>
      <c r="E836" s="1" t="n">
        <v>46296</v>
      </c>
      <c r="F836" t="inlineStr">
        <is>
          <t>GÄVLEBORGS LÄN</t>
        </is>
      </c>
      <c r="G836" t="inlineStr">
        <is>
          <t>OCKELBO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657-2026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46089</v>
      </c>
      <c r="E837" s="1" t="n">
        <v>46296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öst AB</t>
        </is>
      </c>
      <c r="I837" t="n">
        <v>131.3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1344-2026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46296</v>
      </c>
      <c r="F838" t="inlineStr">
        <is>
          <t>GÄVLEBORGS LÄN</t>
        </is>
      </c>
      <c r="G838" t="inlineStr">
        <is>
          <t>OCKELBO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1345-2026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46148</v>
      </c>
      <c r="E839" s="1" t="n">
        <v>46296</v>
      </c>
      <c r="F839" t="inlineStr">
        <is>
          <t>GÄVLEBORGS LÄN</t>
        </is>
      </c>
      <c r="G839" t="inlineStr">
        <is>
          <t>OCKELBO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190-2026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46048</v>
      </c>
      <c r="E840" s="1" t="n">
        <v>46296</v>
      </c>
      <c r="F840" t="inlineStr">
        <is>
          <t>GÄVLEBORGS LÄN</t>
        </is>
      </c>
      <c r="G840" t="inlineStr">
        <is>
          <t>OCKELBO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2540-2026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46293</v>
      </c>
      <c r="E841" s="1" t="n">
        <v>46296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2216-2026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46255</v>
      </c>
      <c r="E842" s="1" t="n">
        <v>46296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19.4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2026-10-01T01:59:27Z</dcterms:created>
  <dcterms:modified xmlns:dcterms="http://purl.org/dc/terms/" xmlns:xsi="http://www.w3.org/2001/XMLSchema-instance" xsi:type="dcterms:W3CDTF">2026-10-01T01:59:27Z</dcterms:modified>
</cp:coreProperties>
</file>