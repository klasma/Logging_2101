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HYPERLINK("https://klasma.github.io/Logging_2101/knärot/S 1081-2022 karta knärot.png", "S 1081-2022")</f>
        <v/>
      </c>
      <c r="Y2">
        <f>HYPERLINK("https://klasma.github.io/Logging_2101/klagomål/S 1081-2022 FSC-klagomål.docx", "S 1081-2022")</f>
        <v/>
      </c>
      <c r="Z2">
        <f>HYPERLINK("https://klasma.github.io/Logging_2101/klagomålsmail/S 1081-2022 FSC-klagomål mail.docx", "S 1081-2022")</f>
        <v/>
      </c>
      <c r="AA2">
        <f>HYPERLINK("https://klasma.github.io/Logging_2101/tillsyn/S 1081-2022 tillsynsbegäran.docx", "S 1081-2022")</f>
        <v/>
      </c>
      <c r="AB2">
        <f>HYPERLINK("https://klasma.github.io/Logging_2101/tillsynsmail/S 1081-2022 tillsynsbegäran mail.docx", "S 1081-2022")</f>
        <v/>
      </c>
      <c r="AC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HYPERLINK("https://klasma.github.io/Logging_2101/knärot/A 10492-2026 karta knärot.png", "A 10492-2026")</f>
        <v/>
      </c>
      <c r="Y3">
        <f>HYPERLINK("https://klasma.github.io/Logging_2101/klagomål/A 10492-2026 FSC-klagomål.docx", "A 10492-2026")</f>
        <v/>
      </c>
      <c r="Z3">
        <f>HYPERLINK("https://klasma.github.io/Logging_2101/klagomålsmail/A 10492-2026 FSC-klagomål mail.docx", "A 10492-2026")</f>
        <v/>
      </c>
      <c r="AA3">
        <f>HYPERLINK("https://klasma.github.io/Logging_2101/tillsyn/A 10492-2026 tillsynsbegäran.docx", "A 10492-2026")</f>
        <v/>
      </c>
      <c r="AB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HYPERLINK("https://klasma.github.io/Logging_2101/knärot/A 9898-2026 karta knärot.png", "A 9898-2026")</f>
        <v/>
      </c>
      <c r="Y4">
        <f>HYPERLINK("https://klasma.github.io/Logging_2101/klagomål/A 9898-2026 FSC-klagomål.docx", "A 9898-2026")</f>
        <v/>
      </c>
      <c r="Z4">
        <f>HYPERLINK("https://klasma.github.io/Logging_2101/klagomålsmail/A 9898-2026 FSC-klagomål mail.docx", "A 9898-2026")</f>
        <v/>
      </c>
      <c r="AA4">
        <f>HYPERLINK("https://klasma.github.io/Logging_2101/tillsyn/A 9898-2026 tillsynsbegäran.docx", "A 9898-2026")</f>
        <v/>
      </c>
      <c r="AB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46222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s="2" t="inlineStr">
        <is>
          <t>Ladusvala
Orange taggsvamp
Talltita
Gröngöling
Svartvit flugsnappare
Trana
Fläcknycklar</t>
        </is>
      </c>
      <c r="V5">
        <f>HYPERLINK("https://klasma.github.io/Logging_2101/artfynd/A 4009-2026 artfynd.xlsx", "A 4009-2026")</f>
        <v/>
      </c>
      <c r="W5">
        <f>HYPERLINK("https://klasma.github.io/Logging_2101/kartor/A 4009-2026 karta.png", "A 4009-2026")</f>
        <v/>
      </c>
      <c r="Y5">
        <f>HYPERLINK("https://klasma.github.io/Logging_2101/klagomål/A 4009-2026 FSC-klagomål.docx", "A 4009-2026")</f>
        <v/>
      </c>
      <c r="Z5">
        <f>HYPERLINK("https://klasma.github.io/Logging_2101/klagomålsmail/A 4009-2026 FSC-klagomål mail.docx", "A 4009-2026")</f>
        <v/>
      </c>
      <c r="AA5">
        <f>HYPERLINK("https://klasma.github.io/Logging_2101/tillsyn/A 4009-2026 tillsynsbegäran.docx", "A 4009-2026")</f>
        <v/>
      </c>
      <c r="AB5">
        <f>HYPERLINK("https://klasma.github.io/Logging_2101/tillsynsmail/A 4009-2026 tillsynsbegäran mail.docx", "A 4009-2026")</f>
        <v/>
      </c>
      <c r="AC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46222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s="2" t="inlineStr">
        <is>
          <t>Skrovlig taggsvamp
Blå taggsvamp
Dropptaggsvamp
Svartvit taggsvamp
Tallriska
Korallblylav
Revlummer</t>
        </is>
      </c>
      <c r="V6">
        <f>HYPERLINK("https://klasma.github.io/Logging_2101/artfynd/A 38086-2024 artfynd.xlsx", "A 38086-2024")</f>
        <v/>
      </c>
      <c r="W6">
        <f>HYPERLINK("https://klasma.github.io/Logging_2101/kartor/A 38086-2024 karta.png", "A 38086-2024")</f>
        <v/>
      </c>
      <c r="Y6">
        <f>HYPERLINK("https://klasma.github.io/Logging_2101/klagomål/A 38086-2024 FSC-klagomål.docx", "A 38086-2024")</f>
        <v/>
      </c>
      <c r="Z6">
        <f>HYPERLINK("https://klasma.github.io/Logging_2101/klagomålsmail/A 38086-2024 FSC-klagomål mail.docx", "A 38086-2024")</f>
        <v/>
      </c>
      <c r="AA6">
        <f>HYPERLINK("https://klasma.github.io/Logging_2101/tillsyn/A 38086-2024 tillsynsbegäran.docx", "A 38086-2024")</f>
        <v/>
      </c>
      <c r="AB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46222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s="2" t="inlineStr">
        <is>
          <t>Garnlav
Dropptaggsvamp
Motaggsvamp
Plattlummer
Skinnlav
Fläcknycklar
Revlummer</t>
        </is>
      </c>
      <c r="V7">
        <f>HYPERLINK("https://klasma.github.io/Logging_2101/artfynd/A 19165-2026 artfynd.xlsx", "A 19165-2026")</f>
        <v/>
      </c>
      <c r="W7">
        <f>HYPERLINK("https://klasma.github.io/Logging_2101/kartor/A 19165-2026 karta.png", "A 19165-2026")</f>
        <v/>
      </c>
      <c r="Y7">
        <f>HYPERLINK("https://klasma.github.io/Logging_2101/klagomål/A 19165-2026 FSC-klagomål.docx", "A 19165-2026")</f>
        <v/>
      </c>
      <c r="Z7">
        <f>HYPERLINK("https://klasma.github.io/Logging_2101/klagomålsmail/A 19165-2026 FSC-klagomål mail.docx", "A 19165-2026")</f>
        <v/>
      </c>
      <c r="AA7">
        <f>HYPERLINK("https://klasma.github.io/Logging_2101/tillsyn/A 19165-2026 tillsynsbegäran.docx", "A 19165-2026")</f>
        <v/>
      </c>
      <c r="AB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s="2" t="inlineStr">
        <is>
          <t>Garnlav
Blanksvart spiklav
Dropptaggsvamp
Vedskivlav
Mindre märgborre
Nästlav
Vågbandad barkbock</t>
        </is>
      </c>
      <c r="V8">
        <f>HYPERLINK("https://klasma.github.io/Logging_2101/artfynd/A 14258-2026 artfynd.xlsx", "A 14258-2026")</f>
        <v/>
      </c>
      <c r="W8">
        <f>HYPERLINK("https://klasma.github.io/Logging_2101/kartor/A 14258-2026 karta.png", "A 14258-2026")</f>
        <v/>
      </c>
      <c r="X8">
        <f>HYPERLINK("https://klasma.github.io/Logging_2101/knärot/A 14258-2026 karta knärot.png", "A 14258-2026")</f>
        <v/>
      </c>
      <c r="Y8">
        <f>HYPERLINK("https://klasma.github.io/Logging_2101/klagomål/A 14258-2026 FSC-klagomål.docx", "A 14258-2026")</f>
        <v/>
      </c>
      <c r="Z8">
        <f>HYPERLINK("https://klasma.github.io/Logging_2101/klagomålsmail/A 14258-2026 FSC-klagomål mail.docx", "A 14258-2026")</f>
        <v/>
      </c>
      <c r="AA8">
        <f>HYPERLINK("https://klasma.github.io/Logging_2101/tillsyn/A 14258-2026 tillsynsbegäran.docx", "A 14258-2026")</f>
        <v/>
      </c>
      <c r="AB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46222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s="2" t="inlineStr">
        <is>
          <t>Vårärt
Skogsknipprot
Tibast
Blåsippa
Fläcknycklar
Lopplummer (aggregat)
Revlummer</t>
        </is>
      </c>
      <c r="V9">
        <f>HYPERLINK("https://klasma.github.io/Logging_2101/artfynd/A 29544-2023 artfynd.xlsx", "A 29544-2023")</f>
        <v/>
      </c>
      <c r="W9">
        <f>HYPERLINK("https://klasma.github.io/Logging_2101/kartor/A 29544-2023 karta.png", "A 29544-2023")</f>
        <v/>
      </c>
      <c r="Y9">
        <f>HYPERLINK("https://klasma.github.io/Logging_2101/klagomål/A 29544-2023 FSC-klagomål.docx", "A 29544-2023")</f>
        <v/>
      </c>
      <c r="Z9">
        <f>HYPERLINK("https://klasma.github.io/Logging_2101/klagomålsmail/A 29544-2023 FSC-klagomål mail.docx", "A 29544-2023")</f>
        <v/>
      </c>
      <c r="AA9">
        <f>HYPERLINK("https://klasma.github.io/Logging_2101/tillsyn/A 29544-2023 tillsynsbegäran.docx", "A 29544-2023")</f>
        <v/>
      </c>
      <c r="AB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Y10">
        <f>HYPERLINK("https://klasma.github.io/Logging_2101/klagomål/S 1534-2023 FSC-klagomål.docx", "S 1534-2023")</f>
        <v/>
      </c>
      <c r="Z10">
        <f>HYPERLINK("https://klasma.github.io/Logging_2101/klagomålsmail/S 1534-2023 FSC-klagomål mail.docx", "S 1534-2023")</f>
        <v/>
      </c>
      <c r="AA10">
        <f>HYPERLINK("https://klasma.github.io/Logging_2101/tillsyn/S 1534-2023 tillsynsbegäran.docx", "S 1534-2023")</f>
        <v/>
      </c>
      <c r="AB10">
        <f>HYPERLINK("https://klasma.github.io/Logging_2101/tillsynsmail/S 1534-2023 tillsynsbegäran mail.docx", "S 1534-2023")</f>
        <v/>
      </c>
      <c r="AC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Y11">
        <f>HYPERLINK("https://klasma.github.io/Logging_2101/klagomål/S 1051-2024 FSC-klagomål.docx", "S 1051-2024")</f>
        <v/>
      </c>
      <c r="Z11">
        <f>HYPERLINK("https://klasma.github.io/Logging_2101/klagomålsmail/S 1051-2024 FSC-klagomål mail.docx", "S 1051-2024")</f>
        <v/>
      </c>
      <c r="AA11">
        <f>HYPERLINK("https://klasma.github.io/Logging_2101/tillsyn/S 1051-2024 tillsynsbegäran.docx", "S 1051-2024")</f>
        <v/>
      </c>
      <c r="AB11">
        <f>HYPERLINK("https://klasma.github.io/Logging_2101/tillsynsmail/S 1051-2024 tillsynsbegäran mail.docx", "S 1051-2024")</f>
        <v/>
      </c>
      <c r="AC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46222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s="2" t="inlineStr">
        <is>
          <t>Talltita
Vedskivlav
Bronshjon
Vågbandad barkbock
Spillkråka
Tjäder</t>
        </is>
      </c>
      <c r="V12">
        <f>HYPERLINK("https://klasma.github.io/Logging_2101/artfynd/A 33367-2025 artfynd.xlsx", "A 33367-2025")</f>
        <v/>
      </c>
      <c r="W12">
        <f>HYPERLINK("https://klasma.github.io/Logging_2101/kartor/A 33367-2025 karta.png", "A 33367-2025")</f>
        <v/>
      </c>
      <c r="Y12">
        <f>HYPERLINK("https://klasma.github.io/Logging_2101/klagomål/A 33367-2025 FSC-klagomål.docx", "A 33367-2025")</f>
        <v/>
      </c>
      <c r="Z12">
        <f>HYPERLINK("https://klasma.github.io/Logging_2101/klagomålsmail/A 33367-2025 FSC-klagomål mail.docx", "A 33367-2025")</f>
        <v/>
      </c>
      <c r="AA12">
        <f>HYPERLINK("https://klasma.github.io/Logging_2101/tillsyn/A 33367-2025 tillsynsbegäran.docx", "A 33367-2025")</f>
        <v/>
      </c>
      <c r="AB12">
        <f>HYPERLINK("https://klasma.github.io/Logging_2101/tillsynsmail/A 33367-2025 tillsynsbegäran mail.docx", "A 33367-2025")</f>
        <v/>
      </c>
      <c r="AC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46222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s="2" t="inlineStr">
        <is>
          <t>Garnlav
Knärot
Rynkskinn
Tallticka
Ullticka
Bronshjon</t>
        </is>
      </c>
      <c r="V13">
        <f>HYPERLINK("https://klasma.github.io/Logging_2101/artfynd/A 10518-2026 artfynd.xlsx", "A 10518-2026")</f>
        <v/>
      </c>
      <c r="W13">
        <f>HYPERLINK("https://klasma.github.io/Logging_2101/kartor/A 10518-2026 karta.png", "A 10518-2026")</f>
        <v/>
      </c>
      <c r="X13">
        <f>HYPERLINK("https://klasma.github.io/Logging_2101/knärot/A 10518-2026 karta knärot.png", "A 10518-2026")</f>
        <v/>
      </c>
      <c r="Y13">
        <f>HYPERLINK("https://klasma.github.io/Logging_2101/klagomål/A 10518-2026 FSC-klagomål.docx", "A 10518-2026")</f>
        <v/>
      </c>
      <c r="Z13">
        <f>HYPERLINK("https://klasma.github.io/Logging_2101/klagomålsmail/A 10518-2026 FSC-klagomål mail.docx", "A 10518-2026")</f>
        <v/>
      </c>
      <c r="AA13">
        <f>HYPERLINK("https://klasma.github.io/Logging_2101/tillsyn/A 10518-2026 tillsynsbegäran.docx", "A 10518-2026")</f>
        <v/>
      </c>
      <c r="AB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46222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s="2" t="inlineStr">
        <is>
          <t>Kortskaftad ärgspik
Motaggsvamp
Järpe
Tjäder
Buskskvätta
Fläcknycklar</t>
        </is>
      </c>
      <c r="V14">
        <f>HYPERLINK("https://klasma.github.io/Logging_2101/artfynd/A 14671-2026 artfynd.xlsx", "A 14671-2026")</f>
        <v/>
      </c>
      <c r="W14">
        <f>HYPERLINK("https://klasma.github.io/Logging_2101/kartor/A 14671-2026 karta.png", "A 14671-2026")</f>
        <v/>
      </c>
      <c r="Y14">
        <f>HYPERLINK("https://klasma.github.io/Logging_2101/klagomål/A 14671-2026 FSC-klagomål.docx", "A 14671-2026")</f>
        <v/>
      </c>
      <c r="Z14">
        <f>HYPERLINK("https://klasma.github.io/Logging_2101/klagomålsmail/A 14671-2026 FSC-klagomål mail.docx", "A 14671-2026")</f>
        <v/>
      </c>
      <c r="AA14">
        <f>HYPERLINK("https://klasma.github.io/Logging_2101/tillsyn/A 14671-2026 tillsynsbegäran.docx", "A 14671-2026")</f>
        <v/>
      </c>
      <c r="AB14">
        <f>HYPERLINK("https://klasma.github.io/Logging_2101/tillsynsmail/A 14671-2026 tillsynsbegäran mail.docx", "A 14671-2026")</f>
        <v/>
      </c>
      <c r="AC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Y15">
        <f>HYPERLINK("https://klasma.github.io/Logging_2101/klagomål/A 19141-2026 FSC-klagomål.docx", "A 19141-2026")</f>
        <v/>
      </c>
      <c r="Z15">
        <f>HYPERLINK("https://klasma.github.io/Logging_2101/klagomålsmail/A 19141-2026 FSC-klagomål mail.docx", "A 19141-2026")</f>
        <v/>
      </c>
      <c r="AA15">
        <f>HYPERLINK("https://klasma.github.io/Logging_2101/tillsyn/A 19141-2026 tillsynsbegäran.docx", "A 19141-2026")</f>
        <v/>
      </c>
      <c r="AB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s="2" t="inlineStr">
        <is>
          <t>Vårärt
Grönpyrola
Svart trolldruva
Blåsippa
Nattviol</t>
        </is>
      </c>
      <c r="V16">
        <f>HYPERLINK("https://klasma.github.io/Logging_2101/artfynd/A 31433-2026 artfynd.xlsx", "A 31433-2026")</f>
        <v/>
      </c>
      <c r="W16">
        <f>HYPERLINK("https://klasma.github.io/Logging_2101/kartor/A 31433-2026 karta.png", "A 31433-2026")</f>
        <v/>
      </c>
      <c r="Y16">
        <f>HYPERLINK("https://klasma.github.io/Logging_2101/klagomål/A 31433-2026 FSC-klagomål.docx", "A 31433-2026")</f>
        <v/>
      </c>
      <c r="Z16">
        <f>HYPERLINK("https://klasma.github.io/Logging_2101/klagomålsmail/A 31433-2026 FSC-klagomål mail.docx", "A 31433-2026")</f>
        <v/>
      </c>
      <c r="AA16">
        <f>HYPERLINK("https://klasma.github.io/Logging_2101/tillsyn/A 31433-2026 tillsynsbegäran.docx", "A 31433-2026")</f>
        <v/>
      </c>
      <c r="AB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46222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s="2" t="inlineStr">
        <is>
          <t>Garnlav
Dropptaggsvamp
Motaggsvamp
Skarp dropptaggsvamp
Smal svampklubba</t>
        </is>
      </c>
      <c r="V17">
        <f>HYPERLINK("https://klasma.github.io/Logging_2101/artfynd/S 890-2023 artfynd.xlsx", "S 890-2023")</f>
        <v/>
      </c>
      <c r="W17">
        <f>HYPERLINK("https://klasma.github.io/Logging_2101/kartor/S 890-2023 karta.png", "S 890-2023")</f>
        <v/>
      </c>
      <c r="Y17">
        <f>HYPERLINK("https://klasma.github.io/Logging_2101/klagomål/S 890-2023 FSC-klagomål.docx", "S 890-2023")</f>
        <v/>
      </c>
      <c r="Z17">
        <f>HYPERLINK("https://klasma.github.io/Logging_2101/klagomålsmail/S 890-2023 FSC-klagomål mail.docx", "S 890-2023")</f>
        <v/>
      </c>
      <c r="AA17">
        <f>HYPERLINK("https://klasma.github.io/Logging_2101/tillsyn/S 890-2023 tillsynsbegäran.docx", "S 890-2023")</f>
        <v/>
      </c>
      <c r="AB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46222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s="2" t="inlineStr">
        <is>
          <t>Lunglav
Vedskivlav
Bårdlav
Stuplav</t>
        </is>
      </c>
      <c r="V18">
        <f>HYPERLINK("https://klasma.github.io/Logging_2101/artfynd/A 14115-2026 artfynd.xlsx", "A 14115-2026")</f>
        <v/>
      </c>
      <c r="W18">
        <f>HYPERLINK("https://klasma.github.io/Logging_2101/kartor/A 14115-2026 karta.png", "A 14115-2026")</f>
        <v/>
      </c>
      <c r="Y18">
        <f>HYPERLINK("https://klasma.github.io/Logging_2101/klagomål/A 14115-2026 FSC-klagomål.docx", "A 14115-2026")</f>
        <v/>
      </c>
      <c r="Z18">
        <f>HYPERLINK("https://klasma.github.io/Logging_2101/klagomålsmail/A 14115-2026 FSC-klagomål mail.docx", "A 14115-2026")</f>
        <v/>
      </c>
      <c r="AA18">
        <f>HYPERLINK("https://klasma.github.io/Logging_2101/tillsyn/A 14115-2026 tillsynsbegäran.docx", "A 14115-2026")</f>
        <v/>
      </c>
      <c r="AB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46222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s="2" t="inlineStr">
        <is>
          <t>Dropptaggsvamp
Violettgrå tagellav
Vågbandad barkbock
Tjäder</t>
        </is>
      </c>
      <c r="V19">
        <f>HYPERLINK("https://klasma.github.io/Logging_2101/artfynd/A 24596-2026 artfynd.xlsx", "A 24596-2026")</f>
        <v/>
      </c>
      <c r="W19">
        <f>HYPERLINK("https://klasma.github.io/Logging_2101/kartor/A 24596-2026 karta.png", "A 24596-2026")</f>
        <v/>
      </c>
      <c r="Y19">
        <f>HYPERLINK("https://klasma.github.io/Logging_2101/klagomål/A 24596-2026 FSC-klagomål.docx", "A 24596-2026")</f>
        <v/>
      </c>
      <c r="Z19">
        <f>HYPERLINK("https://klasma.github.io/Logging_2101/klagomålsmail/A 24596-2026 FSC-klagomål mail.docx", "A 24596-2026")</f>
        <v/>
      </c>
      <c r="AA19">
        <f>HYPERLINK("https://klasma.github.io/Logging_2101/tillsyn/A 24596-2026 tillsynsbegäran.docx", "A 24596-2026")</f>
        <v/>
      </c>
      <c r="AB19">
        <f>HYPERLINK("https://klasma.github.io/Logging_2101/tillsynsmail/A 24596-2026 tillsynsbegäran mail.docx", "A 24596-2026")</f>
        <v/>
      </c>
      <c r="AC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46222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s="2" t="inlineStr">
        <is>
          <t>Läderlappslav
Korallblylav
Slanklav
Hårklomossa</t>
        </is>
      </c>
      <c r="V20">
        <f>HYPERLINK("https://klasma.github.io/Logging_2101/artfynd/A 31449-2026 artfynd.xlsx", "A 31449-2026")</f>
        <v/>
      </c>
      <c r="W20">
        <f>HYPERLINK("https://klasma.github.io/Logging_2101/kartor/A 31449-2026 karta.png", "A 31449-2026")</f>
        <v/>
      </c>
      <c r="Y20">
        <f>HYPERLINK("https://klasma.github.io/Logging_2101/klagomål/A 31449-2026 FSC-klagomål.docx", "A 31449-2026")</f>
        <v/>
      </c>
      <c r="Z20">
        <f>HYPERLINK("https://klasma.github.io/Logging_2101/klagomålsmail/A 31449-2026 FSC-klagomål mail.docx", "A 31449-2026")</f>
        <v/>
      </c>
      <c r="AA20">
        <f>HYPERLINK("https://klasma.github.io/Logging_2101/tillsyn/A 31449-2026 tillsynsbegäran.docx", "A 31449-2026")</f>
        <v/>
      </c>
      <c r="AB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46222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s="2" t="inlineStr">
        <is>
          <t>Tvåblad
Fläcknycklar
Revlummer</t>
        </is>
      </c>
      <c r="V21">
        <f>HYPERLINK("https://klasma.github.io/Logging_2101/artfynd/A 26463-2024 artfynd.xlsx", "A 26463-2024")</f>
        <v/>
      </c>
      <c r="W21">
        <f>HYPERLINK("https://klasma.github.io/Logging_2101/kartor/A 26463-2024 karta.png", "A 26463-2024")</f>
        <v/>
      </c>
      <c r="Y21">
        <f>HYPERLINK("https://klasma.github.io/Logging_2101/klagomål/A 26463-2024 FSC-klagomål.docx", "A 26463-2024")</f>
        <v/>
      </c>
      <c r="Z21">
        <f>HYPERLINK("https://klasma.github.io/Logging_2101/klagomålsmail/A 26463-2024 FSC-klagomål mail.docx", "A 26463-2024")</f>
        <v/>
      </c>
      <c r="AA21">
        <f>HYPERLINK("https://klasma.github.io/Logging_2101/tillsyn/A 26463-2024 tillsynsbegäran.docx", "A 26463-2024")</f>
        <v/>
      </c>
      <c r="AB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46222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Vårärt
Blåsippa
Nattviol</t>
        </is>
      </c>
      <c r="V22">
        <f>HYPERLINK("https://klasma.github.io/Logging_2101/artfynd/A 18253-2026 artfynd.xlsx", "A 18253-2026")</f>
        <v/>
      </c>
      <c r="W22">
        <f>HYPERLINK("https://klasma.github.io/Logging_2101/kartor/A 18253-2026 karta.png", "A 18253-2026")</f>
        <v/>
      </c>
      <c r="Y22">
        <f>HYPERLINK("https://klasma.github.io/Logging_2101/klagomål/A 18253-2026 FSC-klagomål.docx", "A 18253-2026")</f>
        <v/>
      </c>
      <c r="Z22">
        <f>HYPERLINK("https://klasma.github.io/Logging_2101/klagomålsmail/A 18253-2026 FSC-klagomål mail.docx", "A 18253-2026")</f>
        <v/>
      </c>
      <c r="AA22">
        <f>HYPERLINK("https://klasma.github.io/Logging_2101/tillsyn/A 18253-2026 tillsynsbegäran.docx", "A 18253-2026")</f>
        <v/>
      </c>
      <c r="AB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46222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s="2" t="inlineStr">
        <is>
          <t>Knärot
Dropptaggsvamp
Mattlummer</t>
        </is>
      </c>
      <c r="V23">
        <f>HYPERLINK("https://klasma.github.io/Logging_2101/artfynd/A 27199-2025 artfynd.xlsx", "A 27199-2025")</f>
        <v/>
      </c>
      <c r="W23">
        <f>HYPERLINK("https://klasma.github.io/Logging_2101/kartor/A 27199-2025 karta.png", "A 27199-2025")</f>
        <v/>
      </c>
      <c r="X23">
        <f>HYPERLINK("https://klasma.github.io/Logging_2101/knärot/A 27199-2025 karta knärot.png", "A 27199-2025")</f>
        <v/>
      </c>
      <c r="Y23">
        <f>HYPERLINK("https://klasma.github.io/Logging_2101/klagomål/A 27199-2025 FSC-klagomål.docx", "A 27199-2025")</f>
        <v/>
      </c>
      <c r="Z23">
        <f>HYPERLINK("https://klasma.github.io/Logging_2101/klagomålsmail/A 27199-2025 FSC-klagomål mail.docx", "A 27199-2025")</f>
        <v/>
      </c>
      <c r="AA23">
        <f>HYPERLINK("https://klasma.github.io/Logging_2101/tillsyn/A 27199-2025 tillsynsbegäran.docx", "A 27199-2025")</f>
        <v/>
      </c>
      <c r="AB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46222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s="2" t="inlineStr">
        <is>
          <t>Orange taggsvamp
Ullticka
Vedtrappmossa</t>
        </is>
      </c>
      <c r="V24">
        <f>HYPERLINK("https://klasma.github.io/Logging_2101/artfynd/A 13474-2026 artfynd.xlsx", "A 13474-2026")</f>
        <v/>
      </c>
      <c r="W24">
        <f>HYPERLINK("https://klasma.github.io/Logging_2101/kartor/A 13474-2026 karta.png", "A 13474-2026")</f>
        <v/>
      </c>
      <c r="Y24">
        <f>HYPERLINK("https://klasma.github.io/Logging_2101/klagomål/A 13474-2026 FSC-klagomål.docx", "A 13474-2026")</f>
        <v/>
      </c>
      <c r="Z24">
        <f>HYPERLINK("https://klasma.github.io/Logging_2101/klagomålsmail/A 13474-2026 FSC-klagomål mail.docx", "A 13474-2026")</f>
        <v/>
      </c>
      <c r="AA24">
        <f>HYPERLINK("https://klasma.github.io/Logging_2101/tillsyn/A 13474-2026 tillsynsbegäran.docx", "A 13474-2026")</f>
        <v/>
      </c>
      <c r="AB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46222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s="2" t="inlineStr">
        <is>
          <t>Vanlig groda
Vanlig padda
Fläcknycklar</t>
        </is>
      </c>
      <c r="V25">
        <f>HYPERLINK("https://klasma.github.io/Logging_2101/artfynd/A 18091-2026 artfynd.xlsx", "A 18091-2026")</f>
        <v/>
      </c>
      <c r="W25">
        <f>HYPERLINK("https://klasma.github.io/Logging_2101/kartor/A 18091-2026 karta.png", "A 18091-2026")</f>
        <v/>
      </c>
      <c r="Y25">
        <f>HYPERLINK("https://klasma.github.io/Logging_2101/klagomål/A 18091-2026 FSC-klagomål.docx", "A 18091-2026")</f>
        <v/>
      </c>
      <c r="Z25">
        <f>HYPERLINK("https://klasma.github.io/Logging_2101/klagomålsmail/A 18091-2026 FSC-klagomål mail.docx", "A 18091-2026")</f>
        <v/>
      </c>
      <c r="AA25">
        <f>HYPERLINK("https://klasma.github.io/Logging_2101/tillsyn/A 18091-2026 tillsynsbegäran.docx", "A 18091-2026")</f>
        <v/>
      </c>
      <c r="AB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46222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s="2" t="inlineStr">
        <is>
          <t>Korallrot
Spindelblomster
Fläcknycklar</t>
        </is>
      </c>
      <c r="V26">
        <f>HYPERLINK("https://klasma.github.io/Logging_2101/artfynd/A 26870-2026 artfynd.xlsx", "A 26870-2026")</f>
        <v/>
      </c>
      <c r="W26">
        <f>HYPERLINK("https://klasma.github.io/Logging_2101/kartor/A 26870-2026 karta.png", "A 26870-2026")</f>
        <v/>
      </c>
      <c r="Y26">
        <f>HYPERLINK("https://klasma.github.io/Logging_2101/klagomål/A 26870-2026 FSC-klagomål.docx", "A 26870-2026")</f>
        <v/>
      </c>
      <c r="Z26">
        <f>HYPERLINK("https://klasma.github.io/Logging_2101/klagomålsmail/A 26870-2026 FSC-klagomål mail.docx", "A 26870-2026")</f>
        <v/>
      </c>
      <c r="AA26">
        <f>HYPERLINK("https://klasma.github.io/Logging_2101/tillsyn/A 26870-2026 tillsynsbegäran.docx", "A 26870-2026")</f>
        <v/>
      </c>
      <c r="AB26">
        <f>HYPERLINK("https://klasma.github.io/Logging_2101/tillsynsmail/A 26870-2026 tillsynsbegäran mail.docx", "A 26870-2026")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46222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Tjäder
Revlummer</t>
        </is>
      </c>
      <c r="V27">
        <f>HYPERLINK("https://klasma.github.io/Logging_2101/artfynd/A 4180-2026 artfynd.xlsx", "A 4180-2026")</f>
        <v/>
      </c>
      <c r="W27">
        <f>HYPERLINK("https://klasma.github.io/Logging_2101/kartor/A 4180-2026 karta.png", "A 4180-2026")</f>
        <v/>
      </c>
      <c r="Y27">
        <f>HYPERLINK("https://klasma.github.io/Logging_2101/klagomål/A 4180-2026 FSC-klagomål.docx", "A 4180-2026")</f>
        <v/>
      </c>
      <c r="Z27">
        <f>HYPERLINK("https://klasma.github.io/Logging_2101/klagomålsmail/A 4180-2026 FSC-klagomål mail.docx", "A 4180-2026")</f>
        <v/>
      </c>
      <c r="AA27">
        <f>HYPERLINK("https://klasma.github.io/Logging_2101/tillsyn/A 4180-2026 tillsynsbegäran.docx", "A 4180-2026")</f>
        <v/>
      </c>
      <c r="AB27">
        <f>HYPERLINK("https://klasma.github.io/Logging_2101/tillsynsmail/A 4180-2026 tillsynsbegäran mail.docx", "A 4180-2026")</f>
        <v/>
      </c>
      <c r="AC27">
        <f>HYPERLINK("https://klasma.github.io/Logging_2101/fåglar/A 4180-2026 prioriterade fågelarter.docx", "A 4180-2026")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46222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Korallrot
Revlummer</t>
        </is>
      </c>
      <c r="V28">
        <f>HYPERLINK("https://klasma.github.io/Logging_2101/artfynd/A 2201-2026 artfynd.xlsx", "A 2201-2026")</f>
        <v/>
      </c>
      <c r="W28">
        <f>HYPERLINK("https://klasma.github.io/Logging_2101/kartor/A 2201-2026 karta.png", "A 2201-2026")</f>
        <v/>
      </c>
      <c r="Y28">
        <f>HYPERLINK("https://klasma.github.io/Logging_2101/klagomål/A 2201-2026 FSC-klagomål.docx", "A 2201-2026")</f>
        <v/>
      </c>
      <c r="Z28">
        <f>HYPERLINK("https://klasma.github.io/Logging_2101/klagomålsmail/A 2201-2026 FSC-klagomål mail.docx", "A 2201-2026")</f>
        <v/>
      </c>
      <c r="AA28">
        <f>HYPERLINK("https://klasma.github.io/Logging_2101/tillsyn/A 2201-2026 tillsynsbegäran.docx", "A 2201-2026")</f>
        <v/>
      </c>
      <c r="AB28">
        <f>HYPERLINK("https://klasma.github.io/Logging_2101/tillsynsmail/A 2201-2026 tillsynsbegäran mail.docx", "A 2201-2026")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46222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s="2" t="inlineStr">
        <is>
          <t>Fläcknycklar
Revlummer</t>
        </is>
      </c>
      <c r="V29">
        <f>HYPERLINK("https://klasma.github.io/Logging_2101/artfynd/A 17107-2026 artfynd.xlsx", "A 17107-2026")</f>
        <v/>
      </c>
      <c r="W29">
        <f>HYPERLINK("https://klasma.github.io/Logging_2101/kartor/A 17107-2026 karta.png", "A 17107-2026")</f>
        <v/>
      </c>
      <c r="Y29">
        <f>HYPERLINK("https://klasma.github.io/Logging_2101/klagomål/A 17107-2026 FSC-klagomål.docx", "A 17107-2026")</f>
        <v/>
      </c>
      <c r="Z29">
        <f>HYPERLINK("https://klasma.github.io/Logging_2101/klagomålsmail/A 17107-2026 FSC-klagomål mail.docx", "A 17107-2026")</f>
        <v/>
      </c>
      <c r="AA29">
        <f>HYPERLINK("https://klasma.github.io/Logging_2101/tillsyn/A 17107-2026 tillsynsbegäran.docx", "A 17107-2026")</f>
        <v/>
      </c>
      <c r="AB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46222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s="2" t="inlineStr">
        <is>
          <t>Garnlav
Revlummer</t>
        </is>
      </c>
      <c r="V30">
        <f>HYPERLINK("https://klasma.github.io/Logging_2101/artfynd/A 19145-2026 artfynd.xlsx", "A 19145-2026")</f>
        <v/>
      </c>
      <c r="W30">
        <f>HYPERLINK("https://klasma.github.io/Logging_2101/kartor/A 19145-2026 karta.png", "A 19145-2026")</f>
        <v/>
      </c>
      <c r="Y30">
        <f>HYPERLINK("https://klasma.github.io/Logging_2101/klagomål/A 19145-2026 FSC-klagomål.docx", "A 19145-2026")</f>
        <v/>
      </c>
      <c r="Z30">
        <f>HYPERLINK("https://klasma.github.io/Logging_2101/klagomålsmail/A 19145-2026 FSC-klagomål mail.docx", "A 19145-2026")</f>
        <v/>
      </c>
      <c r="AA30">
        <f>HYPERLINK("https://klasma.github.io/Logging_2101/tillsyn/A 19145-2026 tillsynsbegäran.docx", "A 19145-2026")</f>
        <v/>
      </c>
      <c r="AB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46222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s="2" t="inlineStr">
        <is>
          <t>Vanlig groda
Fläcknycklar</t>
        </is>
      </c>
      <c r="V31">
        <f>HYPERLINK("https://klasma.github.io/Logging_2101/artfynd/A 18117-2026 artfynd.xlsx", "A 18117-2026")</f>
        <v/>
      </c>
      <c r="W31">
        <f>HYPERLINK("https://klasma.github.io/Logging_2101/kartor/A 18117-2026 karta.png", "A 18117-2026")</f>
        <v/>
      </c>
      <c r="Y31">
        <f>HYPERLINK("https://klasma.github.io/Logging_2101/klagomål/A 18117-2026 FSC-klagomål.docx", "A 18117-2026")</f>
        <v/>
      </c>
      <c r="Z31">
        <f>HYPERLINK("https://klasma.github.io/Logging_2101/klagomålsmail/A 18117-2026 FSC-klagomål mail.docx", "A 18117-2026")</f>
        <v/>
      </c>
      <c r="AA31">
        <f>HYPERLINK("https://klasma.github.io/Logging_2101/tillsyn/A 18117-2026 tillsynsbegäran.docx", "A 18117-2026")</f>
        <v/>
      </c>
      <c r="AB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46222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s="2" t="inlineStr">
        <is>
          <t>Vanlig padda
Fläcknycklar</t>
        </is>
      </c>
      <c r="V32">
        <f>HYPERLINK("https://klasma.github.io/Logging_2101/artfynd/A 18120-2026 artfynd.xlsx", "A 18120-2026")</f>
        <v/>
      </c>
      <c r="W32">
        <f>HYPERLINK("https://klasma.github.io/Logging_2101/kartor/A 18120-2026 karta.png", "A 18120-2026")</f>
        <v/>
      </c>
      <c r="Y32">
        <f>HYPERLINK("https://klasma.github.io/Logging_2101/klagomål/A 18120-2026 FSC-klagomål.docx", "A 18120-2026")</f>
        <v/>
      </c>
      <c r="Z32">
        <f>HYPERLINK("https://klasma.github.io/Logging_2101/klagomålsmail/A 18120-2026 FSC-klagomål mail.docx", "A 18120-2026")</f>
        <v/>
      </c>
      <c r="AA32">
        <f>HYPERLINK("https://klasma.github.io/Logging_2101/tillsyn/A 18120-2026 tillsynsbegäran.docx", "A 18120-2026")</f>
        <v/>
      </c>
      <c r="AB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Motaggsvamp
Lopplummer (aggregat)</t>
        </is>
      </c>
      <c r="V33">
        <f>HYPERLINK("https://klasma.github.io/Logging_2101/artfynd/A 20299-2026 artfynd.xlsx", "A 20299-2026")</f>
        <v/>
      </c>
      <c r="W33">
        <f>HYPERLINK("https://klasma.github.io/Logging_2101/kartor/A 20299-2026 karta.png", "A 20299-2026")</f>
        <v/>
      </c>
      <c r="Y33">
        <f>HYPERLINK("https://klasma.github.io/Logging_2101/klagomål/A 20299-2026 FSC-klagomål.docx", "A 20299-2026")</f>
        <v/>
      </c>
      <c r="Z33">
        <f>HYPERLINK("https://klasma.github.io/Logging_2101/klagomålsmail/A 20299-2026 FSC-klagomål mail.docx", "A 20299-2026")</f>
        <v/>
      </c>
      <c r="AA33">
        <f>HYPERLINK("https://klasma.github.io/Logging_2101/tillsyn/A 20299-2026 tillsynsbegäran.docx", "A 20299-2026")</f>
        <v/>
      </c>
      <c r="AB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46222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475-2022 artfynd.xlsx", "S 475-2022")</f>
        <v/>
      </c>
      <c r="W34">
        <f>HYPERLINK("https://klasma.github.io/Logging_2101/kartor/S 475-2022 karta.png", "S 475-2022")</f>
        <v/>
      </c>
      <c r="Y34">
        <f>HYPERLINK("https://klasma.github.io/Logging_2101/klagomål/S 475-2022 FSC-klagomål.docx", "S 475-2022")</f>
        <v/>
      </c>
      <c r="Z34">
        <f>HYPERLINK("https://klasma.github.io/Logging_2101/klagomålsmail/S 475-2022 FSC-klagomål mail.docx", "S 475-2022")</f>
        <v/>
      </c>
      <c r="AA34">
        <f>HYPERLINK("https://klasma.github.io/Logging_2101/tillsyn/S 475-2022 tillsynsbegäran.docx", "S 475-2022")</f>
        <v/>
      </c>
      <c r="AB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46222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s="2" t="inlineStr">
        <is>
          <t>Dropptaggsvamp
Slät tallkapuschongbagge</t>
        </is>
      </c>
      <c r="V35">
        <f>HYPERLINK("https://klasma.github.io/Logging_2101/artfynd/S 4508-2023 artfynd.xlsx", "S 4508-2023")</f>
        <v/>
      </c>
      <c r="W35">
        <f>HYPERLINK("https://klasma.github.io/Logging_2101/kartor/S 4508-2023 karta.png", "S 4508-2023")</f>
        <v/>
      </c>
      <c r="Y35">
        <f>HYPERLINK("https://klasma.github.io/Logging_2101/klagomål/S 4508-2023 FSC-klagomål.docx", "S 4508-2023")</f>
        <v/>
      </c>
      <c r="Z35">
        <f>HYPERLINK("https://klasma.github.io/Logging_2101/klagomålsmail/S 4508-2023 FSC-klagomål mail.docx", "S 4508-2023")</f>
        <v/>
      </c>
      <c r="AA35">
        <f>HYPERLINK("https://klasma.github.io/Logging_2101/tillsyn/S 4508-2023 tillsynsbegäran.docx", "S 4508-2023")</f>
        <v/>
      </c>
      <c r="AB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46222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HYPERLINK("https://klasma.github.io/Logging_2101/artfynd/A 64364-2023 artfynd.xlsx", "A 64364-2023")</f>
        <v/>
      </c>
      <c r="W36">
        <f>HYPERLINK("https://klasma.github.io/Logging_2101/kartor/A 64364-2023 karta.png", "A 64364-2023")</f>
        <v/>
      </c>
      <c r="Y36">
        <f>HYPERLINK("https://klasma.github.io/Logging_2101/klagomål/A 64364-2023 FSC-klagomål.docx", "A 64364-2023")</f>
        <v/>
      </c>
      <c r="Z36">
        <f>HYPERLINK("https://klasma.github.io/Logging_2101/klagomålsmail/A 64364-2023 FSC-klagomål mail.docx", "A 64364-2023")</f>
        <v/>
      </c>
      <c r="AA36">
        <f>HYPERLINK("https://klasma.github.io/Logging_2101/tillsyn/A 64364-2023 tillsynsbegäran.docx", "A 64364-2023")</f>
        <v/>
      </c>
      <c r="AB36">
        <f>HYPERLINK("https://klasma.github.io/Logging_2101/tillsynsmail/A 64364-2023 tillsynsbegäran mail.docx", "A 64364-2023")</f>
        <v/>
      </c>
    </row>
    <row r="37" ht="15" customHeight="1">
      <c r="A37" t="inlineStr">
        <is>
          <t>A 6121-2026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46053</v>
      </c>
      <c r="E37" s="1" t="n">
        <v>46222</v>
      </c>
      <c r="F37" t="inlineStr">
        <is>
          <t>GÄVLEBORGS LÄN</t>
        </is>
      </c>
      <c r="G37" t="inlineStr">
        <is>
          <t>OCKELBO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HYPERLINK("https://klasma.github.io/Logging_2101/artfynd/A 6121-2026 artfynd.xlsx", "A 6121-2026")</f>
        <v/>
      </c>
      <c r="W37">
        <f>HYPERLINK("https://klasma.github.io/Logging_2101/kartor/A 6121-2026 karta.png", "A 6121-2026")</f>
        <v/>
      </c>
      <c r="Y37">
        <f>HYPERLINK("https://klasma.github.io/Logging_2101/klagomål/A 6121-2026 FSC-klagomål.docx", "A 6121-2026")</f>
        <v/>
      </c>
      <c r="Z37">
        <f>HYPERLINK("https://klasma.github.io/Logging_2101/klagomålsmail/A 6121-2026 FSC-klagomål mail.docx", "A 6121-2026")</f>
        <v/>
      </c>
      <c r="AA37">
        <f>HYPERLINK("https://klasma.github.io/Logging_2101/tillsyn/A 6121-2026 tillsynsbegäran.docx", "A 6121-2026")</f>
        <v/>
      </c>
      <c r="AB37">
        <f>HYPERLINK("https://klasma.github.io/Logging_2101/tillsynsmail/A 6121-2026 tillsynsbegäran mail.docx", "A 6121-2026")</f>
        <v/>
      </c>
      <c r="AC37">
        <f>HYPERLINK("https://klasma.github.io/Logging_2101/fåglar/A 6121-2026 prioriterade fågelarter.docx", "A 6121-2026")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46222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Revlummer</t>
        </is>
      </c>
      <c r="V38">
        <f>HYPERLINK("https://klasma.github.io/Logging_2101/artfynd/A 57946-2023 artfynd.xlsx", "A 57946-2023")</f>
        <v/>
      </c>
      <c r="W38">
        <f>HYPERLINK("https://klasma.github.io/Logging_2101/kartor/A 57946-2023 karta.png", "A 57946-2023")</f>
        <v/>
      </c>
      <c r="Y38">
        <f>HYPERLINK("https://klasma.github.io/Logging_2101/klagomål/A 57946-2023 FSC-klagomål.docx", "A 57946-2023")</f>
        <v/>
      </c>
      <c r="Z38">
        <f>HYPERLINK("https://klasma.github.io/Logging_2101/klagomålsmail/A 57946-2023 FSC-klagomål mail.docx", "A 57946-2023")</f>
        <v/>
      </c>
      <c r="AA38">
        <f>HYPERLINK("https://klasma.github.io/Logging_2101/tillsyn/A 57946-2023 tillsynsbegäran.docx", "A 57946-2023")</f>
        <v/>
      </c>
      <c r="AB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46222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Dropptaggsvamp</t>
        </is>
      </c>
      <c r="V39">
        <f>HYPERLINK("https://klasma.github.io/Logging_2101/artfynd/A 46481-2024 artfynd.xlsx", "A 46481-2024")</f>
        <v/>
      </c>
      <c r="W39">
        <f>HYPERLINK("https://klasma.github.io/Logging_2101/kartor/A 46481-2024 karta.png", "A 46481-2024")</f>
        <v/>
      </c>
      <c r="Y39">
        <f>HYPERLINK("https://klasma.github.io/Logging_2101/klagomål/A 46481-2024 FSC-klagomål.docx", "A 46481-2024")</f>
        <v/>
      </c>
      <c r="Z39">
        <f>HYPERLINK("https://klasma.github.io/Logging_2101/klagomålsmail/A 46481-2024 FSC-klagomål mail.docx", "A 46481-2024")</f>
        <v/>
      </c>
      <c r="AA39">
        <f>HYPERLINK("https://klasma.github.io/Logging_2101/tillsyn/A 46481-2024 tillsynsbegäran.docx", "A 46481-2024")</f>
        <v/>
      </c>
      <c r="AB39">
        <f>HYPERLINK("https://klasma.github.io/Logging_2101/tillsynsmail/A 46481-2024 tillsynsbegäran mail.docx", "A 46481-2024")</f>
        <v/>
      </c>
    </row>
    <row r="40" ht="15" customHeight="1">
      <c r="A40" t="inlineStr">
        <is>
          <t>A 6586-2026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46222</v>
      </c>
      <c r="F40" t="inlineStr">
        <is>
          <t>GÄVLEBORGS LÄN</t>
        </is>
      </c>
      <c r="G40" t="inlineStr">
        <is>
          <t>OCKELBO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Igelkott</t>
        </is>
      </c>
      <c r="V40">
        <f>HYPERLINK("https://klasma.github.io/Logging_2101/artfynd/A 6586-2026 artfynd.xlsx", "A 6586-2026")</f>
        <v/>
      </c>
      <c r="W40">
        <f>HYPERLINK("https://klasma.github.io/Logging_2101/kartor/A 6586-2026 karta.png", "A 6586-2026")</f>
        <v/>
      </c>
      <c r="Y40">
        <f>HYPERLINK("https://klasma.github.io/Logging_2101/klagomål/A 6586-2026 FSC-klagomål.docx", "A 6586-2026")</f>
        <v/>
      </c>
      <c r="Z40">
        <f>HYPERLINK("https://klasma.github.io/Logging_2101/klagomålsmail/A 6586-2026 FSC-klagomål mail.docx", "A 6586-2026")</f>
        <v/>
      </c>
      <c r="AA40">
        <f>HYPERLINK("https://klasma.github.io/Logging_2101/tillsyn/A 6586-2026 tillsynsbegäran.docx", "A 6586-2026")</f>
        <v/>
      </c>
      <c r="AB40">
        <f>HYPERLINK("https://klasma.github.io/Logging_2101/tillsynsmail/A 6586-2026 tillsynsbegäran mail.docx", "A 6586-2026")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46222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Vanlig padda</t>
        </is>
      </c>
      <c r="V41">
        <f>HYPERLINK("https://klasma.github.io/Logging_2101/artfynd/A 60615-2021 artfynd.xlsx", "A 60615-2021")</f>
        <v/>
      </c>
      <c r="W41">
        <f>HYPERLINK("https://klasma.github.io/Logging_2101/kartor/A 60615-2021 karta.png", "A 60615-2021")</f>
        <v/>
      </c>
      <c r="Y41">
        <f>HYPERLINK("https://klasma.github.io/Logging_2101/klagomål/A 60615-2021 FSC-klagomål.docx", "A 60615-2021")</f>
        <v/>
      </c>
      <c r="Z41">
        <f>HYPERLINK("https://klasma.github.io/Logging_2101/klagomålsmail/A 60615-2021 FSC-klagomål mail.docx", "A 60615-2021")</f>
        <v/>
      </c>
      <c r="AA41">
        <f>HYPERLINK("https://klasma.github.io/Logging_2101/tillsyn/A 60615-2021 tillsynsbegäran.docx", "A 60615-2021")</f>
        <v/>
      </c>
      <c r="AB41">
        <f>HYPERLINK("https://klasma.github.io/Logging_2101/tillsynsmail/A 60615-2021 tillsynsbegäran mail.docx", "A 60615-2021")</f>
        <v/>
      </c>
    </row>
    <row r="42" ht="15" customHeight="1">
      <c r="A42" t="inlineStr">
        <is>
          <t>A 8451-2026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46065</v>
      </c>
      <c r="E42" s="1" t="n">
        <v>46222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s="2" t="inlineStr">
        <is>
          <t>Lavskrika</t>
        </is>
      </c>
      <c r="V42">
        <f>HYPERLINK("https://klasma.github.io/Logging_2101/artfynd/A 8451-2026 artfynd.xlsx", "A 8451-2026")</f>
        <v/>
      </c>
      <c r="W42">
        <f>HYPERLINK("https://klasma.github.io/Logging_2101/kartor/A 8451-2026 karta.png", "A 8451-2026")</f>
        <v/>
      </c>
      <c r="Y42">
        <f>HYPERLINK("https://klasma.github.io/Logging_2101/klagomål/A 8451-2026 FSC-klagomål.docx", "A 8451-2026")</f>
        <v/>
      </c>
      <c r="Z42">
        <f>HYPERLINK("https://klasma.github.io/Logging_2101/klagomålsmail/A 8451-2026 FSC-klagomål mail.docx", "A 8451-2026")</f>
        <v/>
      </c>
      <c r="AA42">
        <f>HYPERLINK("https://klasma.github.io/Logging_2101/tillsyn/A 8451-2026 tillsynsbegäran.docx", "A 8451-2026")</f>
        <v/>
      </c>
      <c r="AB42">
        <f>HYPERLINK("https://klasma.github.io/Logging_2101/tillsynsmail/A 8451-2026 tillsynsbegäran mail.docx", "A 8451-2026")</f>
        <v/>
      </c>
      <c r="AC42">
        <f>HYPERLINK("https://klasma.github.io/Logging_2101/fåglar/A 8451-2026 prioriterade fågelarter.docx", "A 8451-2026")</f>
        <v/>
      </c>
    </row>
    <row r="43" ht="15" customHeight="1">
      <c r="A43" t="inlineStr">
        <is>
          <t>A 10484-2026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46077</v>
      </c>
      <c r="E43" s="1" t="n">
        <v>46222</v>
      </c>
      <c r="F43" t="inlineStr">
        <is>
          <t>GÄVLEBORGS LÄN</t>
        </is>
      </c>
      <c r="G43" t="inlineStr">
        <is>
          <t>OCKELBO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Ullticka</t>
        </is>
      </c>
      <c r="V43">
        <f>HYPERLINK("https://klasma.github.io/Logging_2101/artfynd/A 10484-2026 artfynd.xlsx", "A 10484-2026")</f>
        <v/>
      </c>
      <c r="W43">
        <f>HYPERLINK("https://klasma.github.io/Logging_2101/kartor/A 10484-2026 karta.png", "A 10484-2026")</f>
        <v/>
      </c>
      <c r="Y43">
        <f>HYPERLINK("https://klasma.github.io/Logging_2101/klagomål/A 10484-2026 FSC-klagomål.docx", "A 10484-2026")</f>
        <v/>
      </c>
      <c r="Z43">
        <f>HYPERLINK("https://klasma.github.io/Logging_2101/klagomålsmail/A 10484-2026 FSC-klagomål mail.docx", "A 10484-2026")</f>
        <v/>
      </c>
      <c r="AA43">
        <f>HYPERLINK("https://klasma.github.io/Logging_2101/tillsyn/A 10484-2026 tillsynsbegäran.docx", "A 10484-2026")</f>
        <v/>
      </c>
      <c r="AB43">
        <f>HYPERLINK("https://klasma.github.io/Logging_2101/tillsynsmail/A 10484-2026 tillsynsbegäran mail.docx", "A 10484-2026")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46222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HYPERLINK("https://klasma.github.io/Logging_2101/artfynd/A 55778-2025 artfynd.xlsx", "A 55778-2025")</f>
        <v/>
      </c>
      <c r="W44">
        <f>HYPERLINK("https://klasma.github.io/Logging_2101/kartor/A 55778-2025 karta.png", "A 55778-2025")</f>
        <v/>
      </c>
      <c r="Y44">
        <f>HYPERLINK("https://klasma.github.io/Logging_2101/klagomål/A 55778-2025 FSC-klagomål.docx", "A 55778-2025")</f>
        <v/>
      </c>
      <c r="Z44">
        <f>HYPERLINK("https://klasma.github.io/Logging_2101/klagomålsmail/A 55778-2025 FSC-klagomål mail.docx", "A 55778-2025")</f>
        <v/>
      </c>
      <c r="AA44">
        <f>HYPERLINK("https://klasma.github.io/Logging_2101/tillsyn/A 55778-2025 tillsynsbegäran.docx", "A 55778-2025")</f>
        <v/>
      </c>
      <c r="AB44">
        <f>HYPERLINK("https://klasma.github.io/Logging_2101/tillsynsmail/A 55778-2025 tillsynsbegäran mail.docx", "A 55778-2025")</f>
        <v/>
      </c>
    </row>
    <row r="45" ht="15" customHeight="1">
      <c r="A45" t="inlineStr">
        <is>
          <t>A 15841-2023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45022</v>
      </c>
      <c r="E45" s="1" t="n">
        <v>46222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Havsörn</t>
        </is>
      </c>
      <c r="V45">
        <f>HYPERLINK("https://klasma.github.io/Logging_2101/artfynd/A 15841-2023 artfynd.xlsx", "A 15841-2023")</f>
        <v/>
      </c>
      <c r="W45">
        <f>HYPERLINK("https://klasma.github.io/Logging_2101/kartor/A 15841-2023 karta.png", "A 15841-2023")</f>
        <v/>
      </c>
      <c r="Y45">
        <f>HYPERLINK("https://klasma.github.io/Logging_2101/klagomål/A 15841-2023 FSC-klagomål.docx", "A 15841-2023")</f>
        <v/>
      </c>
      <c r="Z45">
        <f>HYPERLINK("https://klasma.github.io/Logging_2101/klagomålsmail/A 15841-2023 FSC-klagomål mail.docx", "A 15841-2023")</f>
        <v/>
      </c>
      <c r="AA45">
        <f>HYPERLINK("https://klasma.github.io/Logging_2101/tillsyn/A 15841-2023 tillsynsbegäran.docx", "A 15841-2023")</f>
        <v/>
      </c>
      <c r="AB45">
        <f>HYPERLINK("https://klasma.github.io/Logging_2101/tillsynsmail/A 15841-2023 tillsynsbegäran mail.docx", "A 15841-2023")</f>
        <v/>
      </c>
      <c r="AC45">
        <f>HYPERLINK("https://klasma.github.io/Logging_2101/fåglar/A 15841-2023 prioriterade fågelarter.docx", "A 15841-2023")</f>
        <v/>
      </c>
    </row>
    <row r="46" ht="15" customHeight="1">
      <c r="A46" t="inlineStr">
        <is>
          <t>A 13640-2026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46222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Mattlummer</t>
        </is>
      </c>
      <c r="V46">
        <f>HYPERLINK("https://klasma.github.io/Logging_2101/artfynd/A 13640-2026 artfynd.xlsx", "A 13640-2026")</f>
        <v/>
      </c>
      <c r="W46">
        <f>HYPERLINK("https://klasma.github.io/Logging_2101/kartor/A 13640-2026 karta.png", "A 13640-2026")</f>
        <v/>
      </c>
      <c r="Y46">
        <f>HYPERLINK("https://klasma.github.io/Logging_2101/klagomål/A 13640-2026 FSC-klagomål.docx", "A 13640-2026")</f>
        <v/>
      </c>
      <c r="Z46">
        <f>HYPERLINK("https://klasma.github.io/Logging_2101/klagomålsmail/A 13640-2026 FSC-klagomål mail.docx", "A 13640-2026")</f>
        <v/>
      </c>
      <c r="AA46">
        <f>HYPERLINK("https://klasma.github.io/Logging_2101/tillsyn/A 13640-2026 tillsynsbegäran.docx", "A 13640-2026")</f>
        <v/>
      </c>
      <c r="AB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46222</v>
      </c>
      <c r="F47" t="inlineStr">
        <is>
          <t>GÄVLEBORGS LÄN</t>
        </is>
      </c>
      <c r="G47" t="inlineStr">
        <is>
          <t>OCKELBO</t>
        </is>
      </c>
      <c r="I47" t="n">
        <v>4.8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Igelkott</t>
        </is>
      </c>
      <c r="V47">
        <f>HYPERLINK("https://klasma.github.io/Logging_2101/artfynd/A 14479-2026 artfynd.xlsx", "A 14479-2026")</f>
        <v/>
      </c>
      <c r="W47">
        <f>HYPERLINK("https://klasma.github.io/Logging_2101/kartor/A 14479-2026 karta.png", "A 14479-2026")</f>
        <v/>
      </c>
      <c r="Y47">
        <f>HYPERLINK("https://klasma.github.io/Logging_2101/klagomål/A 14479-2026 FSC-klagomål.docx", "A 14479-2026")</f>
        <v/>
      </c>
      <c r="Z47">
        <f>HYPERLINK("https://klasma.github.io/Logging_2101/klagomålsmail/A 14479-2026 FSC-klagomål mail.docx", "A 14479-2026")</f>
        <v/>
      </c>
      <c r="AA47">
        <f>HYPERLINK("https://klasma.github.io/Logging_2101/tillsyn/A 14479-2026 tillsynsbegäran.docx", "A 14479-2026")</f>
        <v/>
      </c>
      <c r="AB47">
        <f>HYPERLINK("https://klasma.github.io/Logging_2101/tillsynsmail/A 14479-2026 tillsynsbegäran mail.docx", "A 14479-2026")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46222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Kortskaftad ärgspik</t>
        </is>
      </c>
      <c r="V48">
        <f>HYPERLINK("https://klasma.github.io/Logging_2101/artfynd/A 62989-2025 artfynd.xlsx", "A 62989-2025")</f>
        <v/>
      </c>
      <c r="W48">
        <f>HYPERLINK("https://klasma.github.io/Logging_2101/kartor/A 62989-2025 karta.png", "A 62989-2025")</f>
        <v/>
      </c>
      <c r="Y48">
        <f>HYPERLINK("https://klasma.github.io/Logging_2101/klagomål/A 62989-2025 FSC-klagomål.docx", "A 62989-2025")</f>
        <v/>
      </c>
      <c r="Z48">
        <f>HYPERLINK("https://klasma.github.io/Logging_2101/klagomålsmail/A 62989-2025 FSC-klagomål mail.docx", "A 62989-2025")</f>
        <v/>
      </c>
      <c r="AA48">
        <f>HYPERLINK("https://klasma.github.io/Logging_2101/tillsyn/A 62989-2025 tillsynsbegäran.docx", "A 62989-2025")</f>
        <v/>
      </c>
      <c r="AB48">
        <f>HYPERLINK("https://klasma.github.io/Logging_2101/tillsynsmail/A 62989-2025 tillsynsbegäran mail.docx", "A 62989-2025")</f>
        <v/>
      </c>
    </row>
    <row r="49" ht="15" customHeight="1">
      <c r="A49" t="inlineStr">
        <is>
          <t>A 14664-2026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46101</v>
      </c>
      <c r="E49" s="1" t="n">
        <v>46222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s="2" t="inlineStr">
        <is>
          <t>Tjäder</t>
        </is>
      </c>
      <c r="V49">
        <f>HYPERLINK("https://klasma.github.io/Logging_2101/artfynd/A 14664-2026 artfynd.xlsx", "A 14664-2026")</f>
        <v/>
      </c>
      <c r="W49">
        <f>HYPERLINK("https://klasma.github.io/Logging_2101/kartor/A 14664-2026 karta.png", "A 14664-2026")</f>
        <v/>
      </c>
      <c r="Y49">
        <f>HYPERLINK("https://klasma.github.io/Logging_2101/klagomål/A 14664-2026 FSC-klagomål.docx", "A 14664-2026")</f>
        <v/>
      </c>
      <c r="Z49">
        <f>HYPERLINK("https://klasma.github.io/Logging_2101/klagomålsmail/A 14664-2026 FSC-klagomål mail.docx", "A 14664-2026")</f>
        <v/>
      </c>
      <c r="AA49">
        <f>HYPERLINK("https://klasma.github.io/Logging_2101/tillsyn/A 14664-2026 tillsynsbegäran.docx", "A 14664-2026")</f>
        <v/>
      </c>
      <c r="AB49">
        <f>HYPERLINK("https://klasma.github.io/Logging_2101/tillsynsmail/A 14664-2026 tillsynsbegäran mail.docx", "A 14664-2026")</f>
        <v/>
      </c>
      <c r="AC49">
        <f>HYPERLINK("https://klasma.github.io/Logging_2101/fåglar/A 14664-2026 prioriterade fågelarter.docx", "A 14664-2026")</f>
        <v/>
      </c>
    </row>
    <row r="50" ht="15" customHeight="1">
      <c r="A50" t="inlineStr">
        <is>
          <t>A 2923-2026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46038</v>
      </c>
      <c r="E50" s="1" t="n">
        <v>46222</v>
      </c>
      <c r="F50" t="inlineStr">
        <is>
          <t>GÄVLEBORGS LÄN</t>
        </is>
      </c>
      <c r="G50" t="inlineStr">
        <is>
          <t>OCKELBO</t>
        </is>
      </c>
      <c r="I50" t="n">
        <v>2.8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HYPERLINK("https://klasma.github.io/Logging_2101/artfynd/A 2923-2026 artfynd.xlsx", "A 2923-2026")</f>
        <v/>
      </c>
      <c r="W50">
        <f>HYPERLINK("https://klasma.github.io/Logging_2101/kartor/A 2923-2026 karta.png", "A 2923-2026")</f>
        <v/>
      </c>
      <c r="X50">
        <f>HYPERLINK("https://klasma.github.io/Logging_2101/knärot/A 2923-2026 karta knärot.png", "A 2923-2026")</f>
        <v/>
      </c>
      <c r="Y50">
        <f>HYPERLINK("https://klasma.github.io/Logging_2101/klagomål/A 2923-2026 FSC-klagomål.docx", "A 2923-2026")</f>
        <v/>
      </c>
      <c r="Z50">
        <f>HYPERLINK("https://klasma.github.io/Logging_2101/klagomålsmail/A 2923-2026 FSC-klagomål mail.docx", "A 2923-2026")</f>
        <v/>
      </c>
      <c r="AA50">
        <f>HYPERLINK("https://klasma.github.io/Logging_2101/tillsyn/A 2923-2026 tillsynsbegäran.docx", "A 2923-2026")</f>
        <v/>
      </c>
      <c r="AB50">
        <f>HYPERLINK("https://klasma.github.io/Logging_2101/tillsynsmail/A 2923-2026 tillsynsbegäran mail.docx", "A 2923-2026")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46222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Järpe</t>
        </is>
      </c>
      <c r="V51">
        <f>HYPERLINK("https://klasma.github.io/Logging_2101/artfynd/A 18188-2026 artfynd.xlsx", "A 18188-2026")</f>
        <v/>
      </c>
      <c r="W51">
        <f>HYPERLINK("https://klasma.github.io/Logging_2101/kartor/A 18188-2026 karta.png", "A 18188-2026")</f>
        <v/>
      </c>
      <c r="Y51">
        <f>HYPERLINK("https://klasma.github.io/Logging_2101/klagomål/A 18188-2026 FSC-klagomål.docx", "A 18188-2026")</f>
        <v/>
      </c>
      <c r="Z51">
        <f>HYPERLINK("https://klasma.github.io/Logging_2101/klagomålsmail/A 18188-2026 FSC-klagomål mail.docx", "A 18188-2026")</f>
        <v/>
      </c>
      <c r="AA51">
        <f>HYPERLINK("https://klasma.github.io/Logging_2101/tillsyn/A 18188-2026 tillsynsbegäran.docx", "A 18188-2026")</f>
        <v/>
      </c>
      <c r="AB51">
        <f>HYPERLINK("https://klasma.github.io/Logging_2101/tillsynsmail/A 18188-2026 tillsynsbegäran mail.docx", "A 18188-2026")</f>
        <v/>
      </c>
      <c r="AC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46222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HYPERLINK("https://klasma.github.io/Logging_2101/artfynd/A 12777-2026 artfynd.xlsx", "A 12777-2026")</f>
        <v/>
      </c>
      <c r="W52">
        <f>HYPERLINK("https://klasma.github.io/Logging_2101/kartor/A 12777-2026 karta.png", "A 12777-2026")</f>
        <v/>
      </c>
      <c r="Y52">
        <f>HYPERLINK("https://klasma.github.io/Logging_2101/klagomål/A 12777-2026 FSC-klagomål.docx", "A 12777-2026")</f>
        <v/>
      </c>
      <c r="Z52">
        <f>HYPERLINK("https://klasma.github.io/Logging_2101/klagomålsmail/A 12777-2026 FSC-klagomål mail.docx", "A 12777-2026")</f>
        <v/>
      </c>
      <c r="AA52">
        <f>HYPERLINK("https://klasma.github.io/Logging_2101/tillsyn/A 12777-2026 tillsynsbegäran.docx", "A 12777-2026")</f>
        <v/>
      </c>
      <c r="AB52">
        <f>HYPERLINK("https://klasma.github.io/Logging_2101/tillsynsmail/A 12777-2026 tillsynsbegäran mail.docx", "A 12777-2026")</f>
        <v/>
      </c>
      <c r="AC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46222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Fläcknycklar</t>
        </is>
      </c>
      <c r="V53">
        <f>HYPERLINK("https://klasma.github.io/Logging_2101/artfynd/A 10145-2026 artfynd.xlsx", "A 10145-2026")</f>
        <v/>
      </c>
      <c r="W53">
        <f>HYPERLINK("https://klasma.github.io/Logging_2101/kartor/A 10145-2026 karta.png", "A 10145-2026")</f>
        <v/>
      </c>
      <c r="X53">
        <f>HYPERLINK("https://klasma.github.io/Logging_2101/knärot/A 10145-2026 karta knärot.png", "A 10145-2026")</f>
        <v/>
      </c>
      <c r="Y53">
        <f>HYPERLINK("https://klasma.github.io/Logging_2101/klagomål/A 10145-2026 FSC-klagomål.docx", "A 10145-2026")</f>
        <v/>
      </c>
      <c r="Z53">
        <f>HYPERLINK("https://klasma.github.io/Logging_2101/klagomålsmail/A 10145-2026 FSC-klagomål mail.docx", "A 10145-2026")</f>
        <v/>
      </c>
      <c r="AA53">
        <f>HYPERLINK("https://klasma.github.io/Logging_2101/tillsyn/A 10145-2026 tillsynsbegäran.docx", "A 10145-2026")</f>
        <v/>
      </c>
      <c r="AB53">
        <f>HYPERLINK("https://klasma.github.io/Logging_2101/tillsynsmail/A 10145-2026 tillsynsbegäran mail.docx", "A 10145-2026")</f>
        <v/>
      </c>
    </row>
    <row r="54" ht="15" customHeight="1">
      <c r="A54" t="inlineStr">
        <is>
          <t>A 8475-2026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46065</v>
      </c>
      <c r="E54" s="1" t="n">
        <v>46222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HYPERLINK("https://klasma.github.io/Logging_2101/artfynd/A 8475-2026 artfynd.xlsx", "A 8475-2026")</f>
        <v/>
      </c>
      <c r="W54">
        <f>HYPERLINK("https://klasma.github.io/Logging_2101/kartor/A 8475-2026 karta.png", "A 8475-2026")</f>
        <v/>
      </c>
      <c r="Y54">
        <f>HYPERLINK("https://klasma.github.io/Logging_2101/klagomål/A 8475-2026 FSC-klagomål.docx", "A 8475-2026")</f>
        <v/>
      </c>
      <c r="Z54">
        <f>HYPERLINK("https://klasma.github.io/Logging_2101/klagomålsmail/A 8475-2026 FSC-klagomål mail.docx", "A 8475-2026")</f>
        <v/>
      </c>
      <c r="AA54">
        <f>HYPERLINK("https://klasma.github.io/Logging_2101/tillsyn/A 8475-2026 tillsynsbegäran.docx", "A 8475-2026")</f>
        <v/>
      </c>
      <c r="AB54">
        <f>HYPERLINK("https://klasma.github.io/Logging_2101/tillsynsmail/A 8475-2026 tillsynsbegäran mail.docx", "A 8475-2026")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46222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Kolflarnlav</t>
        </is>
      </c>
      <c r="V55">
        <f>HYPERLINK("https://klasma.github.io/Logging_2101/artfynd/A 9155-2026 artfynd.xlsx", "A 9155-2026")</f>
        <v/>
      </c>
      <c r="W55">
        <f>HYPERLINK("https://klasma.github.io/Logging_2101/kartor/A 9155-2026 karta.png", "A 9155-2026")</f>
        <v/>
      </c>
      <c r="Y55">
        <f>HYPERLINK("https://klasma.github.io/Logging_2101/klagomål/A 9155-2026 FSC-klagomål.docx", "A 9155-2026")</f>
        <v/>
      </c>
      <c r="Z55">
        <f>HYPERLINK("https://klasma.github.io/Logging_2101/klagomålsmail/A 9155-2026 FSC-klagomål mail.docx", "A 9155-2026")</f>
        <v/>
      </c>
      <c r="AA55">
        <f>HYPERLINK("https://klasma.github.io/Logging_2101/tillsyn/A 9155-2026 tillsynsbegäran.docx", "A 9155-2026")</f>
        <v/>
      </c>
      <c r="AB55">
        <f>HYPERLINK("https://klasma.github.io/Logging_2101/tillsynsmail/A 9155-2026 tillsynsbegäran mail.docx", "A 9155-2026")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46222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s="2" t="inlineStr">
        <is>
          <t>Tibast</t>
        </is>
      </c>
      <c r="V56">
        <f>HYPERLINK("https://klasma.github.io/Logging_2101/artfynd/A 20233-2026 artfynd.xlsx", "A 20233-2026")</f>
        <v/>
      </c>
      <c r="W56">
        <f>HYPERLINK("https://klasma.github.io/Logging_2101/kartor/A 20233-2026 karta.png", "A 20233-2026")</f>
        <v/>
      </c>
      <c r="Y56">
        <f>HYPERLINK("https://klasma.github.io/Logging_2101/klagomål/A 20233-2026 FSC-klagomål.docx", "A 20233-2026")</f>
        <v/>
      </c>
      <c r="Z56">
        <f>HYPERLINK("https://klasma.github.io/Logging_2101/klagomålsmail/A 20233-2026 FSC-klagomål mail.docx", "A 20233-2026")</f>
        <v/>
      </c>
      <c r="AA56">
        <f>HYPERLINK("https://klasma.github.io/Logging_2101/tillsyn/A 20233-2026 tillsynsbegäran.docx", "A 20233-2026")</f>
        <v/>
      </c>
      <c r="AB56">
        <f>HYPERLINK("https://klasma.github.io/Logging_2101/tillsynsmail/A 20233-2026 tillsynsbegäran mail.docx", "A 20233-2026")</f>
        <v/>
      </c>
    </row>
    <row r="57" ht="15" customHeight="1">
      <c r="A57" t="inlineStr">
        <is>
          <t>A 22821-2024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46222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Tibast</t>
        </is>
      </c>
      <c r="V57">
        <f>HYPERLINK("https://klasma.github.io/Logging_2101/artfynd/A 22821-2024 artfynd.xlsx", "A 22821-2024")</f>
        <v/>
      </c>
      <c r="W57">
        <f>HYPERLINK("https://klasma.github.io/Logging_2101/kartor/A 22821-2024 karta.png", "A 22821-2024")</f>
        <v/>
      </c>
      <c r="Y57">
        <f>HYPERLINK("https://klasma.github.io/Logging_2101/klagomål/A 22821-2024 FSC-klagomål.docx", "A 22821-2024")</f>
        <v/>
      </c>
      <c r="Z57">
        <f>HYPERLINK("https://klasma.github.io/Logging_2101/klagomålsmail/A 22821-2024 FSC-klagomål mail.docx", "A 22821-2024")</f>
        <v/>
      </c>
      <c r="AA57">
        <f>HYPERLINK("https://klasma.github.io/Logging_2101/tillsyn/A 22821-2024 tillsynsbegäran.docx", "A 22821-2024")</f>
        <v/>
      </c>
      <c r="AB57">
        <f>HYPERLINK("https://klasma.github.io/Logging_2101/tillsynsmail/A 22821-2024 tillsynsbegäran mail.docx", "A 22821-2024")</f>
        <v/>
      </c>
    </row>
    <row r="58" ht="15" customHeight="1">
      <c r="A58" t="inlineStr">
        <is>
          <t>A 26448-2024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Fläcknycklar</t>
        </is>
      </c>
      <c r="V58">
        <f>HYPERLINK("https://klasma.github.io/Logging_2101/artfynd/A 26448-2024 artfynd.xlsx", "A 26448-2024")</f>
        <v/>
      </c>
      <c r="W58">
        <f>HYPERLINK("https://klasma.github.io/Logging_2101/kartor/A 26448-2024 karta.png", "A 26448-2024")</f>
        <v/>
      </c>
      <c r="Y58">
        <f>HYPERLINK("https://klasma.github.io/Logging_2101/klagomål/A 26448-2024 FSC-klagomål.docx", "A 26448-2024")</f>
        <v/>
      </c>
      <c r="Z58">
        <f>HYPERLINK("https://klasma.github.io/Logging_2101/klagomålsmail/A 26448-2024 FSC-klagomål mail.docx", "A 26448-2024")</f>
        <v/>
      </c>
      <c r="AA58">
        <f>HYPERLINK("https://klasma.github.io/Logging_2101/tillsyn/A 26448-2024 tillsynsbegäran.docx", "A 26448-2024")</f>
        <v/>
      </c>
      <c r="AB58">
        <f>HYPERLINK("https://klasma.github.io/Logging_2101/tillsynsmail/A 26448-2024 tillsynsbegäran mail.docx", "A 26448-2024")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46222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HYPERLINK("https://klasma.github.io/Logging_2101/artfynd/A 15039-2026 artfynd.xlsx", "A 15039-2026")</f>
        <v/>
      </c>
      <c r="W59">
        <f>HYPERLINK("https://klasma.github.io/Logging_2101/kartor/A 15039-2026 karta.png", "A 15039-2026")</f>
        <v/>
      </c>
      <c r="Y59">
        <f>HYPERLINK("https://klasma.github.io/Logging_2101/klagomål/A 15039-2026 FSC-klagomål.docx", "A 15039-2026")</f>
        <v/>
      </c>
      <c r="Z59">
        <f>HYPERLINK("https://klasma.github.io/Logging_2101/klagomålsmail/A 15039-2026 FSC-klagomål mail.docx", "A 15039-2026")</f>
        <v/>
      </c>
      <c r="AA59">
        <f>HYPERLINK("https://klasma.github.io/Logging_2101/tillsyn/A 15039-2026 tillsynsbegäran.docx", "A 15039-2026")</f>
        <v/>
      </c>
      <c r="AB59">
        <f>HYPERLINK("https://klasma.github.io/Logging_2101/tillsynsmail/A 15039-2026 tillsynsbegäran mail.docx", "A 15039-2026")</f>
        <v/>
      </c>
      <c r="AC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46222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HYPERLINK("https://klasma.github.io/Logging_2101/artfynd/A 11970-2026 artfynd.xlsx", "A 11970-2026")</f>
        <v/>
      </c>
      <c r="W60">
        <f>HYPERLINK("https://klasma.github.io/Logging_2101/kartor/A 11970-2026 karta.png", "A 11970-2026")</f>
        <v/>
      </c>
      <c r="Y60">
        <f>HYPERLINK("https://klasma.github.io/Logging_2101/klagomål/A 11970-2026 FSC-klagomål.docx", "A 11970-2026")</f>
        <v/>
      </c>
      <c r="Z60">
        <f>HYPERLINK("https://klasma.github.io/Logging_2101/klagomålsmail/A 11970-2026 FSC-klagomål mail.docx", "A 11970-2026")</f>
        <v/>
      </c>
      <c r="AA60">
        <f>HYPERLINK("https://klasma.github.io/Logging_2101/tillsyn/A 11970-2026 tillsynsbegäran.docx", "A 11970-2026")</f>
        <v/>
      </c>
      <c r="AB60">
        <f>HYPERLINK("https://klasma.github.io/Logging_2101/tillsynsmail/A 11970-2026 tillsynsbegäran mail.docx", "A 11970-2026")</f>
        <v/>
      </c>
      <c r="AC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46222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Plattlummer</t>
        </is>
      </c>
      <c r="V61">
        <f>HYPERLINK("https://klasma.github.io/Logging_2101/artfynd/A 10448-2026 artfynd.xlsx", "A 10448-2026")</f>
        <v/>
      </c>
      <c r="W61">
        <f>HYPERLINK("https://klasma.github.io/Logging_2101/kartor/A 10448-2026 karta.png", "A 10448-2026")</f>
        <v/>
      </c>
      <c r="Y61">
        <f>HYPERLINK("https://klasma.github.io/Logging_2101/klagomål/A 10448-2026 FSC-klagomål.docx", "A 10448-2026")</f>
        <v/>
      </c>
      <c r="Z61">
        <f>HYPERLINK("https://klasma.github.io/Logging_2101/klagomålsmail/A 10448-2026 FSC-klagomål mail.docx", "A 10448-2026")</f>
        <v/>
      </c>
      <c r="AA61">
        <f>HYPERLINK("https://klasma.github.io/Logging_2101/tillsyn/A 10448-2026 tillsynsbegäran.docx", "A 10448-2026")</f>
        <v/>
      </c>
      <c r="AB61">
        <f>HYPERLINK("https://klasma.github.io/Logging_2101/tillsynsmail/A 10448-2026 tillsynsbegäran mail.docx", "A 10448-2026")</f>
        <v/>
      </c>
    </row>
    <row r="62" ht="15" customHeight="1">
      <c r="A62" t="inlineStr">
        <is>
          <t>A 16738-2025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46222</v>
      </c>
      <c r="F62" t="inlineStr">
        <is>
          <t>GÄVLEBORGS LÄN</t>
        </is>
      </c>
      <c r="G62" t="inlineStr">
        <is>
          <t>OCKELBO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HYPERLINK("https://klasma.github.io/Logging_2101/artfynd/A 16738-2025 artfynd.xlsx", "A 16738-2025")</f>
        <v/>
      </c>
      <c r="W62">
        <f>HYPERLINK("https://klasma.github.io/Logging_2101/kartor/A 16738-2025 karta.png", "A 16738-2025")</f>
        <v/>
      </c>
      <c r="Y62">
        <f>HYPERLINK("https://klasma.github.io/Logging_2101/klagomål/A 16738-2025 FSC-klagomål.docx", "A 16738-2025")</f>
        <v/>
      </c>
      <c r="Z62">
        <f>HYPERLINK("https://klasma.github.io/Logging_2101/klagomålsmail/A 16738-2025 FSC-klagomål mail.docx", "A 16738-2025")</f>
        <v/>
      </c>
      <c r="AA62">
        <f>HYPERLINK("https://klasma.github.io/Logging_2101/tillsyn/A 16738-2025 tillsynsbegäran.docx", "A 16738-2025")</f>
        <v/>
      </c>
      <c r="AB62">
        <f>HYPERLINK("https://klasma.github.io/Logging_2101/tillsynsmail/A 16738-2025 tillsynsbegäran mail.docx", "A 16738-2025")</f>
        <v/>
      </c>
    </row>
    <row r="63" ht="15" customHeight="1">
      <c r="A63" t="inlineStr">
        <is>
          <t>A 4226-2023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46222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Skogsknipprot</t>
        </is>
      </c>
      <c r="V63">
        <f>HYPERLINK("https://klasma.github.io/Logging_2101/artfynd/A 4226-2023 artfynd.xlsx", "A 4226-2023")</f>
        <v/>
      </c>
      <c r="W63">
        <f>HYPERLINK("https://klasma.github.io/Logging_2101/kartor/A 4226-2023 karta.png", "A 4226-2023")</f>
        <v/>
      </c>
      <c r="Y63">
        <f>HYPERLINK("https://klasma.github.io/Logging_2101/klagomål/A 4226-2023 FSC-klagomål.docx", "A 4226-2023")</f>
        <v/>
      </c>
      <c r="Z63">
        <f>HYPERLINK("https://klasma.github.io/Logging_2101/klagomålsmail/A 4226-2023 FSC-klagomål mail.docx", "A 4226-2023")</f>
        <v/>
      </c>
      <c r="AA63">
        <f>HYPERLINK("https://klasma.github.io/Logging_2101/tillsyn/A 4226-2023 tillsynsbegäran.docx", "A 4226-2023")</f>
        <v/>
      </c>
      <c r="AB63">
        <f>HYPERLINK("https://klasma.github.io/Logging_2101/tillsynsmail/A 4226-2023 tillsynsbegäran mail.docx", "A 4226-2023")</f>
        <v/>
      </c>
    </row>
    <row r="64" ht="15" customHeight="1">
      <c r="A64" t="inlineStr">
        <is>
          <t>A 33384-2024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46222</v>
      </c>
      <c r="F64" t="inlineStr">
        <is>
          <t>GÄVLEBORGS LÄN</t>
        </is>
      </c>
      <c r="G64" t="inlineStr">
        <is>
          <t>OCKELBO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Plattlummer</t>
        </is>
      </c>
      <c r="V64">
        <f>HYPERLINK("https://klasma.github.io/Logging_2101/artfynd/A 33384-2024 artfynd.xlsx", "A 33384-2024")</f>
        <v/>
      </c>
      <c r="W64">
        <f>HYPERLINK("https://klasma.github.io/Logging_2101/kartor/A 33384-2024 karta.png", "A 33384-2024")</f>
        <v/>
      </c>
      <c r="Y64">
        <f>HYPERLINK("https://klasma.github.io/Logging_2101/klagomål/A 33384-2024 FSC-klagomål.docx", "A 33384-2024")</f>
        <v/>
      </c>
      <c r="Z64">
        <f>HYPERLINK("https://klasma.github.io/Logging_2101/klagomålsmail/A 33384-2024 FSC-klagomål mail.docx", "A 33384-2024")</f>
        <v/>
      </c>
      <c r="AA64">
        <f>HYPERLINK("https://klasma.github.io/Logging_2101/tillsyn/A 33384-2024 tillsynsbegäran.docx", "A 33384-2024")</f>
        <v/>
      </c>
      <c r="AB64">
        <f>HYPERLINK("https://klasma.github.io/Logging_2101/tillsynsmail/A 33384-2024 tillsynsbegäran mail.docx", "A 33384-2024")</f>
        <v/>
      </c>
    </row>
    <row r="65" ht="15" customHeight="1">
      <c r="A65" t="inlineStr">
        <is>
          <t>S 1497-2023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45051</v>
      </c>
      <c r="E65" s="1" t="n">
        <v>46222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701.6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Skogsalm</t>
        </is>
      </c>
      <c r="V65">
        <f>HYPERLINK("https://klasma.github.io/Logging_2101/artfynd/S 1497-2023 artfynd.xlsx", "S 1497-2023")</f>
        <v/>
      </c>
      <c r="W65">
        <f>HYPERLINK("https://klasma.github.io/Logging_2101/kartor/S 1497-2023 karta.png", "S 1497-2023")</f>
        <v/>
      </c>
      <c r="Y65">
        <f>HYPERLINK("https://klasma.github.io/Logging_2101/klagomål/S 1497-2023 FSC-klagomål.docx", "S 1497-2023")</f>
        <v/>
      </c>
      <c r="Z65">
        <f>HYPERLINK("https://klasma.github.io/Logging_2101/klagomålsmail/S 1497-2023 FSC-klagomål mail.docx", "S 1497-2023")</f>
        <v/>
      </c>
      <c r="AA65">
        <f>HYPERLINK("https://klasma.github.io/Logging_2101/tillsyn/S 1497-2023 tillsynsbegäran.docx", "S 1497-2023")</f>
        <v/>
      </c>
      <c r="AB65">
        <f>HYPERLINK("https://klasma.github.io/Logging_2101/tillsynsmail/S 1497-2023 tillsynsbegäran mail.docx", "S 1497-2023")</f>
        <v/>
      </c>
    </row>
    <row r="66" ht="15" customHeight="1">
      <c r="A66" t="inlineStr">
        <is>
          <t>S 3258-2025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45982</v>
      </c>
      <c r="E66" s="1" t="n">
        <v>46222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Fläcknycklar</t>
        </is>
      </c>
      <c r="V66">
        <f>HYPERLINK("https://klasma.github.io/Logging_2101/artfynd/S 3258-2025 artfynd.xlsx", "S 3258-2025")</f>
        <v/>
      </c>
      <c r="W66">
        <f>HYPERLINK("https://klasma.github.io/Logging_2101/kartor/S 3258-2025 karta.png", "S 3258-2025")</f>
        <v/>
      </c>
      <c r="Y66">
        <f>HYPERLINK("https://klasma.github.io/Logging_2101/klagomål/S 3258-2025 FSC-klagomål.docx", "S 3258-2025")</f>
        <v/>
      </c>
      <c r="Z66">
        <f>HYPERLINK("https://klasma.github.io/Logging_2101/klagomålsmail/S 3258-2025 FSC-klagomål mail.docx", "S 3258-2025")</f>
        <v/>
      </c>
      <c r="AA66">
        <f>HYPERLINK("https://klasma.github.io/Logging_2101/tillsyn/S 3258-2025 tillsynsbegäran.docx", "S 3258-2025")</f>
        <v/>
      </c>
      <c r="AB66">
        <f>HYPERLINK("https://klasma.github.io/Logging_2101/tillsynsmail/S 3258-2025 tillsynsbegäran mail.docx", "S 3258-2025")</f>
        <v/>
      </c>
    </row>
    <row r="67" ht="15" customHeight="1">
      <c r="A67" t="inlineStr">
        <is>
          <t>S 3581-2025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46019</v>
      </c>
      <c r="E67" s="1" t="n">
        <v>46222</v>
      </c>
      <c r="F67" t="inlineStr">
        <is>
          <t>GÄVLEBORGS LÄN</t>
        </is>
      </c>
      <c r="G67" t="inlineStr">
        <is>
          <t>OCKELBO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Gullpudra</t>
        </is>
      </c>
      <c r="V67">
        <f>HYPERLINK("https://klasma.github.io/Logging_2101/artfynd/S 3581-2025 artfynd.xlsx", "S 3581-2025")</f>
        <v/>
      </c>
      <c r="W67">
        <f>HYPERLINK("https://klasma.github.io/Logging_2101/kartor/S 3581-2025 karta.png", "S 3581-2025")</f>
        <v/>
      </c>
      <c r="Y67">
        <f>HYPERLINK("https://klasma.github.io/Logging_2101/klagomål/S 3581-2025 FSC-klagomål.docx", "S 3581-2025")</f>
        <v/>
      </c>
      <c r="Z67">
        <f>HYPERLINK("https://klasma.github.io/Logging_2101/klagomålsmail/S 3581-2025 FSC-klagomål mail.docx", "S 3581-2025")</f>
        <v/>
      </c>
      <c r="AA67">
        <f>HYPERLINK("https://klasma.github.io/Logging_2101/tillsyn/S 3581-2025 tillsynsbegäran.docx", "S 3581-2025")</f>
        <v/>
      </c>
      <c r="AB67">
        <f>HYPERLINK("https://klasma.github.io/Logging_2101/tillsynsmail/S 3581-2025 tillsynsbegäran mail.docx", "S 3581-2025")</f>
        <v/>
      </c>
    </row>
    <row r="68" ht="15" customHeight="1">
      <c r="A68" t="inlineStr">
        <is>
          <t>A 34722-2022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44795</v>
      </c>
      <c r="E68" s="1" t="n">
        <v>46222</v>
      </c>
      <c r="F68" t="inlineStr">
        <is>
          <t>GÄVLEBORGS LÄN</t>
        </is>
      </c>
      <c r="G68" t="inlineStr">
        <is>
          <t>OCKELBO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46222</v>
      </c>
      <c r="F69" t="inlineStr">
        <is>
          <t>GÄVLEBORGS LÄN</t>
        </is>
      </c>
      <c r="G69" t="inlineStr">
        <is>
          <t>OCKELBO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46222</v>
      </c>
      <c r="F70" t="inlineStr">
        <is>
          <t>GÄVLEBORGS LÄN</t>
        </is>
      </c>
      <c r="G70" t="inlineStr">
        <is>
          <t>OCKELBO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46222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39888-2021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44417</v>
      </c>
      <c r="E72" s="1" t="n">
        <v>46222</v>
      </c>
      <c r="F72" t="inlineStr">
        <is>
          <t>GÄVLEBORGS LÄN</t>
        </is>
      </c>
      <c r="G72" t="inlineStr">
        <is>
          <t>OCKELBO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46222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46222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46222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46222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46222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46222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46222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40159-2021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44418</v>
      </c>
      <c r="E80" s="1" t="n">
        <v>46222</v>
      </c>
      <c r="F80" t="inlineStr">
        <is>
          <t>GÄVLEBORGS LÄN</t>
        </is>
      </c>
      <c r="G80" t="inlineStr">
        <is>
          <t>OCKELBO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46222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46222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46222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37694-2021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44400</v>
      </c>
      <c r="E84" s="1" t="n">
        <v>46222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22035-2022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46222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45522-2021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46222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34709-2022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44795</v>
      </c>
      <c r="E87" s="1" t="n">
        <v>46222</v>
      </c>
      <c r="F87" t="inlineStr">
        <is>
          <t>GÄVLEBORGS LÄN</t>
        </is>
      </c>
      <c r="G87" t="inlineStr">
        <is>
          <t>OCKELBO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48205-2022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46222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41622-2021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44425</v>
      </c>
      <c r="E89" s="1" t="n">
        <v>46222</v>
      </c>
      <c r="F89" t="inlineStr">
        <is>
          <t>GÄVLEBORGS LÄN</t>
        </is>
      </c>
      <c r="G89" t="inlineStr">
        <is>
          <t>OCKELBO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51708-2021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46222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46222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46222</v>
      </c>
      <c r="F92" t="inlineStr">
        <is>
          <t>GÄVLEBORGS LÄN</t>
        </is>
      </c>
      <c r="G92" t="inlineStr">
        <is>
          <t>OCKELBO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21291-2022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46222</v>
      </c>
      <c r="F93" t="inlineStr">
        <is>
          <t>GÄVLEBORGS LÄN</t>
        </is>
      </c>
      <c r="G93" t="inlineStr">
        <is>
          <t>OCKELBO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46222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69580-2021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46222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46222</v>
      </c>
      <c r="F96" t="inlineStr">
        <is>
          <t>GÄVLEBORGS LÄN</t>
        </is>
      </c>
      <c r="G96" t="inlineStr">
        <is>
          <t>OCKELBO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15705-2022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46222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46222</v>
      </c>
      <c r="F98" t="inlineStr">
        <is>
          <t>GÄVLEBORGS LÄN</t>
        </is>
      </c>
      <c r="G98" t="inlineStr">
        <is>
          <t>OCKELBO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51565-2021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46222</v>
      </c>
      <c r="F99" t="inlineStr">
        <is>
          <t>GÄVLEBORGS LÄN</t>
        </is>
      </c>
      <c r="G99" t="inlineStr">
        <is>
          <t>OCKELBO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46222</v>
      </c>
      <c r="F100" t="inlineStr">
        <is>
          <t>GÄVLEBORGS LÄN</t>
        </is>
      </c>
      <c r="G100" t="inlineStr">
        <is>
          <t>OCKELBO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43538-2023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46222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46222</v>
      </c>
      <c r="F102" t="inlineStr">
        <is>
          <t>GÄVLEBORGS LÄN</t>
        </is>
      </c>
      <c r="G102" t="inlineStr">
        <is>
          <t>OCKELBO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46222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46222</v>
      </c>
      <c r="F104" t="inlineStr">
        <is>
          <t>GÄVLEBORGS LÄN</t>
        </is>
      </c>
      <c r="G104" t="inlineStr">
        <is>
          <t>OCKELBO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46222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46222</v>
      </c>
      <c r="F106" t="inlineStr">
        <is>
          <t>GÄVLEBORGS LÄN</t>
        </is>
      </c>
      <c r="G106" t="inlineStr">
        <is>
          <t>OCKELBO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46222</v>
      </c>
      <c r="F107" t="inlineStr">
        <is>
          <t>GÄVLEBORGS LÄN</t>
        </is>
      </c>
      <c r="G107" t="inlineStr">
        <is>
          <t>OCKELBO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40140-2022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46222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43799-2022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44838</v>
      </c>
      <c r="E109" s="1" t="n">
        <v>46222</v>
      </c>
      <c r="F109" t="inlineStr">
        <is>
          <t>GÄVLEBORGS LÄN</t>
        </is>
      </c>
      <c r="G109" t="inlineStr">
        <is>
          <t>OCKELBO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55422-2022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44887</v>
      </c>
      <c r="E110" s="1" t="n">
        <v>46222</v>
      </c>
      <c r="F110" t="inlineStr">
        <is>
          <t>GÄVLEBORGS LÄN</t>
        </is>
      </c>
      <c r="G110" t="inlineStr">
        <is>
          <t>OCKELBO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20231-2024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45434</v>
      </c>
      <c r="E111" s="1" t="n">
        <v>46222</v>
      </c>
      <c r="F111" t="inlineStr">
        <is>
          <t>GÄVLEBORGS LÄN</t>
        </is>
      </c>
      <c r="G111" t="inlineStr">
        <is>
          <t>OCKELBO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46222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46222</v>
      </c>
      <c r="F113" t="inlineStr">
        <is>
          <t>GÄVLEBORGS LÄN</t>
        </is>
      </c>
      <c r="G113" t="inlineStr">
        <is>
          <t>OCKELBO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5571-2024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45334</v>
      </c>
      <c r="E114" s="1" t="n">
        <v>46222</v>
      </c>
      <c r="F114" t="inlineStr">
        <is>
          <t>GÄVLEBORGS LÄN</t>
        </is>
      </c>
      <c r="G114" t="inlineStr">
        <is>
          <t>OCKELBO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23772-2024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46222</v>
      </c>
      <c r="F115" t="inlineStr">
        <is>
          <t>GÄVLEBORGS LÄN</t>
        </is>
      </c>
      <c r="G115" t="inlineStr">
        <is>
          <t>OCKELBO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28965-2024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46222</v>
      </c>
      <c r="F116" t="inlineStr">
        <is>
          <t>GÄVLEBORGS LÄN</t>
        </is>
      </c>
      <c r="G116" t="inlineStr">
        <is>
          <t>OCKELBO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30242-2024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46222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46222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28586-2024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45478</v>
      </c>
      <c r="E119" s="1" t="n">
        <v>46222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6742-2024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46222</v>
      </c>
      <c r="F120" t="inlineStr">
        <is>
          <t>GÄVLEBORGS LÄN</t>
        </is>
      </c>
      <c r="G120" t="inlineStr">
        <is>
          <t>OCKELBO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33880-2023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46222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36295-2024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45534</v>
      </c>
      <c r="E122" s="1" t="n">
        <v>46222</v>
      </c>
      <c r="F122" t="inlineStr">
        <is>
          <t>GÄVLEBORGS LÄN</t>
        </is>
      </c>
      <c r="G122" t="inlineStr">
        <is>
          <t>OCKELBO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55715-2023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46222</v>
      </c>
      <c r="F123" t="inlineStr">
        <is>
          <t>GÄVLEBORGS LÄN</t>
        </is>
      </c>
      <c r="G123" t="inlineStr">
        <is>
          <t>OCKELBO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60497-2021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46222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46222</v>
      </c>
      <c r="F125" t="inlineStr">
        <is>
          <t>GÄVLEBORGS LÄN</t>
        </is>
      </c>
      <c r="G125" t="inlineStr">
        <is>
          <t>OCKELBO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46222</v>
      </c>
      <c r="F126" t="inlineStr">
        <is>
          <t>GÄVLEBORGS LÄN</t>
        </is>
      </c>
      <c r="G126" t="inlineStr">
        <is>
          <t>OCKELBO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54807-2024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46222</v>
      </c>
      <c r="F127" t="inlineStr">
        <is>
          <t>GÄVLEBORGS LÄN</t>
        </is>
      </c>
      <c r="G127" t="inlineStr">
        <is>
          <t>OCKELBO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43550-2023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46222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55952-2022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46222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46222</v>
      </c>
      <c r="F130" t="inlineStr">
        <is>
          <t>GÄVLEBORGS LÄN</t>
        </is>
      </c>
      <c r="G130" t="inlineStr">
        <is>
          <t>OCKELBO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26195-2025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46222</v>
      </c>
      <c r="F131" t="inlineStr">
        <is>
          <t>GÄVLEBORGS LÄN</t>
        </is>
      </c>
      <c r="G131" t="inlineStr">
        <is>
          <t>OCKELBO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46222</v>
      </c>
      <c r="F132" t="inlineStr">
        <is>
          <t>GÄVLEBORGS LÄN</t>
        </is>
      </c>
      <c r="G132" t="inlineStr">
        <is>
          <t>OCKELBO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64367-2023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45280</v>
      </c>
      <c r="E133" s="1" t="n">
        <v>46222</v>
      </c>
      <c r="F133" t="inlineStr">
        <is>
          <t>GÄVLEBORGS LÄN</t>
        </is>
      </c>
      <c r="G133" t="inlineStr">
        <is>
          <t>OCKELBO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46041</v>
      </c>
      <c r="E134" s="1" t="n">
        <v>46222</v>
      </c>
      <c r="F134" t="inlineStr">
        <is>
          <t>GÄVLEBORGS LÄN</t>
        </is>
      </c>
      <c r="G134" t="inlineStr">
        <is>
          <t>OCKELBO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46222</v>
      </c>
      <c r="F135" t="inlineStr">
        <is>
          <t>GÄVLEBORGS LÄN</t>
        </is>
      </c>
      <c r="G135" t="inlineStr">
        <is>
          <t>OCKELBO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46222</v>
      </c>
      <c r="F136" t="inlineStr">
        <is>
          <t>GÄVLEBORGS LÄN</t>
        </is>
      </c>
      <c r="G136" t="inlineStr">
        <is>
          <t>OCKELBO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40196-2024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46222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27990-2025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45817</v>
      </c>
      <c r="E138" s="1" t="n">
        <v>46222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46222</v>
      </c>
      <c r="F139" t="inlineStr">
        <is>
          <t>GÄVLEBORGS LÄN</t>
        </is>
      </c>
      <c r="G139" t="inlineStr">
        <is>
          <t>OCKELBO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46043</v>
      </c>
      <c r="E140" s="1" t="n">
        <v>46222</v>
      </c>
      <c r="F140" t="inlineStr">
        <is>
          <t>GÄVLEBORGS LÄN</t>
        </is>
      </c>
      <c r="G140" t="inlineStr">
        <is>
          <t>OCKELBO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28006-2025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45817</v>
      </c>
      <c r="E141" s="1" t="n">
        <v>46222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28080-2025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46222</v>
      </c>
      <c r="F142" t="inlineStr">
        <is>
          <t>GÄVLEBORGS LÄN</t>
        </is>
      </c>
      <c r="G142" t="inlineStr">
        <is>
          <t>OCKELBO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46222</v>
      </c>
      <c r="F143" t="inlineStr">
        <is>
          <t>GÄVLEBORGS LÄN</t>
        </is>
      </c>
      <c r="G143" t="inlineStr">
        <is>
          <t>OCKELBO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24927-2025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46222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44950</v>
      </c>
      <c r="E145" s="1" t="n">
        <v>46222</v>
      </c>
      <c r="F145" t="inlineStr">
        <is>
          <t>GÄVLEBORGS LÄN</t>
        </is>
      </c>
      <c r="G145" t="inlineStr">
        <is>
          <t>OCKELBO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39142-2025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46222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46222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46222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46222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46222</v>
      </c>
      <c r="F150" t="inlineStr">
        <is>
          <t>GÄVLEBORGS LÄN</t>
        </is>
      </c>
      <c r="G150" t="inlineStr">
        <is>
          <t>OCKELBO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46222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46222</v>
      </c>
      <c r="F152" t="inlineStr">
        <is>
          <t>GÄVLEBORGS LÄN</t>
        </is>
      </c>
      <c r="G152" t="inlineStr">
        <is>
          <t>OCKELBO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46222</v>
      </c>
      <c r="F153" t="inlineStr">
        <is>
          <t>GÄVLEBORGS LÄN</t>
        </is>
      </c>
      <c r="G153" t="inlineStr">
        <is>
          <t>OCKELBO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46222</v>
      </c>
      <c r="F154" t="inlineStr">
        <is>
          <t>GÄVLEBORGS LÄN</t>
        </is>
      </c>
      <c r="G154" t="inlineStr">
        <is>
          <t>OCKELBO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39360-2025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46222</v>
      </c>
      <c r="F155" t="inlineStr">
        <is>
          <t>GÄVLEBORGS LÄN</t>
        </is>
      </c>
      <c r="G155" t="inlineStr">
        <is>
          <t>OCKELBO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46222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46222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30798-2024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45497</v>
      </c>
      <c r="E158" s="1" t="n">
        <v>46222</v>
      </c>
      <c r="F158" t="inlineStr">
        <is>
          <t>GÄVLEBORGS LÄN</t>
        </is>
      </c>
      <c r="G158" t="inlineStr">
        <is>
          <t>OCKELBO</t>
        </is>
      </c>
      <c r="I158" t="n">
        <v>8.699999999999999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29158-2025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46222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46222</v>
      </c>
      <c r="F160" t="inlineStr">
        <is>
          <t>GÄVLEBORGS LÄN</t>
        </is>
      </c>
      <c r="G160" t="inlineStr">
        <is>
          <t>OCKELBO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39723-2025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46222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40148-2025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46222</v>
      </c>
      <c r="F162" t="inlineStr">
        <is>
          <t>GÄVLEBORGS LÄN</t>
        </is>
      </c>
      <c r="G162" t="inlineStr">
        <is>
          <t>OCKELBO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46222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46222</v>
      </c>
      <c r="F164" t="inlineStr">
        <is>
          <t>GÄVLEBORGS LÄN</t>
        </is>
      </c>
      <c r="G164" t="inlineStr">
        <is>
          <t>OCKELBO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46222</v>
      </c>
      <c r="F165" t="inlineStr">
        <is>
          <t>GÄVLEBORGS LÄN</t>
        </is>
      </c>
      <c r="G165" t="inlineStr">
        <is>
          <t>OCKELBO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46222</v>
      </c>
      <c r="F166" t="inlineStr">
        <is>
          <t>GÄVLEBORGS LÄN</t>
        </is>
      </c>
      <c r="G166" t="inlineStr">
        <is>
          <t>OCKELBO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30331-2025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46222</v>
      </c>
      <c r="F167" t="inlineStr">
        <is>
          <t>GÄVLEBORGS LÄN</t>
        </is>
      </c>
      <c r="G167" t="inlineStr">
        <is>
          <t>OCKELBO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46222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4268-2026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46045</v>
      </c>
      <c r="E169" s="1" t="n">
        <v>46222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30152-2025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46222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30179-2025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45827</v>
      </c>
      <c r="E171" s="1" t="n">
        <v>46222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49207-2023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45210</v>
      </c>
      <c r="E172" s="1" t="n">
        <v>46222</v>
      </c>
      <c r="F172" t="inlineStr">
        <is>
          <t>GÄVLEBORGS LÄN</t>
        </is>
      </c>
      <c r="G172" t="inlineStr">
        <is>
          <t>OCKELBO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46222</v>
      </c>
      <c r="F173" t="inlineStr">
        <is>
          <t>GÄVLEBORGS LÄN</t>
        </is>
      </c>
      <c r="G173" t="inlineStr">
        <is>
          <t>OCKELBO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41901-2025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46222</v>
      </c>
      <c r="F174" t="inlineStr">
        <is>
          <t>GÄVLEBORGS LÄN</t>
        </is>
      </c>
      <c r="G174" t="inlineStr">
        <is>
          <t>OCKELBO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41899-2025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46222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46222</v>
      </c>
      <c r="F176" t="inlineStr">
        <is>
          <t>GÄVLEBORGS LÄN</t>
        </is>
      </c>
      <c r="G176" t="inlineStr">
        <is>
          <t>OCKELBO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46222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32087-2025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46222</v>
      </c>
      <c r="F178" t="inlineStr">
        <is>
          <t>GÄVLEBORGS LÄN</t>
        </is>
      </c>
      <c r="G178" t="inlineStr">
        <is>
          <t>OCKELBO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3628-2023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46222</v>
      </c>
      <c r="F179" t="inlineStr">
        <is>
          <t>GÄVLEBORGS LÄN</t>
        </is>
      </c>
      <c r="G179" t="inlineStr">
        <is>
          <t>OCKELBO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42386-2025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46222</v>
      </c>
      <c r="F180" t="inlineStr">
        <is>
          <t>GÄVLEBORGS LÄN</t>
        </is>
      </c>
      <c r="G180" t="inlineStr">
        <is>
          <t>OCKELBO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46222</v>
      </c>
      <c r="F181" t="inlineStr">
        <is>
          <t>GÄVLEBORGS LÄN</t>
        </is>
      </c>
      <c r="G181" t="inlineStr">
        <is>
          <t>OCKELBO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46222</v>
      </c>
      <c r="F182" t="inlineStr">
        <is>
          <t>GÄVLEBORGS LÄN</t>
        </is>
      </c>
      <c r="G182" t="inlineStr">
        <is>
          <t>OCKELBO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20892-2025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45777</v>
      </c>
      <c r="E183" s="1" t="n">
        <v>46222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46222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43423-2025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46222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46222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43424-2025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46222</v>
      </c>
      <c r="F187" t="inlineStr">
        <is>
          <t>GÄVLEBORGS LÄN</t>
        </is>
      </c>
      <c r="G187" t="inlineStr">
        <is>
          <t>OCKELBO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46222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14937-2024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45398</v>
      </c>
      <c r="E189" s="1" t="n">
        <v>46222</v>
      </c>
      <c r="F189" t="inlineStr">
        <is>
          <t>GÄVLEBORGS LÄN</t>
        </is>
      </c>
      <c r="G189" t="inlineStr">
        <is>
          <t>OCKELBO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46222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46222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22824-2024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45448</v>
      </c>
      <c r="E192" s="1" t="n">
        <v>46222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46222</v>
      </c>
      <c r="F193" t="inlineStr">
        <is>
          <t>GÄVLEBORGS LÄN</t>
        </is>
      </c>
      <c r="G193" t="inlineStr">
        <is>
          <t>OCKELBO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46222</v>
      </c>
      <c r="F194" t="inlineStr">
        <is>
          <t>GÄVLEBORGS LÄN</t>
        </is>
      </c>
      <c r="G194" t="inlineStr">
        <is>
          <t>OCKELBO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46222</v>
      </c>
      <c r="F195" t="inlineStr">
        <is>
          <t>GÄVLEBORGS LÄN</t>
        </is>
      </c>
      <c r="G195" t="inlineStr">
        <is>
          <t>OCKELBO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6529-2026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46222</v>
      </c>
      <c r="F196" t="inlineStr">
        <is>
          <t>GÄVLEBORGS LÄN</t>
        </is>
      </c>
      <c r="G196" t="inlineStr">
        <is>
          <t>OCKELBO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6531-2026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46222</v>
      </c>
      <c r="F197" t="inlineStr">
        <is>
          <t>GÄVLEBORGS LÄN</t>
        </is>
      </c>
      <c r="G197" t="inlineStr">
        <is>
          <t>OCKELBO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33384-2025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46222</v>
      </c>
      <c r="F198" t="inlineStr">
        <is>
          <t>GÄVLEBORGS LÄN</t>
        </is>
      </c>
      <c r="G198" t="inlineStr">
        <is>
          <t>OCKELBO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45109</v>
      </c>
      <c r="E199" s="1" t="n">
        <v>46222</v>
      </c>
      <c r="F199" t="inlineStr">
        <is>
          <t>GÄVLEBORGS LÄN</t>
        </is>
      </c>
      <c r="G199" t="inlineStr">
        <is>
          <t>OCKELBO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46222</v>
      </c>
      <c r="F200" t="inlineStr">
        <is>
          <t>GÄVLEBORGS LÄN</t>
        </is>
      </c>
      <c r="G200" t="inlineStr">
        <is>
          <t>OCKELBO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46056</v>
      </c>
      <c r="E201" s="1" t="n">
        <v>46222</v>
      </c>
      <c r="F201" t="inlineStr">
        <is>
          <t>GÄVLEBORGS LÄN</t>
        </is>
      </c>
      <c r="G201" t="inlineStr">
        <is>
          <t>OCKELBO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46222</v>
      </c>
      <c r="F202" t="inlineStr">
        <is>
          <t>GÄVLEBORGS LÄN</t>
        </is>
      </c>
      <c r="G202" t="inlineStr">
        <is>
          <t>OCKELBO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46053</v>
      </c>
      <c r="E203" s="1" t="n">
        <v>46222</v>
      </c>
      <c r="F203" t="inlineStr">
        <is>
          <t>GÄVLEBORGS LÄN</t>
        </is>
      </c>
      <c r="G203" t="inlineStr">
        <is>
          <t>OCKELBO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10149-2025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45719</v>
      </c>
      <c r="E204" s="1" t="n">
        <v>46222</v>
      </c>
      <c r="F204" t="inlineStr">
        <is>
          <t>GÄVLEBORGS LÄN</t>
        </is>
      </c>
      <c r="G204" t="inlineStr">
        <is>
          <t>OCKELBO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23006-2023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45073</v>
      </c>
      <c r="E205" s="1" t="n">
        <v>46222</v>
      </c>
      <c r="F205" t="inlineStr">
        <is>
          <t>GÄVLEBORGS LÄN</t>
        </is>
      </c>
      <c r="G205" t="inlineStr">
        <is>
          <t>OCKELBO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46222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64609-2023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46222</v>
      </c>
      <c r="F207" t="inlineStr">
        <is>
          <t>GÄVLEBORGS LÄN</t>
        </is>
      </c>
      <c r="G207" t="inlineStr">
        <is>
          <t>OCKELBO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46320-2025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46222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46222</v>
      </c>
      <c r="F209" t="inlineStr">
        <is>
          <t>GÄVLEBORGS LÄN</t>
        </is>
      </c>
      <c r="G209" t="inlineStr">
        <is>
          <t>OCKELBO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46222</v>
      </c>
      <c r="F210" t="inlineStr">
        <is>
          <t>GÄVLEBORGS LÄN</t>
        </is>
      </c>
      <c r="G210" t="inlineStr">
        <is>
          <t>OCKELBO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6598-2026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46222</v>
      </c>
      <c r="F211" t="inlineStr">
        <is>
          <t>GÄVLEBORGS LÄN</t>
        </is>
      </c>
      <c r="G211" t="inlineStr">
        <is>
          <t>OCKELBO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35017-2025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45851</v>
      </c>
      <c r="E212" s="1" t="n">
        <v>46222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65259-2023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45291</v>
      </c>
      <c r="E213" s="1" t="n">
        <v>46222</v>
      </c>
      <c r="F213" t="inlineStr">
        <is>
          <t>GÄVLEBORGS LÄN</t>
        </is>
      </c>
      <c r="G213" t="inlineStr">
        <is>
          <t>OCKELBO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34291-2025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46222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29768-2023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46222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47267-2025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46222</v>
      </c>
      <c r="F216" t="inlineStr">
        <is>
          <t>GÄVLEBORGS LÄN</t>
        </is>
      </c>
      <c r="G216" t="inlineStr">
        <is>
          <t>OCKELBO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45519-2022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46222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46222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54454-2024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46222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61622-2021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46222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40283-2024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46222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35614-2025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45859</v>
      </c>
      <c r="E222" s="1" t="n">
        <v>46222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38401-2023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46222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46222</v>
      </c>
      <c r="F224" t="inlineStr">
        <is>
          <t>GÄVLEBORGS LÄN</t>
        </is>
      </c>
      <c r="G224" t="inlineStr">
        <is>
          <t>OCKELBO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67768-2021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44525</v>
      </c>
      <c r="E225" s="1" t="n">
        <v>46222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46222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46485-2024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46222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46222</v>
      </c>
      <c r="F228" t="inlineStr">
        <is>
          <t>GÄVLEBORGS LÄN</t>
        </is>
      </c>
      <c r="G228" t="inlineStr">
        <is>
          <t>OCKELBO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46222</v>
      </c>
      <c r="F229" t="inlineStr">
        <is>
          <t>GÄVLEBORGS LÄN</t>
        </is>
      </c>
      <c r="G229" t="inlineStr">
        <is>
          <t>OCKELBO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46222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46222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50693-2024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45602</v>
      </c>
      <c r="E232" s="1" t="n">
        <v>46222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38893-2022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44816</v>
      </c>
      <c r="E233" s="1" t="n">
        <v>46222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6665-2026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46222</v>
      </c>
      <c r="F234" t="inlineStr">
        <is>
          <t>GÄVLEBORGS LÄN</t>
        </is>
      </c>
      <c r="G234" t="inlineStr">
        <is>
          <t>OCKELBO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45027</v>
      </c>
      <c r="E235" s="1" t="n">
        <v>46222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46222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9.800000000000001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40281-2024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45554</v>
      </c>
      <c r="E237" s="1" t="n">
        <v>46222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46222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50235-2023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45216</v>
      </c>
      <c r="E239" s="1" t="n">
        <v>46222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66825-2021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44522</v>
      </c>
      <c r="E240" s="1" t="n">
        <v>46222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47987-2025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46222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6677-2026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46056</v>
      </c>
      <c r="E242" s="1" t="n">
        <v>46222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29534-2023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45106</v>
      </c>
      <c r="E243" s="1" t="n">
        <v>46222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52335-2024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45609</v>
      </c>
      <c r="E244" s="1" t="n">
        <v>46222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53139-2024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45611</v>
      </c>
      <c r="E245" s="1" t="n">
        <v>46222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46222</v>
      </c>
      <c r="F246" t="inlineStr">
        <is>
          <t>GÄVLEBORGS LÄN</t>
        </is>
      </c>
      <c r="G246" t="inlineStr">
        <is>
          <t>OCKELBO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6862-2026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46222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48855-2025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46222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48996-2025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46222</v>
      </c>
      <c r="F249" t="inlineStr">
        <is>
          <t>GÄVLEBORGS LÄN</t>
        </is>
      </c>
      <c r="G249" t="inlineStr">
        <is>
          <t>OCKELBO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49008-2025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46222</v>
      </c>
      <c r="F250" t="inlineStr">
        <is>
          <t>GÄVLEBORGS LÄN</t>
        </is>
      </c>
      <c r="G250" t="inlineStr">
        <is>
          <t>OCKELBO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49014-2025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46222</v>
      </c>
      <c r="F251" t="inlineStr">
        <is>
          <t>GÄVLEBORGS LÄN</t>
        </is>
      </c>
      <c r="G251" t="inlineStr">
        <is>
          <t>OCKELBO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49032-2025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46222</v>
      </c>
      <c r="F252" t="inlineStr">
        <is>
          <t>GÄVLEBORGS LÄN</t>
        </is>
      </c>
      <c r="G252" t="inlineStr">
        <is>
          <t>OCKELBO</t>
        </is>
      </c>
      <c r="I252" t="n">
        <v>11.1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49027-2025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46222</v>
      </c>
      <c r="F253" t="inlineStr">
        <is>
          <t>GÄVLEBORGS LÄN</t>
        </is>
      </c>
      <c r="G253" t="inlineStr">
        <is>
          <t>OCKELBO</t>
        </is>
      </c>
      <c r="I253" t="n">
        <v>11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46222</v>
      </c>
      <c r="F254" t="inlineStr">
        <is>
          <t>GÄVLEBORGS LÄN</t>
        </is>
      </c>
      <c r="G254" t="inlineStr">
        <is>
          <t>OCKELBO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32011-2024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45510</v>
      </c>
      <c r="E255" s="1" t="n">
        <v>46222</v>
      </c>
      <c r="F255" t="inlineStr">
        <is>
          <t>GÄVLEBORGS LÄN</t>
        </is>
      </c>
      <c r="G255" t="inlineStr">
        <is>
          <t>OCKELBO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31822-2025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46222</v>
      </c>
      <c r="F256" t="inlineStr">
        <is>
          <t>GÄVLEBORGS LÄN</t>
        </is>
      </c>
      <c r="G256" t="inlineStr">
        <is>
          <t>OCKELBO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46222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öst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46222</v>
      </c>
      <c r="F258" t="inlineStr">
        <is>
          <t>GÄVLEBORGS LÄN</t>
        </is>
      </c>
      <c r="G258" t="inlineStr">
        <is>
          <t>OCKELBO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32123-2024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45511</v>
      </c>
      <c r="E259" s="1" t="n">
        <v>46222</v>
      </c>
      <c r="F259" t="inlineStr">
        <is>
          <t>GÄVLEBORGS LÄN</t>
        </is>
      </c>
      <c r="G259" t="inlineStr">
        <is>
          <t>OCKELBO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47100-2024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45586</v>
      </c>
      <c r="E260" s="1" t="n">
        <v>46222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45551</v>
      </c>
      <c r="E261" s="1" t="n">
        <v>46222</v>
      </c>
      <c r="F261" t="inlineStr">
        <is>
          <t>GÄVLEBORGS LÄN</t>
        </is>
      </c>
      <c r="G261" t="inlineStr">
        <is>
          <t>OCKELBO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22385-2023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45070</v>
      </c>
      <c r="E262" s="1" t="n">
        <v>46222</v>
      </c>
      <c r="F262" t="inlineStr">
        <is>
          <t>GÄVLEBORGS LÄN</t>
        </is>
      </c>
      <c r="G262" t="inlineStr">
        <is>
          <t>OCKELBO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61456-2024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46222</v>
      </c>
      <c r="F263" t="inlineStr">
        <is>
          <t>GÄVLEBORGS LÄN</t>
        </is>
      </c>
      <c r="G263" t="inlineStr">
        <is>
          <t>OCKELBO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60962-2024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45645</v>
      </c>
      <c r="E264" s="1" t="n">
        <v>46222</v>
      </c>
      <c r="F264" t="inlineStr">
        <is>
          <t>GÄVLEBORGS LÄN</t>
        </is>
      </c>
      <c r="G264" t="inlineStr">
        <is>
          <t>OCKELBO</t>
        </is>
      </c>
      <c r="H264" t="inlineStr">
        <is>
          <t>Kyrkan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7544-2026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46222</v>
      </c>
      <c r="F265" t="inlineStr">
        <is>
          <t>GÄVLEBORGS LÄN</t>
        </is>
      </c>
      <c r="G265" t="inlineStr">
        <is>
          <t>OCKELBO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7639-2026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46222</v>
      </c>
      <c r="F266" t="inlineStr">
        <is>
          <t>GÄVLEBORGS LÄN</t>
        </is>
      </c>
      <c r="G266" t="inlineStr">
        <is>
          <t>OCKELBO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7681-2026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46222</v>
      </c>
      <c r="F267" t="inlineStr">
        <is>
          <t>GÄVLEBORGS LÄN</t>
        </is>
      </c>
      <c r="G267" t="inlineStr">
        <is>
          <t>OCKELBO</t>
        </is>
      </c>
      <c r="H267" t="inlineStr">
        <is>
          <t>Kyrkan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11734-2025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45727</v>
      </c>
      <c r="E268" s="1" t="n">
        <v>46222</v>
      </c>
      <c r="F268" t="inlineStr">
        <is>
          <t>GÄVLEBORGS LÄN</t>
        </is>
      </c>
      <c r="G268" t="inlineStr">
        <is>
          <t>OCKELBO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7769-2026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46222</v>
      </c>
      <c r="F269" t="inlineStr">
        <is>
          <t>GÄVLEBORGS LÄN</t>
        </is>
      </c>
      <c r="G269" t="inlineStr">
        <is>
          <t>OCKELBO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51892-2025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46222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8351-2026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46222</v>
      </c>
      <c r="F271" t="inlineStr">
        <is>
          <t>GÄVLEBORGS LÄN</t>
        </is>
      </c>
      <c r="G271" t="inlineStr">
        <is>
          <t>OCKELBO</t>
        </is>
      </c>
      <c r="I271" t="n">
        <v>17.4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46222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52635-2025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46222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8274-2026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46222</v>
      </c>
      <c r="F274" t="inlineStr">
        <is>
          <t>GÄVLEBORGS LÄN</t>
        </is>
      </c>
      <c r="G274" t="inlineStr">
        <is>
          <t>OCKELBO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8354-2026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46222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52259-2025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46222</v>
      </c>
      <c r="F276" t="inlineStr">
        <is>
          <t>GÄVLEBORGS LÄN</t>
        </is>
      </c>
      <c r="G276" t="inlineStr">
        <is>
          <t>OCKELBO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52461-2025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46222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52241-2025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46222</v>
      </c>
      <c r="F278" t="inlineStr">
        <is>
          <t>GÄVLEBORGS LÄN</t>
        </is>
      </c>
      <c r="G278" t="inlineStr">
        <is>
          <t>OCKELBO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46064</v>
      </c>
      <c r="E279" s="1" t="n">
        <v>46222</v>
      </c>
      <c r="F279" t="inlineStr">
        <is>
          <t>GÄVLEBORGS LÄN</t>
        </is>
      </c>
      <c r="G279" t="inlineStr">
        <is>
          <t>OCKELBO</t>
        </is>
      </c>
      <c r="H279" t="inlineStr">
        <is>
          <t>Kyrkan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29567-2024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45484</v>
      </c>
      <c r="E280" s="1" t="n">
        <v>46222</v>
      </c>
      <c r="F280" t="inlineStr">
        <is>
          <t>GÄVLEBORGS LÄN</t>
        </is>
      </c>
      <c r="G280" t="inlineStr">
        <is>
          <t>OCKELBO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8750-2026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46222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38652-2025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46222</v>
      </c>
      <c r="F282" t="inlineStr">
        <is>
          <t>GÄVLEBORGS LÄN</t>
        </is>
      </c>
      <c r="G282" t="inlineStr">
        <is>
          <t>OCKELBO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8402-2026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46222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8429-2026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46065</v>
      </c>
      <c r="E284" s="1" t="n">
        <v>46222</v>
      </c>
      <c r="F284" t="inlineStr">
        <is>
          <t>GÄVLEBORGS LÄN</t>
        </is>
      </c>
      <c r="G284" t="inlineStr">
        <is>
          <t>OCKELBO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52880-2025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46222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36210-2024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45534</v>
      </c>
      <c r="E286" s="1" t="n">
        <v>46222</v>
      </c>
      <c r="F286" t="inlineStr">
        <is>
          <t>GÄVLEBORGS LÄN</t>
        </is>
      </c>
      <c r="G286" t="inlineStr">
        <is>
          <t>OCKELBO</t>
        </is>
      </c>
      <c r="H286" t="inlineStr">
        <is>
          <t>Kyrkan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8933-2026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46222</v>
      </c>
      <c r="F287" t="inlineStr">
        <is>
          <t>GÄVLEBORGS LÄN</t>
        </is>
      </c>
      <c r="G287" t="inlineStr">
        <is>
          <t>OCKELBO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6764-2026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46222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46222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9505-2026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46222</v>
      </c>
      <c r="F290" t="inlineStr">
        <is>
          <t>GÄVLEBORGS LÄN</t>
        </is>
      </c>
      <c r="G290" t="inlineStr">
        <is>
          <t>OCKELBO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9414-2026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46222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9416-2026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46222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9464-2026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46222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9507-2026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46222</v>
      </c>
      <c r="F294" t="inlineStr">
        <is>
          <t>GÄVLEBORGS LÄN</t>
        </is>
      </c>
      <c r="G294" t="inlineStr">
        <is>
          <t>OCKELBO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46222</v>
      </c>
      <c r="F295" t="inlineStr">
        <is>
          <t>GÄVLEBORGS LÄN</t>
        </is>
      </c>
      <c r="G295" t="inlineStr">
        <is>
          <t>OCKELBO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9681-2026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46222</v>
      </c>
      <c r="F296" t="inlineStr">
        <is>
          <t>GÄVLEBORGS LÄN</t>
        </is>
      </c>
      <c r="G296" t="inlineStr">
        <is>
          <t>OCKELBO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9727-2026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46222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9732-2026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46072</v>
      </c>
      <c r="E298" s="1" t="n">
        <v>46222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9554-2026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46222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9557-2026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46222</v>
      </c>
      <c r="F300" t="inlineStr">
        <is>
          <t>GÄVLEBORGS LÄN</t>
        </is>
      </c>
      <c r="G300" t="inlineStr">
        <is>
          <t>OCKELBO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46031</v>
      </c>
      <c r="E301" s="1" t="n">
        <v>46222</v>
      </c>
      <c r="F301" t="inlineStr">
        <is>
          <t>GÄVLEBORGS LÄN</t>
        </is>
      </c>
      <c r="G301" t="inlineStr">
        <is>
          <t>OCKELBO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9461-2026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46222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46222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46222</v>
      </c>
      <c r="F304" t="inlineStr">
        <is>
          <t>GÄVLEBORGS LÄN</t>
        </is>
      </c>
      <c r="G304" t="inlineStr">
        <is>
          <t>OCKELBO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10159-2026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46222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10437-2026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46222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10418-2026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46077</v>
      </c>
      <c r="E307" s="1" t="n">
        <v>46222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10501-2026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46077</v>
      </c>
      <c r="E308" s="1" t="n">
        <v>46222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54655-2025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46222</v>
      </c>
      <c r="F309" t="inlineStr">
        <is>
          <t>GÄVLEBORGS LÄN</t>
        </is>
      </c>
      <c r="G309" t="inlineStr">
        <is>
          <t>OCKELBO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10454-2026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46077</v>
      </c>
      <c r="E310" s="1" t="n">
        <v>46222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45698</v>
      </c>
      <c r="E311" s="1" t="n">
        <v>46222</v>
      </c>
      <c r="F311" t="inlineStr">
        <is>
          <t>GÄVLEBORGS LÄN</t>
        </is>
      </c>
      <c r="G311" t="inlineStr">
        <is>
          <t>OCKELBO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9997-2026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46222</v>
      </c>
      <c r="F312" t="inlineStr">
        <is>
          <t>GÄVLEBORGS LÄN</t>
        </is>
      </c>
      <c r="G312" t="inlineStr">
        <is>
          <t>OCKELBO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9927-2026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46222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10184-2026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46222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46077</v>
      </c>
      <c r="E315" s="1" t="n">
        <v>46222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öst AB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46077</v>
      </c>
      <c r="E316" s="1" t="n">
        <v>46222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öst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54879-2025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46222</v>
      </c>
      <c r="F317" t="inlineStr">
        <is>
          <t>GÄVLEBORGS LÄN</t>
        </is>
      </c>
      <c r="G317" t="inlineStr">
        <is>
          <t>OCKELBO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54880-2025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46222</v>
      </c>
      <c r="F318" t="inlineStr">
        <is>
          <t>GÄVLEBORGS LÄN</t>
        </is>
      </c>
      <c r="G318" t="inlineStr">
        <is>
          <t>OCKELBO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55632-2025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46222</v>
      </c>
      <c r="F319" t="inlineStr">
        <is>
          <t>GÄVLEBORGS LÄN</t>
        </is>
      </c>
      <c r="G319" t="inlineStr">
        <is>
          <t>OCKELBO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46222</v>
      </c>
      <c r="F320" t="inlineStr">
        <is>
          <t>GÄVLEBORGS LÄN</t>
        </is>
      </c>
      <c r="G320" t="inlineStr">
        <is>
          <t>OCKELBO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55629-2025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46222</v>
      </c>
      <c r="F321" t="inlineStr">
        <is>
          <t>GÄVLEBORGS LÄN</t>
        </is>
      </c>
      <c r="G321" t="inlineStr">
        <is>
          <t>OCKELBO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10456-2026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46077</v>
      </c>
      <c r="E322" s="1" t="n">
        <v>46222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öst AB</t>
        </is>
      </c>
      <c r="I322" t="n">
        <v>45.7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55726-2025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46222</v>
      </c>
      <c r="F323" t="inlineStr">
        <is>
          <t>GÄVLEBORGS LÄN</t>
        </is>
      </c>
      <c r="G323" t="inlineStr">
        <is>
          <t>OCKELBO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55913-2025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46222</v>
      </c>
      <c r="F324" t="inlineStr">
        <is>
          <t>GÄVLEBORGS LÄN</t>
        </is>
      </c>
      <c r="G324" t="inlineStr">
        <is>
          <t>OCKELBO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10682-2026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46222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30349-2023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46222</v>
      </c>
      <c r="F326" t="inlineStr">
        <is>
          <t>GÄVLEBORGS LÄN</t>
        </is>
      </c>
      <c r="G326" t="inlineStr">
        <is>
          <t>OCKELBO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11078-2026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46222</v>
      </c>
      <c r="F327" t="inlineStr">
        <is>
          <t>GÄVLEBORGS LÄN</t>
        </is>
      </c>
      <c r="G327" t="inlineStr">
        <is>
          <t>OCKELBO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55920-2025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46222</v>
      </c>
      <c r="F328" t="inlineStr">
        <is>
          <t>GÄVLEBORGS LÄN</t>
        </is>
      </c>
      <c r="G328" t="inlineStr">
        <is>
          <t>OCKELBO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55926-2025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46222</v>
      </c>
      <c r="F329" t="inlineStr">
        <is>
          <t>GÄVLEBORGS LÄN</t>
        </is>
      </c>
      <c r="G329" t="inlineStr">
        <is>
          <t>OCKELBO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55859-2025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46222</v>
      </c>
      <c r="F330" t="inlineStr">
        <is>
          <t>GÄVLEBORGS LÄN</t>
        </is>
      </c>
      <c r="G330" t="inlineStr">
        <is>
          <t>OCKELBO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55866-2025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46222</v>
      </c>
      <c r="F331" t="inlineStr">
        <is>
          <t>GÄVLEBORGS LÄN</t>
        </is>
      </c>
      <c r="G331" t="inlineStr">
        <is>
          <t>OCKELBO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55911-2025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45973</v>
      </c>
      <c r="E332" s="1" t="n">
        <v>46222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11027-2026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46222</v>
      </c>
      <c r="F333" t="inlineStr">
        <is>
          <t>GÄVLEBORGS LÄN</t>
        </is>
      </c>
      <c r="G333" t="inlineStr">
        <is>
          <t>OCKELBO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15966-2023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46222</v>
      </c>
      <c r="F334" t="inlineStr">
        <is>
          <t>GÄVLEBORGS LÄN</t>
        </is>
      </c>
      <c r="G334" t="inlineStr">
        <is>
          <t>OCKELBO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56232-2022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44890</v>
      </c>
      <c r="E335" s="1" t="n">
        <v>46222</v>
      </c>
      <c r="F335" t="inlineStr">
        <is>
          <t>GÄVLEBORGS LÄN</t>
        </is>
      </c>
      <c r="G335" t="inlineStr">
        <is>
          <t>OCKELBO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55884-2025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46222</v>
      </c>
      <c r="F336" t="inlineStr">
        <is>
          <t>GÄVLEBORGS LÄN</t>
        </is>
      </c>
      <c r="G336" t="inlineStr">
        <is>
          <t>OCKELBO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11234-2026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46222</v>
      </c>
      <c r="F337" t="inlineStr">
        <is>
          <t>GÄVLEBORGS LÄN</t>
        </is>
      </c>
      <c r="G337" t="inlineStr">
        <is>
          <t>OCKELBO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56921-2025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46222</v>
      </c>
      <c r="F338" t="inlineStr">
        <is>
          <t>GÄVLEBORGS LÄN</t>
        </is>
      </c>
      <c r="G338" t="inlineStr">
        <is>
          <t>OCKELBO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11300-2026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46080</v>
      </c>
      <c r="E339" s="1" t="n">
        <v>46222</v>
      </c>
      <c r="F339" t="inlineStr">
        <is>
          <t>GÄVLEBORGS LÄN</t>
        </is>
      </c>
      <c r="G339" t="inlineStr">
        <is>
          <t>OCKELBO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56803-2025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46222</v>
      </c>
      <c r="F340" t="inlineStr">
        <is>
          <t>GÄVLEBORGS LÄN</t>
        </is>
      </c>
      <c r="G340" t="inlineStr">
        <is>
          <t>OCKELBO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56919-2025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46222</v>
      </c>
      <c r="F341" t="inlineStr">
        <is>
          <t>GÄVLEBORGS LÄN</t>
        </is>
      </c>
      <c r="G341" t="inlineStr">
        <is>
          <t>OCKELBO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11423-2026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46222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öst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56888-2025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46222</v>
      </c>
      <c r="F343" t="inlineStr">
        <is>
          <t>GÄVLEBORGS LÄN</t>
        </is>
      </c>
      <c r="G343" t="inlineStr">
        <is>
          <t>OCKELBO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47849-2021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44448</v>
      </c>
      <c r="E344" s="1" t="n">
        <v>46222</v>
      </c>
      <c r="F344" t="inlineStr">
        <is>
          <t>GÄVLEBORGS LÄN</t>
        </is>
      </c>
      <c r="G344" t="inlineStr">
        <is>
          <t>OCKELBO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54817-2022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44883</v>
      </c>
      <c r="E345" s="1" t="n">
        <v>46222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56876-2025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46222</v>
      </c>
      <c r="F346" t="inlineStr">
        <is>
          <t>GÄVLEBORGS LÄN</t>
        </is>
      </c>
      <c r="G346" t="inlineStr">
        <is>
          <t>OCKELBO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56882-2025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46222</v>
      </c>
      <c r="F347" t="inlineStr">
        <is>
          <t>GÄVLEBORGS LÄN</t>
        </is>
      </c>
      <c r="G347" t="inlineStr">
        <is>
          <t>OCKELBO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56877-2025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46222</v>
      </c>
      <c r="F348" t="inlineStr">
        <is>
          <t>GÄVLEBORGS LÄN</t>
        </is>
      </c>
      <c r="G348" t="inlineStr">
        <is>
          <t>OCKELBO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56454-2025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45975</v>
      </c>
      <c r="E349" s="1" t="n">
        <v>46222</v>
      </c>
      <c r="F349" t="inlineStr">
        <is>
          <t>GÄVLEBORGS LÄN</t>
        </is>
      </c>
      <c r="G349" t="inlineStr">
        <is>
          <t>OCKELBO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11496-2026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46222</v>
      </c>
      <c r="F350" t="inlineStr">
        <is>
          <t>GÄVLEBORGS LÄN</t>
        </is>
      </c>
      <c r="G350" t="inlineStr">
        <is>
          <t>OCKELBO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46222</v>
      </c>
      <c r="F351" t="inlineStr">
        <is>
          <t>GÄVLEBORGS LÄN</t>
        </is>
      </c>
      <c r="G351" t="inlineStr">
        <is>
          <t>OCKELBO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46222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46080</v>
      </c>
      <c r="E353" s="1" t="n">
        <v>46222</v>
      </c>
      <c r="F353" t="inlineStr">
        <is>
          <t>GÄVLEBORGS LÄN</t>
        </is>
      </c>
      <c r="G353" t="inlineStr">
        <is>
          <t>OCKELBO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11588-2026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46222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öst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58156-2025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45982</v>
      </c>
      <c r="E355" s="1" t="n">
        <v>46222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22151-2022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44712</v>
      </c>
      <c r="E356" s="1" t="n">
        <v>46222</v>
      </c>
      <c r="F356" t="inlineStr">
        <is>
          <t>GÄVLEBORGS LÄN</t>
        </is>
      </c>
      <c r="G356" t="inlineStr">
        <is>
          <t>OCKELBO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33881-2023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45134</v>
      </c>
      <c r="E357" s="1" t="n">
        <v>46222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57614-2025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46222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18326-2026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46126</v>
      </c>
      <c r="E359" s="1" t="n">
        <v>46222</v>
      </c>
      <c r="F359" t="inlineStr">
        <is>
          <t>GÄVLEBORGS LÄN</t>
        </is>
      </c>
      <c r="G359" t="inlineStr">
        <is>
          <t>OCKELBO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11810-2026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46222</v>
      </c>
      <c r="F360" t="inlineStr">
        <is>
          <t>GÄVLEBORGS LÄN</t>
        </is>
      </c>
      <c r="G360" t="inlineStr">
        <is>
          <t>OCKELBO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12080-2026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46086</v>
      </c>
      <c r="E361" s="1" t="n">
        <v>46222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18.7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46222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36362-2024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45534</v>
      </c>
      <c r="E363" s="1" t="n">
        <v>46222</v>
      </c>
      <c r="F363" t="inlineStr">
        <is>
          <t>GÄVLEBORGS LÄN</t>
        </is>
      </c>
      <c r="G363" t="inlineStr">
        <is>
          <t>OCKELBO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58727-2025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45986</v>
      </c>
      <c r="E364" s="1" t="n">
        <v>46222</v>
      </c>
      <c r="F364" t="inlineStr">
        <is>
          <t>GÄVLEBORGS LÄN</t>
        </is>
      </c>
      <c r="G364" t="inlineStr">
        <is>
          <t>OCKELBO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12341-2026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46222</v>
      </c>
      <c r="F365" t="inlineStr">
        <is>
          <t>GÄVLEBORGS LÄN</t>
        </is>
      </c>
      <c r="G365" t="inlineStr">
        <is>
          <t>OCKELBO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58295-2025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46222</v>
      </c>
      <c r="F366" t="inlineStr">
        <is>
          <t>GÄVLEBORGS LÄN</t>
        </is>
      </c>
      <c r="G366" t="inlineStr">
        <is>
          <t>OCKELBO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58299-2025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45985</v>
      </c>
      <c r="E367" s="1" t="n">
        <v>46222</v>
      </c>
      <c r="F367" t="inlineStr">
        <is>
          <t>GÄVLEBORGS LÄN</t>
        </is>
      </c>
      <c r="G367" t="inlineStr">
        <is>
          <t>OCKELBO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12370-2026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46089</v>
      </c>
      <c r="E368" s="1" t="n">
        <v>46222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29.9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59086-2025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46222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12716-2026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46091</v>
      </c>
      <c r="E370" s="1" t="n">
        <v>46222</v>
      </c>
      <c r="F370" t="inlineStr">
        <is>
          <t>GÄVLEBORGS LÄN</t>
        </is>
      </c>
      <c r="G370" t="inlineStr">
        <is>
          <t>OCKELBO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13271-2026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46222</v>
      </c>
      <c r="F371" t="inlineStr">
        <is>
          <t>GÄVLEBORGS LÄN</t>
        </is>
      </c>
      <c r="G371" t="inlineStr">
        <is>
          <t>OCKELBO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46222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12807-2026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46222</v>
      </c>
      <c r="F373" t="inlineStr">
        <is>
          <t>GÄVLEBORGS LÄN</t>
        </is>
      </c>
      <c r="G373" t="inlineStr">
        <is>
          <t>OCKELBO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13208-2026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46222</v>
      </c>
      <c r="F374" t="inlineStr">
        <is>
          <t>GÄVLEBORGS LÄN</t>
        </is>
      </c>
      <c r="G374" t="inlineStr">
        <is>
          <t>OCKELBO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60183-2025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45994</v>
      </c>
      <c r="E375" s="1" t="n">
        <v>46222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46222</v>
      </c>
      <c r="F376" t="inlineStr">
        <is>
          <t>GÄVLEBORGS LÄN</t>
        </is>
      </c>
      <c r="G376" t="inlineStr">
        <is>
          <t>OCKELBO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13481-2026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46222</v>
      </c>
      <c r="F377" t="inlineStr">
        <is>
          <t>GÄVLEBORGS LÄN</t>
        </is>
      </c>
      <c r="G377" t="inlineStr">
        <is>
          <t>OCKELBO</t>
        </is>
      </c>
      <c r="H377" t="inlineStr">
        <is>
          <t>Naturvårdsverket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13621-2026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46097</v>
      </c>
      <c r="E378" s="1" t="n">
        <v>46222</v>
      </c>
      <c r="F378" t="inlineStr">
        <is>
          <t>GÄVLEBORGS LÄN</t>
        </is>
      </c>
      <c r="G378" t="inlineStr">
        <is>
          <t>OCKELBO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13321-2026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46222</v>
      </c>
      <c r="F379" t="inlineStr">
        <is>
          <t>GÄVLEBORGS LÄN</t>
        </is>
      </c>
      <c r="G379" t="inlineStr">
        <is>
          <t>OCKELBO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46222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13441-2026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46222</v>
      </c>
      <c r="F381" t="inlineStr">
        <is>
          <t>GÄVLEBORGS LÄN</t>
        </is>
      </c>
      <c r="G381" t="inlineStr">
        <is>
          <t>OCKELBO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60487-2025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46222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60527-2025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46222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12947-2026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46222</v>
      </c>
      <c r="F384" t="inlineStr">
        <is>
          <t>GÄVLEBORGS LÄN</t>
        </is>
      </c>
      <c r="G384" t="inlineStr">
        <is>
          <t>OCKELBO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46222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13856-2026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46098</v>
      </c>
      <c r="E386" s="1" t="n">
        <v>46222</v>
      </c>
      <c r="F386" t="inlineStr">
        <is>
          <t>GÄVLEBORGS LÄN</t>
        </is>
      </c>
      <c r="G386" t="inlineStr">
        <is>
          <t>OCKELBO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16629-2025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46222</v>
      </c>
      <c r="F387" t="inlineStr">
        <is>
          <t>GÄVLEBORGS LÄN</t>
        </is>
      </c>
      <c r="G387" t="inlineStr">
        <is>
          <t>OCKELBO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14232-2026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46222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61148-2025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46222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13931-2026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46222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13972-2026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46098</v>
      </c>
      <c r="E391" s="1" t="n">
        <v>46222</v>
      </c>
      <c r="F391" t="inlineStr">
        <is>
          <t>GÄVLEBORGS LÄN</t>
        </is>
      </c>
      <c r="G391" t="inlineStr">
        <is>
          <t>OCKELBO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13825-2026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46222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36.6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13962-2026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46222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14037-2026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46222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14038-2026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46222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14100-2026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46222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14439-2026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46222</v>
      </c>
      <c r="F397" t="inlineStr">
        <is>
          <t>GÄVLEBORGS LÄN</t>
        </is>
      </c>
      <c r="G397" t="inlineStr">
        <is>
          <t>OCKELBO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14441-2026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46100</v>
      </c>
      <c r="E398" s="1" t="n">
        <v>46222</v>
      </c>
      <c r="F398" t="inlineStr">
        <is>
          <t>GÄVLEBORGS LÄN</t>
        </is>
      </c>
      <c r="G398" t="inlineStr">
        <is>
          <t>OCKELBO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14419-2026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46222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17730-2025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46222</v>
      </c>
      <c r="F400" t="inlineStr">
        <is>
          <t>GÄVLEBORGS LÄN</t>
        </is>
      </c>
      <c r="G400" t="inlineStr">
        <is>
          <t>OCKELBO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62196-2025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46006</v>
      </c>
      <c r="E401" s="1" t="n">
        <v>46222</v>
      </c>
      <c r="F401" t="inlineStr">
        <is>
          <t>GÄVLEBORGS LÄN</t>
        </is>
      </c>
      <c r="G401" t="inlineStr">
        <is>
          <t>OCKELBO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59383-2025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46222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14684-2026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46222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46222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14756-2026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46222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62914-2025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46222</v>
      </c>
      <c r="F406" t="inlineStr">
        <is>
          <t>GÄVLEBORGS LÄN</t>
        </is>
      </c>
      <c r="G406" t="inlineStr">
        <is>
          <t>OCKELBO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63459-2025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46222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15018-2026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46222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63616-2025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46014</v>
      </c>
      <c r="E409" s="1" t="n">
        <v>46222</v>
      </c>
      <c r="F409" t="inlineStr">
        <is>
          <t>GÄVLEBORGS LÄN</t>
        </is>
      </c>
      <c r="G409" t="inlineStr">
        <is>
          <t>OCKELBO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63224-2025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46010</v>
      </c>
      <c r="E410" s="1" t="n">
        <v>46222</v>
      </c>
      <c r="F410" t="inlineStr">
        <is>
          <t>GÄVLEBORGS LÄN</t>
        </is>
      </c>
      <c r="G410" t="inlineStr">
        <is>
          <t>OCKELBO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63464-2025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46222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15151-2026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46222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15067-2026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46104</v>
      </c>
      <c r="E413" s="1" t="n">
        <v>46222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14972-2026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46222</v>
      </c>
      <c r="F414" t="inlineStr">
        <is>
          <t>GÄVLEBORGS LÄN</t>
        </is>
      </c>
      <c r="G414" t="inlineStr">
        <is>
          <t>OCKELBO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14827-2026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46222</v>
      </c>
      <c r="F415" t="inlineStr">
        <is>
          <t>GÄVLEBORGS LÄN</t>
        </is>
      </c>
      <c r="G415" t="inlineStr">
        <is>
          <t>OCKELBO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63017-2025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46222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46222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34.1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15052-2026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46222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15042-2026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46222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15043-2026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46222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64006-2025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46021</v>
      </c>
      <c r="E421" s="1" t="n">
        <v>46222</v>
      </c>
      <c r="F421" t="inlineStr">
        <is>
          <t>GÄVLEBORGS LÄN</t>
        </is>
      </c>
      <c r="G421" t="inlineStr">
        <is>
          <t>OCKELBO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46024</v>
      </c>
      <c r="E422" s="1" t="n">
        <v>46222</v>
      </c>
      <c r="F422" t="inlineStr">
        <is>
          <t>GÄVLEBORGS LÄN</t>
        </is>
      </c>
      <c r="G422" t="inlineStr">
        <is>
          <t>OCKELBO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14973-2026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46222</v>
      </c>
      <c r="F423" t="inlineStr">
        <is>
          <t>GÄVLEBORGS LÄN</t>
        </is>
      </c>
      <c r="G423" t="inlineStr">
        <is>
          <t>OCKELBO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46222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46027</v>
      </c>
      <c r="E425" s="1" t="n">
        <v>46222</v>
      </c>
      <c r="F425" t="inlineStr">
        <is>
          <t>GÄVLEBORGS LÄN</t>
        </is>
      </c>
      <c r="G425" t="inlineStr">
        <is>
          <t>OCKELBO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46027</v>
      </c>
      <c r="E426" s="1" t="n">
        <v>46222</v>
      </c>
      <c r="F426" t="inlineStr">
        <is>
          <t>GÄVLEBORGS LÄN</t>
        </is>
      </c>
      <c r="G426" t="inlineStr">
        <is>
          <t>OCKELBO</t>
        </is>
      </c>
      <c r="I426" t="n">
        <v>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46027</v>
      </c>
      <c r="E427" s="1" t="n">
        <v>46222</v>
      </c>
      <c r="F427" t="inlineStr">
        <is>
          <t>GÄVLEBORGS LÄN</t>
        </is>
      </c>
      <c r="G427" t="inlineStr">
        <is>
          <t>OCKELBO</t>
        </is>
      </c>
      <c r="I427" t="n">
        <v>16.2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46027</v>
      </c>
      <c r="E428" s="1" t="n">
        <v>46222</v>
      </c>
      <c r="F428" t="inlineStr">
        <is>
          <t>GÄVLEBORGS LÄN</t>
        </is>
      </c>
      <c r="G428" t="inlineStr">
        <is>
          <t>OCKELBO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46027</v>
      </c>
      <c r="E429" s="1" t="n">
        <v>46222</v>
      </c>
      <c r="F429" t="inlineStr">
        <is>
          <t>GÄVLEBORGS LÄN</t>
        </is>
      </c>
      <c r="G429" t="inlineStr">
        <is>
          <t>OCKELBO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14169-2026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46222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46222</v>
      </c>
      <c r="F431" t="inlineStr">
        <is>
          <t>GÄVLEBORGS LÄN</t>
        </is>
      </c>
      <c r="G431" t="inlineStr">
        <is>
          <t>OCKELBO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46028</v>
      </c>
      <c r="E432" s="1" t="n">
        <v>46222</v>
      </c>
      <c r="F432" t="inlineStr">
        <is>
          <t>GÄVLEBORGS LÄN</t>
        </is>
      </c>
      <c r="G432" t="inlineStr">
        <is>
          <t>OCKELBO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15795-2026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46222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46222</v>
      </c>
      <c r="F434" t="inlineStr">
        <is>
          <t>GÄVLEBORGS LÄN</t>
        </is>
      </c>
      <c r="G434" t="inlineStr">
        <is>
          <t>OCKELBO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15679-2026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46222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46028</v>
      </c>
      <c r="E436" s="1" t="n">
        <v>46222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46222</v>
      </c>
      <c r="F437" t="inlineStr">
        <is>
          <t>GÄVLEBORGS LÄN</t>
        </is>
      </c>
      <c r="G437" t="inlineStr">
        <is>
          <t>OCKELBO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46222</v>
      </c>
      <c r="F438" t="inlineStr">
        <is>
          <t>GÄVLEBORGS LÄN</t>
        </is>
      </c>
      <c r="G438" t="inlineStr">
        <is>
          <t>OCKELBO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46024</v>
      </c>
      <c r="E439" s="1" t="n">
        <v>46222</v>
      </c>
      <c r="F439" t="inlineStr">
        <is>
          <t>GÄVLEBORGS LÄN</t>
        </is>
      </c>
      <c r="G439" t="inlineStr">
        <is>
          <t>OCKELBO</t>
        </is>
      </c>
      <c r="I439" t="n">
        <v>12.9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15572-2026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46222</v>
      </c>
      <c r="F440" t="inlineStr">
        <is>
          <t>GÄVLEBORGS LÄN</t>
        </is>
      </c>
      <c r="G440" t="inlineStr">
        <is>
          <t>OCKELBO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46222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46222</v>
      </c>
      <c r="F442" t="inlineStr">
        <is>
          <t>GÄVLEBORGS LÄN</t>
        </is>
      </c>
      <c r="G442" t="inlineStr">
        <is>
          <t>OCKELBO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46222</v>
      </c>
      <c r="F443" t="inlineStr">
        <is>
          <t>GÄVLEBORGS LÄN</t>
        </is>
      </c>
      <c r="G443" t="inlineStr">
        <is>
          <t>OCKELBO</t>
        </is>
      </c>
      <c r="I443" t="n">
        <v>9.4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14168-2026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46222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46033</v>
      </c>
      <c r="E445" s="1" t="n">
        <v>46222</v>
      </c>
      <c r="F445" t="inlineStr">
        <is>
          <t>GÄVLEBORGS LÄN</t>
        </is>
      </c>
      <c r="G445" t="inlineStr">
        <is>
          <t>OCKELBO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15678-2026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46222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46222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46031</v>
      </c>
      <c r="E448" s="1" t="n">
        <v>46222</v>
      </c>
      <c r="F448" t="inlineStr">
        <is>
          <t>GÄVLEBORGS LÄN</t>
        </is>
      </c>
      <c r="G448" t="inlineStr">
        <is>
          <t>OCKELBO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2388-2026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46222</v>
      </c>
      <c r="F449" t="inlineStr">
        <is>
          <t>GÄVLEBORGS LÄN</t>
        </is>
      </c>
      <c r="G449" t="inlineStr">
        <is>
          <t>OCKELBO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46036</v>
      </c>
      <c r="E450" s="1" t="n">
        <v>46222</v>
      </c>
      <c r="F450" t="inlineStr">
        <is>
          <t>GÄVLEBORGS LÄN</t>
        </is>
      </c>
      <c r="G450" t="inlineStr">
        <is>
          <t>OCKELBO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15648-2026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46222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1866-2026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46035</v>
      </c>
      <c r="E452" s="1" t="n">
        <v>46222</v>
      </c>
      <c r="F452" t="inlineStr">
        <is>
          <t>GÄVLEBORGS LÄN</t>
        </is>
      </c>
      <c r="G452" t="inlineStr">
        <is>
          <t>OCKELBO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46222</v>
      </c>
      <c r="F453" t="inlineStr">
        <is>
          <t>GÄVLEBORGS LÄN</t>
        </is>
      </c>
      <c r="G453" t="inlineStr">
        <is>
          <t>OCKELBO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1984-2026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46222</v>
      </c>
      <c r="F454" t="inlineStr">
        <is>
          <t>GÄVLEBORGS LÄN</t>
        </is>
      </c>
      <c r="G454" t="inlineStr">
        <is>
          <t>OCKELBO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2304-2026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46222</v>
      </c>
      <c r="F455" t="inlineStr">
        <is>
          <t>GÄVLEBORGS LÄN</t>
        </is>
      </c>
      <c r="G455" t="inlineStr">
        <is>
          <t>OCKELBO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46222</v>
      </c>
      <c r="F456" t="inlineStr">
        <is>
          <t>GÄVLEBORGS LÄN</t>
        </is>
      </c>
      <c r="G456" t="inlineStr">
        <is>
          <t>OCKELBO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26367-2024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45469</v>
      </c>
      <c r="E457" s="1" t="n">
        <v>46222</v>
      </c>
      <c r="F457" t="inlineStr">
        <is>
          <t>GÄVLEBORGS LÄN</t>
        </is>
      </c>
      <c r="G457" t="inlineStr">
        <is>
          <t>OCKELBO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46222</v>
      </c>
      <c r="F458" t="inlineStr">
        <is>
          <t>GÄVLEBORGS LÄN</t>
        </is>
      </c>
      <c r="G458" t="inlineStr">
        <is>
          <t>OCKELBO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46222</v>
      </c>
      <c r="F459" t="inlineStr">
        <is>
          <t>GÄVLEBORGS LÄN</t>
        </is>
      </c>
      <c r="G459" t="inlineStr">
        <is>
          <t>OCKELBO</t>
        </is>
      </c>
      <c r="I459" t="n">
        <v>16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46222</v>
      </c>
      <c r="F460" t="inlineStr">
        <is>
          <t>GÄVLEBORGS LÄN</t>
        </is>
      </c>
      <c r="G460" t="inlineStr">
        <is>
          <t>OCKELBO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16296-2026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46222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46222</v>
      </c>
      <c r="F462" t="inlineStr">
        <is>
          <t>GÄVLEBORGS LÄN</t>
        </is>
      </c>
      <c r="G462" t="inlineStr">
        <is>
          <t>OCKELBO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37438-2023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46222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46222</v>
      </c>
      <c r="F464" t="inlineStr">
        <is>
          <t>GÄVLEBORGS LÄN</t>
        </is>
      </c>
      <c r="G464" t="inlineStr">
        <is>
          <t>OCKELBO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16054-2026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46222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12.3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2550-2026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46222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16419-2026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46222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16006-2026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46222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16388-2026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46222</v>
      </c>
      <c r="F469" t="inlineStr">
        <is>
          <t>GÄVLEBORGS LÄN</t>
        </is>
      </c>
      <c r="G469" t="inlineStr">
        <is>
          <t>OCKELBO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16667-2026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46222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16481-2026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46222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16535-2026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46222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16981-2026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46114</v>
      </c>
      <c r="E473" s="1" t="n">
        <v>46222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17112-2026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46222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16989-2026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46114</v>
      </c>
      <c r="E475" s="1" t="n">
        <v>46222</v>
      </c>
      <c r="F475" t="inlineStr">
        <is>
          <t>GÄVLEBORGS LÄN</t>
        </is>
      </c>
      <c r="G475" t="inlineStr">
        <is>
          <t>OCKELBO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16991-2026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46222</v>
      </c>
      <c r="F476" t="inlineStr">
        <is>
          <t>GÄVLEBORGS LÄN</t>
        </is>
      </c>
      <c r="G476" t="inlineStr">
        <is>
          <t>OCKELBO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13428-2026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46222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17113-2026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46114</v>
      </c>
      <c r="E478" s="1" t="n">
        <v>46222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9.1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17115-2026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46114</v>
      </c>
      <c r="E479" s="1" t="n">
        <v>46222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17224-2026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46222</v>
      </c>
      <c r="F480" t="inlineStr">
        <is>
          <t>GÄVLEBORGS LÄN</t>
        </is>
      </c>
      <c r="G480" t="inlineStr">
        <is>
          <t>OCKELBO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17241-2026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46222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17202-2026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46222</v>
      </c>
      <c r="F482" t="inlineStr">
        <is>
          <t>GÄVLEBORGS LÄN</t>
        </is>
      </c>
      <c r="G482" t="inlineStr">
        <is>
          <t>OCKELBO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17709-2026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46222</v>
      </c>
      <c r="F483" t="inlineStr">
        <is>
          <t>GÄVLEBORGS LÄN</t>
        </is>
      </c>
      <c r="G483" t="inlineStr">
        <is>
          <t>OCKELBO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46222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öst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46222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öst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10457-2026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46077</v>
      </c>
      <c r="E486" s="1" t="n">
        <v>46222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öst AB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10268-2026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46222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öst AB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48804-2024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46222</v>
      </c>
      <c r="F488" t="inlineStr">
        <is>
          <t>GÄVLEBORGS LÄN</t>
        </is>
      </c>
      <c r="G488" t="inlineStr">
        <is>
          <t>OCKELBO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46121</v>
      </c>
      <c r="E489" s="1" t="n">
        <v>46222</v>
      </c>
      <c r="F489" t="inlineStr">
        <is>
          <t>GÄVLEBORGS LÄN</t>
        </is>
      </c>
      <c r="G489" t="inlineStr">
        <is>
          <t>OCKELBO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18291-2023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45041</v>
      </c>
      <c r="E490" s="1" t="n">
        <v>46222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17600-2026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46121</v>
      </c>
      <c r="E491" s="1" t="n">
        <v>46222</v>
      </c>
      <c r="F491" t="inlineStr">
        <is>
          <t>GÄVLEBORGS LÄN</t>
        </is>
      </c>
      <c r="G491" t="inlineStr">
        <is>
          <t>OCKELBO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5240-2026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46049</v>
      </c>
      <c r="E492" s="1" t="n">
        <v>46222</v>
      </c>
      <c r="F492" t="inlineStr">
        <is>
          <t>GÄVLEBORGS LÄN</t>
        </is>
      </c>
      <c r="G492" t="inlineStr">
        <is>
          <t>OCKELBO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10309-2026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46076</v>
      </c>
      <c r="E493" s="1" t="n">
        <v>46222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öst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46222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18260-2026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46126</v>
      </c>
      <c r="E495" s="1" t="n">
        <v>46222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15581-2026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46222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öst AB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18248-2026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46222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15255-2026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46105</v>
      </c>
      <c r="E498" s="1" t="n">
        <v>46222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18234-2026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46222</v>
      </c>
      <c r="F499" t="inlineStr">
        <is>
          <t>GÄVLEBORGS LÄN</t>
        </is>
      </c>
      <c r="G499" t="inlineStr">
        <is>
          <t>OCKELBO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53137-2024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46222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18457-2026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46222</v>
      </c>
      <c r="F501" t="inlineStr">
        <is>
          <t>GÄVLEBORGS LÄN</t>
        </is>
      </c>
      <c r="G501" t="inlineStr">
        <is>
          <t>OCKELBO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18513-2026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46222</v>
      </c>
      <c r="F502" t="inlineStr">
        <is>
          <t>GÄVLEBORGS LÄN</t>
        </is>
      </c>
      <c r="G502" t="inlineStr">
        <is>
          <t>OCKELBO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18426-2026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46127</v>
      </c>
      <c r="E503" s="1" t="n">
        <v>46222</v>
      </c>
      <c r="F503" t="inlineStr">
        <is>
          <t>GÄVLEBORGS LÄN</t>
        </is>
      </c>
      <c r="G503" t="inlineStr">
        <is>
          <t>OCKELBO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13855-2026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46222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46222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17.7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19068-2026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46222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19138-2026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46222</v>
      </c>
      <c r="F507" t="inlineStr">
        <is>
          <t>GÄVLEBORGS LÄN</t>
        </is>
      </c>
      <c r="G507" t="inlineStr">
        <is>
          <t>OCKELBO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19213-2026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46222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18705-2026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46128</v>
      </c>
      <c r="E509" s="1" t="n">
        <v>46222</v>
      </c>
      <c r="F509" t="inlineStr">
        <is>
          <t>GÄVLEBORGS LÄN</t>
        </is>
      </c>
      <c r="G509" t="inlineStr">
        <is>
          <t>OCKELBO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16572-2026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46222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16530-2026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46222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19142-2026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46222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19043-2026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46132</v>
      </c>
      <c r="E513" s="1" t="n">
        <v>46222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19139-2026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46222</v>
      </c>
      <c r="F514" t="inlineStr">
        <is>
          <t>GÄVLEBORGS LÄN</t>
        </is>
      </c>
      <c r="G514" t="inlineStr">
        <is>
          <t>OCKELBO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18669-2026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46128</v>
      </c>
      <c r="E515" s="1" t="n">
        <v>46222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46222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19146-2026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46132</v>
      </c>
      <c r="E517" s="1" t="n">
        <v>46222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19491-2026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46222</v>
      </c>
      <c r="F518" t="inlineStr">
        <is>
          <t>GÄVLEBORGS LÄN</t>
        </is>
      </c>
      <c r="G518" t="inlineStr">
        <is>
          <t>OCKELBO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19603-2026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46134</v>
      </c>
      <c r="E519" s="1" t="n">
        <v>46222</v>
      </c>
      <c r="F519" t="inlineStr">
        <is>
          <t>GÄVLEBORGS LÄN</t>
        </is>
      </c>
      <c r="G519" t="inlineStr">
        <is>
          <t>OCKELBO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46222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19431-2026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46222</v>
      </c>
      <c r="F521" t="inlineStr">
        <is>
          <t>GÄVLEBORGS LÄN</t>
        </is>
      </c>
      <c r="G521" t="inlineStr">
        <is>
          <t>OCKELBO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19271-2026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46222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19277-2026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46222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19424-2026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46222</v>
      </c>
      <c r="F524" t="inlineStr">
        <is>
          <t>GÄVLEBORGS LÄN</t>
        </is>
      </c>
      <c r="G524" t="inlineStr">
        <is>
          <t>OCKELBO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19924-2026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46222</v>
      </c>
      <c r="F525" t="inlineStr">
        <is>
          <t>GÄVLEBORGS LÄN</t>
        </is>
      </c>
      <c r="G525" t="inlineStr">
        <is>
          <t>OCKELBO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7276-2023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46222</v>
      </c>
      <c r="F526" t="inlineStr">
        <is>
          <t>GÄVLEBORGS LÄN</t>
        </is>
      </c>
      <c r="G526" t="inlineStr">
        <is>
          <t>OCKELBO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61732-2024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45649</v>
      </c>
      <c r="E527" s="1" t="n">
        <v>46222</v>
      </c>
      <c r="F527" t="inlineStr">
        <is>
          <t>GÄVLEBORGS LÄN</t>
        </is>
      </c>
      <c r="G527" t="inlineStr">
        <is>
          <t>OCKELBO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62096-2024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45656</v>
      </c>
      <c r="E528" s="1" t="n">
        <v>46222</v>
      </c>
      <c r="F528" t="inlineStr">
        <is>
          <t>GÄVLEBORGS LÄN</t>
        </is>
      </c>
      <c r="G528" t="inlineStr">
        <is>
          <t>OCKELBO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22952-2023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46222</v>
      </c>
      <c r="F529" t="inlineStr">
        <is>
          <t>GÄVLEBORGS LÄN</t>
        </is>
      </c>
      <c r="G529" t="inlineStr">
        <is>
          <t>OCKELBO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19945-2026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46222</v>
      </c>
      <c r="F530" t="inlineStr">
        <is>
          <t>GÄVLEBORGS LÄN</t>
        </is>
      </c>
      <c r="G530" t="inlineStr">
        <is>
          <t>OCKELBO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54977-2024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45620</v>
      </c>
      <c r="E531" s="1" t="n">
        <v>46222</v>
      </c>
      <c r="F531" t="inlineStr">
        <is>
          <t>GÄVLEBORGS LÄN</t>
        </is>
      </c>
      <c r="G531" t="inlineStr">
        <is>
          <t>OCKELBO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17682-2026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46121</v>
      </c>
      <c r="E532" s="1" t="n">
        <v>46222</v>
      </c>
      <c r="F532" t="inlineStr">
        <is>
          <t>GÄVLEBORGS LÄN</t>
        </is>
      </c>
      <c r="G532" t="inlineStr">
        <is>
          <t>OCKELBO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49529-2024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46222</v>
      </c>
      <c r="F533" t="inlineStr">
        <is>
          <t>GÄVLEBORGS LÄN</t>
        </is>
      </c>
      <c r="G533" t="inlineStr">
        <is>
          <t>OCKELBO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6568-2024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45341</v>
      </c>
      <c r="E534" s="1" t="n">
        <v>46222</v>
      </c>
      <c r="F534" t="inlineStr">
        <is>
          <t>GÄVLEBORGS LÄN</t>
        </is>
      </c>
      <c r="G534" t="inlineStr">
        <is>
          <t>OCKELBO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17208-2026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46119</v>
      </c>
      <c r="E535" s="1" t="n">
        <v>46222</v>
      </c>
      <c r="F535" t="inlineStr">
        <is>
          <t>GÄVLEBORGS LÄN</t>
        </is>
      </c>
      <c r="G535" t="inlineStr">
        <is>
          <t>OCKELBO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17117-2026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46222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8662-2025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45712</v>
      </c>
      <c r="E537" s="1" t="n">
        <v>46222</v>
      </c>
      <c r="F537" t="inlineStr">
        <is>
          <t>GÄVLEBORGS LÄN</t>
        </is>
      </c>
      <c r="G537" t="inlineStr">
        <is>
          <t>OCKELBO</t>
        </is>
      </c>
      <c r="I537" t="n">
        <v>14.7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50194-2024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46222</v>
      </c>
      <c r="F538" t="inlineStr">
        <is>
          <t>GÄVLEBORGS LÄN</t>
        </is>
      </c>
      <c r="G538" t="inlineStr">
        <is>
          <t>OCKELBO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20481-2026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46222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9556-2026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46222</v>
      </c>
      <c r="F540" t="inlineStr">
        <is>
          <t>GÄVLEBORGS LÄN</t>
        </is>
      </c>
      <c r="G540" t="inlineStr">
        <is>
          <t>OCKELBO</t>
        </is>
      </c>
      <c r="I540" t="n">
        <v>11.9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33079-2025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45840</v>
      </c>
      <c r="E541" s="1" t="n">
        <v>46222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46222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9.1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46222</v>
      </c>
      <c r="F543" t="inlineStr">
        <is>
          <t>GÄVLEBORGS LÄN</t>
        </is>
      </c>
      <c r="G543" t="inlineStr">
        <is>
          <t>OCKELBO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8343-2026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46222</v>
      </c>
      <c r="F544" t="inlineStr">
        <is>
          <t>GÄVLEBORGS LÄN</t>
        </is>
      </c>
      <c r="G544" t="inlineStr">
        <is>
          <t>OCKELBO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20467-2026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46222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20149-2026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46137</v>
      </c>
      <c r="E546" s="1" t="n">
        <v>46222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20150-2026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46137</v>
      </c>
      <c r="E547" s="1" t="n">
        <v>46222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26131-2026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46222</v>
      </c>
      <c r="F548" t="inlineStr">
        <is>
          <t>GÄVLEBORGS LÄN</t>
        </is>
      </c>
      <c r="G548" t="inlineStr">
        <is>
          <t>OCKELBO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54309-2024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46222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46140</v>
      </c>
      <c r="E550" s="1" t="n">
        <v>46222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42585-2023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45181</v>
      </c>
      <c r="E551" s="1" t="n">
        <v>46222</v>
      </c>
      <c r="F551" t="inlineStr">
        <is>
          <t>GÄVLEBORGS LÄN</t>
        </is>
      </c>
      <c r="G551" t="inlineStr">
        <is>
          <t>OCKELBO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56352-2024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45624</v>
      </c>
      <c r="E552" s="1" t="n">
        <v>46222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42313-2023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45180</v>
      </c>
      <c r="E553" s="1" t="n">
        <v>46222</v>
      </c>
      <c r="F553" t="inlineStr">
        <is>
          <t>GÄVLEBORGS LÄN</t>
        </is>
      </c>
      <c r="G553" t="inlineStr">
        <is>
          <t>OCKELBO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30422-2023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45111</v>
      </c>
      <c r="E554" s="1" t="n">
        <v>46222</v>
      </c>
      <c r="F554" t="inlineStr">
        <is>
          <t>GÄVLEBORGS LÄN</t>
        </is>
      </c>
      <c r="G554" t="inlineStr">
        <is>
          <t>OCKELBO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20251-2026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46139</v>
      </c>
      <c r="E555" s="1" t="n">
        <v>46222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46222</v>
      </c>
      <c r="F556" t="inlineStr">
        <is>
          <t>GÄVLEBORGS LÄN</t>
        </is>
      </c>
      <c r="G556" t="inlineStr">
        <is>
          <t>OCKELBO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20157-2026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46138</v>
      </c>
      <c r="E557" s="1" t="n">
        <v>46222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28966-2025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46222</v>
      </c>
      <c r="F558" t="inlineStr">
        <is>
          <t>GÄVLEBORGS LÄN</t>
        </is>
      </c>
      <c r="G558" t="inlineStr">
        <is>
          <t>OCKELBO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60915-2024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45645</v>
      </c>
      <c r="E559" s="1" t="n">
        <v>46222</v>
      </c>
      <c r="F559" t="inlineStr">
        <is>
          <t>GÄVLEBORGS LÄN</t>
        </is>
      </c>
      <c r="G559" t="inlineStr">
        <is>
          <t>OCKELBO</t>
        </is>
      </c>
      <c r="H559" t="inlineStr">
        <is>
          <t>Kyrkan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50742-2025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46222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46222</v>
      </c>
      <c r="F561" t="inlineStr">
        <is>
          <t>GÄVLEBORGS LÄN</t>
        </is>
      </c>
      <c r="G561" t="inlineStr">
        <is>
          <t>OCKELBO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46043</v>
      </c>
      <c r="E562" s="1" t="n">
        <v>46222</v>
      </c>
      <c r="F562" t="inlineStr">
        <is>
          <t>GÄVLEBORGS LÄN</t>
        </is>
      </c>
      <c r="G562" t="inlineStr">
        <is>
          <t>OCKELBO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29953-2024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45488</v>
      </c>
      <c r="E563" s="1" t="n">
        <v>46222</v>
      </c>
      <c r="F563" t="inlineStr">
        <is>
          <t>GÄVLEBORGS LÄN</t>
        </is>
      </c>
      <c r="G563" t="inlineStr">
        <is>
          <t>OCKELBO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7907-2026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46222</v>
      </c>
      <c r="F564" t="inlineStr">
        <is>
          <t>GÄVLEBORGS LÄN</t>
        </is>
      </c>
      <c r="G564" t="inlineStr">
        <is>
          <t>OCKELBO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3484-2026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46222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5234-2026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46222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46222</v>
      </c>
      <c r="F567" t="inlineStr">
        <is>
          <t>GÄVLEBORGS LÄN</t>
        </is>
      </c>
      <c r="G567" t="inlineStr">
        <is>
          <t>OCKELBO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36343-2023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45152</v>
      </c>
      <c r="E568" s="1" t="n">
        <v>46222</v>
      </c>
      <c r="F568" t="inlineStr">
        <is>
          <t>GÄVLEBORGS LÄN</t>
        </is>
      </c>
      <c r="G568" t="inlineStr">
        <is>
          <t>OCKELBO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15542-2026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46222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20155-2026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46138</v>
      </c>
      <c r="E570" s="1" t="n">
        <v>46222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5974-2026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46222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19762-2024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46222</v>
      </c>
      <c r="F572" t="inlineStr">
        <is>
          <t>GÄVLEBORGS LÄN</t>
        </is>
      </c>
      <c r="G572" t="inlineStr">
        <is>
          <t>OCKELBO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4729-2026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46222</v>
      </c>
      <c r="F573" t="inlineStr">
        <is>
          <t>GÄVLEBORGS LÄN</t>
        </is>
      </c>
      <c r="G573" t="inlineStr">
        <is>
          <t>OCKELBO</t>
        </is>
      </c>
      <c r="I573" t="n">
        <v>36.1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34792-2024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45526</v>
      </c>
      <c r="E574" s="1" t="n">
        <v>46222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21582-2024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45441</v>
      </c>
      <c r="E575" s="1" t="n">
        <v>46222</v>
      </c>
      <c r="F575" t="inlineStr">
        <is>
          <t>GÄVLEBORGS LÄN</t>
        </is>
      </c>
      <c r="G575" t="inlineStr">
        <is>
          <t>OCKELBO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13857-2026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46222</v>
      </c>
      <c r="F576" t="inlineStr">
        <is>
          <t>GÄVLEBORGS LÄN</t>
        </is>
      </c>
      <c r="G576" t="inlineStr">
        <is>
          <t>OCKELBO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11116-2026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46222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46055</v>
      </c>
      <c r="E578" s="1" t="n">
        <v>46222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7.8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15739-2026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46222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27997-2025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46222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25564-2025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45803</v>
      </c>
      <c r="E581" s="1" t="n">
        <v>46222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5325-2026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46222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63977-2025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46021</v>
      </c>
      <c r="E583" s="1" t="n">
        <v>46222</v>
      </c>
      <c r="F583" t="inlineStr">
        <is>
          <t>GÄVLEBORGS LÄN</t>
        </is>
      </c>
      <c r="G583" t="inlineStr">
        <is>
          <t>OCKELBO</t>
        </is>
      </c>
      <c r="I583" t="n">
        <v>18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20469-2026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46222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6499-2026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46222</v>
      </c>
      <c r="F585" t="inlineStr">
        <is>
          <t>GÄVLEBORGS LÄN</t>
        </is>
      </c>
      <c r="G585" t="inlineStr">
        <is>
          <t>OCKELBO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6518-2026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46222</v>
      </c>
      <c r="F586" t="inlineStr">
        <is>
          <t>GÄVLEBORGS LÄN</t>
        </is>
      </c>
      <c r="G586" t="inlineStr">
        <is>
          <t>OCKELBO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45671</v>
      </c>
      <c r="E587" s="1" t="n">
        <v>46222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36604-2025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45870</v>
      </c>
      <c r="E588" s="1" t="n">
        <v>46222</v>
      </c>
      <c r="F588" t="inlineStr">
        <is>
          <t>GÄVLEBORGS LÄN</t>
        </is>
      </c>
      <c r="G588" t="inlineStr">
        <is>
          <t>OCKELBO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25404-2025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45800</v>
      </c>
      <c r="E589" s="1" t="n">
        <v>46222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17548-2025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45757</v>
      </c>
      <c r="E590" s="1" t="n">
        <v>46222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46222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25168-2025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46222</v>
      </c>
      <c r="F592" t="inlineStr">
        <is>
          <t>GÄVLEBORGS LÄN</t>
        </is>
      </c>
      <c r="G592" t="inlineStr">
        <is>
          <t>OCKELBO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20604-2026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46222</v>
      </c>
      <c r="F593" t="inlineStr">
        <is>
          <t>GÄVLEBORGS LÄN</t>
        </is>
      </c>
      <c r="G593" t="inlineStr">
        <is>
          <t>OCKELBO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7478-2025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45705</v>
      </c>
      <c r="E594" s="1" t="n">
        <v>46222</v>
      </c>
      <c r="F594" t="inlineStr">
        <is>
          <t>GÄVLEBORGS LÄN</t>
        </is>
      </c>
      <c r="G594" t="inlineStr">
        <is>
          <t>OCKELBO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20571-2026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46222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20151-2026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46137</v>
      </c>
      <c r="E596" s="1" t="n">
        <v>46222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46316-2025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45925</v>
      </c>
      <c r="E597" s="1" t="n">
        <v>46222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1722-2026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46034</v>
      </c>
      <c r="E598" s="1" t="n">
        <v>46222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8253-2026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46222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15694-2022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44663</v>
      </c>
      <c r="E600" s="1" t="n">
        <v>46222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8521-2026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46065</v>
      </c>
      <c r="E601" s="1" t="n">
        <v>46222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46222</v>
      </c>
      <c r="F602" t="inlineStr">
        <is>
          <t>GÄVLEBORGS LÄN</t>
        </is>
      </c>
      <c r="G602" t="inlineStr">
        <is>
          <t>OCKELBO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61335-2022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46222</v>
      </c>
      <c r="F603" t="inlineStr">
        <is>
          <t>GÄVLEBORGS LÄN</t>
        </is>
      </c>
      <c r="G603" t="inlineStr">
        <is>
          <t>OCKELBO</t>
        </is>
      </c>
      <c r="I603" t="n">
        <v>8.5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46029</v>
      </c>
      <c r="E604" s="1" t="n">
        <v>46222</v>
      </c>
      <c r="F604" t="inlineStr">
        <is>
          <t>GÄVLEBORGS LÄN</t>
        </is>
      </c>
      <c r="G604" t="inlineStr">
        <is>
          <t>OCKELBO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3650-2026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46222</v>
      </c>
      <c r="F605" t="inlineStr">
        <is>
          <t>GÄVLEBORGS LÄN</t>
        </is>
      </c>
      <c r="G605" t="inlineStr">
        <is>
          <t>OCKELBO</t>
        </is>
      </c>
      <c r="I605" t="n">
        <v>10.3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14934-2026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46104</v>
      </c>
      <c r="E606" s="1" t="n">
        <v>46222</v>
      </c>
      <c r="F606" t="inlineStr">
        <is>
          <t>GÄVLEBORGS LÄN</t>
        </is>
      </c>
      <c r="G606" t="inlineStr">
        <is>
          <t>OCKELBO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12983-2022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44643</v>
      </c>
      <c r="E607" s="1" t="n">
        <v>46222</v>
      </c>
      <c r="F607" t="inlineStr">
        <is>
          <t>GÄVLEBORGS LÄN</t>
        </is>
      </c>
      <c r="G607" t="inlineStr">
        <is>
          <t>OCKELBO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37391-2023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45156</v>
      </c>
      <c r="E608" s="1" t="n">
        <v>46222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20674-2026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46141</v>
      </c>
      <c r="E609" s="1" t="n">
        <v>46222</v>
      </c>
      <c r="F609" t="inlineStr">
        <is>
          <t>GÄVLEBORGS LÄN</t>
        </is>
      </c>
      <c r="G609" t="inlineStr">
        <is>
          <t>OCKELBO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45243</v>
      </c>
      <c r="E610" s="1" t="n">
        <v>46222</v>
      </c>
      <c r="F610" t="inlineStr">
        <is>
          <t>GÄVLEBORGS LÄN</t>
        </is>
      </c>
      <c r="G610" t="inlineStr">
        <is>
          <t>OCKELBO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59533-2023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45254</v>
      </c>
      <c r="E611" s="1" t="n">
        <v>46222</v>
      </c>
      <c r="F611" t="inlineStr">
        <is>
          <t>GÄVLEBORGS LÄN</t>
        </is>
      </c>
      <c r="G611" t="inlineStr">
        <is>
          <t>OCKELBO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1693-2026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46222</v>
      </c>
      <c r="F612" t="inlineStr">
        <is>
          <t>GÄVLEBORGS LÄN</t>
        </is>
      </c>
      <c r="G612" t="inlineStr">
        <is>
          <t>OCKELBO</t>
        </is>
      </c>
      <c r="I612" t="n">
        <v>9.300000000000001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46035</v>
      </c>
      <c r="E613" s="1" t="n">
        <v>46222</v>
      </c>
      <c r="F613" t="inlineStr">
        <is>
          <t>GÄVLEBORGS LÄN</t>
        </is>
      </c>
      <c r="G613" t="inlineStr">
        <is>
          <t>OCKELBO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12708-2026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46222</v>
      </c>
      <c r="F614" t="inlineStr">
        <is>
          <t>GÄVLEBORGS LÄN</t>
        </is>
      </c>
      <c r="G614" t="inlineStr">
        <is>
          <t>OCKELBO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36521-2022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44804</v>
      </c>
      <c r="E615" s="1" t="n">
        <v>46222</v>
      </c>
      <c r="F615" t="inlineStr">
        <is>
          <t>GÄVLEBORGS LÄN</t>
        </is>
      </c>
      <c r="G615" t="inlineStr">
        <is>
          <t>OCKELBO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46222</v>
      </c>
      <c r="F616" t="inlineStr">
        <is>
          <t>GÄVLEBORGS LÄN</t>
        </is>
      </c>
      <c r="G616" t="inlineStr">
        <is>
          <t>OCKELBO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15484-2026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46222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10489-2026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46077</v>
      </c>
      <c r="E618" s="1" t="n">
        <v>46222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30418-2023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45111</v>
      </c>
      <c r="E619" s="1" t="n">
        <v>46222</v>
      </c>
      <c r="F619" t="inlineStr">
        <is>
          <t>GÄVLEBORGS LÄN</t>
        </is>
      </c>
      <c r="G619" t="inlineStr">
        <is>
          <t>OCKELBO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24228-2022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46222</v>
      </c>
      <c r="F620" t="inlineStr">
        <is>
          <t>GÄVLEBORGS LÄN</t>
        </is>
      </c>
      <c r="G620" t="inlineStr">
        <is>
          <t>OCKELBO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32301-2022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44781</v>
      </c>
      <c r="E621" s="1" t="n">
        <v>46222</v>
      </c>
      <c r="F621" t="inlineStr">
        <is>
          <t>GÄVLEBORGS LÄN</t>
        </is>
      </c>
      <c r="G621" t="inlineStr">
        <is>
          <t>OCKELBO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7955-2026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46063</v>
      </c>
      <c r="E622" s="1" t="n">
        <v>46222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46222</v>
      </c>
      <c r="F623" t="inlineStr">
        <is>
          <t>GÄVLEBORGS LÄN</t>
        </is>
      </c>
      <c r="G623" t="inlineStr">
        <is>
          <t>OCKELBO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60117-2025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46222</v>
      </c>
      <c r="F624" t="inlineStr">
        <is>
          <t>GÄVLEBORGS LÄN</t>
        </is>
      </c>
      <c r="G624" t="inlineStr">
        <is>
          <t>OCKELBO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8348-2026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46064</v>
      </c>
      <c r="E625" s="1" t="n">
        <v>46222</v>
      </c>
      <c r="F625" t="inlineStr">
        <is>
          <t>GÄVLEBORGS LÄN</t>
        </is>
      </c>
      <c r="G625" t="inlineStr">
        <is>
          <t>OCKELBO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46037</v>
      </c>
      <c r="E626" s="1" t="n">
        <v>46222</v>
      </c>
      <c r="F626" t="inlineStr">
        <is>
          <t>GÄVLEBORGS LÄN</t>
        </is>
      </c>
      <c r="G626" t="inlineStr">
        <is>
          <t>OCKELBO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20641-2026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46222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18191-2026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46125</v>
      </c>
      <c r="E628" s="1" t="n">
        <v>46222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6561-2026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46222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46027</v>
      </c>
      <c r="E630" s="1" t="n">
        <v>46222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47841-2023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45204</v>
      </c>
      <c r="E631" s="1" t="n">
        <v>46222</v>
      </c>
      <c r="F631" t="inlineStr">
        <is>
          <t>GÄVLEBORGS LÄN</t>
        </is>
      </c>
      <c r="G631" t="inlineStr">
        <is>
          <t>OCKELBO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33985-2023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45134</v>
      </c>
      <c r="E632" s="1" t="n">
        <v>46222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9401-2026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46222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8.300000000000001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10083-2026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46222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20984-2026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46222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4257-2026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46222</v>
      </c>
      <c r="F636" t="inlineStr">
        <is>
          <t>GÄVLEBORGS LÄN</t>
        </is>
      </c>
      <c r="G636" t="inlineStr">
        <is>
          <t>OCKELBO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20660-2022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44700</v>
      </c>
      <c r="E637" s="1" t="n">
        <v>46222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61750-2023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45265</v>
      </c>
      <c r="E638" s="1" t="n">
        <v>46222</v>
      </c>
      <c r="F638" t="inlineStr">
        <is>
          <t>GÄVLEBORGS LÄN</t>
        </is>
      </c>
      <c r="G638" t="inlineStr">
        <is>
          <t>OCKELBO</t>
        </is>
      </c>
      <c r="I638" t="n">
        <v>11.2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26861-2026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46222</v>
      </c>
      <c r="F639" t="inlineStr">
        <is>
          <t>GÄVLEBORGS LÄN</t>
        </is>
      </c>
      <c r="G639" t="inlineStr">
        <is>
          <t>OCKELBO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15247-2025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45744</v>
      </c>
      <c r="E640" s="1" t="n">
        <v>46222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21173-2026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46146</v>
      </c>
      <c r="E641" s="1" t="n">
        <v>46222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27231-2026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46222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14905-2026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46222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35054-2022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44797</v>
      </c>
      <c r="E644" s="1" t="n">
        <v>46222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17951-2026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46122</v>
      </c>
      <c r="E645" s="1" t="n">
        <v>46222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26808-2026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46222</v>
      </c>
      <c r="F646" t="inlineStr">
        <is>
          <t>GÄVLEBORGS LÄN</t>
        </is>
      </c>
      <c r="G646" t="inlineStr">
        <is>
          <t>OCKELBO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27272-2026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46222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26843-2026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46222</v>
      </c>
      <c r="F648" t="inlineStr">
        <is>
          <t>GÄVLEBORGS LÄN</t>
        </is>
      </c>
      <c r="G648" t="inlineStr">
        <is>
          <t>OCKELBO</t>
        </is>
      </c>
      <c r="I648" t="n">
        <v>14.6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26845-2026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46222</v>
      </c>
      <c r="F649" t="inlineStr">
        <is>
          <t>GÄVLEBORGS LÄN</t>
        </is>
      </c>
      <c r="G649" t="inlineStr">
        <is>
          <t>OCKELBO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18549-2026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46222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18097-2026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46125</v>
      </c>
      <c r="E651" s="1" t="n">
        <v>46222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12.6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20059-2025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45772</v>
      </c>
      <c r="E652" s="1" t="n">
        <v>46222</v>
      </c>
      <c r="F652" t="inlineStr">
        <is>
          <t>GÄVLEBORGS LÄN</t>
        </is>
      </c>
      <c r="G652" t="inlineStr">
        <is>
          <t>OCKELBO</t>
        </is>
      </c>
      <c r="I652" t="n">
        <v>14.8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21468-2026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46148</v>
      </c>
      <c r="E653" s="1" t="n">
        <v>46222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27382-2026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46222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55112-2023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46222</v>
      </c>
      <c r="F655" t="inlineStr">
        <is>
          <t>GÄVLEBORGS LÄN</t>
        </is>
      </c>
      <c r="G655" t="inlineStr">
        <is>
          <t>OCKELBO</t>
        </is>
      </c>
      <c r="I655" t="n">
        <v>14.6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27620-2026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46222</v>
      </c>
      <c r="F656" t="inlineStr">
        <is>
          <t>GÄVLEBORGS LÄN</t>
        </is>
      </c>
      <c r="G656" t="inlineStr">
        <is>
          <t>OCKELBO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27623-2026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46190</v>
      </c>
      <c r="E657" s="1" t="n">
        <v>46222</v>
      </c>
      <c r="F657" t="inlineStr">
        <is>
          <t>GÄVLEBORGS LÄN</t>
        </is>
      </c>
      <c r="G657" t="inlineStr">
        <is>
          <t>OCKELBO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21577-2026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46222</v>
      </c>
      <c r="F658" t="inlineStr">
        <is>
          <t>GÄVLEBORGS LÄN</t>
        </is>
      </c>
      <c r="G658" t="inlineStr">
        <is>
          <t>OCKELBO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15908-2026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46222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öst AB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21500-2026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46148</v>
      </c>
      <c r="E660" s="1" t="n">
        <v>46222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19537-2026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46134</v>
      </c>
      <c r="E661" s="1" t="n">
        <v>46222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59978-2023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45254</v>
      </c>
      <c r="E662" s="1" t="n">
        <v>46222</v>
      </c>
      <c r="F662" t="inlineStr">
        <is>
          <t>GÄVLEBORGS LÄN</t>
        </is>
      </c>
      <c r="G662" t="inlineStr">
        <is>
          <t>OCKELBO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27562-2026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46222</v>
      </c>
      <c r="F663" t="inlineStr">
        <is>
          <t>GÄVLEBORGS LÄN</t>
        </is>
      </c>
      <c r="G663" t="inlineStr">
        <is>
          <t>OCKELBO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53488-2023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45230</v>
      </c>
      <c r="E664" s="1" t="n">
        <v>46222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21280-2026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46147</v>
      </c>
      <c r="E665" s="1" t="n">
        <v>46222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öst AB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17233-2026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46119</v>
      </c>
      <c r="E666" s="1" t="n">
        <v>46222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21277-2026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46147</v>
      </c>
      <c r="E667" s="1" t="n">
        <v>46222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öst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56034-2023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45240</v>
      </c>
      <c r="E668" s="1" t="n">
        <v>46222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21461-2026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46148</v>
      </c>
      <c r="E669" s="1" t="n">
        <v>46222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21459-2026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46222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14410-2026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46222</v>
      </c>
      <c r="F671" t="inlineStr">
        <is>
          <t>GÄVLEBORGS LÄN</t>
        </is>
      </c>
      <c r="G671" t="inlineStr">
        <is>
          <t>OCKELBO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21640-2026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46149</v>
      </c>
      <c r="E672" s="1" t="n">
        <v>46222</v>
      </c>
      <c r="F672" t="inlineStr">
        <is>
          <t>GÄVLEBORGS LÄN</t>
        </is>
      </c>
      <c r="G672" t="inlineStr">
        <is>
          <t>OCKELBO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22057-2026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46153</v>
      </c>
      <c r="E673" s="1" t="n">
        <v>46222</v>
      </c>
      <c r="F673" t="inlineStr">
        <is>
          <t>GÄVLEBORGS LÄN</t>
        </is>
      </c>
      <c r="G673" t="inlineStr">
        <is>
          <t>OCKELBO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28289-2026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46196</v>
      </c>
      <c r="E674" s="1" t="n">
        <v>46222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27383-2026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46222</v>
      </c>
      <c r="F675" t="inlineStr">
        <is>
          <t>GÄVLEBORGS LÄN</t>
        </is>
      </c>
      <c r="G675" t="inlineStr">
        <is>
          <t>OCKELBO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18645-2026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46128</v>
      </c>
      <c r="E676" s="1" t="n">
        <v>46222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13182-2026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46222</v>
      </c>
      <c r="F677" t="inlineStr">
        <is>
          <t>GÄVLEBORGS LÄN</t>
        </is>
      </c>
      <c r="G677" t="inlineStr">
        <is>
          <t>OCKELBO</t>
        </is>
      </c>
      <c r="I677" t="n">
        <v>8.199999999999999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13233-2026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46222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17221-2026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46222</v>
      </c>
      <c r="F679" t="inlineStr">
        <is>
          <t>GÄVLEBORGS LÄN</t>
        </is>
      </c>
      <c r="G679" t="inlineStr">
        <is>
          <t>OCKELBO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46222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921-2024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46222</v>
      </c>
      <c r="F681" t="inlineStr">
        <is>
          <t>GÄVLEBORGS LÄN</t>
        </is>
      </c>
      <c r="G681" t="inlineStr">
        <is>
          <t>OCKELBO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13210-2026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46222</v>
      </c>
      <c r="F682" t="inlineStr">
        <is>
          <t>GÄVLEBORGS LÄN</t>
        </is>
      </c>
      <c r="G682" t="inlineStr">
        <is>
          <t>OCKELBO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12352-2026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46088</v>
      </c>
      <c r="E683" s="1" t="n">
        <v>46222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9.199999999999999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9413-2026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46071</v>
      </c>
      <c r="E684" s="1" t="n">
        <v>46222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9542-2026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46222</v>
      </c>
      <c r="F685" t="inlineStr">
        <is>
          <t>GÄVLEBORGS LÄN</t>
        </is>
      </c>
      <c r="G685" t="inlineStr">
        <is>
          <t>OCKELBO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43071-2025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45909</v>
      </c>
      <c r="E686" s="1" t="n">
        <v>46222</v>
      </c>
      <c r="F686" t="inlineStr">
        <is>
          <t>GÄVLEBORGS LÄN</t>
        </is>
      </c>
      <c r="G686" t="inlineStr">
        <is>
          <t>OCKELBO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58718-2025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45986</v>
      </c>
      <c r="E687" s="1" t="n">
        <v>46222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27379-2026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46189</v>
      </c>
      <c r="E688" s="1" t="n">
        <v>46222</v>
      </c>
      <c r="F688" t="inlineStr">
        <is>
          <t>GÄVLEBORGS LÄN</t>
        </is>
      </c>
      <c r="G688" t="inlineStr">
        <is>
          <t>OCKELBO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27381-2026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46189</v>
      </c>
      <c r="E689" s="1" t="n">
        <v>46222</v>
      </c>
      <c r="F689" t="inlineStr">
        <is>
          <t>GÄVLEBORGS LÄN</t>
        </is>
      </c>
      <c r="G689" t="inlineStr">
        <is>
          <t>OCKELBO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22426-2026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46153</v>
      </c>
      <c r="E690" s="1" t="n">
        <v>46222</v>
      </c>
      <c r="F690" t="inlineStr">
        <is>
          <t>GÄVLEBORGS LÄN</t>
        </is>
      </c>
      <c r="G690" t="inlineStr">
        <is>
          <t>OCKELBO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46222</v>
      </c>
      <c r="F691" t="inlineStr">
        <is>
          <t>GÄVLEBORGS LÄN</t>
        </is>
      </c>
      <c r="G691" t="inlineStr">
        <is>
          <t>OCKELBO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15034-2026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46104</v>
      </c>
      <c r="E692" s="1" t="n">
        <v>46222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22329-2026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46154</v>
      </c>
      <c r="E693" s="1" t="n">
        <v>46222</v>
      </c>
      <c r="F693" t="inlineStr">
        <is>
          <t>GÄVLEBORGS LÄN</t>
        </is>
      </c>
      <c r="G693" t="inlineStr">
        <is>
          <t>OCKELBO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8408-2026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46065</v>
      </c>
      <c r="E694" s="1" t="n">
        <v>46222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8865-2026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46066</v>
      </c>
      <c r="E695" s="1" t="n">
        <v>46222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39710-2023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45167</v>
      </c>
      <c r="E696" s="1" t="n">
        <v>46222</v>
      </c>
      <c r="F696" t="inlineStr">
        <is>
          <t>GÄVLEBORGS LÄN</t>
        </is>
      </c>
      <c r="G696" t="inlineStr">
        <is>
          <t>OCKELBO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55906-2024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45623</v>
      </c>
      <c r="E697" s="1" t="n">
        <v>46222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28318-2026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46222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5164-2026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46049</v>
      </c>
      <c r="E699" s="1" t="n">
        <v>46222</v>
      </c>
      <c r="F699" t="inlineStr">
        <is>
          <t>GÄVLEBORGS LÄN</t>
        </is>
      </c>
      <c r="G699" t="inlineStr">
        <is>
          <t>OCKELBO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34449-2023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45139</v>
      </c>
      <c r="E700" s="1" t="n">
        <v>46222</v>
      </c>
      <c r="F700" t="inlineStr">
        <is>
          <t>GÄVLEBORGS LÄN</t>
        </is>
      </c>
      <c r="G700" t="inlineStr">
        <is>
          <t>OCKELBO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28672-2026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46222</v>
      </c>
      <c r="F701" t="inlineStr">
        <is>
          <t>GÄVLEBORGS LÄN</t>
        </is>
      </c>
      <c r="G701" t="inlineStr">
        <is>
          <t>OCKELBO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6654-2026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46222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60122-2025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45994</v>
      </c>
      <c r="E703" s="1" t="n">
        <v>46222</v>
      </c>
      <c r="F703" t="inlineStr">
        <is>
          <t>GÄVLEBORGS LÄN</t>
        </is>
      </c>
      <c r="G703" t="inlineStr">
        <is>
          <t>OCKELBO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22569-2026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46222</v>
      </c>
      <c r="F704" t="inlineStr">
        <is>
          <t>GÄVLEBORGS LÄN</t>
        </is>
      </c>
      <c r="G704" t="inlineStr">
        <is>
          <t>OCKELBO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22712-2026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46156</v>
      </c>
      <c r="E705" s="1" t="n">
        <v>46222</v>
      </c>
      <c r="F705" t="inlineStr">
        <is>
          <t>GÄVLEBORGS LÄN</t>
        </is>
      </c>
      <c r="G705" t="inlineStr">
        <is>
          <t>OCKELBO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39062-2024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45548</v>
      </c>
      <c r="E706" s="1" t="n">
        <v>46222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60120-2025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45994</v>
      </c>
      <c r="E707" s="1" t="n">
        <v>46222</v>
      </c>
      <c r="F707" t="inlineStr">
        <is>
          <t>GÄVLEBORGS LÄN</t>
        </is>
      </c>
      <c r="G707" t="inlineStr">
        <is>
          <t>OCKELBO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4179-2026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46044</v>
      </c>
      <c r="E708" s="1" t="n">
        <v>46222</v>
      </c>
      <c r="F708" t="inlineStr">
        <is>
          <t>GÄVLEBORGS LÄN</t>
        </is>
      </c>
      <c r="G708" t="inlineStr">
        <is>
          <t>OCKELBO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46609-2025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45926</v>
      </c>
      <c r="E709" s="1" t="n">
        <v>46222</v>
      </c>
      <c r="F709" t="inlineStr">
        <is>
          <t>GÄVLEBORGS LÄN</t>
        </is>
      </c>
      <c r="G709" t="inlineStr">
        <is>
          <t>OCKELBO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28681-2026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46222</v>
      </c>
      <c r="F710" t="inlineStr">
        <is>
          <t>GÄVLEBORGS LÄN</t>
        </is>
      </c>
      <c r="G710" t="inlineStr">
        <is>
          <t>OCKELBO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22460-2026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46222</v>
      </c>
      <c r="F711" t="inlineStr">
        <is>
          <t>GÄVLEBORGS LÄN</t>
        </is>
      </c>
      <c r="G711" t="inlineStr">
        <is>
          <t>OCKELBO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22594-2026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46222</v>
      </c>
      <c r="F712" t="inlineStr">
        <is>
          <t>GÄVLEBORGS LÄN</t>
        </is>
      </c>
      <c r="G712" t="inlineStr">
        <is>
          <t>OCKELBO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22692-2026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46156</v>
      </c>
      <c r="E713" s="1" t="n">
        <v>46222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14474-2026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46100</v>
      </c>
      <c r="E714" s="1" t="n">
        <v>46222</v>
      </c>
      <c r="F714" t="inlineStr">
        <is>
          <t>GÄVLEBORGS LÄN</t>
        </is>
      </c>
      <c r="G714" t="inlineStr">
        <is>
          <t>OCKELBO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14071-2026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46222</v>
      </c>
      <c r="F715" t="inlineStr">
        <is>
          <t>GÄVLEBORGS LÄN</t>
        </is>
      </c>
      <c r="G715" t="inlineStr">
        <is>
          <t>OCKELBO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29001-2026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46222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33617-2023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45132</v>
      </c>
      <c r="E717" s="1" t="n">
        <v>46222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34444-2023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45139</v>
      </c>
      <c r="E718" s="1" t="n">
        <v>46222</v>
      </c>
      <c r="F718" t="inlineStr">
        <is>
          <t>GÄVLEBORGS LÄN</t>
        </is>
      </c>
      <c r="G718" t="inlineStr">
        <is>
          <t>OCKELBO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3626-2023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46222</v>
      </c>
      <c r="F719" t="inlineStr">
        <is>
          <t>GÄVLEBORGS LÄN</t>
        </is>
      </c>
      <c r="G719" t="inlineStr">
        <is>
          <t>OCKELBO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22843-2026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46160</v>
      </c>
      <c r="E720" s="1" t="n">
        <v>46222</v>
      </c>
      <c r="F720" t="inlineStr">
        <is>
          <t>GÄVLEBORGS LÄN</t>
        </is>
      </c>
      <c r="G720" t="inlineStr">
        <is>
          <t>OCKELBO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17862-2026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46222</v>
      </c>
      <c r="F721" t="inlineStr">
        <is>
          <t>GÄVLEBORGS LÄN</t>
        </is>
      </c>
      <c r="G721" t="inlineStr">
        <is>
          <t>OCKELBO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50197-2024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45600</v>
      </c>
      <c r="E722" s="1" t="n">
        <v>46222</v>
      </c>
      <c r="F722" t="inlineStr">
        <is>
          <t>GÄVLEBORGS LÄN</t>
        </is>
      </c>
      <c r="G722" t="inlineStr">
        <is>
          <t>OCKELBO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23040-2026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46161</v>
      </c>
      <c r="E723" s="1" t="n">
        <v>46222</v>
      </c>
      <c r="F723" t="inlineStr">
        <is>
          <t>GÄVLEBORGS LÄN</t>
        </is>
      </c>
      <c r="G723" t="inlineStr">
        <is>
          <t>OCKELBO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52330-2024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45609</v>
      </c>
      <c r="E724" s="1" t="n">
        <v>46222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29611-2026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46222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23149-2026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46222</v>
      </c>
      <c r="F726" t="inlineStr">
        <is>
          <t>GÄVLEBORGS LÄN</t>
        </is>
      </c>
      <c r="G726" t="inlineStr">
        <is>
          <t>OCKELBO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60148-2023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45258</v>
      </c>
      <c r="E727" s="1" t="n">
        <v>46222</v>
      </c>
      <c r="F727" t="inlineStr">
        <is>
          <t>GÄVLEBORGS LÄN</t>
        </is>
      </c>
      <c r="G727" t="inlineStr">
        <is>
          <t>OCKELBO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38292-2021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44406</v>
      </c>
      <c r="E728" s="1" t="n">
        <v>46222</v>
      </c>
      <c r="F728" t="inlineStr">
        <is>
          <t>GÄVLEBORGS LÄN</t>
        </is>
      </c>
      <c r="G728" t="inlineStr">
        <is>
          <t>OCKELBO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9859-2025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45716</v>
      </c>
      <c r="E729" s="1" t="n">
        <v>46222</v>
      </c>
      <c r="F729" t="inlineStr">
        <is>
          <t>GÄVLEBORGS LÄN</t>
        </is>
      </c>
      <c r="G729" t="inlineStr">
        <is>
          <t>OCKELBO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23060-2026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46161</v>
      </c>
      <c r="E730" s="1" t="n">
        <v>46222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17.6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61116-2023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45261</v>
      </c>
      <c r="E731" s="1" t="n">
        <v>46222</v>
      </c>
      <c r="F731" t="inlineStr">
        <is>
          <t>GÄVLEBORGS LÄN</t>
        </is>
      </c>
      <c r="G731" t="inlineStr">
        <is>
          <t>OCKELBO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29789-2026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46205</v>
      </c>
      <c r="E732" s="1" t="n">
        <v>46222</v>
      </c>
      <c r="F732" t="inlineStr">
        <is>
          <t>GÄVLEBORGS LÄN</t>
        </is>
      </c>
      <c r="G732" t="inlineStr">
        <is>
          <t>OCKELBO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29078-2026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46222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47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23456-2026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46163</v>
      </c>
      <c r="E734" s="1" t="n">
        <v>46222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23513-2026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46222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44281-2022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44839</v>
      </c>
      <c r="E736" s="1" t="n">
        <v>46222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29835-2026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46222</v>
      </c>
      <c r="F737" t="inlineStr">
        <is>
          <t>GÄVLEBORGS LÄN</t>
        </is>
      </c>
      <c r="G737" t="inlineStr">
        <is>
          <t>OCKELBO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15325-2025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45747</v>
      </c>
      <c r="E738" s="1" t="n">
        <v>46222</v>
      </c>
      <c r="F738" t="inlineStr">
        <is>
          <t>GÄVLEBORGS LÄN</t>
        </is>
      </c>
      <c r="G738" t="inlineStr">
        <is>
          <t>OCKELBO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27416-2026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46222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29687-2023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46222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37442-2023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45156</v>
      </c>
      <c r="E741" s="1" t="n">
        <v>46222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3620-2023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46222</v>
      </c>
      <c r="F742" t="inlineStr">
        <is>
          <t>GÄVLEBORGS LÄN</t>
        </is>
      </c>
      <c r="G742" t="inlineStr">
        <is>
          <t>OCKELBO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46222</v>
      </c>
      <c r="F743" t="inlineStr">
        <is>
          <t>GÄVLEBORGS LÄN</t>
        </is>
      </c>
      <c r="G743" t="inlineStr">
        <is>
          <t>OCKELBO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23786-2026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46164</v>
      </c>
      <c r="E744" s="1" t="n">
        <v>46222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23663-2026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46164</v>
      </c>
      <c r="E745" s="1" t="n">
        <v>46222</v>
      </c>
      <c r="F745" t="inlineStr">
        <is>
          <t>GÄVLEBORGS LÄN</t>
        </is>
      </c>
      <c r="G745" t="inlineStr">
        <is>
          <t>OCKELBO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29849-2026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46222</v>
      </c>
      <c r="F746" t="inlineStr">
        <is>
          <t>GÄVLEBORGS LÄN</t>
        </is>
      </c>
      <c r="G746" t="inlineStr">
        <is>
          <t>OCKELBO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53702-2024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46222</v>
      </c>
      <c r="F747" t="inlineStr">
        <is>
          <t>GÄVLEBORGS LÄN</t>
        </is>
      </c>
      <c r="G747" t="inlineStr">
        <is>
          <t>OCKELBO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33879-2023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45134</v>
      </c>
      <c r="E748" s="1" t="n">
        <v>46222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33987-2023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46222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24059-2026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46222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24185-2026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46222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4001-2026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46222</v>
      </c>
      <c r="F752" t="inlineStr">
        <is>
          <t>GÄVLEBORGS LÄN</t>
        </is>
      </c>
      <c r="G752" t="inlineStr">
        <is>
          <t>OCKELBO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24063-2026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46168</v>
      </c>
      <c r="E753" s="1" t="n">
        <v>46222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46222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29963-2024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45488</v>
      </c>
      <c r="E755" s="1" t="n">
        <v>46222</v>
      </c>
      <c r="F755" t="inlineStr">
        <is>
          <t>GÄVLEBORGS LÄN</t>
        </is>
      </c>
      <c r="G755" t="inlineStr">
        <is>
          <t>OCKELBO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27630-2026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46222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24408-2026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46169</v>
      </c>
      <c r="E757" s="1" t="n">
        <v>46222</v>
      </c>
      <c r="F757" t="inlineStr">
        <is>
          <t>GÄVLEBORGS LÄN</t>
        </is>
      </c>
      <c r="G757" t="inlineStr">
        <is>
          <t>OCKELBO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24267-2026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46169</v>
      </c>
      <c r="E758" s="1" t="n">
        <v>46222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24335-2026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46169</v>
      </c>
      <c r="E759" s="1" t="n">
        <v>46222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52241-2024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45608</v>
      </c>
      <c r="E760" s="1" t="n">
        <v>46222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7.7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52243-2024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45608</v>
      </c>
      <c r="E761" s="1" t="n">
        <v>46222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34440-2023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45139</v>
      </c>
      <c r="E762" s="1" t="n">
        <v>46222</v>
      </c>
      <c r="F762" t="inlineStr">
        <is>
          <t>GÄVLEBORGS LÄN</t>
        </is>
      </c>
      <c r="G762" t="inlineStr">
        <is>
          <t>OCKELBO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24333-2026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46222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24409-2026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46169</v>
      </c>
      <c r="E764" s="1" t="n">
        <v>46222</v>
      </c>
      <c r="F764" t="inlineStr">
        <is>
          <t>GÄVLEBORGS LÄN</t>
        </is>
      </c>
      <c r="G764" t="inlineStr">
        <is>
          <t>OCKELBO</t>
        </is>
      </c>
      <c r="I764" t="n">
        <v>8.1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29968-2024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45488</v>
      </c>
      <c r="E765" s="1" t="n">
        <v>46222</v>
      </c>
      <c r="F765" t="inlineStr">
        <is>
          <t>GÄVLEBORGS LÄN</t>
        </is>
      </c>
      <c r="G765" t="inlineStr">
        <is>
          <t>OCKELBO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26924-2026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46222</v>
      </c>
      <c r="F766" t="inlineStr">
        <is>
          <t>GÄVLEBORGS LÄN</t>
        </is>
      </c>
      <c r="G766" t="inlineStr">
        <is>
          <t>OCKELBO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27995-2026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46195</v>
      </c>
      <c r="E767" s="1" t="n">
        <v>46222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29386-2026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46203</v>
      </c>
      <c r="E768" s="1" t="n">
        <v>46222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29437-2026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46203</v>
      </c>
      <c r="E769" s="1" t="n">
        <v>46222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11974-2026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46085</v>
      </c>
      <c r="E770" s="1" t="n">
        <v>46222</v>
      </c>
      <c r="F770" t="inlineStr">
        <is>
          <t>GÄVLEBORGS LÄN</t>
        </is>
      </c>
      <c r="G770" t="inlineStr">
        <is>
          <t>OCKELBO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46023</v>
      </c>
      <c r="E771" s="1" t="n">
        <v>46222</v>
      </c>
      <c r="F771" t="inlineStr">
        <is>
          <t>GÄVLEBORGS LÄN</t>
        </is>
      </c>
      <c r="G771" t="inlineStr">
        <is>
          <t>OCKELBO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24567-2026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46170</v>
      </c>
      <c r="E772" s="1" t="n">
        <v>46222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24578-2026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46170</v>
      </c>
      <c r="E773" s="1" t="n">
        <v>46222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54944-2025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45967</v>
      </c>
      <c r="E774" s="1" t="n">
        <v>46222</v>
      </c>
      <c r="F774" t="inlineStr">
        <is>
          <t>GÄVLEBORGS LÄN</t>
        </is>
      </c>
      <c r="G774" t="inlineStr">
        <is>
          <t>OCKELBO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51989-2023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45223</v>
      </c>
      <c r="E775" s="1" t="n">
        <v>46222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24451-2026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46170</v>
      </c>
      <c r="E776" s="1" t="n">
        <v>46222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24569-2026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46222</v>
      </c>
      <c r="F777" t="inlineStr">
        <is>
          <t>GÄVLEBORGS LÄN</t>
        </is>
      </c>
      <c r="G777" t="inlineStr">
        <is>
          <t>OCKELBO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21900-2023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45068</v>
      </c>
      <c r="E778" s="1" t="n">
        <v>46222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31083-2026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46216</v>
      </c>
      <c r="E779" s="1" t="n">
        <v>46222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24449-2026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46222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24521-2026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46222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3034-2025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45678</v>
      </c>
      <c r="E782" s="1" t="n">
        <v>46222</v>
      </c>
      <c r="F782" t="inlineStr">
        <is>
          <t>GÄVLEBORGS LÄN</t>
        </is>
      </c>
      <c r="G782" t="inlineStr">
        <is>
          <t>OCKELBO</t>
        </is>
      </c>
      <c r="I782" t="n">
        <v>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56741-2024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45628</v>
      </c>
      <c r="E783" s="1" t="n">
        <v>46222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26481-2026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46222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30990-2026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46213</v>
      </c>
      <c r="E785" s="1" t="n">
        <v>46222</v>
      </c>
      <c r="F785" t="inlineStr">
        <is>
          <t>GÄVLEBORGS LÄN</t>
        </is>
      </c>
      <c r="G785" t="inlineStr">
        <is>
          <t>OCKELBO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49448-2023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45211</v>
      </c>
      <c r="E786" s="1" t="n">
        <v>46222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29415-2026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46203</v>
      </c>
      <c r="E787" s="1" t="n">
        <v>46222</v>
      </c>
      <c r="F787" t="inlineStr">
        <is>
          <t>GÄVLEBORGS LÄN</t>
        </is>
      </c>
      <c r="G787" t="inlineStr">
        <is>
          <t>OCKELBO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24624-2026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46171</v>
      </c>
      <c r="E788" s="1" t="n">
        <v>46222</v>
      </c>
      <c r="F788" t="inlineStr">
        <is>
          <t>GÄVLEBORGS LÄN</t>
        </is>
      </c>
      <c r="G788" t="inlineStr">
        <is>
          <t>OCKELBO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19772-2025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45771</v>
      </c>
      <c r="E789" s="1" t="n">
        <v>46222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19774-2025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45771</v>
      </c>
      <c r="E790" s="1" t="n">
        <v>46222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24598-2026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46222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46074-2024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45581</v>
      </c>
      <c r="E792" s="1" t="n">
        <v>46222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21878-2023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45068</v>
      </c>
      <c r="E793" s="1" t="n">
        <v>46222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27889-2026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46222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25128-2026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46222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25133-2026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46175</v>
      </c>
      <c r="E796" s="1" t="n">
        <v>46222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39430-2024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45551</v>
      </c>
      <c r="E797" s="1" t="n">
        <v>46222</v>
      </c>
      <c r="F797" t="inlineStr">
        <is>
          <t>GÄVLEBORGS LÄN</t>
        </is>
      </c>
      <c r="G797" t="inlineStr">
        <is>
          <t>OCKELBO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31277-2026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46218</v>
      </c>
      <c r="E798" s="1" t="n">
        <v>46222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24974-2026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46222</v>
      </c>
      <c r="F799" t="inlineStr">
        <is>
          <t>GÄVLEBORGS LÄN</t>
        </is>
      </c>
      <c r="G799" t="inlineStr">
        <is>
          <t>OCKELBO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24952-2026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46174</v>
      </c>
      <c r="E800" s="1" t="n">
        <v>46222</v>
      </c>
      <c r="F800" t="inlineStr">
        <is>
          <t>GÄVLEBORGS LÄN</t>
        </is>
      </c>
      <c r="G800" t="inlineStr">
        <is>
          <t>OCKELBO</t>
        </is>
      </c>
      <c r="I800" t="n">
        <v>7.9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55070-2023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45237</v>
      </c>
      <c r="E801" s="1" t="n">
        <v>46222</v>
      </c>
      <c r="F801" t="inlineStr">
        <is>
          <t>GÄVLEBORGS LÄN</t>
        </is>
      </c>
      <c r="G801" t="inlineStr">
        <is>
          <t>OCKELBO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24968-2026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46174</v>
      </c>
      <c r="E802" s="1" t="n">
        <v>46222</v>
      </c>
      <c r="F802" t="inlineStr">
        <is>
          <t>GÄVLEBORGS LÄN</t>
        </is>
      </c>
      <c r="G802" t="inlineStr">
        <is>
          <t>OCKELBO</t>
        </is>
      </c>
      <c r="I802" t="n">
        <v>6.2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50968-2024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45603</v>
      </c>
      <c r="E803" s="1" t="n">
        <v>46222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25525-2026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46222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9.4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31443-2026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46220</v>
      </c>
      <c r="E805" s="1" t="n">
        <v>46222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25599-2026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46177</v>
      </c>
      <c r="E806" s="1" t="n">
        <v>46222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40218-2023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46222</v>
      </c>
      <c r="F807" t="inlineStr">
        <is>
          <t>GÄVLEBORGS LÄN</t>
        </is>
      </c>
      <c r="G807" t="inlineStr">
        <is>
          <t>OCKELBO</t>
        </is>
      </c>
      <c r="I807" t="n">
        <v>13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19178-2023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45048</v>
      </c>
      <c r="E808" s="1" t="n">
        <v>46222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37386-2023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45156</v>
      </c>
      <c r="E809" s="1" t="n">
        <v>46222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45674</v>
      </c>
      <c r="E810" s="1" t="n">
        <v>46222</v>
      </c>
      <c r="F810" t="inlineStr">
        <is>
          <t>GÄVLEBORGS LÄN</t>
        </is>
      </c>
      <c r="G810" t="inlineStr">
        <is>
          <t>OCKELBO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59063-2023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45252</v>
      </c>
      <c r="E811" s="1" t="n">
        <v>46222</v>
      </c>
      <c r="F811" t="inlineStr">
        <is>
          <t>GÄVLEBORGS LÄN</t>
        </is>
      </c>
      <c r="G811" t="inlineStr">
        <is>
          <t>OCKELBO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10150-2023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44986</v>
      </c>
      <c r="E812" s="1" t="n">
        <v>46222</v>
      </c>
      <c r="F812" t="inlineStr">
        <is>
          <t>GÄVLEBORGS LÄN</t>
        </is>
      </c>
      <c r="G812" t="inlineStr">
        <is>
          <t>OCKELBO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37845-2024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45544</v>
      </c>
      <c r="E813" s="1" t="n">
        <v>46222</v>
      </c>
      <c r="F813" t="inlineStr">
        <is>
          <t>GÄVLEBORGS LÄN</t>
        </is>
      </c>
      <c r="G813" t="inlineStr">
        <is>
          <t>OCKELBO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20775-2025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46222</v>
      </c>
      <c r="F814" t="inlineStr">
        <is>
          <t>GÄVLEBORGS LÄN</t>
        </is>
      </c>
      <c r="G814" t="inlineStr">
        <is>
          <t>OCKELBO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52273-2024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46222</v>
      </c>
      <c r="F815" t="inlineStr">
        <is>
          <t>GÄVLEBORGS LÄN</t>
        </is>
      </c>
      <c r="G815" t="inlineStr">
        <is>
          <t>OCKELBO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54323-2024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45617</v>
      </c>
      <c r="E816" s="1" t="n">
        <v>46222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60253-2023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45258</v>
      </c>
      <c r="E817" s="1" t="n">
        <v>46222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37848-2024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45544</v>
      </c>
      <c r="E818" s="1" t="n">
        <v>46222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22387-2025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46222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23780-2024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45455</v>
      </c>
      <c r="E820" s="1" t="n">
        <v>46222</v>
      </c>
      <c r="F820" t="inlineStr">
        <is>
          <t>GÄVLEBORGS LÄN</t>
        </is>
      </c>
      <c r="G820" t="inlineStr">
        <is>
          <t>OCKELBO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22385-2025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46222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28584-2024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45478</v>
      </c>
      <c r="E822" s="1" t="n">
        <v>46222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28181-2022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44746</v>
      </c>
      <c r="E823" s="1" t="n">
        <v>46222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23004-2025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45790</v>
      </c>
      <c r="E824" s="1" t="n">
        <v>46222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48803-2024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45593</v>
      </c>
      <c r="E825" s="1" t="n">
        <v>46222</v>
      </c>
      <c r="F825" t="inlineStr">
        <is>
          <t>GÄVLEBORGS LÄN</t>
        </is>
      </c>
      <c r="G825" t="inlineStr">
        <is>
          <t>OCKELBO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20689-2025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45776</v>
      </c>
      <c r="E826" s="1" t="n">
        <v>46222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64924-2023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45282</v>
      </c>
      <c r="E827" s="1" t="n">
        <v>46222</v>
      </c>
      <c r="F827" t="inlineStr">
        <is>
          <t>GÄVLEBORGS LÄN</t>
        </is>
      </c>
      <c r="G827" t="inlineStr">
        <is>
          <t>OCKELBO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20207-2024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45434</v>
      </c>
      <c r="E828" s="1" t="n">
        <v>46222</v>
      </c>
      <c r="F828" t="inlineStr">
        <is>
          <t>GÄVLEBORGS LÄN</t>
        </is>
      </c>
      <c r="G828" t="inlineStr">
        <is>
          <t>OCKELBO</t>
        </is>
      </c>
      <c r="I828" t="n">
        <v>7.6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55011-2024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45621</v>
      </c>
      <c r="E829" s="1" t="n">
        <v>46222</v>
      </c>
      <c r="F829" t="inlineStr">
        <is>
          <t>GÄVLEBORGS LÄN</t>
        </is>
      </c>
      <c r="G829" t="inlineStr">
        <is>
          <t>OCKELBO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15403-2022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44659</v>
      </c>
      <c r="E830" s="1" t="n">
        <v>46222</v>
      </c>
      <c r="F830" t="inlineStr">
        <is>
          <t>GÄVLEBORGS LÄN</t>
        </is>
      </c>
      <c r="G830" t="inlineStr">
        <is>
          <t>OCKELBO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26085-2024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45468</v>
      </c>
      <c r="E831" s="1" t="n">
        <v>46222</v>
      </c>
      <c r="F831" t="inlineStr">
        <is>
          <t>GÄVLEBORGS LÄN</t>
        </is>
      </c>
      <c r="G831" t="inlineStr">
        <is>
          <t>OCKELBO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16752-2025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45754</v>
      </c>
      <c r="E832" s="1" t="n">
        <v>46222</v>
      </c>
      <c r="F832" t="inlineStr">
        <is>
          <t>GÄVLEBORGS LÄN</t>
        </is>
      </c>
      <c r="G832" t="inlineStr">
        <is>
          <t>OCKELBO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15502-2025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45747</v>
      </c>
      <c r="E833" s="1" t="n">
        <v>46222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49470-2024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45596</v>
      </c>
      <c r="E834" s="1" t="n">
        <v>46222</v>
      </c>
      <c r="F834" t="inlineStr">
        <is>
          <t>GÄVLEBORGS LÄN</t>
        </is>
      </c>
      <c r="G834" t="inlineStr">
        <is>
          <t>OCKELBO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25246-2025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45800</v>
      </c>
      <c r="E835" s="1" t="n">
        <v>46222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25250-2025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45800</v>
      </c>
      <c r="E836" s="1" t="n">
        <v>46222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25248-2025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45800</v>
      </c>
      <c r="E837" s="1" t="n">
        <v>46222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25191-2025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45800</v>
      </c>
      <c r="E838" s="1" t="n">
        <v>46222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25233-2025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46222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25234-2025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46222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väst AB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25640-2025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45803</v>
      </c>
      <c r="E841" s="1" t="n">
        <v>46222</v>
      </c>
      <c r="F841" t="inlineStr">
        <is>
          <t>GÄVLEBORGS LÄN</t>
        </is>
      </c>
      <c r="G841" t="inlineStr">
        <is>
          <t>OCKELBO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282-2024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45323</v>
      </c>
      <c r="E842" s="1" t="n">
        <v>46222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14.5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5063-2024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45638</v>
      </c>
      <c r="E843" s="1" t="n">
        <v>46222</v>
      </c>
      <c r="F843" t="inlineStr">
        <is>
          <t>GÄVLEBORGS LÄN</t>
        </is>
      </c>
      <c r="G843" t="inlineStr">
        <is>
          <t>OCKELBO</t>
        </is>
      </c>
      <c r="H843" t="inlineStr">
        <is>
          <t>Bergvik skog väst AB</t>
        </is>
      </c>
      <c r="I843" t="n">
        <v>154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195-2024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45315</v>
      </c>
      <c r="E844" s="1" t="n">
        <v>46222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öst AB</t>
        </is>
      </c>
      <c r="I844" t="n">
        <v>46.4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411-2025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45699</v>
      </c>
      <c r="E845" s="1" t="n">
        <v>46222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öst AB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4360-2021</t>
        </is>
      </c>
      <c r="B846" t="inlineStr">
        <is>
          <t>samrådsanmälan</t>
        </is>
      </c>
      <c r="C846" t="inlineStr">
        <is>
          <t>Åtgärd i nyckelbiotop</t>
        </is>
      </c>
      <c r="D846" s="1" t="n">
        <v>44396</v>
      </c>
      <c r="E846" s="1" t="n">
        <v>46222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22.7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7041-2022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44904</v>
      </c>
      <c r="E847" s="1" t="n">
        <v>46222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väst AB</t>
        </is>
      </c>
      <c r="I847" t="n">
        <v>22.8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297-2026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46058</v>
      </c>
      <c r="E848" s="1" t="n">
        <v>46222</v>
      </c>
      <c r="F848" t="inlineStr">
        <is>
          <t>GÄVLEBORGS LÄN</t>
        </is>
      </c>
      <c r="G848" t="inlineStr">
        <is>
          <t>OCKELBO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657-2026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46089</v>
      </c>
      <c r="E849" s="1" t="n">
        <v>46222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öst AB</t>
        </is>
      </c>
      <c r="I849" t="n">
        <v>131.3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190-2026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46048</v>
      </c>
      <c r="E850" s="1" t="n">
        <v>46222</v>
      </c>
      <c r="F850" t="inlineStr">
        <is>
          <t>GÄVLEBORGS LÄN</t>
        </is>
      </c>
      <c r="G850" t="inlineStr">
        <is>
          <t>OCKELBO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1344-2026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46148</v>
      </c>
      <c r="E851" s="1" t="n">
        <v>46222</v>
      </c>
      <c r="F851" t="inlineStr">
        <is>
          <t>GÄVLEBORGS LÄN</t>
        </is>
      </c>
      <c r="G851" t="inlineStr">
        <is>
          <t>OCKELBO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>
      <c r="A852" t="inlineStr">
        <is>
          <t>S 1345-2026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46148</v>
      </c>
      <c r="E852" s="1" t="n">
        <v>46222</v>
      </c>
      <c r="F852" t="inlineStr">
        <is>
          <t>GÄVLEBORGS LÄN</t>
        </is>
      </c>
      <c r="G852" t="inlineStr">
        <is>
          <t>OCKELBO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2026-07-19T01:35:38Z</dcterms:created>
  <dcterms:modified xmlns:dcterms="http://purl.org/dc/terms/" xmlns:xsi="http://www.w3.org/2001/XMLSchema-instance" xsi:type="dcterms:W3CDTF">2026-07-19T01:35:39Z</dcterms:modified>
</cp:coreProperties>
</file>