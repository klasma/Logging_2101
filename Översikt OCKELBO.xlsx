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46299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46299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46299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46299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46299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46299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46299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46299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46299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46299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46299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46299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46299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46299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46299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46299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46299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46299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46299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46299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62989-2025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46299</v>
      </c>
      <c r="F38" t="inlineStr">
        <is>
          <t>GÄVLEBORGS LÄN</t>
        </is>
      </c>
      <c r="G38" t="inlineStr">
        <is>
          <t>OCKELBO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HYPERLINK("https://klasma.github.io/Logging_2101/artfynd/A 62989-2025 artfynd.xlsx", "A 62989-2025")</f>
        <v/>
      </c>
      <c r="X38">
        <f>HYPERLINK("https://klasma.github.io/Logging_2101/kartor/A 62989-2025 karta.png", "A 62989-2025")</f>
        <v/>
      </c>
      <c r="Y38">
        <f>HYPERLINK("https://klasma.github.io/Logging_2101/kartor_geotiff/A 62989-2025 georefererad karta.tif", "A 62989-2025")</f>
        <v/>
      </c>
      <c r="AA38">
        <f>HYPERLINK("https://klasma.github.io/Logging_2101/klagomål/A 62989-2025 FSC-klagomål.docx", "A 62989-2025")</f>
        <v/>
      </c>
      <c r="AB38">
        <f>HYPERLINK("https://klasma.github.io/Logging_2101/klagomålsmail/A 62989-2025 FSC-klagomål mail.docx", "A 62989-2025")</f>
        <v/>
      </c>
      <c r="AC38">
        <f>HYPERLINK("https://klasma.github.io/Logging_2101/tillsyn/A 62989-2025 tillsynsbegäran.docx", "A 62989-2025")</f>
        <v/>
      </c>
      <c r="AD38">
        <f>HYPERLINK("https://klasma.github.io/Logging_2101/tillsynsmail/A 62989-2025 tillsynsbegäran mail.docx", "A 62989-2025")</f>
        <v/>
      </c>
    </row>
    <row r="39" ht="15" customHeight="1">
      <c r="A39" t="inlineStr">
        <is>
          <t>A 15841-2023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45022</v>
      </c>
      <c r="E39" s="1" t="n">
        <v>46299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Havsörn</t>
        </is>
      </c>
      <c r="W39">
        <f>HYPERLINK("https://klasma.github.io/Logging_2101/artfynd/A 15841-2023 artfynd.xlsx", "A 15841-2023")</f>
        <v/>
      </c>
      <c r="X39">
        <f>HYPERLINK("https://klasma.github.io/Logging_2101/kartor/A 15841-2023 karta.png", "A 15841-2023")</f>
        <v/>
      </c>
      <c r="Y39">
        <f>HYPERLINK("https://klasma.github.io/Logging_2101/kartor_geotiff/A 15841-2023 georefererad karta.tif", "A 15841-2023")</f>
        <v/>
      </c>
      <c r="AA39">
        <f>HYPERLINK("https://klasma.github.io/Logging_2101/klagomål/A 15841-2023 FSC-klagomål.docx", "A 15841-2023")</f>
        <v/>
      </c>
      <c r="AB39">
        <f>HYPERLINK("https://klasma.github.io/Logging_2101/klagomålsmail/A 15841-2023 FSC-klagomål mail.docx", "A 15841-2023")</f>
        <v/>
      </c>
      <c r="AC39">
        <f>HYPERLINK("https://klasma.github.io/Logging_2101/tillsyn/A 15841-2023 tillsynsbegäran.docx", "A 15841-2023")</f>
        <v/>
      </c>
      <c r="AD39">
        <f>HYPERLINK("https://klasma.github.io/Logging_2101/tillsynsmail/A 15841-2023 tillsynsbegäran mail.docx", "A 15841-2023")</f>
        <v/>
      </c>
      <c r="AE39">
        <f>HYPERLINK("https://klasma.github.io/Logging_2101/fåglar/A 15841-2023 prioriterade fågelarter.docx", "A 15841-2023")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46299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2923-2026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46299</v>
      </c>
      <c r="F41" t="inlineStr">
        <is>
          <t>GÄVLEBORGS LÄN</t>
        </is>
      </c>
      <c r="G41" t="inlineStr">
        <is>
          <t>OCKELBO</t>
        </is>
      </c>
      <c r="I41" t="n">
        <v>2.8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HYPERLINK("https://klasma.github.io/Logging_2101/artfynd/A 2923-2026 artfynd.xlsx", "A 2923-2026")</f>
        <v/>
      </c>
      <c r="X41">
        <f>HYPERLINK("https://klasma.github.io/Logging_2101/kartor/A 2923-2026 karta.png", "A 2923-2026")</f>
        <v/>
      </c>
      <c r="Y41">
        <f>HYPERLINK("https://klasma.github.io/Logging_2101/kartor_geotiff/A 2923-2026 georefererad karta.tif", "A 2923-2026")</f>
        <v/>
      </c>
      <c r="Z41">
        <f>HYPERLINK("https://klasma.github.io/Logging_2101/knärot/A 2923-2026 karta knärot.png", "A 2923-2026")</f>
        <v/>
      </c>
      <c r="AA41">
        <f>HYPERLINK("https://klasma.github.io/Logging_2101/klagomål/A 2923-2026 FSC-klagomål.docx", "A 2923-2026")</f>
        <v/>
      </c>
      <c r="AB41">
        <f>HYPERLINK("https://klasma.github.io/Logging_2101/klagomålsmail/A 2923-2026 FSC-klagomål mail.docx", "A 2923-2026")</f>
        <v/>
      </c>
      <c r="AC41">
        <f>HYPERLINK("https://klasma.github.io/Logging_2101/tillsyn/A 2923-2026 tillsynsbegäran.docx", "A 2923-2026")</f>
        <v/>
      </c>
      <c r="AD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46299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6121-2026 artfynd.xlsx", "A 6121-2026")</f>
        <v/>
      </c>
      <c r="X42">
        <f>HYPERLINK("https://klasma.github.io/Logging_2101/kartor/A 6121-2026 karta.png", "A 6121-2026")</f>
        <v/>
      </c>
      <c r="Y42">
        <f>HYPERLINK("https://klasma.github.io/Logging_2101/kartor_geotiff/A 6121-2026 georefererad karta.tif", "A 6121-2026")</f>
        <v/>
      </c>
      <c r="AA42">
        <f>HYPERLINK("https://klasma.github.io/Logging_2101/klagomål/A 6121-2026 FSC-klagomål.docx", "A 6121-2026")</f>
        <v/>
      </c>
      <c r="AB42">
        <f>HYPERLINK("https://klasma.github.io/Logging_2101/klagomålsmail/A 6121-2026 FSC-klagomål mail.docx", "A 6121-2026")</f>
        <v/>
      </c>
      <c r="AC42">
        <f>HYPERLINK("https://klasma.github.io/Logging_2101/tillsyn/A 6121-2026 tillsynsbegäran.docx", "A 6121-2026")</f>
        <v/>
      </c>
      <c r="AD42">
        <f>HYPERLINK("https://klasma.github.io/Logging_2101/tillsynsmail/A 6121-2026 tillsynsbegäran mail.docx", "A 6121-2026")</f>
        <v/>
      </c>
      <c r="AE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46299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6586-2026 artfynd.xlsx", "A 6586-2026")</f>
        <v/>
      </c>
      <c r="X43">
        <f>HYPERLINK("https://klasma.github.io/Logging_2101/kartor/A 6586-2026 karta.png", "A 6586-2026")</f>
        <v/>
      </c>
      <c r="Y43">
        <f>HYPERLINK("https://klasma.github.io/Logging_2101/kartor_geotiff/A 6586-2026 georefererad karta.tif", "A 6586-2026")</f>
        <v/>
      </c>
      <c r="AA43">
        <f>HYPERLINK("https://klasma.github.io/Logging_2101/klagomål/A 6586-2026 FSC-klagomål.docx", "A 6586-2026")</f>
        <v/>
      </c>
      <c r="AB43">
        <f>HYPERLINK("https://klasma.github.io/Logging_2101/klagomålsmail/A 6586-2026 FSC-klagomål mail.docx", "A 6586-2026")</f>
        <v/>
      </c>
      <c r="AC43">
        <f>HYPERLINK("https://klasma.github.io/Logging_2101/tillsyn/A 6586-2026 tillsynsbegäran.docx", "A 6586-2026")</f>
        <v/>
      </c>
      <c r="AD43">
        <f>HYPERLINK("https://klasma.github.io/Logging_2101/tillsynsmail/A 6586-2026 tillsynsbegäran mail.docx", "A 6586-2026")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46299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57946-2023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46299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HYPERLINK("https://klasma.github.io/Logging_2101/artfynd/A 57946-2023 artfynd.xlsx", "A 57946-2023")</f>
        <v/>
      </c>
      <c r="X45">
        <f>HYPERLINK("https://klasma.github.io/Logging_2101/kartor/A 57946-2023 karta.png", "A 57946-2023")</f>
        <v/>
      </c>
      <c r="Y45">
        <f>HYPERLINK("https://klasma.github.io/Logging_2101/kartor_geotiff/A 57946-2023 georefererad karta.tif", "A 57946-2023")</f>
        <v/>
      </c>
      <c r="AA45">
        <f>HYPERLINK("https://klasma.github.io/Logging_2101/klagomål/A 57946-2023 FSC-klagomål.docx", "A 57946-2023")</f>
        <v/>
      </c>
      <c r="AB45">
        <f>HYPERLINK("https://klasma.github.io/Logging_2101/klagomålsmail/A 57946-2023 FSC-klagomål mail.docx", "A 57946-2023")</f>
        <v/>
      </c>
      <c r="AC45">
        <f>HYPERLINK("https://klasma.github.io/Logging_2101/tillsyn/A 57946-2023 tillsynsbegäran.docx", "A 57946-2023")</f>
        <v/>
      </c>
      <c r="AD45">
        <f>HYPERLINK("https://klasma.github.io/Logging_2101/tillsynsmail/A 57946-2023 tillsynsbegäran mail.docx", "A 57946-2023")</f>
        <v/>
      </c>
    </row>
    <row r="46" ht="15" customHeight="1">
      <c r="A46" t="inlineStr">
        <is>
          <t>A 46481-2024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46299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HYPERLINK("https://klasma.github.io/Logging_2101/artfynd/A 46481-2024 artfynd.xlsx", "A 46481-2024")</f>
        <v/>
      </c>
      <c r="X46">
        <f>HYPERLINK("https://klasma.github.io/Logging_2101/kartor/A 46481-2024 karta.png", "A 46481-2024")</f>
        <v/>
      </c>
      <c r="Y46">
        <f>HYPERLINK("https://klasma.github.io/Logging_2101/kartor_geotiff/A 46481-2024 georefererad karta.tif", "A 46481-2024")</f>
        <v/>
      </c>
      <c r="AA46">
        <f>HYPERLINK("https://klasma.github.io/Logging_2101/klagomål/A 46481-2024 FSC-klagomål.docx", "A 46481-2024")</f>
        <v/>
      </c>
      <c r="AB46">
        <f>HYPERLINK("https://klasma.github.io/Logging_2101/klagomålsmail/A 46481-2024 FSC-klagomål mail.docx", "A 46481-2024")</f>
        <v/>
      </c>
      <c r="AC46">
        <f>HYPERLINK("https://klasma.github.io/Logging_2101/tillsyn/A 46481-2024 tillsynsbegäran.docx", "A 46481-2024")</f>
        <v/>
      </c>
      <c r="AD46">
        <f>HYPERLINK("https://klasma.github.io/Logging_2101/tillsynsmail/A 46481-2024 tillsynsbegäran mail.docx", "A 46481-2024")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46299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46299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46299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46299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46299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46299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46299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46299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46299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46299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46299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46299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46299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46299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46299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38583-2026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46283</v>
      </c>
      <c r="E62" s="1" t="n">
        <v>46299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Månlåsbräken</t>
        </is>
      </c>
      <c r="W62">
        <f>HYPERLINK("https://klasma.github.io/Logging_2101/artfynd/A 38583-2026 artfynd.xlsx", "A 38583-2026")</f>
        <v/>
      </c>
      <c r="X62">
        <f>HYPERLINK("https://klasma.github.io/Logging_2101/kartor/A 38583-2026 karta.png", "A 38583-2026")</f>
        <v/>
      </c>
      <c r="Y62">
        <f>HYPERLINK("https://klasma.github.io/Logging_2101/kartor_geotiff/A 38583-2026 georefererad karta.tif", "A 38583-2026")</f>
        <v/>
      </c>
      <c r="AA62">
        <f>HYPERLINK("https://klasma.github.io/Logging_2101/klagomål/A 38583-2026 FSC-klagomål.docx", "A 38583-2026")</f>
        <v/>
      </c>
      <c r="AB62">
        <f>HYPERLINK("https://klasma.github.io/Logging_2101/klagomålsmail/A 38583-2026 FSC-klagomål mail.docx", "A 38583-2026")</f>
        <v/>
      </c>
      <c r="AC62">
        <f>HYPERLINK("https://klasma.github.io/Logging_2101/tillsyn/A 38583-2026 tillsynsbegäran.docx", "A 38583-2026")</f>
        <v/>
      </c>
      <c r="AD62">
        <f>HYPERLINK("https://klasma.github.io/Logging_2101/tillsynsmail/A 38583-2026 tillsynsbegäran mail.docx", "A 38583-2026")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46299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46299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46299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46299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46299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46299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46299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46299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46299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46299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46299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46299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46299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46299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46299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46299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46299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46299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46299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46299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46299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46299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46299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46299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46299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46299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46299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46299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46299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37386-2023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45156</v>
      </c>
      <c r="E92" s="1" t="n">
        <v>46299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46299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46299</v>
      </c>
      <c r="F94" t="inlineStr">
        <is>
          <t>GÄVLEBORGS LÄN</t>
        </is>
      </c>
      <c r="G94" t="inlineStr">
        <is>
          <t>OCKELBO</t>
        </is>
      </c>
      <c r="H94" t="inlineStr">
        <is>
          <t>Kyrkan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46299</v>
      </c>
      <c r="F95" t="inlineStr">
        <is>
          <t>GÄVLEBORGS LÄN</t>
        </is>
      </c>
      <c r="G95" t="inlineStr">
        <is>
          <t>OCKELBO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46299</v>
      </c>
      <c r="F96" t="inlineStr">
        <is>
          <t>GÄVLEBORGS LÄN</t>
        </is>
      </c>
      <c r="G96" t="inlineStr">
        <is>
          <t>OCKELBO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44804</v>
      </c>
      <c r="E97" s="1" t="n">
        <v>46299</v>
      </c>
      <c r="F97" t="inlineStr">
        <is>
          <t>GÄVLEBORGS LÄN</t>
        </is>
      </c>
      <c r="G97" t="inlineStr">
        <is>
          <t>OCKELBO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46299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46299</v>
      </c>
      <c r="F99" t="inlineStr">
        <is>
          <t>GÄVLEBORGS LÄN</t>
        </is>
      </c>
      <c r="G99" t="inlineStr">
        <is>
          <t>OCKELBO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46299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46299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46299</v>
      </c>
      <c r="F102" t="inlineStr">
        <is>
          <t>GÄVLEBORGS LÄN</t>
        </is>
      </c>
      <c r="G102" t="inlineStr">
        <is>
          <t>OCKELBO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45252</v>
      </c>
      <c r="E103" s="1" t="n">
        <v>46299</v>
      </c>
      <c r="F103" t="inlineStr">
        <is>
          <t>GÄVLEBORGS LÄN</t>
        </is>
      </c>
      <c r="G103" t="inlineStr">
        <is>
          <t>OCKELBO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46299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46299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46299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46299</v>
      </c>
      <c r="F107" t="inlineStr">
        <is>
          <t>GÄVLEBORGS LÄN</t>
        </is>
      </c>
      <c r="G107" t="inlineStr">
        <is>
          <t>OCKELBO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46299</v>
      </c>
      <c r="F108" t="inlineStr">
        <is>
          <t>GÄVLEBORGS LÄN</t>
        </is>
      </c>
      <c r="G108" t="inlineStr">
        <is>
          <t>OCKELBO</t>
        </is>
      </c>
      <c r="H108" t="inlineStr">
        <is>
          <t>Kyrkan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46299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62196-2025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46006</v>
      </c>
      <c r="E110" s="1" t="n">
        <v>46299</v>
      </c>
      <c r="F110" t="inlineStr">
        <is>
          <t>GÄVLEBORGS LÄN</t>
        </is>
      </c>
      <c r="G110" t="inlineStr">
        <is>
          <t>OCKELBO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46299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46299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46299</v>
      </c>
      <c r="F113" t="inlineStr">
        <is>
          <t>GÄVLEBORGS LÄN</t>
        </is>
      </c>
      <c r="G113" t="inlineStr">
        <is>
          <t>OCKELBO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46299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46299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46299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63224-2025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46010</v>
      </c>
      <c r="E117" s="1" t="n">
        <v>46299</v>
      </c>
      <c r="F117" t="inlineStr">
        <is>
          <t>GÄVLEBORGS LÄN</t>
        </is>
      </c>
      <c r="G117" t="inlineStr">
        <is>
          <t>OCKELBO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46299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46014</v>
      </c>
      <c r="E119" s="1" t="n">
        <v>46299</v>
      </c>
      <c r="F119" t="inlineStr">
        <is>
          <t>GÄVLEBORGS LÄN</t>
        </is>
      </c>
      <c r="G119" t="inlineStr">
        <is>
          <t>OCKELBO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46021</v>
      </c>
      <c r="E120" s="1" t="n">
        <v>46299</v>
      </c>
      <c r="F120" t="inlineStr">
        <is>
          <t>GÄVLEBORGS LÄN</t>
        </is>
      </c>
      <c r="G120" t="inlineStr">
        <is>
          <t>OCKELBO</t>
        </is>
      </c>
      <c r="I120" t="n">
        <v>13.6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46299</v>
      </c>
      <c r="F121" t="inlineStr">
        <is>
          <t>GÄVLEBORGS LÄN</t>
        </is>
      </c>
      <c r="G121" t="inlineStr">
        <is>
          <t>OCKELBO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46299</v>
      </c>
      <c r="F122" t="inlineStr">
        <is>
          <t>GÄVLEBORGS LÄN</t>
        </is>
      </c>
      <c r="G122" t="inlineStr">
        <is>
          <t>OCKELBO</t>
        </is>
      </c>
      <c r="H122" t="inlineStr">
        <is>
          <t>Kyrkan</t>
        </is>
      </c>
      <c r="I122" t="n">
        <v>12.5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46299</v>
      </c>
      <c r="F123" t="inlineStr">
        <is>
          <t>GÄVLEBORGS LÄN</t>
        </is>
      </c>
      <c r="G123" t="inlineStr">
        <is>
          <t>OCKELBO</t>
        </is>
      </c>
      <c r="I123" t="n">
        <v>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46299</v>
      </c>
      <c r="F124" t="inlineStr">
        <is>
          <t>GÄVLEBORGS LÄN</t>
        </is>
      </c>
      <c r="G124" t="inlineStr">
        <is>
          <t>OCKELBO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46299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46299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46299</v>
      </c>
      <c r="F127" t="inlineStr">
        <is>
          <t>GÄVLEBORGS LÄN</t>
        </is>
      </c>
      <c r="G127" t="inlineStr">
        <is>
          <t>OCKELBO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45772</v>
      </c>
      <c r="E128" s="1" t="n">
        <v>46299</v>
      </c>
      <c r="F128" t="inlineStr">
        <is>
          <t>GÄVLEBORGS LÄN</t>
        </is>
      </c>
      <c r="G128" t="inlineStr">
        <is>
          <t>OCKELBO</t>
        </is>
      </c>
      <c r="I128" t="n">
        <v>14.8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46299</v>
      </c>
      <c r="F129" t="inlineStr">
        <is>
          <t>GÄVLEBORGS LÄN</t>
        </is>
      </c>
      <c r="G129" t="inlineStr">
        <is>
          <t>OCKELBO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46299</v>
      </c>
      <c r="F130" t="inlineStr">
        <is>
          <t>GÄVLEBORGS LÄN</t>
        </is>
      </c>
      <c r="G130" t="inlineStr">
        <is>
          <t>OCKELBO</t>
        </is>
      </c>
      <c r="I130" t="n">
        <v>16.2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46299</v>
      </c>
      <c r="F131" t="inlineStr">
        <is>
          <t>GÄVLEBORGS LÄN</t>
        </is>
      </c>
      <c r="G131" t="inlineStr">
        <is>
          <t>OCKELBO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46027</v>
      </c>
      <c r="E132" s="1" t="n">
        <v>46299</v>
      </c>
      <c r="F132" t="inlineStr">
        <is>
          <t>GÄVLEBORGS LÄN</t>
        </is>
      </c>
      <c r="G132" t="inlineStr">
        <is>
          <t>OCKELBO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46299</v>
      </c>
      <c r="F133" t="inlineStr">
        <is>
          <t>GÄVLEBORGS LÄN</t>
        </is>
      </c>
      <c r="G133" t="inlineStr">
        <is>
          <t>OCKELBO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46299</v>
      </c>
      <c r="F134" t="inlineStr">
        <is>
          <t>GÄVLEBORGS LÄN</t>
        </is>
      </c>
      <c r="G134" t="inlineStr">
        <is>
          <t>OCKELBO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46299</v>
      </c>
      <c r="F135" t="inlineStr">
        <is>
          <t>GÄVLEBORGS LÄN</t>
        </is>
      </c>
      <c r="G135" t="inlineStr">
        <is>
          <t>OCKELBO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46299</v>
      </c>
      <c r="F136" t="inlineStr">
        <is>
          <t>GÄVLEBORGS LÄN</t>
        </is>
      </c>
      <c r="G136" t="inlineStr">
        <is>
          <t>OCKELBO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46299</v>
      </c>
      <c r="F137" t="inlineStr">
        <is>
          <t>GÄVLEBORGS LÄN</t>
        </is>
      </c>
      <c r="G137" t="inlineStr">
        <is>
          <t>OCKELBO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46299</v>
      </c>
      <c r="F138" t="inlineStr">
        <is>
          <t>GÄVLEBORGS LÄN</t>
        </is>
      </c>
      <c r="G138" t="inlineStr">
        <is>
          <t>OCKELBO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46028</v>
      </c>
      <c r="E139" s="1" t="n">
        <v>46299</v>
      </c>
      <c r="F139" t="inlineStr">
        <is>
          <t>GÄVLEBORGS LÄN</t>
        </is>
      </c>
      <c r="G139" t="inlineStr">
        <is>
          <t>OCKELBO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46028</v>
      </c>
      <c r="E140" s="1" t="n">
        <v>46299</v>
      </c>
      <c r="F140" t="inlineStr">
        <is>
          <t>GÄVLEBORGS LÄN</t>
        </is>
      </c>
      <c r="G140" t="inlineStr">
        <is>
          <t>OCKELBO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46299</v>
      </c>
      <c r="F141" t="inlineStr">
        <is>
          <t>GÄVLEBORGS LÄN</t>
        </is>
      </c>
      <c r="G141" t="inlineStr">
        <is>
          <t>OCKELBO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46299</v>
      </c>
      <c r="F142" t="inlineStr">
        <is>
          <t>GÄVLEBORGS LÄN</t>
        </is>
      </c>
      <c r="G142" t="inlineStr">
        <is>
          <t>OCKELBO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46299</v>
      </c>
      <c r="F143" t="inlineStr">
        <is>
          <t>GÄVLEBORGS LÄN</t>
        </is>
      </c>
      <c r="G143" t="inlineStr">
        <is>
          <t>OCKELBO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46299</v>
      </c>
      <c r="F144" t="inlineStr">
        <is>
          <t>GÄVLEBORGS LÄN</t>
        </is>
      </c>
      <c r="G144" t="inlineStr">
        <is>
          <t>OCKELBO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46299</v>
      </c>
      <c r="F145" t="inlineStr">
        <is>
          <t>GÄVLEBORGS LÄN</t>
        </is>
      </c>
      <c r="G145" t="inlineStr">
        <is>
          <t>OCKELBO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46299</v>
      </c>
      <c r="F146" t="inlineStr">
        <is>
          <t>GÄVLEBORGS LÄN</t>
        </is>
      </c>
      <c r="G146" t="inlineStr">
        <is>
          <t>OCKELBO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23004-2025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45790</v>
      </c>
      <c r="E147" s="1" t="n">
        <v>46299</v>
      </c>
      <c r="F147" t="inlineStr">
        <is>
          <t>GÄVLEBORGS LÄN</t>
        </is>
      </c>
      <c r="G147" t="inlineStr">
        <is>
          <t>OCKELBO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46299</v>
      </c>
      <c r="F148" t="inlineStr">
        <is>
          <t>GÄVLEBORGS LÄN</t>
        </is>
      </c>
      <c r="G148" t="inlineStr">
        <is>
          <t>OCKELBO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46299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46299</v>
      </c>
      <c r="F150" t="inlineStr">
        <is>
          <t>GÄVLEBORGS LÄN</t>
        </is>
      </c>
      <c r="G150" t="inlineStr">
        <is>
          <t>OCKELBO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46033</v>
      </c>
      <c r="E151" s="1" t="n">
        <v>46299</v>
      </c>
      <c r="F151" t="inlineStr">
        <is>
          <t>GÄVLEBORGS LÄN</t>
        </is>
      </c>
      <c r="G151" t="inlineStr">
        <is>
          <t>OCKELBO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46299</v>
      </c>
      <c r="F152" t="inlineStr">
        <is>
          <t>GÄVLEBORGS LÄN</t>
        </is>
      </c>
      <c r="G152" t="inlineStr">
        <is>
          <t>OCKELBO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46299</v>
      </c>
      <c r="F153" t="inlineStr">
        <is>
          <t>GÄVLEBORGS LÄN</t>
        </is>
      </c>
      <c r="G153" t="inlineStr">
        <is>
          <t>OCKELBO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46299</v>
      </c>
      <c r="F154" t="inlineStr">
        <is>
          <t>GÄVLEBORGS LÄN</t>
        </is>
      </c>
      <c r="G154" t="inlineStr">
        <is>
          <t>OCKELBO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46299</v>
      </c>
      <c r="F155" t="inlineStr">
        <is>
          <t>GÄVLEBORGS LÄN</t>
        </is>
      </c>
      <c r="G155" t="inlineStr">
        <is>
          <t>OCKELBO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45903</v>
      </c>
      <c r="E156" s="1" t="n">
        <v>46299</v>
      </c>
      <c r="F156" t="inlineStr">
        <is>
          <t>GÄVLEBORGS LÄN</t>
        </is>
      </c>
      <c r="G156" t="inlineStr">
        <is>
          <t>OCKELBO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46299</v>
      </c>
      <c r="F157" t="inlineStr">
        <is>
          <t>GÄVLEBORGS LÄN</t>
        </is>
      </c>
      <c r="G157" t="inlineStr">
        <is>
          <t>OCKELBO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46299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46299</v>
      </c>
      <c r="F159" t="inlineStr">
        <is>
          <t>GÄVLEBORGS LÄN</t>
        </is>
      </c>
      <c r="G159" t="inlineStr">
        <is>
          <t>OCKELBO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46036</v>
      </c>
      <c r="E160" s="1" t="n">
        <v>46299</v>
      </c>
      <c r="F160" t="inlineStr">
        <is>
          <t>GÄVLEBORGS LÄN</t>
        </is>
      </c>
      <c r="G160" t="inlineStr">
        <is>
          <t>OCKELBO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46036</v>
      </c>
      <c r="E161" s="1" t="n">
        <v>46299</v>
      </c>
      <c r="F161" t="inlineStr">
        <is>
          <t>GÄVLEBORGS LÄN</t>
        </is>
      </c>
      <c r="G161" t="inlineStr">
        <is>
          <t>OCKELBO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46299</v>
      </c>
      <c r="F162" t="inlineStr">
        <is>
          <t>GÄVLEBORGS LÄN</t>
        </is>
      </c>
      <c r="G162" t="inlineStr">
        <is>
          <t>OCKELBO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46299</v>
      </c>
      <c r="F163" t="inlineStr">
        <is>
          <t>GÄVLEBORGS LÄN</t>
        </is>
      </c>
      <c r="G163" t="inlineStr">
        <is>
          <t>OCKELBO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46299</v>
      </c>
      <c r="F164" t="inlineStr">
        <is>
          <t>GÄVLEBORGS LÄN</t>
        </is>
      </c>
      <c r="G164" t="inlineStr">
        <is>
          <t>OCKELBO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46299</v>
      </c>
      <c r="F165" t="inlineStr">
        <is>
          <t>GÄVLEBORGS LÄN</t>
        </is>
      </c>
      <c r="G165" t="inlineStr">
        <is>
          <t>OCKELBO</t>
        </is>
      </c>
      <c r="I165" t="n">
        <v>16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46299</v>
      </c>
      <c r="F166" t="inlineStr">
        <is>
          <t>GÄVLEBORGS LÄN</t>
        </is>
      </c>
      <c r="G166" t="inlineStr">
        <is>
          <t>OCKELBO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46299</v>
      </c>
      <c r="F167" t="inlineStr">
        <is>
          <t>GÄVLEBORGS LÄN</t>
        </is>
      </c>
      <c r="G167" t="inlineStr">
        <is>
          <t>OCKELBO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46041</v>
      </c>
      <c r="E168" s="1" t="n">
        <v>46299</v>
      </c>
      <c r="F168" t="inlineStr">
        <is>
          <t>GÄVLEBORGS LÄN</t>
        </is>
      </c>
      <c r="G168" t="inlineStr">
        <is>
          <t>OCKELBO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46299</v>
      </c>
      <c r="F169" t="inlineStr">
        <is>
          <t>GÄVLEBORGS LÄN</t>
        </is>
      </c>
      <c r="G169" t="inlineStr">
        <is>
          <t>OCKELBO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46299</v>
      </c>
      <c r="F170" t="inlineStr">
        <is>
          <t>GÄVLEBORGS LÄN</t>
        </is>
      </c>
      <c r="G170" t="inlineStr">
        <is>
          <t>OCKELBO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46041</v>
      </c>
      <c r="E171" s="1" t="n">
        <v>46299</v>
      </c>
      <c r="F171" t="inlineStr">
        <is>
          <t>GÄVLEBORGS LÄN</t>
        </is>
      </c>
      <c r="G171" t="inlineStr">
        <is>
          <t>OCKELBO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46299</v>
      </c>
      <c r="F172" t="inlineStr">
        <is>
          <t>GÄVLEBORGS LÄN</t>
        </is>
      </c>
      <c r="G172" t="inlineStr">
        <is>
          <t>OCKELBO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46299</v>
      </c>
      <c r="F173" t="inlineStr">
        <is>
          <t>GÄVLEBORGS LÄN</t>
        </is>
      </c>
      <c r="G173" t="inlineStr">
        <is>
          <t>OCKELBO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46299</v>
      </c>
      <c r="F174" t="inlineStr">
        <is>
          <t>GÄVLEBORGS LÄN</t>
        </is>
      </c>
      <c r="G174" t="inlineStr">
        <is>
          <t>OCKELBO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46043</v>
      </c>
      <c r="E175" s="1" t="n">
        <v>46299</v>
      </c>
      <c r="F175" t="inlineStr">
        <is>
          <t>GÄVLEBORGS LÄN</t>
        </is>
      </c>
      <c r="G175" t="inlineStr">
        <is>
          <t>OCKELBO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20231-2024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45434</v>
      </c>
      <c r="E176" s="1" t="n">
        <v>46299</v>
      </c>
      <c r="F176" t="inlineStr">
        <is>
          <t>GÄVLEBORGS LÄN</t>
        </is>
      </c>
      <c r="G176" t="inlineStr">
        <is>
          <t>OCKELBO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46299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45777</v>
      </c>
      <c r="E178" s="1" t="n">
        <v>46299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44797</v>
      </c>
      <c r="E179" s="1" t="n">
        <v>46299</v>
      </c>
      <c r="F179" t="inlineStr">
        <is>
          <t>GÄVLEBORGS LÄN</t>
        </is>
      </c>
      <c r="G179" t="inlineStr">
        <is>
          <t>OCKELBO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46299</v>
      </c>
      <c r="F180" t="inlineStr">
        <is>
          <t>GÄVLEBORGS LÄN</t>
        </is>
      </c>
      <c r="G180" t="inlineStr">
        <is>
          <t>OCKELBO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46299</v>
      </c>
      <c r="F181" t="inlineStr">
        <is>
          <t>GÄVLEBORGS LÄN</t>
        </is>
      </c>
      <c r="G181" t="inlineStr">
        <is>
          <t>OCKELBO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44659</v>
      </c>
      <c r="E182" s="1" t="n">
        <v>46299</v>
      </c>
      <c r="F182" t="inlineStr">
        <is>
          <t>GÄVLEBORGS LÄN</t>
        </is>
      </c>
      <c r="G182" t="inlineStr">
        <is>
          <t>OCKELBO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46299</v>
      </c>
      <c r="F183" t="inlineStr">
        <is>
          <t>GÄVLEBORGS LÄN</t>
        </is>
      </c>
      <c r="G183" t="inlineStr">
        <is>
          <t>OCKELBO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46299</v>
      </c>
      <c r="F184" t="inlineStr">
        <is>
          <t>GÄVLEBORGS LÄN</t>
        </is>
      </c>
      <c r="G184" t="inlineStr">
        <is>
          <t>OCKELBO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46299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46299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46299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46299</v>
      </c>
      <c r="F188" t="inlineStr">
        <is>
          <t>GÄVLEBORGS LÄN</t>
        </is>
      </c>
      <c r="G188" t="inlineStr">
        <is>
          <t>OCKELBO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46299</v>
      </c>
      <c r="F189" t="inlineStr">
        <is>
          <t>GÄVLEBORGS LÄN</t>
        </is>
      </c>
      <c r="G189" t="inlineStr">
        <is>
          <t>OCKELBO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64924-2023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45282</v>
      </c>
      <c r="E190" s="1" t="n">
        <v>46299</v>
      </c>
      <c r="F190" t="inlineStr">
        <is>
          <t>GÄVLEBORGS LÄN</t>
        </is>
      </c>
      <c r="G190" t="inlineStr">
        <is>
          <t>OCKELBO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46299</v>
      </c>
      <c r="F191" t="inlineStr">
        <is>
          <t>GÄVLEBORGS LÄN</t>
        </is>
      </c>
      <c r="G191" t="inlineStr">
        <is>
          <t>OCKELBO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45434</v>
      </c>
      <c r="E192" s="1" t="n">
        <v>46299</v>
      </c>
      <c r="F192" t="inlineStr">
        <is>
          <t>GÄVLEBORGS LÄN</t>
        </is>
      </c>
      <c r="G192" t="inlineStr">
        <is>
          <t>OCKELBO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46299</v>
      </c>
      <c r="F193" t="inlineStr">
        <is>
          <t>GÄVLEBORGS LÄN</t>
        </is>
      </c>
      <c r="G193" t="inlineStr">
        <is>
          <t>OCKELBO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46299</v>
      </c>
      <c r="F194" t="inlineStr">
        <is>
          <t>GÄVLEBORGS LÄN</t>
        </is>
      </c>
      <c r="G194" t="inlineStr">
        <is>
          <t>OCKELBO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46299</v>
      </c>
      <c r="F195" t="inlineStr">
        <is>
          <t>GÄVLEBORGS LÄN</t>
        </is>
      </c>
      <c r="G195" t="inlineStr">
        <is>
          <t>OCKELBO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46299</v>
      </c>
      <c r="F196" t="inlineStr">
        <is>
          <t>GÄVLEBORGS LÄN</t>
        </is>
      </c>
      <c r="G196" t="inlineStr">
        <is>
          <t>OCKELBO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46299</v>
      </c>
      <c r="F197" t="inlineStr">
        <is>
          <t>GÄVLEBORGS LÄN</t>
        </is>
      </c>
      <c r="G197" t="inlineStr">
        <is>
          <t>OCKELBO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46299</v>
      </c>
      <c r="F198" t="inlineStr">
        <is>
          <t>GÄVLEBORGS LÄN</t>
        </is>
      </c>
      <c r="G198" t="inlineStr">
        <is>
          <t>OCKELBO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46299</v>
      </c>
      <c r="F199" t="inlineStr">
        <is>
          <t>GÄVLEBORGS LÄN</t>
        </is>
      </c>
      <c r="G199" t="inlineStr">
        <is>
          <t>OCKELBO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46299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46299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46299</v>
      </c>
      <c r="F202" t="inlineStr">
        <is>
          <t>GÄVLEBORGS LÄN</t>
        </is>
      </c>
      <c r="G202" t="inlineStr">
        <is>
          <t>OCKELBO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46299</v>
      </c>
      <c r="F203" t="inlineStr">
        <is>
          <t>GÄVLEBORGS LÄN</t>
        </is>
      </c>
      <c r="G203" t="inlineStr">
        <is>
          <t>OCKELBO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46299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46299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46299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46299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46299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25250-2025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45800</v>
      </c>
      <c r="E209" s="1" t="n">
        <v>46299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46299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46299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46299</v>
      </c>
      <c r="F212" t="inlineStr">
        <is>
          <t>GÄVLEBORGS LÄN</t>
        </is>
      </c>
      <c r="G212" t="inlineStr">
        <is>
          <t>OCKELBO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46299</v>
      </c>
      <c r="F213" t="inlineStr">
        <is>
          <t>GÄVLEBORGS LÄN</t>
        </is>
      </c>
      <c r="G213" t="inlineStr">
        <is>
          <t>OCKELBO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46299</v>
      </c>
      <c r="F214" t="inlineStr">
        <is>
          <t>GÄVLEBORGS LÄN</t>
        </is>
      </c>
      <c r="G214" t="inlineStr">
        <is>
          <t>OCKELBO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46053</v>
      </c>
      <c r="E215" s="1" t="n">
        <v>46299</v>
      </c>
      <c r="F215" t="inlineStr">
        <is>
          <t>GÄVLEBORGS LÄN</t>
        </is>
      </c>
      <c r="G215" t="inlineStr">
        <is>
          <t>OCKELBO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46299</v>
      </c>
      <c r="F216" t="inlineStr">
        <is>
          <t>GÄVLEBORGS LÄN</t>
        </is>
      </c>
      <c r="G216" t="inlineStr">
        <is>
          <t>OCKELBO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46299</v>
      </c>
      <c r="F217" t="inlineStr">
        <is>
          <t>GÄVLEBORGS LÄN</t>
        </is>
      </c>
      <c r="G217" t="inlineStr">
        <is>
          <t>OCKELBO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46299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46299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46299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46299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46299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46299</v>
      </c>
      <c r="F223" t="inlineStr">
        <is>
          <t>GÄVLEBORGS LÄN</t>
        </is>
      </c>
      <c r="G223" t="inlineStr">
        <is>
          <t>OCKELBO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46299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46299</v>
      </c>
      <c r="F225" t="inlineStr">
        <is>
          <t>GÄVLEBORGS LÄN</t>
        </is>
      </c>
      <c r="G225" t="inlineStr">
        <is>
          <t>OCKELBO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46299</v>
      </c>
      <c r="F226" t="inlineStr">
        <is>
          <t>GÄVLEBORGS LÄN</t>
        </is>
      </c>
      <c r="G226" t="inlineStr">
        <is>
          <t>OCKELBO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46299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45602</v>
      </c>
      <c r="E228" s="1" t="n">
        <v>46299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45027</v>
      </c>
      <c r="E229" s="1" t="n">
        <v>46299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46299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46299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46299</v>
      </c>
      <c r="F232" t="inlineStr">
        <is>
          <t>GÄVLEBORGS LÄN</t>
        </is>
      </c>
      <c r="G232" t="inlineStr">
        <is>
          <t>OCKELBO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46299</v>
      </c>
      <c r="F233" t="inlineStr">
        <is>
          <t>GÄVLEBORGS LÄN</t>
        </is>
      </c>
      <c r="G233" t="inlineStr">
        <is>
          <t>OCKELBO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46299</v>
      </c>
      <c r="F234" t="inlineStr">
        <is>
          <t>GÄVLEBORGS LÄN</t>
        </is>
      </c>
      <c r="G234" t="inlineStr">
        <is>
          <t>OCKELBO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46299</v>
      </c>
      <c r="F235" t="inlineStr">
        <is>
          <t>GÄVLEBORGS LÄN</t>
        </is>
      </c>
      <c r="G235" t="inlineStr">
        <is>
          <t>OCKELBO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46299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9.800000000000001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46299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44522</v>
      </c>
      <c r="E238" s="1" t="n">
        <v>46299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45846</v>
      </c>
      <c r="E239" s="1" t="n">
        <v>46299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46299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46299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46299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44816</v>
      </c>
      <c r="E243" s="1" t="n">
        <v>46299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46299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46299</v>
      </c>
      <c r="F245" t="inlineStr">
        <is>
          <t>GÄVLEBORGS LÄN</t>
        </is>
      </c>
      <c r="G245" t="inlineStr">
        <is>
          <t>OCKELBO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46299</v>
      </c>
      <c r="F246" t="inlineStr">
        <is>
          <t>GÄVLEBORGS LÄN</t>
        </is>
      </c>
      <c r="G246" t="inlineStr">
        <is>
          <t>OCKELBO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46299</v>
      </c>
      <c r="F247" t="inlineStr">
        <is>
          <t>GÄVLEBORGS LÄN</t>
        </is>
      </c>
      <c r="G247" t="inlineStr">
        <is>
          <t>OCKELBO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61622-2021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46299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46299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44845</v>
      </c>
      <c r="E250" s="1" t="n">
        <v>46299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67768-2021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44525</v>
      </c>
      <c r="E251" s="1" t="n">
        <v>46299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46485-2024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46299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46299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46299</v>
      </c>
      <c r="F254" t="inlineStr">
        <is>
          <t>GÄVLEBORGS LÄN</t>
        </is>
      </c>
      <c r="G254" t="inlineStr">
        <is>
          <t>OCKELBO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46299</v>
      </c>
      <c r="F255" t="inlineStr">
        <is>
          <t>GÄVLEBORGS LÄN</t>
        </is>
      </c>
      <c r="G255" t="inlineStr">
        <is>
          <t>OCKELBO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46299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46299</v>
      </c>
      <c r="F257" t="inlineStr">
        <is>
          <t>GÄVLEBORGS LÄN</t>
        </is>
      </c>
      <c r="G257" t="inlineStr">
        <is>
          <t>OCKELBO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46299</v>
      </c>
      <c r="F258" t="inlineStr">
        <is>
          <t>GÄVLEBORGS LÄN</t>
        </is>
      </c>
      <c r="G258" t="inlineStr">
        <is>
          <t>OCKELBO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46062</v>
      </c>
      <c r="E259" s="1" t="n">
        <v>46299</v>
      </c>
      <c r="F259" t="inlineStr">
        <is>
          <t>GÄVLEBORGS LÄN</t>
        </is>
      </c>
      <c r="G259" t="inlineStr">
        <is>
          <t>OCKELBO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46299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44950</v>
      </c>
      <c r="E261" s="1" t="n">
        <v>46299</v>
      </c>
      <c r="F261" t="inlineStr">
        <is>
          <t>GÄVLEBORGS LÄN</t>
        </is>
      </c>
      <c r="G261" t="inlineStr">
        <is>
          <t>OCKELBO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46299</v>
      </c>
      <c r="F262" t="inlineStr">
        <is>
          <t>GÄVLEBORGS LÄN</t>
        </is>
      </c>
      <c r="G262" t="inlineStr">
        <is>
          <t>OCKELBO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46299</v>
      </c>
      <c r="F263" t="inlineStr">
        <is>
          <t>GÄVLEBORGS LÄN</t>
        </is>
      </c>
      <c r="G263" t="inlineStr">
        <is>
          <t>OCKELBO</t>
        </is>
      </c>
      <c r="I263" t="n">
        <v>17.4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46299</v>
      </c>
      <c r="F264" t="inlineStr">
        <is>
          <t>GÄVLEBORGS LÄN</t>
        </is>
      </c>
      <c r="G264" t="inlineStr">
        <is>
          <t>OCKELBO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46299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46299</v>
      </c>
      <c r="F266" t="inlineStr">
        <is>
          <t>GÄVLEBORGS LÄN</t>
        </is>
      </c>
      <c r="G266" t="inlineStr">
        <is>
          <t>OCKELBO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49014-2025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46299</v>
      </c>
      <c r="F267" t="inlineStr">
        <is>
          <t>GÄVLEBORGS LÄN</t>
        </is>
      </c>
      <c r="G267" t="inlineStr">
        <is>
          <t>OCKELBO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46299</v>
      </c>
      <c r="F268" t="inlineStr">
        <is>
          <t>GÄVLEBORGS LÄN</t>
        </is>
      </c>
      <c r="G268" t="inlineStr">
        <is>
          <t>OCKELBO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46299</v>
      </c>
      <c r="F269" t="inlineStr">
        <is>
          <t>GÄVLEBORGS LÄN</t>
        </is>
      </c>
      <c r="G269" t="inlineStr">
        <is>
          <t>OCKELBO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46299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46299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46299</v>
      </c>
      <c r="F272" t="inlineStr">
        <is>
          <t>GÄVLEBORGS LÄN</t>
        </is>
      </c>
      <c r="G272" t="inlineStr">
        <is>
          <t>OCKELBO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46299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46299</v>
      </c>
      <c r="F274" t="inlineStr">
        <is>
          <t>GÄVLEBORGS LÄN</t>
        </is>
      </c>
      <c r="G274" t="inlineStr">
        <is>
          <t>OCKELBO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46299</v>
      </c>
      <c r="F275" t="inlineStr">
        <is>
          <t>GÄVLEBORGS LÄN</t>
        </is>
      </c>
      <c r="G275" t="inlineStr">
        <is>
          <t>OCKELBO</t>
        </is>
      </c>
      <c r="I275" t="n">
        <v>10.4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46299</v>
      </c>
      <c r="F276" t="inlineStr">
        <is>
          <t>GÄVLEBORGS LÄN</t>
        </is>
      </c>
      <c r="G276" t="inlineStr">
        <is>
          <t>OCKELBO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46299</v>
      </c>
      <c r="F277" t="inlineStr">
        <is>
          <t>GÄVLEBORGS LÄN</t>
        </is>
      </c>
      <c r="G277" t="inlineStr">
        <is>
          <t>OCKELBO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46299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46299</v>
      </c>
      <c r="F279" t="inlineStr">
        <is>
          <t>GÄVLEBORGS LÄN</t>
        </is>
      </c>
      <c r="G279" t="inlineStr">
        <is>
          <t>OCKELBO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46299</v>
      </c>
      <c r="F280" t="inlineStr">
        <is>
          <t>GÄVLEBORGS LÄN</t>
        </is>
      </c>
      <c r="G280" t="inlineStr">
        <is>
          <t>OCKELBO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46299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46299</v>
      </c>
      <c r="F282" t="inlineStr">
        <is>
          <t>GÄVLEBORGS LÄN</t>
        </is>
      </c>
      <c r="G282" t="inlineStr">
        <is>
          <t>OCKELBO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46299</v>
      </c>
      <c r="F283" t="inlineStr">
        <is>
          <t>GÄVLEBORGS LÄN</t>
        </is>
      </c>
      <c r="G283" t="inlineStr">
        <is>
          <t>OCKELBO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46299</v>
      </c>
      <c r="F284" t="inlineStr">
        <is>
          <t>GÄVLEBORGS LÄN</t>
        </is>
      </c>
      <c r="G284" t="inlineStr">
        <is>
          <t>OCKELBO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46299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46299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46299</v>
      </c>
      <c r="F287" t="inlineStr">
        <is>
          <t>GÄVLEBORGS LÄN</t>
        </is>
      </c>
      <c r="G287" t="inlineStr">
        <is>
          <t>OCKELBO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46299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46299</v>
      </c>
      <c r="F289" t="inlineStr">
        <is>
          <t>GÄVLEBORGS LÄN</t>
        </is>
      </c>
      <c r="G289" t="inlineStr">
        <is>
          <t>OCKELBO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45432</v>
      </c>
      <c r="E290" s="1" t="n">
        <v>46299</v>
      </c>
      <c r="F290" t="inlineStr">
        <is>
          <t>GÄVLEBORGS LÄN</t>
        </is>
      </c>
      <c r="G290" t="inlineStr">
        <is>
          <t>OCKELBO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46299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46077</v>
      </c>
      <c r="E292" s="1" t="n">
        <v>46299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öst AB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46299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46299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öst AB</t>
        </is>
      </c>
      <c r="I294" t="n">
        <v>45.7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46299</v>
      </c>
      <c r="F295" t="inlineStr">
        <is>
          <t>GÄVLEBORGS LÄN</t>
        </is>
      </c>
      <c r="G295" t="inlineStr">
        <is>
          <t>OCKELBO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46299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46077</v>
      </c>
      <c r="E297" s="1" t="n">
        <v>46299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öst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46299</v>
      </c>
      <c r="F298" t="inlineStr">
        <is>
          <t>GÄVLEBORGS LÄN</t>
        </is>
      </c>
      <c r="G298" t="inlineStr">
        <is>
          <t>OCKELBO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10418-2026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46299</v>
      </c>
      <c r="F299" t="inlineStr">
        <is>
          <t>GÄVLEBORGS LÄN</t>
        </is>
      </c>
      <c r="G299" t="inlineStr">
        <is>
          <t>OCKELBO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46299</v>
      </c>
      <c r="F300" t="inlineStr">
        <is>
          <t>GÄVLEBORGS LÄN</t>
        </is>
      </c>
      <c r="G300" t="inlineStr">
        <is>
          <t>OCKELBO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46299</v>
      </c>
      <c r="F301" t="inlineStr">
        <is>
          <t>GÄVLEBORGS LÄN</t>
        </is>
      </c>
      <c r="G301" t="inlineStr">
        <is>
          <t>OCKELBO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46299</v>
      </c>
      <c r="F302" t="inlineStr">
        <is>
          <t>GÄVLEBORGS LÄN</t>
        </is>
      </c>
      <c r="G302" t="inlineStr">
        <is>
          <t>OCKELBO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46299</v>
      </c>
      <c r="F303" t="inlineStr">
        <is>
          <t>GÄVLEBORGS LÄN</t>
        </is>
      </c>
      <c r="G303" t="inlineStr">
        <is>
          <t>OCKELBO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46299</v>
      </c>
      <c r="F304" t="inlineStr">
        <is>
          <t>GÄVLEBORGS LÄN</t>
        </is>
      </c>
      <c r="G304" t="inlineStr">
        <is>
          <t>OCKELBO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11027-2026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46299</v>
      </c>
      <c r="F305" t="inlineStr">
        <is>
          <t>GÄVLEBORGS LÄN</t>
        </is>
      </c>
      <c r="G305" t="inlineStr">
        <is>
          <t>OCKELBO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46299</v>
      </c>
      <c r="F306" t="inlineStr">
        <is>
          <t>GÄVLEBORGS LÄN</t>
        </is>
      </c>
      <c r="G306" t="inlineStr">
        <is>
          <t>OCKELBO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18326-2026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46126</v>
      </c>
      <c r="E307" s="1" t="n">
        <v>46299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46299</v>
      </c>
      <c r="F308" t="inlineStr">
        <is>
          <t>GÄVLEBORGS LÄN</t>
        </is>
      </c>
      <c r="G308" t="inlineStr">
        <is>
          <t>OCKELBO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46299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46299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45953</v>
      </c>
      <c r="E311" s="1" t="n">
        <v>46299</v>
      </c>
      <c r="F311" t="inlineStr">
        <is>
          <t>GÄVLEBORGS LÄN</t>
        </is>
      </c>
      <c r="G311" t="inlineStr">
        <is>
          <t>OCKELBO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46299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öst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55422-2022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44887</v>
      </c>
      <c r="E313" s="1" t="n">
        <v>46299</v>
      </c>
      <c r="F313" t="inlineStr">
        <is>
          <t>GÄVLEBORGS LÄN</t>
        </is>
      </c>
      <c r="G313" t="inlineStr">
        <is>
          <t>OCKELBO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11810-2026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46299</v>
      </c>
      <c r="F314" t="inlineStr">
        <is>
          <t>GÄVLEBORGS LÄN</t>
        </is>
      </c>
      <c r="G314" t="inlineStr">
        <is>
          <t>OCKELBO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46299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46299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46299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46299</v>
      </c>
      <c r="F318" t="inlineStr">
        <is>
          <t>GÄVLEBORGS LÄN</t>
        </is>
      </c>
      <c r="G318" t="inlineStr">
        <is>
          <t>OCKELBO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46299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46299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46089</v>
      </c>
      <c r="E321" s="1" t="n">
        <v>46299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46299</v>
      </c>
      <c r="F322" t="inlineStr">
        <is>
          <t>GÄVLEBORGS LÄN</t>
        </is>
      </c>
      <c r="G322" t="inlineStr">
        <is>
          <t>OCKELBO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46299</v>
      </c>
      <c r="F323" t="inlineStr">
        <is>
          <t>GÄVLEBORGS LÄN</t>
        </is>
      </c>
      <c r="G323" t="inlineStr">
        <is>
          <t>OCKELBO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46299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46299</v>
      </c>
      <c r="F325" t="inlineStr">
        <is>
          <t>GÄVLEBORGS LÄN</t>
        </is>
      </c>
      <c r="G325" t="inlineStr">
        <is>
          <t>OCKELBO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46299</v>
      </c>
      <c r="F326" t="inlineStr">
        <is>
          <t>GÄVLEBORGS LÄN</t>
        </is>
      </c>
      <c r="G326" t="inlineStr">
        <is>
          <t>OCKELBO</t>
        </is>
      </c>
      <c r="H326" t="inlineStr">
        <is>
          <t>Naturvårdsverket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46299</v>
      </c>
      <c r="F327" t="inlineStr">
        <is>
          <t>GÄVLEBORGS LÄN</t>
        </is>
      </c>
      <c r="G327" t="inlineStr">
        <is>
          <t>OCKELBO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46299</v>
      </c>
      <c r="F328" t="inlineStr">
        <is>
          <t>GÄVLEBORGS LÄN</t>
        </is>
      </c>
      <c r="G328" t="inlineStr">
        <is>
          <t>OCKELBO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46299</v>
      </c>
      <c r="F329" t="inlineStr">
        <is>
          <t>GÄVLEBORGS LÄN</t>
        </is>
      </c>
      <c r="G329" t="inlineStr">
        <is>
          <t>OCKELBO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45967</v>
      </c>
      <c r="E330" s="1" t="n">
        <v>46299</v>
      </c>
      <c r="F330" t="inlineStr">
        <is>
          <t>GÄVLEBORGS LÄN</t>
        </is>
      </c>
      <c r="G330" t="inlineStr">
        <is>
          <t>OCKELBO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46299</v>
      </c>
      <c r="F331" t="inlineStr">
        <is>
          <t>GÄVLEBORGS LÄN</t>
        </is>
      </c>
      <c r="G331" t="inlineStr">
        <is>
          <t>OCKELBO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46299</v>
      </c>
      <c r="F332" t="inlineStr">
        <is>
          <t>GÄVLEBORGS LÄN</t>
        </is>
      </c>
      <c r="G332" t="inlineStr">
        <is>
          <t>OCKELBO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46299</v>
      </c>
      <c r="F333" t="inlineStr">
        <is>
          <t>GÄVLEBORGS LÄN</t>
        </is>
      </c>
      <c r="G333" t="inlineStr">
        <is>
          <t>OCKELBO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45048</v>
      </c>
      <c r="E334" s="1" t="n">
        <v>46299</v>
      </c>
      <c r="F334" t="inlineStr">
        <is>
          <t>GÄVLEBORGS LÄN</t>
        </is>
      </c>
      <c r="G334" t="inlineStr">
        <is>
          <t>OCKELBO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46299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12.1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45488</v>
      </c>
      <c r="E336" s="1" t="n">
        <v>46299</v>
      </c>
      <c r="F336" t="inlineStr">
        <is>
          <t>GÄVLEBORGS LÄN</t>
        </is>
      </c>
      <c r="G336" t="inlineStr">
        <is>
          <t>OCKELBO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46299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45041</v>
      </c>
      <c r="E338" s="1" t="n">
        <v>46299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46098</v>
      </c>
      <c r="E339" s="1" t="n">
        <v>46299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46299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46299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36.6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46299</v>
      </c>
      <c r="F342" t="inlineStr">
        <is>
          <t>GÄVLEBORGS LÄN</t>
        </is>
      </c>
      <c r="G342" t="inlineStr">
        <is>
          <t>OCKELBO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46299</v>
      </c>
      <c r="F343" t="inlineStr">
        <is>
          <t>GÄVLEBORGS LÄN</t>
        </is>
      </c>
      <c r="G343" t="inlineStr">
        <is>
          <t>OCKELBO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46299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46299</v>
      </c>
      <c r="F345" t="inlineStr">
        <is>
          <t>GÄVLEBORGS LÄN</t>
        </is>
      </c>
      <c r="G345" t="inlineStr">
        <is>
          <t>OCKELBO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46299</v>
      </c>
      <c r="F346" t="inlineStr">
        <is>
          <t>GÄVLEBORGS LÄN</t>
        </is>
      </c>
      <c r="G346" t="inlineStr">
        <is>
          <t>OCKELBO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46299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32011-2024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45510</v>
      </c>
      <c r="E348" s="1" t="n">
        <v>46299</v>
      </c>
      <c r="F348" t="inlineStr">
        <is>
          <t>GÄVLEBORGS LÄN</t>
        </is>
      </c>
      <c r="G348" t="inlineStr">
        <is>
          <t>OCKELBO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45972</v>
      </c>
      <c r="E349" s="1" t="n">
        <v>46299</v>
      </c>
      <c r="F349" t="inlineStr">
        <is>
          <t>GÄVLEBORGS LÄN</t>
        </is>
      </c>
      <c r="G349" t="inlineStr">
        <is>
          <t>OCKELBO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46299</v>
      </c>
      <c r="F350" t="inlineStr">
        <is>
          <t>GÄVLEBORGS LÄN</t>
        </is>
      </c>
      <c r="G350" t="inlineStr">
        <is>
          <t>OCKELBO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46299</v>
      </c>
      <c r="F351" t="inlineStr">
        <is>
          <t>GÄVLEBORGS LÄN</t>
        </is>
      </c>
      <c r="G351" t="inlineStr">
        <is>
          <t>OCKELBO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45972</v>
      </c>
      <c r="E352" s="1" t="n">
        <v>46299</v>
      </c>
      <c r="F352" t="inlineStr">
        <is>
          <t>GÄVLEBORGS LÄN</t>
        </is>
      </c>
      <c r="G352" t="inlineStr">
        <is>
          <t>OCKELBO</t>
        </is>
      </c>
      <c r="I352" t="n">
        <v>7.8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45111</v>
      </c>
      <c r="E353" s="1" t="n">
        <v>46299</v>
      </c>
      <c r="F353" t="inlineStr">
        <is>
          <t>GÄVLEBORGS LÄN</t>
        </is>
      </c>
      <c r="G353" t="inlineStr">
        <is>
          <t>OCKELBO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46299</v>
      </c>
      <c r="F354" t="inlineStr">
        <is>
          <t>GÄVLEBORGS LÄN</t>
        </is>
      </c>
      <c r="G354" t="inlineStr">
        <is>
          <t>OCKELBO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46299</v>
      </c>
      <c r="F355" t="inlineStr">
        <is>
          <t>GÄVLEBORGS LÄN</t>
        </is>
      </c>
      <c r="G355" t="inlineStr">
        <is>
          <t>OCKELBO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46299</v>
      </c>
      <c r="F356" t="inlineStr">
        <is>
          <t>GÄVLEBORGS LÄN</t>
        </is>
      </c>
      <c r="G356" t="inlineStr">
        <is>
          <t>OCKELBO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46299</v>
      </c>
      <c r="F357" t="inlineStr">
        <is>
          <t>GÄVLEBORGS LÄN</t>
        </is>
      </c>
      <c r="G357" t="inlineStr">
        <is>
          <t>OCKELBO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46299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46299</v>
      </c>
      <c r="F359" t="inlineStr">
        <is>
          <t>GÄVLEBORGS LÄN</t>
        </is>
      </c>
      <c r="G359" t="inlineStr">
        <is>
          <t>OCKELBO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46299</v>
      </c>
      <c r="F360" t="inlineStr">
        <is>
          <t>GÄVLEBORGS LÄN</t>
        </is>
      </c>
      <c r="G360" t="inlineStr">
        <is>
          <t>OCKELBO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46299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55911-2025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45973</v>
      </c>
      <c r="E362" s="1" t="n">
        <v>46299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46299</v>
      </c>
      <c r="F363" t="inlineStr">
        <is>
          <t>GÄVLEBORGS LÄN</t>
        </is>
      </c>
      <c r="G363" t="inlineStr">
        <is>
          <t>OCKELBO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46299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46299</v>
      </c>
      <c r="F365" t="inlineStr">
        <is>
          <t>GÄVLEBORGS LÄN</t>
        </is>
      </c>
      <c r="G365" t="inlineStr">
        <is>
          <t>OCKELBO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46299</v>
      </c>
      <c r="F366" t="inlineStr">
        <is>
          <t>GÄVLEBORGS LÄN</t>
        </is>
      </c>
      <c r="G366" t="inlineStr">
        <is>
          <t>OCKELBO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46299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46299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46299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34.1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46299</v>
      </c>
      <c r="F370" t="inlineStr">
        <is>
          <t>GÄVLEBORGS LÄN</t>
        </is>
      </c>
      <c r="G370" t="inlineStr">
        <is>
          <t>OCKELBO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46299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46299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46299</v>
      </c>
      <c r="F373" t="inlineStr">
        <is>
          <t>GÄVLEBORGS LÄN</t>
        </is>
      </c>
      <c r="G373" t="inlineStr">
        <is>
          <t>OCKELBO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46299</v>
      </c>
      <c r="F374" t="inlineStr">
        <is>
          <t>GÄVLEBORGS LÄN</t>
        </is>
      </c>
      <c r="G374" t="inlineStr">
        <is>
          <t>OCKELBO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46299</v>
      </c>
      <c r="F375" t="inlineStr">
        <is>
          <t>GÄVLEBORGS LÄN</t>
        </is>
      </c>
      <c r="G375" t="inlineStr">
        <is>
          <t>OCKELBO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46299</v>
      </c>
      <c r="F376" t="inlineStr">
        <is>
          <t>GÄVLEBORGS LÄN</t>
        </is>
      </c>
      <c r="G376" t="inlineStr">
        <is>
          <t>OCKELBO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46299</v>
      </c>
      <c r="F377" t="inlineStr">
        <is>
          <t>GÄVLEBORGS LÄN</t>
        </is>
      </c>
      <c r="G377" t="inlineStr">
        <is>
          <t>OCKELBO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46299</v>
      </c>
      <c r="F378" t="inlineStr">
        <is>
          <t>GÄVLEBORGS LÄN</t>
        </is>
      </c>
      <c r="G378" t="inlineStr">
        <is>
          <t>OCKELBO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46299</v>
      </c>
      <c r="F379" t="inlineStr">
        <is>
          <t>GÄVLEBORGS LÄN</t>
        </is>
      </c>
      <c r="G379" t="inlineStr">
        <is>
          <t>OCKELBO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46299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46299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öst AB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46299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46299</v>
      </c>
      <c r="F383" t="inlineStr">
        <is>
          <t>GÄVLEBORGS LÄN</t>
        </is>
      </c>
      <c r="G383" t="inlineStr">
        <is>
          <t>OCKELBO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46299</v>
      </c>
      <c r="F384" t="inlineStr">
        <is>
          <t>GÄVLEBORGS LÄN</t>
        </is>
      </c>
      <c r="G384" t="inlineStr">
        <is>
          <t>OCKELBO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45819</v>
      </c>
      <c r="E385" s="1" t="n">
        <v>46299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46299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46299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46299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46299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46299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46299</v>
      </c>
      <c r="F391" t="inlineStr">
        <is>
          <t>GÄVLEBORGS LÄN</t>
        </is>
      </c>
      <c r="G391" t="inlineStr">
        <is>
          <t>OCKELBO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46299</v>
      </c>
      <c r="F392" t="inlineStr">
        <is>
          <t>GÄVLEBORGS LÄN</t>
        </is>
      </c>
      <c r="G392" t="inlineStr">
        <is>
          <t>OCKELBO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46299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46299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46299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46299</v>
      </c>
      <c r="F396" t="inlineStr">
        <is>
          <t>GÄVLEBORGS LÄN</t>
        </is>
      </c>
      <c r="G396" t="inlineStr">
        <is>
          <t>OCKELBO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46299</v>
      </c>
      <c r="F397" t="inlineStr">
        <is>
          <t>GÄVLEBORGS LÄN</t>
        </is>
      </c>
      <c r="G397" t="inlineStr">
        <is>
          <t>OCKELBO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46299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46299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16981-2026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46114</v>
      </c>
      <c r="E400" s="1" t="n">
        <v>46299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46114</v>
      </c>
      <c r="E401" s="1" t="n">
        <v>46299</v>
      </c>
      <c r="F401" t="inlineStr">
        <is>
          <t>GÄVLEBORGS LÄN</t>
        </is>
      </c>
      <c r="G401" t="inlineStr">
        <is>
          <t>OCKELBO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46299</v>
      </c>
      <c r="F402" t="inlineStr">
        <is>
          <t>GÄVLEBORGS LÄN</t>
        </is>
      </c>
      <c r="G402" t="inlineStr">
        <is>
          <t>OCKELBO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46299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46299</v>
      </c>
      <c r="F404" t="inlineStr">
        <is>
          <t>GÄVLEBORGS LÄN</t>
        </is>
      </c>
      <c r="G404" t="inlineStr">
        <is>
          <t>OCKELBO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46299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46299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öst AB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46299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46299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46299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46299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öst AB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46299</v>
      </c>
      <c r="F411" t="inlineStr">
        <is>
          <t>GÄVLEBORGS LÄN</t>
        </is>
      </c>
      <c r="G411" t="inlineStr">
        <is>
          <t>OCKELBO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46299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46299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46118</v>
      </c>
      <c r="E414" s="1" t="n">
        <v>46299</v>
      </c>
      <c r="F414" t="inlineStr">
        <is>
          <t>GÄVLEBORGS LÄN</t>
        </is>
      </c>
      <c r="G414" t="inlineStr">
        <is>
          <t>OCKELBO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46299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46299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17709-2026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46299</v>
      </c>
      <c r="F417" t="inlineStr">
        <is>
          <t>GÄVLEBORGS LÄN</t>
        </is>
      </c>
      <c r="G417" t="inlineStr">
        <is>
          <t>OCKELBO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46299</v>
      </c>
      <c r="F418" t="inlineStr">
        <is>
          <t>GÄVLEBORGS LÄN</t>
        </is>
      </c>
      <c r="G418" t="inlineStr">
        <is>
          <t>OCKELBO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46299</v>
      </c>
      <c r="F419" t="inlineStr">
        <is>
          <t>GÄVLEBORGS LÄN</t>
        </is>
      </c>
      <c r="G419" t="inlineStr">
        <is>
          <t>OCKELBO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46299</v>
      </c>
      <c r="F420" t="inlineStr">
        <is>
          <t>GÄVLEBORGS LÄN</t>
        </is>
      </c>
      <c r="G420" t="inlineStr">
        <is>
          <t>OCKELBO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46299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46299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46299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46299</v>
      </c>
      <c r="F424" t="inlineStr">
        <is>
          <t>GÄVLEBORGS LÄN</t>
        </is>
      </c>
      <c r="G424" t="inlineStr">
        <is>
          <t>OCKELBO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46299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46125</v>
      </c>
      <c r="E426" s="1" t="n">
        <v>46299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60183-2025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45994</v>
      </c>
      <c r="E427" s="1" t="n">
        <v>46299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46299</v>
      </c>
      <c r="F428" t="inlineStr">
        <is>
          <t>GÄVLEBORGS LÄN</t>
        </is>
      </c>
      <c r="G428" t="inlineStr">
        <is>
          <t>OCKELBO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46299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46299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46299</v>
      </c>
      <c r="F431" t="inlineStr">
        <is>
          <t>GÄVLEBORGS LÄN</t>
        </is>
      </c>
      <c r="G431" t="inlineStr">
        <is>
          <t>OCKELBO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45490</v>
      </c>
      <c r="E432" s="1" t="n">
        <v>46299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15255-2026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46299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46299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46299</v>
      </c>
      <c r="F435" t="inlineStr">
        <is>
          <t>GÄVLEBORGS LÄN</t>
        </is>
      </c>
      <c r="G435" t="inlineStr">
        <is>
          <t>OCKELBO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16572-2026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46299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45139</v>
      </c>
      <c r="E437" s="1" t="n">
        <v>46299</v>
      </c>
      <c r="F437" t="inlineStr">
        <is>
          <t>GÄVLEBORGS LÄN</t>
        </is>
      </c>
      <c r="G437" t="inlineStr">
        <is>
          <t>OCKELBO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46299</v>
      </c>
      <c r="F438" t="inlineStr">
        <is>
          <t>GÄVLEBORGS LÄN</t>
        </is>
      </c>
      <c r="G438" t="inlineStr">
        <is>
          <t>OCKELBO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60616-2025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45996</v>
      </c>
      <c r="E439" s="1" t="n">
        <v>46299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16530-2026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46299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46299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46299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öst AB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46299</v>
      </c>
      <c r="F443" t="inlineStr">
        <is>
          <t>GÄVLEBORGS LÄN</t>
        </is>
      </c>
      <c r="G443" t="inlineStr">
        <is>
          <t>OCKELBO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46299</v>
      </c>
      <c r="F444" t="inlineStr">
        <is>
          <t>GÄVLEBORGS LÄN</t>
        </is>
      </c>
      <c r="G444" t="inlineStr">
        <is>
          <t>OCKELBO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46299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46299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46299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46299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19277-2026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46299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46299</v>
      </c>
      <c r="F450" t="inlineStr">
        <is>
          <t>GÄVLEBORGS LÄN</t>
        </is>
      </c>
      <c r="G450" t="inlineStr">
        <is>
          <t>OCKELBO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46299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46299</v>
      </c>
      <c r="F452" t="inlineStr">
        <is>
          <t>GÄVLEBORGS LÄN</t>
        </is>
      </c>
      <c r="G452" t="inlineStr">
        <is>
          <t>OCKELBO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46299</v>
      </c>
      <c r="F453" t="inlineStr">
        <is>
          <t>GÄVLEBORGS LÄN</t>
        </is>
      </c>
      <c r="G453" t="inlineStr">
        <is>
          <t>OCKELBO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46299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42585-2023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45181</v>
      </c>
      <c r="E455" s="1" t="n">
        <v>46299</v>
      </c>
      <c r="F455" t="inlineStr">
        <is>
          <t>GÄVLEBORGS LÄN</t>
        </is>
      </c>
      <c r="G455" t="inlineStr">
        <is>
          <t>OCKELBO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46299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46299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52241-2024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46299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52243-2024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46299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44700</v>
      </c>
      <c r="E460" s="1" t="n">
        <v>46299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46299</v>
      </c>
      <c r="F461" t="inlineStr">
        <is>
          <t>GÄVLEBORGS LÄN</t>
        </is>
      </c>
      <c r="G461" t="inlineStr">
        <is>
          <t>OCKELBO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19603-2026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46134</v>
      </c>
      <c r="E462" s="1" t="n">
        <v>46299</v>
      </c>
      <c r="F462" t="inlineStr">
        <is>
          <t>GÄVLEBORGS LÄN</t>
        </is>
      </c>
      <c r="G462" t="inlineStr">
        <is>
          <t>OCKELBO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46299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46299</v>
      </c>
      <c r="F464" t="inlineStr">
        <is>
          <t>GÄVLEBORGS LÄN</t>
        </is>
      </c>
      <c r="G464" t="inlineStr">
        <is>
          <t>OCKELBO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46299</v>
      </c>
      <c r="F465" t="inlineStr">
        <is>
          <t>GÄVLEBORGS LÄN</t>
        </is>
      </c>
      <c r="G465" t="inlineStr">
        <is>
          <t>OCKELBO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46299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47841-2023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45204</v>
      </c>
      <c r="E467" s="1" t="n">
        <v>46299</v>
      </c>
      <c r="F467" t="inlineStr">
        <is>
          <t>GÄVLEBORGS LÄN</t>
        </is>
      </c>
      <c r="G467" t="inlineStr">
        <is>
          <t>OCKELBO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5571-2024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45334</v>
      </c>
      <c r="E468" s="1" t="n">
        <v>46299</v>
      </c>
      <c r="F468" t="inlineStr">
        <is>
          <t>GÄVLEBORGS LÄN</t>
        </is>
      </c>
      <c r="G468" t="inlineStr">
        <is>
          <t>OCKELBO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46299</v>
      </c>
      <c r="F469" t="inlineStr">
        <is>
          <t>GÄVLEBORGS LÄN</t>
        </is>
      </c>
      <c r="G469" t="inlineStr">
        <is>
          <t>OCKELBO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46299</v>
      </c>
      <c r="F470" t="inlineStr">
        <is>
          <t>GÄVLEBORGS LÄN</t>
        </is>
      </c>
      <c r="G470" t="inlineStr">
        <is>
          <t>OCKELBO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60915-2024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45645</v>
      </c>
      <c r="E471" s="1" t="n">
        <v>46299</v>
      </c>
      <c r="F471" t="inlineStr">
        <is>
          <t>GÄVLEBORGS LÄN</t>
        </is>
      </c>
      <c r="G471" t="inlineStr">
        <is>
          <t>OCKELBO</t>
        </is>
      </c>
      <c r="H471" t="inlineStr">
        <is>
          <t>Kyrkan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46299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46299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45800</v>
      </c>
      <c r="E474" s="1" t="n">
        <v>46299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45441</v>
      </c>
      <c r="E475" s="1" t="n">
        <v>46299</v>
      </c>
      <c r="F475" t="inlineStr">
        <is>
          <t>GÄVLEBORGS LÄN</t>
        </is>
      </c>
      <c r="G475" t="inlineStr">
        <is>
          <t>OCKELBO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45838</v>
      </c>
      <c r="E476" s="1" t="n">
        <v>46299</v>
      </c>
      <c r="F476" t="inlineStr">
        <is>
          <t>GÄVLEBORGS LÄN</t>
        </is>
      </c>
      <c r="G476" t="inlineStr">
        <is>
          <t>OCKELBO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5234-2026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46299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46299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45254</v>
      </c>
      <c r="E479" s="1" t="n">
        <v>46299</v>
      </c>
      <c r="F479" t="inlineStr">
        <is>
          <t>GÄVLEBORGS LÄN</t>
        </is>
      </c>
      <c r="G479" t="inlineStr">
        <is>
          <t>OCKELBO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45946</v>
      </c>
      <c r="E480" s="1" t="n">
        <v>46299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46299</v>
      </c>
      <c r="F481" t="inlineStr">
        <is>
          <t>GÄVLEBORGS LÄN</t>
        </is>
      </c>
      <c r="G481" t="inlineStr">
        <is>
          <t>OCKELBO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44663</v>
      </c>
      <c r="E482" s="1" t="n">
        <v>46299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23072-2024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45450</v>
      </c>
      <c r="E483" s="1" t="n">
        <v>46299</v>
      </c>
      <c r="F483" t="inlineStr">
        <is>
          <t>GÄVLEBORGS LÄN</t>
        </is>
      </c>
      <c r="G483" t="inlineStr">
        <is>
          <t>OCKELBO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46299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46316-2025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45925</v>
      </c>
      <c r="E485" s="1" t="n">
        <v>46299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10445-2024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45366</v>
      </c>
      <c r="E486" s="1" t="n">
        <v>46299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46299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46299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45109</v>
      </c>
      <c r="E489" s="1" t="n">
        <v>46299</v>
      </c>
      <c r="F489" t="inlineStr">
        <is>
          <t>GÄVLEBORGS LÄN</t>
        </is>
      </c>
      <c r="G489" t="inlineStr">
        <is>
          <t>OCKELBO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46299</v>
      </c>
      <c r="F490" t="inlineStr">
        <is>
          <t>GÄVLEBORGS LÄN</t>
        </is>
      </c>
      <c r="G490" t="inlineStr">
        <is>
          <t>OCKELBO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36604-2025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45870</v>
      </c>
      <c r="E491" s="1" t="n">
        <v>46299</v>
      </c>
      <c r="F491" t="inlineStr">
        <is>
          <t>GÄVLEBORGS LÄN</t>
        </is>
      </c>
      <c r="G491" t="inlineStr">
        <is>
          <t>OCKELBO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10149-2025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45719</v>
      </c>
      <c r="E492" s="1" t="n">
        <v>46299</v>
      </c>
      <c r="F492" t="inlineStr">
        <is>
          <t>GÄVLEBORGS LÄN</t>
        </is>
      </c>
      <c r="G492" t="inlineStr">
        <is>
          <t>OCKELBO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45073</v>
      </c>
      <c r="E493" s="1" t="n">
        <v>46299</v>
      </c>
      <c r="F493" t="inlineStr">
        <is>
          <t>GÄVLEBORGS LÄN</t>
        </is>
      </c>
      <c r="G493" t="inlineStr">
        <is>
          <t>OCKELBO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46299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45488</v>
      </c>
      <c r="E495" s="1" t="n">
        <v>46299</v>
      </c>
      <c r="F495" t="inlineStr">
        <is>
          <t>GÄVLEBORGS LÄN</t>
        </is>
      </c>
      <c r="G495" t="inlineStr">
        <is>
          <t>OCKELBO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45656</v>
      </c>
      <c r="E496" s="1" t="n">
        <v>46299</v>
      </c>
      <c r="F496" t="inlineStr">
        <is>
          <t>GÄVLEBORGS LÄN</t>
        </is>
      </c>
      <c r="G496" t="inlineStr">
        <is>
          <t>OCKELBO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44712</v>
      </c>
      <c r="E497" s="1" t="n">
        <v>46299</v>
      </c>
      <c r="F497" t="inlineStr">
        <is>
          <t>GÄVLEBORGS LÄN</t>
        </is>
      </c>
      <c r="G497" t="inlineStr">
        <is>
          <t>OCKELBO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20149-2026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46137</v>
      </c>
      <c r="E498" s="1" t="n">
        <v>46299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46137</v>
      </c>
      <c r="E499" s="1" t="n">
        <v>46299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46299</v>
      </c>
      <c r="F500" t="inlineStr">
        <is>
          <t>GÄVLEBORGS LÄN</t>
        </is>
      </c>
      <c r="G500" t="inlineStr">
        <is>
          <t>OCKELBO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55112-2023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45237</v>
      </c>
      <c r="E501" s="1" t="n">
        <v>46299</v>
      </c>
      <c r="F501" t="inlineStr">
        <is>
          <t>GÄVLEBORGS LÄN</t>
        </is>
      </c>
      <c r="G501" t="inlineStr">
        <is>
          <t>OCKELBO</t>
        </is>
      </c>
      <c r="I501" t="n">
        <v>14.6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46299</v>
      </c>
      <c r="F502" t="inlineStr">
        <is>
          <t>GÄVLEBORGS LÄN</t>
        </is>
      </c>
      <c r="G502" t="inlineStr">
        <is>
          <t>OCKELBO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35017-2025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45851</v>
      </c>
      <c r="E503" s="1" t="n">
        <v>46299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27.8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45803</v>
      </c>
      <c r="E504" s="1" t="n">
        <v>46299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46299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46299</v>
      </c>
      <c r="F506" t="inlineStr">
        <is>
          <t>GÄVLEBORGS LÄN</t>
        </is>
      </c>
      <c r="G506" t="inlineStr">
        <is>
          <t>OCKELBO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46299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61335-2022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44915</v>
      </c>
      <c r="E508" s="1" t="n">
        <v>46299</v>
      </c>
      <c r="F508" t="inlineStr">
        <is>
          <t>GÄVLEBORGS LÄN</t>
        </is>
      </c>
      <c r="G508" t="inlineStr">
        <is>
          <t>OCKELBO</t>
        </is>
      </c>
      <c r="I508" t="n">
        <v>8.5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28966-2025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45821</v>
      </c>
      <c r="E509" s="1" t="n">
        <v>46299</v>
      </c>
      <c r="F509" t="inlineStr">
        <is>
          <t>GÄVLEBORGS LÄN</t>
        </is>
      </c>
      <c r="G509" t="inlineStr">
        <is>
          <t>OCKELBO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45747</v>
      </c>
      <c r="E510" s="1" t="n">
        <v>46299</v>
      </c>
      <c r="F510" t="inlineStr">
        <is>
          <t>GÄVLEBORGS LÄN</t>
        </is>
      </c>
      <c r="G510" t="inlineStr">
        <is>
          <t>OCKELBO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46299</v>
      </c>
      <c r="F511" t="inlineStr">
        <is>
          <t>GÄVLEBORGS LÄN</t>
        </is>
      </c>
      <c r="G511" t="inlineStr">
        <is>
          <t>OCKELBO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45488</v>
      </c>
      <c r="E512" s="1" t="n">
        <v>46299</v>
      </c>
      <c r="F512" t="inlineStr">
        <is>
          <t>GÄVLEBORGS LÄN</t>
        </is>
      </c>
      <c r="G512" t="inlineStr">
        <is>
          <t>OCKELBO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63977-2025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46021</v>
      </c>
      <c r="E513" s="1" t="n">
        <v>46299</v>
      </c>
      <c r="F513" t="inlineStr">
        <is>
          <t>GÄVLEBORGS LÄN</t>
        </is>
      </c>
      <c r="G513" t="inlineStr">
        <is>
          <t>OCKELBO</t>
        </is>
      </c>
      <c r="I513" t="n">
        <v>18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20251-2026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46139</v>
      </c>
      <c r="E514" s="1" t="n">
        <v>46299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46299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20.4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19924-2026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46136</v>
      </c>
      <c r="E516" s="1" t="n">
        <v>46299</v>
      </c>
      <c r="F516" t="inlineStr">
        <is>
          <t>GÄVLEBORGS LÄN</t>
        </is>
      </c>
      <c r="G516" t="inlineStr">
        <is>
          <t>OCKELBO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46136</v>
      </c>
      <c r="E517" s="1" t="n">
        <v>46299</v>
      </c>
      <c r="F517" t="inlineStr">
        <is>
          <t>GÄVLEBORGS LÄN</t>
        </is>
      </c>
      <c r="G517" t="inlineStr">
        <is>
          <t>OCKELBO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46299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20155-2026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46138</v>
      </c>
      <c r="E519" s="1" t="n">
        <v>46299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12.7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46299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46299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8662-2025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45712</v>
      </c>
      <c r="E522" s="1" t="n">
        <v>46299</v>
      </c>
      <c r="F522" t="inlineStr">
        <is>
          <t>GÄVLEBORGS LÄN</t>
        </is>
      </c>
      <c r="G522" t="inlineStr">
        <is>
          <t>OCKELBO</t>
        </is>
      </c>
      <c r="I522" t="n">
        <v>14.7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46299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6617-2025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46299</v>
      </c>
      <c r="F524" t="inlineStr">
        <is>
          <t>GÄVLEBORGS LÄN</t>
        </is>
      </c>
      <c r="G524" t="inlineStr">
        <is>
          <t>OCKELBO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45840</v>
      </c>
      <c r="E525" s="1" t="n">
        <v>46299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46299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45817</v>
      </c>
      <c r="E527" s="1" t="n">
        <v>46299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46299</v>
      </c>
      <c r="F528" t="inlineStr">
        <is>
          <t>GÄVLEBORGS LÄN</t>
        </is>
      </c>
      <c r="G528" t="inlineStr">
        <is>
          <t>OCKELBO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46299</v>
      </c>
      <c r="F529" t="inlineStr">
        <is>
          <t>GÄVLEBORGS LÄN</t>
        </is>
      </c>
      <c r="G529" t="inlineStr">
        <is>
          <t>OCKELBO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46299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46299</v>
      </c>
      <c r="F531" t="inlineStr">
        <is>
          <t>GÄVLEBORGS LÄN</t>
        </is>
      </c>
      <c r="G531" t="inlineStr">
        <is>
          <t>OCKELBO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44970</v>
      </c>
      <c r="E532" s="1" t="n">
        <v>46299</v>
      </c>
      <c r="F532" t="inlineStr">
        <is>
          <t>GÄVLEBORGS LÄN</t>
        </is>
      </c>
      <c r="G532" t="inlineStr">
        <is>
          <t>OCKELBO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46299</v>
      </c>
      <c r="F533" t="inlineStr">
        <is>
          <t>GÄVLEBORGS LÄN</t>
        </is>
      </c>
      <c r="G533" t="inlineStr">
        <is>
          <t>OCKELBO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46299</v>
      </c>
      <c r="F534" t="inlineStr">
        <is>
          <t>GÄVLEBORGS LÄN</t>
        </is>
      </c>
      <c r="G534" t="inlineStr">
        <is>
          <t>OCKELBO</t>
        </is>
      </c>
      <c r="I534" t="n">
        <v>11.9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46299</v>
      </c>
      <c r="F535" t="inlineStr">
        <is>
          <t>GÄVLEBORGS LÄN</t>
        </is>
      </c>
      <c r="G535" t="inlineStr">
        <is>
          <t>OCKELBO</t>
        </is>
      </c>
      <c r="I535" t="n">
        <v>36.1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46299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46299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30418-2023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45111</v>
      </c>
      <c r="E538" s="1" t="n">
        <v>46299</v>
      </c>
      <c r="F538" t="inlineStr">
        <is>
          <t>GÄVLEBORGS LÄN</t>
        </is>
      </c>
      <c r="G538" t="inlineStr">
        <is>
          <t>OCKELBO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45111</v>
      </c>
      <c r="E539" s="1" t="n">
        <v>46299</v>
      </c>
      <c r="F539" t="inlineStr">
        <is>
          <t>GÄVLEBORGS LÄN</t>
        </is>
      </c>
      <c r="G539" t="inlineStr">
        <is>
          <t>OCKELBO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46027</v>
      </c>
      <c r="E540" s="1" t="n">
        <v>46299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46299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46299</v>
      </c>
      <c r="F542" t="inlineStr">
        <is>
          <t>GÄVLEBORGS LÄN</t>
        </is>
      </c>
      <c r="G542" t="inlineStr">
        <is>
          <t>OCKELBO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46299</v>
      </c>
      <c r="F543" t="inlineStr">
        <is>
          <t>GÄVLEBORGS LÄN</t>
        </is>
      </c>
      <c r="G543" t="inlineStr">
        <is>
          <t>OCKELBO</t>
        </is>
      </c>
      <c r="I543" t="n">
        <v>11.5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45754</v>
      </c>
      <c r="E544" s="1" t="n">
        <v>46299</v>
      </c>
      <c r="F544" t="inlineStr">
        <is>
          <t>GÄVLEBORGS LÄN</t>
        </is>
      </c>
      <c r="G544" t="inlineStr">
        <is>
          <t>OCKELBO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46299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46299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5131-2024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46299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46071</v>
      </c>
      <c r="E548" s="1" t="n">
        <v>46299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45488</v>
      </c>
      <c r="E549" s="1" t="n">
        <v>46299</v>
      </c>
      <c r="F549" t="inlineStr">
        <is>
          <t>GÄVLEBORGS LÄN</t>
        </is>
      </c>
      <c r="G549" t="inlineStr">
        <is>
          <t>OCKELBO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46299</v>
      </c>
      <c r="F550" t="inlineStr">
        <is>
          <t>GÄVLEBORGS LÄN</t>
        </is>
      </c>
      <c r="G550" t="inlineStr">
        <is>
          <t>OCKELBO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46299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46299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46299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46299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18191-2026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46125</v>
      </c>
      <c r="E555" s="1" t="n">
        <v>46299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12708-2026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46091</v>
      </c>
      <c r="E556" s="1" t="n">
        <v>46299</v>
      </c>
      <c r="F556" t="inlineStr">
        <is>
          <t>GÄVLEBORGS LÄN</t>
        </is>
      </c>
      <c r="G556" t="inlineStr">
        <is>
          <t>OCKELBO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46299</v>
      </c>
      <c r="F557" t="inlineStr">
        <is>
          <t>GÄVLEBORGS LÄN</t>
        </is>
      </c>
      <c r="G557" t="inlineStr">
        <is>
          <t>OCKELBO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46299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23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46299</v>
      </c>
      <c r="F559" t="inlineStr">
        <is>
          <t>GÄVLEBORGS LÄN</t>
        </is>
      </c>
      <c r="G559" t="inlineStr">
        <is>
          <t>OCKELBO</t>
        </is>
      </c>
      <c r="I559" t="n">
        <v>10.3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46299</v>
      </c>
      <c r="F560" t="inlineStr">
        <is>
          <t>GÄVLEBORGS LÄN</t>
        </is>
      </c>
      <c r="G560" t="inlineStr">
        <is>
          <t>OCKELBO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46073</v>
      </c>
      <c r="E561" s="1" t="n">
        <v>46299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46299</v>
      </c>
      <c r="F562" t="inlineStr">
        <is>
          <t>GÄVLEBORGS LÄN</t>
        </is>
      </c>
      <c r="G562" t="inlineStr">
        <is>
          <t>OCKELBO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46299</v>
      </c>
      <c r="F563" t="inlineStr">
        <is>
          <t>GÄVLEBORGS LÄN</t>
        </is>
      </c>
      <c r="G563" t="inlineStr">
        <is>
          <t>OCKELBO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46299</v>
      </c>
      <c r="F564" t="inlineStr">
        <is>
          <t>GÄVLEBORGS LÄN</t>
        </is>
      </c>
      <c r="G564" t="inlineStr">
        <is>
          <t>OCKELBO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10489-2026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46077</v>
      </c>
      <c r="E565" s="1" t="n">
        <v>46299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46299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46299</v>
      </c>
      <c r="F567" t="inlineStr">
        <is>
          <t>GÄVLEBORGS LÄN</t>
        </is>
      </c>
      <c r="G567" t="inlineStr">
        <is>
          <t>OCKELBO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46299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45674</v>
      </c>
      <c r="E569" s="1" t="n">
        <v>46299</v>
      </c>
      <c r="F569" t="inlineStr">
        <is>
          <t>GÄVLEBORGS LÄN</t>
        </is>
      </c>
      <c r="G569" t="inlineStr">
        <is>
          <t>OCKELBO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45994</v>
      </c>
      <c r="E570" s="1" t="n">
        <v>46299</v>
      </c>
      <c r="F570" t="inlineStr">
        <is>
          <t>GÄVLEBORGS LÄN</t>
        </is>
      </c>
      <c r="G570" t="inlineStr">
        <is>
          <t>OCKELBO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46299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46299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17951-2026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46122</v>
      </c>
      <c r="E573" s="1" t="n">
        <v>46299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45258</v>
      </c>
      <c r="E574" s="1" t="n">
        <v>46299</v>
      </c>
      <c r="F574" t="inlineStr">
        <is>
          <t>GÄVLEBORGS LÄN</t>
        </is>
      </c>
      <c r="G574" t="inlineStr">
        <is>
          <t>OCKELBO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18097-2026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46125</v>
      </c>
      <c r="E575" s="1" t="n">
        <v>46299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46299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öst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46299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öst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21461-2026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46148</v>
      </c>
      <c r="E578" s="1" t="n">
        <v>46299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46148</v>
      </c>
      <c r="E579" s="1" t="n">
        <v>46299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19537-2026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46299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46299</v>
      </c>
      <c r="F581" t="inlineStr">
        <is>
          <t>GÄVLEBORGS LÄN</t>
        </is>
      </c>
      <c r="G581" t="inlineStr">
        <is>
          <t>OCKELBO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46299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46299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46299</v>
      </c>
      <c r="F584" t="inlineStr">
        <is>
          <t>GÄVLEBORGS LÄN</t>
        </is>
      </c>
      <c r="G584" t="inlineStr">
        <is>
          <t>OCKELBO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65259-2023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45291</v>
      </c>
      <c r="E585" s="1" t="n">
        <v>46299</v>
      </c>
      <c r="F585" t="inlineStr">
        <is>
          <t>GÄVLEBORGS LÄN</t>
        </is>
      </c>
      <c r="G585" t="inlineStr">
        <is>
          <t>OCKELBO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46119</v>
      </c>
      <c r="E586" s="1" t="n">
        <v>46299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46066</v>
      </c>
      <c r="E587" s="1" t="n">
        <v>46299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56352-2024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45624</v>
      </c>
      <c r="E588" s="1" t="n">
        <v>46299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46299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46299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46299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46299</v>
      </c>
      <c r="F592" t="inlineStr">
        <is>
          <t>GÄVLEBORGS LÄN</t>
        </is>
      </c>
      <c r="G592" t="inlineStr">
        <is>
          <t>OCKELBO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39430-2024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46299</v>
      </c>
      <c r="F593" t="inlineStr">
        <is>
          <t>GÄVLEBORGS LÄN</t>
        </is>
      </c>
      <c r="G593" t="inlineStr">
        <is>
          <t>OCKELBO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46299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46299</v>
      </c>
      <c r="F595" t="inlineStr">
        <is>
          <t>GÄVLEBORGS LÄN</t>
        </is>
      </c>
      <c r="G595" t="inlineStr">
        <is>
          <t>OCKELBO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46609-2025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45926</v>
      </c>
      <c r="E596" s="1" t="n">
        <v>46299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46299</v>
      </c>
      <c r="F597" t="inlineStr">
        <is>
          <t>GÄVLEBORGS LÄN</t>
        </is>
      </c>
      <c r="G597" t="inlineStr">
        <is>
          <t>OCKELBO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46299</v>
      </c>
      <c r="F598" t="inlineStr">
        <is>
          <t>GÄVLEBORGS LÄN</t>
        </is>
      </c>
      <c r="G598" t="inlineStr">
        <is>
          <t>OCKELBO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46299</v>
      </c>
      <c r="F599" t="inlineStr">
        <is>
          <t>GÄVLEBORGS LÄN</t>
        </is>
      </c>
      <c r="G599" t="inlineStr">
        <is>
          <t>OCKELBO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46299</v>
      </c>
      <c r="F600" t="inlineStr">
        <is>
          <t>GÄVLEBORGS LÄN</t>
        </is>
      </c>
      <c r="G600" t="inlineStr">
        <is>
          <t>OCKELBO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46299</v>
      </c>
      <c r="F601" t="inlineStr">
        <is>
          <t>GÄVLEBORGS LÄN</t>
        </is>
      </c>
      <c r="G601" t="inlineStr">
        <is>
          <t>OCKELBO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46056</v>
      </c>
      <c r="E602" s="1" t="n">
        <v>46299</v>
      </c>
      <c r="F602" t="inlineStr">
        <is>
          <t>GÄVLEBORGS LÄN</t>
        </is>
      </c>
      <c r="G602" t="inlineStr">
        <is>
          <t>OCKELBO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45909</v>
      </c>
      <c r="E603" s="1" t="n">
        <v>46299</v>
      </c>
      <c r="F603" t="inlineStr">
        <is>
          <t>GÄVLEBORGS LÄN</t>
        </is>
      </c>
      <c r="G603" t="inlineStr">
        <is>
          <t>OCKELBO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46299</v>
      </c>
      <c r="F604" t="inlineStr">
        <is>
          <t>GÄVLEBORGS LÄN</t>
        </is>
      </c>
      <c r="G604" t="inlineStr">
        <is>
          <t>OCKELBO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46299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12352-2026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46088</v>
      </c>
      <c r="E606" s="1" t="n">
        <v>46299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46044</v>
      </c>
      <c r="E607" s="1" t="n">
        <v>46299</v>
      </c>
      <c r="F607" t="inlineStr">
        <is>
          <t>GÄVLEBORGS LÄN</t>
        </is>
      </c>
      <c r="G607" t="inlineStr">
        <is>
          <t>OCKELBO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46299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13182-2026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46093</v>
      </c>
      <c r="E609" s="1" t="n">
        <v>46299</v>
      </c>
      <c r="F609" t="inlineStr">
        <is>
          <t>GÄVLEBORGS LÄN</t>
        </is>
      </c>
      <c r="G609" t="inlineStr">
        <is>
          <t>OCKELBO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46093</v>
      </c>
      <c r="E610" s="1" t="n">
        <v>46299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60122-2025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45994</v>
      </c>
      <c r="E611" s="1" t="n">
        <v>46299</v>
      </c>
      <c r="F611" t="inlineStr">
        <is>
          <t>GÄVLEBORGS LÄN</t>
        </is>
      </c>
      <c r="G611" t="inlineStr">
        <is>
          <t>OCKELBO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60120-2025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45994</v>
      </c>
      <c r="E612" s="1" t="n">
        <v>46299</v>
      </c>
      <c r="F612" t="inlineStr">
        <is>
          <t>GÄVLEBORGS LÄN</t>
        </is>
      </c>
      <c r="G612" t="inlineStr">
        <is>
          <t>OCKELBO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46156</v>
      </c>
      <c r="E613" s="1" t="n">
        <v>46299</v>
      </c>
      <c r="F613" t="inlineStr">
        <is>
          <t>GÄVLEBORGS LÄN</t>
        </is>
      </c>
      <c r="G613" t="inlineStr">
        <is>
          <t>OCKELBO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17862-2026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46122</v>
      </c>
      <c r="E614" s="1" t="n">
        <v>46299</v>
      </c>
      <c r="F614" t="inlineStr">
        <is>
          <t>GÄVLEBORGS LÄN</t>
        </is>
      </c>
      <c r="G614" t="inlineStr">
        <is>
          <t>OCKELBO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14474-2026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46299</v>
      </c>
      <c r="F615" t="inlineStr">
        <is>
          <t>GÄVLEBORGS LÄN</t>
        </is>
      </c>
      <c r="G615" t="inlineStr">
        <is>
          <t>OCKELBO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23040-2026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46161</v>
      </c>
      <c r="E616" s="1" t="n">
        <v>46299</v>
      </c>
      <c r="F616" t="inlineStr">
        <is>
          <t>GÄVLEBORGS LÄN</t>
        </is>
      </c>
      <c r="G616" t="inlineStr">
        <is>
          <t>OCKELBO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46299</v>
      </c>
      <c r="F617" t="inlineStr">
        <is>
          <t>GÄVLEBORGS LÄN</t>
        </is>
      </c>
      <c r="G617" t="inlineStr">
        <is>
          <t>OCKELBO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46299</v>
      </c>
      <c r="F618" t="inlineStr">
        <is>
          <t>GÄVLEBORGS LÄN</t>
        </is>
      </c>
      <c r="G618" t="inlineStr">
        <is>
          <t>OCKELBO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45649</v>
      </c>
      <c r="E619" s="1" t="n">
        <v>46299</v>
      </c>
      <c r="F619" t="inlineStr">
        <is>
          <t>GÄVLEBORGS LÄN</t>
        </is>
      </c>
      <c r="G619" t="inlineStr">
        <is>
          <t>OCKELBO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46299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9859-2025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46299</v>
      </c>
      <c r="F621" t="inlineStr">
        <is>
          <t>GÄVLEBORGS LÄN</t>
        </is>
      </c>
      <c r="G621" t="inlineStr">
        <is>
          <t>OCKELBO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50197-2024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45600</v>
      </c>
      <c r="E622" s="1" t="n">
        <v>46299</v>
      </c>
      <c r="F622" t="inlineStr">
        <is>
          <t>GÄVLEBORGS LÄN</t>
        </is>
      </c>
      <c r="G622" t="inlineStr">
        <is>
          <t>OCKELBO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23663-2026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46299</v>
      </c>
      <c r="F623" t="inlineStr">
        <is>
          <t>GÄVLEBORGS LÄN</t>
        </is>
      </c>
      <c r="G623" t="inlineStr">
        <is>
          <t>OCKELBO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46299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46299</v>
      </c>
      <c r="F625" t="inlineStr">
        <is>
          <t>GÄVLEBORGS LÄN</t>
        </is>
      </c>
      <c r="G625" t="inlineStr">
        <is>
          <t>OCKELBO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24409-2026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46299</v>
      </c>
      <c r="F626" t="inlineStr">
        <is>
          <t>GÄVLEBORGS LÄN</t>
        </is>
      </c>
      <c r="G626" t="inlineStr">
        <is>
          <t>OCKELBO</t>
        </is>
      </c>
      <c r="I626" t="n">
        <v>8.1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46299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24333-2026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46299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46299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45719</v>
      </c>
      <c r="E630" s="1" t="n">
        <v>46299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öst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46299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46299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24408-2026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46299</v>
      </c>
      <c r="F633" t="inlineStr">
        <is>
          <t>GÄVLEBORGS LÄN</t>
        </is>
      </c>
      <c r="G633" t="inlineStr">
        <is>
          <t>OCKELBO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46299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46299</v>
      </c>
      <c r="F635" t="inlineStr">
        <is>
          <t>GÄVLEBORGS LÄN</t>
        </is>
      </c>
      <c r="G635" t="inlineStr">
        <is>
          <t>OCKELBO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46299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24567-2026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46299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46299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46299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46299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23772-2024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45455</v>
      </c>
      <c r="E641" s="1" t="n">
        <v>46299</v>
      </c>
      <c r="F641" t="inlineStr">
        <is>
          <t>GÄVLEBORGS LÄN</t>
        </is>
      </c>
      <c r="G641" t="inlineStr">
        <is>
          <t>OCKELBO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46299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11974-2026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46085</v>
      </c>
      <c r="E643" s="1" t="n">
        <v>46299</v>
      </c>
      <c r="F643" t="inlineStr">
        <is>
          <t>GÄVLEBORGS LÄN</t>
        </is>
      </c>
      <c r="G643" t="inlineStr">
        <is>
          <t>OCKELBO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45551</v>
      </c>
      <c r="E644" s="1" t="n">
        <v>46299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46023</v>
      </c>
      <c r="E645" s="1" t="n">
        <v>46299</v>
      </c>
      <c r="F645" t="inlineStr">
        <is>
          <t>GÄVLEBORGS LÄN</t>
        </is>
      </c>
      <c r="G645" t="inlineStr">
        <is>
          <t>OCKELBO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46299</v>
      </c>
      <c r="F646" t="inlineStr">
        <is>
          <t>GÄVLEBORGS LÄN</t>
        </is>
      </c>
      <c r="G646" t="inlineStr">
        <is>
          <t>OCKELBO</t>
        </is>
      </c>
      <c r="I646" t="n">
        <v>6.2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54944-2025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45967</v>
      </c>
      <c r="E647" s="1" t="n">
        <v>46299</v>
      </c>
      <c r="F647" t="inlineStr">
        <is>
          <t>GÄVLEBORGS LÄN</t>
        </is>
      </c>
      <c r="G647" t="inlineStr">
        <is>
          <t>OCKELBO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46299</v>
      </c>
      <c r="F648" t="inlineStr">
        <is>
          <t>GÄVLEBORGS LÄN</t>
        </is>
      </c>
      <c r="G648" t="inlineStr">
        <is>
          <t>OCKELBO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46299</v>
      </c>
      <c r="F649" t="inlineStr">
        <is>
          <t>GÄVLEBORGS LÄN</t>
        </is>
      </c>
      <c r="G649" t="inlineStr">
        <is>
          <t>OCKELBO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46171</v>
      </c>
      <c r="E650" s="1" t="n">
        <v>46299</v>
      </c>
      <c r="F650" t="inlineStr">
        <is>
          <t>GÄVLEBORGS LÄN</t>
        </is>
      </c>
      <c r="G650" t="inlineStr">
        <is>
          <t>OCKELBO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54817-2022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44883</v>
      </c>
      <c r="E651" s="1" t="n">
        <v>46299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47100-2024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45586</v>
      </c>
      <c r="E652" s="1" t="n">
        <v>46299</v>
      </c>
      <c r="F652" t="inlineStr">
        <is>
          <t>GÄVLEBORGS LÄN</t>
        </is>
      </c>
      <c r="G652" t="inlineStr">
        <is>
          <t>OCKELBO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25128-2026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46175</v>
      </c>
      <c r="E653" s="1" t="n">
        <v>46299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46175</v>
      </c>
      <c r="E654" s="1" t="n">
        <v>46299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50968-2024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45603</v>
      </c>
      <c r="E655" s="1" t="n">
        <v>46299</v>
      </c>
      <c r="F655" t="inlineStr">
        <is>
          <t>GÄVLEBORGS LÄN</t>
        </is>
      </c>
      <c r="G655" t="inlineStr">
        <is>
          <t>OCKELBO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38652-2025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45884</v>
      </c>
      <c r="E656" s="1" t="n">
        <v>46299</v>
      </c>
      <c r="F656" t="inlineStr">
        <is>
          <t>GÄVLEBORGS LÄN</t>
        </is>
      </c>
      <c r="G656" t="inlineStr">
        <is>
          <t>OCKELBO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46299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9.4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46177</v>
      </c>
      <c r="E658" s="1" t="n">
        <v>46299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46299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26131-2026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46181</v>
      </c>
      <c r="E660" s="1" t="n">
        <v>46299</v>
      </c>
      <c r="F660" t="inlineStr">
        <is>
          <t>GÄVLEBORGS LÄN</t>
        </is>
      </c>
      <c r="G660" t="inlineStr">
        <is>
          <t>OCKELBO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54977-2024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45620</v>
      </c>
      <c r="E661" s="1" t="n">
        <v>46299</v>
      </c>
      <c r="F661" t="inlineStr">
        <is>
          <t>GÄVLEBORGS LÄN</t>
        </is>
      </c>
      <c r="G661" t="inlineStr">
        <is>
          <t>OCKELBO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45203</v>
      </c>
      <c r="E662" s="1" t="n">
        <v>46299</v>
      </c>
      <c r="F662" t="inlineStr">
        <is>
          <t>GÄVLEBORGS LÄN</t>
        </is>
      </c>
      <c r="G662" t="inlineStr">
        <is>
          <t>OCKELBO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46299</v>
      </c>
      <c r="F663" t="inlineStr">
        <is>
          <t>GÄVLEBORGS LÄN</t>
        </is>
      </c>
      <c r="G663" t="inlineStr">
        <is>
          <t>OCKELBO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46299</v>
      </c>
      <c r="F664" t="inlineStr">
        <is>
          <t>GÄVLEBORGS LÄN</t>
        </is>
      </c>
      <c r="G664" t="inlineStr">
        <is>
          <t>OCKELBO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27231-2026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46299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46299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26924-2026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46299</v>
      </c>
      <c r="F667" t="inlineStr">
        <is>
          <t>GÄVLEBORGS LÄN</t>
        </is>
      </c>
      <c r="G667" t="inlineStr">
        <is>
          <t>OCKELBO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46299</v>
      </c>
      <c r="F668" t="inlineStr">
        <is>
          <t>GÄVLEBORGS LÄN</t>
        </is>
      </c>
      <c r="G668" t="inlineStr">
        <is>
          <t>OCKELBO</t>
        </is>
      </c>
      <c r="I668" t="n">
        <v>14.6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46299</v>
      </c>
      <c r="F669" t="inlineStr">
        <is>
          <t>GÄVLEBORGS LÄN</t>
        </is>
      </c>
      <c r="G669" t="inlineStr">
        <is>
          <t>OCKELBO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46299</v>
      </c>
      <c r="F670" t="inlineStr">
        <is>
          <t>GÄVLEBORGS LÄN</t>
        </is>
      </c>
      <c r="G670" t="inlineStr">
        <is>
          <t>OCKELBO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57614-2025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45981</v>
      </c>
      <c r="E671" s="1" t="n">
        <v>46299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10184-2026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46076</v>
      </c>
      <c r="E672" s="1" t="n">
        <v>46299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14937-2024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45398</v>
      </c>
      <c r="E673" s="1" t="n">
        <v>46299</v>
      </c>
      <c r="F673" t="inlineStr">
        <is>
          <t>GÄVLEBORGS LÄN</t>
        </is>
      </c>
      <c r="G673" t="inlineStr">
        <is>
          <t>OCKELBO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46299</v>
      </c>
      <c r="F674" t="inlineStr">
        <is>
          <t>GÄVLEBORGS LÄN</t>
        </is>
      </c>
      <c r="G674" t="inlineStr">
        <is>
          <t>OCKELBO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27623-2026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46299</v>
      </c>
      <c r="F675" t="inlineStr">
        <is>
          <t>GÄVLEBORGS LÄN</t>
        </is>
      </c>
      <c r="G675" t="inlineStr">
        <is>
          <t>OCKELBO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53702-2024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45615</v>
      </c>
      <c r="E676" s="1" t="n">
        <v>46299</v>
      </c>
      <c r="F676" t="inlineStr">
        <is>
          <t>GÄVLEBORGS LÄN</t>
        </is>
      </c>
      <c r="G676" t="inlineStr">
        <is>
          <t>OCKELBO</t>
        </is>
      </c>
      <c r="I676" t="n">
        <v>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46189</v>
      </c>
      <c r="E677" s="1" t="n">
        <v>46299</v>
      </c>
      <c r="F677" t="inlineStr">
        <is>
          <t>GÄVLEBORGS LÄN</t>
        </is>
      </c>
      <c r="G677" t="inlineStr">
        <is>
          <t>OCKELBO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46299</v>
      </c>
      <c r="F678" t="inlineStr">
        <is>
          <t>GÄVLEBORGS LÄN</t>
        </is>
      </c>
      <c r="G678" t="inlineStr">
        <is>
          <t>OCKELBO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33880-2023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45134</v>
      </c>
      <c r="E679" s="1" t="n">
        <v>46299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45134</v>
      </c>
      <c r="E680" s="1" t="n">
        <v>46299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27416-2026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46189</v>
      </c>
      <c r="E681" s="1" t="n">
        <v>46299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27379-2026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46189</v>
      </c>
      <c r="E682" s="1" t="n">
        <v>46299</v>
      </c>
      <c r="F682" t="inlineStr">
        <is>
          <t>GÄVLEBORGS LÄN</t>
        </is>
      </c>
      <c r="G682" t="inlineStr">
        <is>
          <t>OCKELBO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46189</v>
      </c>
      <c r="E683" s="1" t="n">
        <v>46299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61456-2024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45646</v>
      </c>
      <c r="E684" s="1" t="n">
        <v>46299</v>
      </c>
      <c r="F684" t="inlineStr">
        <is>
          <t>GÄVLEBORGS LÄN</t>
        </is>
      </c>
      <c r="G684" t="inlineStr">
        <is>
          <t>OCKELBO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46191</v>
      </c>
      <c r="E685" s="1" t="n">
        <v>46299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44281-2022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44839</v>
      </c>
      <c r="E686" s="1" t="n">
        <v>46299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46299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28318-2026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46299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46299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28317-2026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46196</v>
      </c>
      <c r="E690" s="1" t="n">
        <v>46299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46299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60497-2021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44496</v>
      </c>
      <c r="E692" s="1" t="n">
        <v>46299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46299</v>
      </c>
      <c r="F693" t="inlineStr">
        <is>
          <t>GÄVLEBORGS LÄN</t>
        </is>
      </c>
      <c r="G693" t="inlineStr">
        <is>
          <t>OCKELBO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28725-2026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46299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46299</v>
      </c>
      <c r="F695" t="inlineStr">
        <is>
          <t>GÄVLEBORGS LÄN</t>
        </is>
      </c>
      <c r="G695" t="inlineStr">
        <is>
          <t>OCKELBO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45699</v>
      </c>
      <c r="E696" s="1" t="n">
        <v>46299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46299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47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43550-2023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46299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46199</v>
      </c>
      <c r="E699" s="1" t="n">
        <v>46299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46299</v>
      </c>
      <c r="F700" t="inlineStr">
        <is>
          <t>GÄVLEBORGS LÄN</t>
        </is>
      </c>
      <c r="G700" t="inlineStr">
        <is>
          <t>OCKELBO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46299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14827-2026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46104</v>
      </c>
      <c r="E702" s="1" t="n">
        <v>46299</v>
      </c>
      <c r="F702" t="inlineStr">
        <is>
          <t>GÄVLEBORGS LÄN</t>
        </is>
      </c>
      <c r="G702" t="inlineStr">
        <is>
          <t>OCKELBO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29611-2026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46299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46299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46299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46299</v>
      </c>
      <c r="F706" t="inlineStr">
        <is>
          <t>GÄVLEBORGS LÄN</t>
        </is>
      </c>
      <c r="G706" t="inlineStr">
        <is>
          <t>OCKELBO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29849-2026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46205</v>
      </c>
      <c r="E707" s="1" t="n">
        <v>46299</v>
      </c>
      <c r="F707" t="inlineStr">
        <is>
          <t>GÄVLEBORGS LÄN</t>
        </is>
      </c>
      <c r="G707" t="inlineStr">
        <is>
          <t>OCKELBO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32123-2024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45511</v>
      </c>
      <c r="E708" s="1" t="n">
        <v>46299</v>
      </c>
      <c r="F708" t="inlineStr">
        <is>
          <t>GÄVLEBORGS LÄN</t>
        </is>
      </c>
      <c r="G708" t="inlineStr">
        <is>
          <t>OCKELBO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30031-2026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46206</v>
      </c>
      <c r="E709" s="1" t="n">
        <v>46299</v>
      </c>
      <c r="F709" t="inlineStr">
        <is>
          <t>GÄVLEBORGS LÄN</t>
        </is>
      </c>
      <c r="G709" t="inlineStr">
        <is>
          <t>OCKELBO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40140-2022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44820</v>
      </c>
      <c r="E710" s="1" t="n">
        <v>46299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46299</v>
      </c>
      <c r="F711" t="inlineStr">
        <is>
          <t>GÄVLEBORGS LÄN</t>
        </is>
      </c>
      <c r="G711" t="inlineStr">
        <is>
          <t>OCKELBO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36343-2023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45152</v>
      </c>
      <c r="E712" s="1" t="n">
        <v>46299</v>
      </c>
      <c r="F712" t="inlineStr">
        <is>
          <t>GÄVLEBORGS LÄN</t>
        </is>
      </c>
      <c r="G712" t="inlineStr">
        <is>
          <t>OCKELBO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12983-2022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44643</v>
      </c>
      <c r="E713" s="1" t="n">
        <v>46299</v>
      </c>
      <c r="F713" t="inlineStr">
        <is>
          <t>GÄVLEBORGS LÄN</t>
        </is>
      </c>
      <c r="G713" t="inlineStr">
        <is>
          <t>OCKELBO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56631-2022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44893</v>
      </c>
      <c r="E714" s="1" t="n">
        <v>46299</v>
      </c>
      <c r="F714" t="inlineStr">
        <is>
          <t>GÄVLEBORGS LÄN</t>
        </is>
      </c>
      <c r="G714" t="inlineStr">
        <is>
          <t>OCKELBO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46299</v>
      </c>
      <c r="F715" t="inlineStr">
        <is>
          <t>GÄVLEBORGS LÄN</t>
        </is>
      </c>
      <c r="G715" t="inlineStr">
        <is>
          <t>OCKELBO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29687-2023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45107</v>
      </c>
      <c r="E716" s="1" t="n">
        <v>46299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56634-2023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45243</v>
      </c>
      <c r="E717" s="1" t="n">
        <v>46299</v>
      </c>
      <c r="F717" t="inlineStr">
        <is>
          <t>GÄVLEBORGS LÄN</t>
        </is>
      </c>
      <c r="G717" t="inlineStr">
        <is>
          <t>OCKELBO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46299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49207-2023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45210</v>
      </c>
      <c r="E719" s="1" t="n">
        <v>46299</v>
      </c>
      <c r="F719" t="inlineStr">
        <is>
          <t>GÄVLEBORGS LÄN</t>
        </is>
      </c>
      <c r="G719" t="inlineStr">
        <is>
          <t>OCKELBO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46299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46299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30990-2026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46299</v>
      </c>
      <c r="F722" t="inlineStr">
        <is>
          <t>GÄVLEBORGS LÄN</t>
        </is>
      </c>
      <c r="G722" t="inlineStr">
        <is>
          <t>OCKELBO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48804-2024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45593</v>
      </c>
      <c r="E723" s="1" t="n">
        <v>46299</v>
      </c>
      <c r="F723" t="inlineStr">
        <is>
          <t>GÄVLEBORGS LÄN</t>
        </is>
      </c>
      <c r="G723" t="inlineStr">
        <is>
          <t>OCKELBO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35155-2026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46260</v>
      </c>
      <c r="E724" s="1" t="n">
        <v>46299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46218</v>
      </c>
      <c r="E725" s="1" t="n">
        <v>46299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3034-2025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45678</v>
      </c>
      <c r="E726" s="1" t="n">
        <v>46299</v>
      </c>
      <c r="F726" t="inlineStr">
        <is>
          <t>GÄVLEBORGS LÄN</t>
        </is>
      </c>
      <c r="G726" t="inlineStr">
        <is>
          <t>OCKELBO</t>
        </is>
      </c>
      <c r="I726" t="n">
        <v>8.1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9461-2026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46299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31443-2026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46220</v>
      </c>
      <c r="E728" s="1" t="n">
        <v>46299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46299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46299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2555-2025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45674</v>
      </c>
      <c r="E731" s="1" t="n">
        <v>46299</v>
      </c>
      <c r="F731" t="inlineStr">
        <is>
          <t>GÄVLEBORGS LÄN</t>
        </is>
      </c>
      <c r="G731" t="inlineStr">
        <is>
          <t>OCKELBO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58156-2025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46299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36097-2026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46267</v>
      </c>
      <c r="E733" s="1" t="n">
        <v>46299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31519-2026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46223</v>
      </c>
      <c r="E734" s="1" t="n">
        <v>46299</v>
      </c>
      <c r="F734" t="inlineStr">
        <is>
          <t>GÄVLEBORGS LÄN</t>
        </is>
      </c>
      <c r="G734" t="inlineStr">
        <is>
          <t>OCKELBO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46299</v>
      </c>
      <c r="F735" t="inlineStr">
        <is>
          <t>GÄVLEBORGS LÄN</t>
        </is>
      </c>
      <c r="G735" t="inlineStr">
        <is>
          <t>OCKELBO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31591-2026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46224</v>
      </c>
      <c r="E736" s="1" t="n">
        <v>46299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31530-2026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46223</v>
      </c>
      <c r="E737" s="1" t="n">
        <v>46299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46224</v>
      </c>
      <c r="E738" s="1" t="n">
        <v>46299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36280-2026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46268</v>
      </c>
      <c r="E739" s="1" t="n">
        <v>46299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36562-2026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46299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34944-2024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45527</v>
      </c>
      <c r="E741" s="1" t="n">
        <v>46299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36467-2026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46269</v>
      </c>
      <c r="E742" s="1" t="n">
        <v>46299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36380-2026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46268</v>
      </c>
      <c r="E743" s="1" t="n">
        <v>46299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32301-2022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44781</v>
      </c>
      <c r="E744" s="1" t="n">
        <v>46299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31804-2026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46230</v>
      </c>
      <c r="E745" s="1" t="n">
        <v>46299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45261</v>
      </c>
      <c r="E746" s="1" t="n">
        <v>46299</v>
      </c>
      <c r="F746" t="inlineStr">
        <is>
          <t>GÄVLEBORGS LÄN</t>
        </is>
      </c>
      <c r="G746" t="inlineStr">
        <is>
          <t>OCKELBO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31971-2026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46232</v>
      </c>
      <c r="E747" s="1" t="n">
        <v>46299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46299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46299</v>
      </c>
      <c r="F749" t="inlineStr">
        <is>
          <t>GÄVLEBORGS LÄN</t>
        </is>
      </c>
      <c r="G749" t="inlineStr">
        <is>
          <t>OCKELBO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37487-2026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46275</v>
      </c>
      <c r="E750" s="1" t="n">
        <v>46299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46299</v>
      </c>
      <c r="F751" t="inlineStr">
        <is>
          <t>GÄVLEBORGS LÄN</t>
        </is>
      </c>
      <c r="G751" t="inlineStr">
        <is>
          <t>OCKELBO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46279</v>
      </c>
      <c r="E752" s="1" t="n">
        <v>46299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20408-2026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46140</v>
      </c>
      <c r="E753" s="1" t="n">
        <v>46299</v>
      </c>
      <c r="F753" t="inlineStr">
        <is>
          <t>GÄVLEBORGS LÄN</t>
        </is>
      </c>
      <c r="G753" t="inlineStr">
        <is>
          <t>OCKELBO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38648-2026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46283</v>
      </c>
      <c r="E754" s="1" t="n">
        <v>46299</v>
      </c>
      <c r="F754" t="inlineStr">
        <is>
          <t>GÄVLEBORGS LÄN</t>
        </is>
      </c>
      <c r="G754" t="inlineStr">
        <is>
          <t>OCKELBO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38668-2026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46283</v>
      </c>
      <c r="E755" s="1" t="n">
        <v>46299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17730-2025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45758</v>
      </c>
      <c r="E756" s="1" t="n">
        <v>46299</v>
      </c>
      <c r="F756" t="inlineStr">
        <is>
          <t>GÄVLEBORGS LÄN</t>
        </is>
      </c>
      <c r="G756" t="inlineStr">
        <is>
          <t>OCKELBO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36362-2024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46299</v>
      </c>
      <c r="F757" t="inlineStr">
        <is>
          <t>GÄVLEBORGS LÄN</t>
        </is>
      </c>
      <c r="G757" t="inlineStr">
        <is>
          <t>OCKELBO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45334</v>
      </c>
      <c r="E758" s="1" t="n">
        <v>46299</v>
      </c>
      <c r="F758" t="inlineStr">
        <is>
          <t>GÄVLEBORGS LÄN</t>
        </is>
      </c>
      <c r="G758" t="inlineStr">
        <is>
          <t>OCKELBO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52335-2024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45609</v>
      </c>
      <c r="E759" s="1" t="n">
        <v>46299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15966-2023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45022</v>
      </c>
      <c r="E760" s="1" t="n">
        <v>46299</v>
      </c>
      <c r="F760" t="inlineStr">
        <is>
          <t>GÄVLEBORGS LÄN</t>
        </is>
      </c>
      <c r="G760" t="inlineStr">
        <is>
          <t>OCKELBO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34444-2023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45139</v>
      </c>
      <c r="E761" s="1" t="n">
        <v>46299</v>
      </c>
      <c r="F761" t="inlineStr">
        <is>
          <t>GÄVLEBORGS LÄN</t>
        </is>
      </c>
      <c r="G761" t="inlineStr">
        <is>
          <t>OCKELBO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46052</v>
      </c>
      <c r="E762" s="1" t="n">
        <v>46299</v>
      </c>
      <c r="F762" t="inlineStr">
        <is>
          <t>GÄVLEBORGS LÄN</t>
        </is>
      </c>
      <c r="G762" t="inlineStr">
        <is>
          <t>OCKELBO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55070-2023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45237</v>
      </c>
      <c r="E763" s="1" t="n">
        <v>46299</v>
      </c>
      <c r="F763" t="inlineStr">
        <is>
          <t>GÄVLEBORGS LÄN</t>
        </is>
      </c>
      <c r="G763" t="inlineStr">
        <is>
          <t>OCKELBO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6194-2025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45698</v>
      </c>
      <c r="E764" s="1" t="n">
        <v>46299</v>
      </c>
      <c r="F764" t="inlineStr">
        <is>
          <t>GÄVLEBORGS LÄN</t>
        </is>
      </c>
      <c r="G764" t="inlineStr">
        <is>
          <t>OCKELBO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39681-2026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46289</v>
      </c>
      <c r="E765" s="1" t="n">
        <v>46299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11734-2025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45727</v>
      </c>
      <c r="E766" s="1" t="n">
        <v>46299</v>
      </c>
      <c r="F766" t="inlineStr">
        <is>
          <t>GÄVLEBORGS LÄN</t>
        </is>
      </c>
      <c r="G766" t="inlineStr">
        <is>
          <t>OCKELBO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33176-2026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46245</v>
      </c>
      <c r="E767" s="1" t="n">
        <v>46299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14071-2026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46099</v>
      </c>
      <c r="E768" s="1" t="n">
        <v>46299</v>
      </c>
      <c r="F768" t="inlineStr">
        <is>
          <t>GÄVLEBORGS LÄN</t>
        </is>
      </c>
      <c r="G768" t="inlineStr">
        <is>
          <t>OCKELBO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30798-2024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45497</v>
      </c>
      <c r="E769" s="1" t="n">
        <v>46299</v>
      </c>
      <c r="F769" t="inlineStr">
        <is>
          <t>GÄVLEBORGS LÄN</t>
        </is>
      </c>
      <c r="G769" t="inlineStr">
        <is>
          <t>OCKELBO</t>
        </is>
      </c>
      <c r="I769" t="n">
        <v>8.699999999999999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40117-2026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46293</v>
      </c>
      <c r="E770" s="1" t="n">
        <v>46299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40185-2026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46293</v>
      </c>
      <c r="E771" s="1" t="n">
        <v>46299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43799-2022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44838</v>
      </c>
      <c r="E772" s="1" t="n">
        <v>46299</v>
      </c>
      <c r="F772" t="inlineStr">
        <is>
          <t>GÄVLEBORGS LÄN</t>
        </is>
      </c>
      <c r="G772" t="inlineStr">
        <is>
          <t>OCKELBO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40104-2026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46299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46299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6.2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45156</v>
      </c>
      <c r="E775" s="1" t="n">
        <v>46299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40149-2026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46293</v>
      </c>
      <c r="E776" s="1" t="n">
        <v>46299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33987-2023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45134</v>
      </c>
      <c r="E777" s="1" t="n">
        <v>46299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45134</v>
      </c>
      <c r="E778" s="1" t="n">
        <v>46299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49529-2024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45596</v>
      </c>
      <c r="E779" s="1" t="n">
        <v>46299</v>
      </c>
      <c r="F779" t="inlineStr">
        <is>
          <t>GÄVLEBORGS LÄN</t>
        </is>
      </c>
      <c r="G779" t="inlineStr">
        <is>
          <t>OCKELBO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56034-2023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45240</v>
      </c>
      <c r="E780" s="1" t="n">
        <v>46299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52330-2024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45609</v>
      </c>
      <c r="E781" s="1" t="n">
        <v>46299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45139</v>
      </c>
      <c r="E782" s="1" t="n">
        <v>46299</v>
      </c>
      <c r="F782" t="inlineStr">
        <is>
          <t>GÄVLEBORGS LÄN</t>
        </is>
      </c>
      <c r="G782" t="inlineStr">
        <is>
          <t>OCKELBO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46299</v>
      </c>
      <c r="F783" t="inlineStr">
        <is>
          <t>GÄVLEBORGS LÄN</t>
        </is>
      </c>
      <c r="G783" t="inlineStr">
        <is>
          <t>OCKELBO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17682-2026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46121</v>
      </c>
      <c r="E784" s="1" t="n">
        <v>46299</v>
      </c>
      <c r="F784" t="inlineStr">
        <is>
          <t>GÄVLEBORGS LÄN</t>
        </is>
      </c>
      <c r="G784" t="inlineStr">
        <is>
          <t>OCKELBO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8408-2026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46065</v>
      </c>
      <c r="E785" s="1" t="n">
        <v>46299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9542-2026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46299</v>
      </c>
      <c r="F786" t="inlineStr">
        <is>
          <t>GÄVLEBORGS LÄN</t>
        </is>
      </c>
      <c r="G786" t="inlineStr">
        <is>
          <t>OCKELBO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8683-2026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46066</v>
      </c>
      <c r="E787" s="1" t="n">
        <v>46299</v>
      </c>
      <c r="F787" t="inlineStr">
        <is>
          <t>GÄVLEBORGS LÄN</t>
        </is>
      </c>
      <c r="G787" t="inlineStr">
        <is>
          <t>OCKELBO</t>
        </is>
      </c>
      <c r="I787" t="n">
        <v>6.4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37845-2024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45544</v>
      </c>
      <c r="E788" s="1" t="n">
        <v>46299</v>
      </c>
      <c r="F788" t="inlineStr">
        <is>
          <t>GÄVLEBORGS LÄN</t>
        </is>
      </c>
      <c r="G788" t="inlineStr">
        <is>
          <t>OCKELBO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2919-2026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46038</v>
      </c>
      <c r="E789" s="1" t="n">
        <v>46299</v>
      </c>
      <c r="F789" t="inlineStr">
        <is>
          <t>GÄVLEBORGS LÄN</t>
        </is>
      </c>
      <c r="G789" t="inlineStr">
        <is>
          <t>OCKELBO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14756-2026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46101</v>
      </c>
      <c r="E790" s="1" t="n">
        <v>46299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46156</v>
      </c>
      <c r="E791" s="1" t="n">
        <v>46299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46297</v>
      </c>
      <c r="E792" s="1" t="n">
        <v>46299</v>
      </c>
      <c r="F792" t="inlineStr">
        <is>
          <t>GÄVLEBORGS LÄN</t>
        </is>
      </c>
      <c r="G792" t="inlineStr">
        <is>
          <t>OCKELBO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34391-2026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46299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28965-2024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45481</v>
      </c>
      <c r="E794" s="1" t="n">
        <v>46299</v>
      </c>
      <c r="F794" t="inlineStr">
        <is>
          <t>GÄVLEBORGS LÄN</t>
        </is>
      </c>
      <c r="G794" t="inlineStr">
        <is>
          <t>OCKELBO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55906-2024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45623</v>
      </c>
      <c r="E795" s="1" t="n">
        <v>46299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46036</v>
      </c>
      <c r="E796" s="1" t="n">
        <v>46299</v>
      </c>
      <c r="F796" t="inlineStr">
        <is>
          <t>GÄVLEBORGS LÄN</t>
        </is>
      </c>
      <c r="G796" t="inlineStr">
        <is>
          <t>OCKELBO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20984-2026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46142</v>
      </c>
      <c r="E797" s="1" t="n">
        <v>46299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24228-2022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44725</v>
      </c>
      <c r="E798" s="1" t="n">
        <v>46299</v>
      </c>
      <c r="F798" t="inlineStr">
        <is>
          <t>GÄVLEBORGS LÄN</t>
        </is>
      </c>
      <c r="G798" t="inlineStr">
        <is>
          <t>OCKELBO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64609-2023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45281</v>
      </c>
      <c r="E799" s="1" t="n">
        <v>46299</v>
      </c>
      <c r="F799" t="inlineStr">
        <is>
          <t>GÄVLEBORGS LÄN</t>
        </is>
      </c>
      <c r="G799" t="inlineStr">
        <is>
          <t>OCKELBO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3626-2023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44950</v>
      </c>
      <c r="E800" s="1" t="n">
        <v>46299</v>
      </c>
      <c r="F800" t="inlineStr">
        <is>
          <t>GÄVLEBORGS LÄN</t>
        </is>
      </c>
      <c r="G800" t="inlineStr">
        <is>
          <t>OCKELBO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21900-2023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45068</v>
      </c>
      <c r="E801" s="1" t="n">
        <v>46299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45771</v>
      </c>
      <c r="E802" s="1" t="n">
        <v>46299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21878-2023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45068</v>
      </c>
      <c r="E803" s="1" t="n">
        <v>46299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36295-2024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45534</v>
      </c>
      <c r="E804" s="1" t="n">
        <v>46299</v>
      </c>
      <c r="F804" t="inlineStr">
        <is>
          <t>GÄVLEBORGS LÄN</t>
        </is>
      </c>
      <c r="G804" t="inlineStr">
        <is>
          <t>OCKELBO</t>
        </is>
      </c>
      <c r="I804" t="n">
        <v>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53488-2023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46299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37442-2023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45156</v>
      </c>
      <c r="E806" s="1" t="n">
        <v>46299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22385-2023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45070</v>
      </c>
      <c r="E807" s="1" t="n">
        <v>46299</v>
      </c>
      <c r="F807" t="inlineStr">
        <is>
          <t>GÄVLEBORGS LÄN</t>
        </is>
      </c>
      <c r="G807" t="inlineStr">
        <is>
          <t>OCKELBO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56741-2024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45628</v>
      </c>
      <c r="E808" s="1" t="n">
        <v>46299</v>
      </c>
      <c r="F808" t="inlineStr">
        <is>
          <t>GÄVLEBORGS LÄN</t>
        </is>
      </c>
      <c r="G808" t="inlineStr">
        <is>
          <t>OCKELBO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19772-2025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45771</v>
      </c>
      <c r="E809" s="1" t="n">
        <v>46299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29567-2024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45484</v>
      </c>
      <c r="E810" s="1" t="n">
        <v>46299</v>
      </c>
      <c r="F810" t="inlineStr">
        <is>
          <t>GÄVLEBORGS LÄN</t>
        </is>
      </c>
      <c r="G810" t="inlineStr">
        <is>
          <t>OCKELBO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64367-2023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45280</v>
      </c>
      <c r="E811" s="1" t="n">
        <v>46299</v>
      </c>
      <c r="F811" t="inlineStr">
        <is>
          <t>GÄVLEBORGS LÄN</t>
        </is>
      </c>
      <c r="G811" t="inlineStr">
        <is>
          <t>OCKELBO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46299</v>
      </c>
      <c r="F812" t="inlineStr">
        <is>
          <t>GÄVLEBORGS LÄN</t>
        </is>
      </c>
      <c r="G812" t="inlineStr">
        <is>
          <t>OCKELBO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50194-2024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45600</v>
      </c>
      <c r="E813" s="1" t="n">
        <v>46299</v>
      </c>
      <c r="F813" t="inlineStr">
        <is>
          <t>GÄVLEBORGS LÄN</t>
        </is>
      </c>
      <c r="G813" t="inlineStr">
        <is>
          <t>OCKELBO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15247-2025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45744</v>
      </c>
      <c r="E814" s="1" t="n">
        <v>46299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22952-2023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45072</v>
      </c>
      <c r="E815" s="1" t="n">
        <v>46299</v>
      </c>
      <c r="F815" t="inlineStr">
        <is>
          <t>GÄVLEBORGS LÄN</t>
        </is>
      </c>
      <c r="G815" t="inlineStr">
        <is>
          <t>OCKELBO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22824-2024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45448</v>
      </c>
      <c r="E816" s="1" t="n">
        <v>46299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45666</v>
      </c>
      <c r="E817" s="1" t="n">
        <v>46299</v>
      </c>
      <c r="F817" t="inlineStr">
        <is>
          <t>GÄVLEBORGS LÄN</t>
        </is>
      </c>
      <c r="G817" t="inlineStr">
        <is>
          <t>OCKELBO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61750-2023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45265</v>
      </c>
      <c r="E818" s="1" t="n">
        <v>46299</v>
      </c>
      <c r="F818" t="inlineStr">
        <is>
          <t>GÄVLEBORGS LÄN</t>
        </is>
      </c>
      <c r="G818" t="inlineStr">
        <is>
          <t>OCKELBO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33985-2023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45134</v>
      </c>
      <c r="E819" s="1" t="n">
        <v>46299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3628-2023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44950</v>
      </c>
      <c r="E820" s="1" t="n">
        <v>46299</v>
      </c>
      <c r="F820" t="inlineStr">
        <is>
          <t>GÄVLEBORGS LÄN</t>
        </is>
      </c>
      <c r="G820" t="inlineStr">
        <is>
          <t>OCKELBO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20775-2025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45776</v>
      </c>
      <c r="E821" s="1" t="n">
        <v>46299</v>
      </c>
      <c r="F821" t="inlineStr">
        <is>
          <t>GÄVLEBORGS LÄN</t>
        </is>
      </c>
      <c r="G821" t="inlineStr">
        <is>
          <t>OCKELBO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23780-2024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45455</v>
      </c>
      <c r="E822" s="1" t="n">
        <v>46299</v>
      </c>
      <c r="F822" t="inlineStr">
        <is>
          <t>GÄVLEBORGS LÄN</t>
        </is>
      </c>
      <c r="G822" t="inlineStr">
        <is>
          <t>OCKELBO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52273-2024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46299</v>
      </c>
      <c r="F823" t="inlineStr">
        <is>
          <t>GÄVLEBORGS LÄN</t>
        </is>
      </c>
      <c r="G823" t="inlineStr">
        <is>
          <t>OCKELBO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37848-2024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45544</v>
      </c>
      <c r="E824" s="1" t="n">
        <v>46299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60253-2023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45258</v>
      </c>
      <c r="E825" s="1" t="n">
        <v>46299</v>
      </c>
      <c r="F825" t="inlineStr">
        <is>
          <t>GÄVLEBORGS LÄN</t>
        </is>
      </c>
      <c r="G825" t="inlineStr">
        <is>
          <t>OCKELBO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22385-2025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46299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22387-2025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46299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46299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46299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46299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46299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46299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46299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46299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46299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46299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46299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2540-2026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46293</v>
      </c>
      <c r="E838" s="1" t="n">
        <v>46299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2216-2026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46255</v>
      </c>
      <c r="E839" s="1" t="n">
        <v>46299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19.4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2026-10-04T01:54:54Z</dcterms:created>
  <dcterms:modified xmlns:dcterms="http://purl.org/dc/terms/" xmlns:xsi="http://www.w3.org/2001/XMLSchema-instance" xsi:type="dcterms:W3CDTF">2026-10-04T01:54:55Z</dcterms:modified>
</cp:coreProperties>
</file>