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</v>
      </c>
      <c r="C2" s="1" t="n">
        <v>46197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Garnlav
Knärot
Dropptaggsvamp
Rosenticka
Tallticka
Ullticka
Grönpyrola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14731-2026</t>
        </is>
      </c>
      <c r="B3" s="1" t="n">
        <v>46101</v>
      </c>
      <c r="C3" s="1" t="n">
        <v>46197</v>
      </c>
      <c r="D3" t="inlineStr">
        <is>
          <t>GÄVLEBORGS LÄN</t>
        </is>
      </c>
      <c r="E3" t="inlineStr">
        <is>
          <t>OCKELBO</t>
        </is>
      </c>
      <c r="G3" t="n">
        <v>1.3</v>
      </c>
      <c r="H3" t="n">
        <v>1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Fjällig taggsvamp s.str.
Kandelabersvamp
Kryddspindling
Puderspindling
Rovspindling
Skarp dropptaggsvamp
Ullticka
Kamjordstjärna
Blåsippa</t>
        </is>
      </c>
      <c r="S3">
        <f>HYPERLINK("https://klasma.github.io/Logging_2101/artfynd/A 14731-2026 artfynd.xlsx", "A 14731-2026")</f>
        <v/>
      </c>
      <c r="T3">
        <f>HYPERLINK("https://klasma.github.io/Logging_2101/kartor/A 14731-2026 karta.png", "A 14731-2026")</f>
        <v/>
      </c>
      <c r="V3">
        <f>HYPERLINK("https://klasma.github.io/Logging_2101/klagomål/A 14731-2026 FSC-klagomål.docx", "A 14731-2026")</f>
        <v/>
      </c>
      <c r="W3">
        <f>HYPERLINK("https://klasma.github.io/Logging_2101/klagomålsmail/A 14731-2026 FSC-klagomål mail.docx", "A 14731-2026")</f>
        <v/>
      </c>
      <c r="X3">
        <f>HYPERLINK("https://klasma.github.io/Logging_2101/tillsyn/A 14731-2026 tillsynsbegäran.docx", "A 14731-2026")</f>
        <v/>
      </c>
      <c r="Y3">
        <f>HYPERLINK("https://klasma.github.io/Logging_2101/tillsynsmail/A 14731-2026 tillsynsbegäran mail.docx", "A 14731-2026")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46197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s="1" t="n">
        <v>46044</v>
      </c>
      <c r="C5" s="1" t="n">
        <v>46197</v>
      </c>
      <c r="D5" t="inlineStr">
        <is>
          <t>GÄVLEBORGS LÄN</t>
        </is>
      </c>
      <c r="E5" t="inlineStr">
        <is>
          <t>OCKELBO</t>
        </is>
      </c>
      <c r="G5" t="n">
        <v>3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Ladusvala
Orange taggsvamp
Talltita
Gröngöling
Svartvit flugsnappare
Trana
Fläcknycklar</t>
        </is>
      </c>
      <c r="S5">
        <f>HYPERLINK("https://klasma.github.io/Logging_2101/artfynd/A 4009-2026 artfynd.xlsx", "A 4009-2026")</f>
        <v/>
      </c>
      <c r="T5">
        <f>HYPERLINK("https://klasma.github.io/Logging_2101/kartor/A 4009-2026 karta.png", "A 4009-2026")</f>
        <v/>
      </c>
      <c r="V5">
        <f>HYPERLINK("https://klasma.github.io/Logging_2101/klagomål/A 4009-2026 FSC-klagomål.docx", "A 4009-2026")</f>
        <v/>
      </c>
      <c r="W5">
        <f>HYPERLINK("https://klasma.github.io/Logging_2101/klagomålsmail/A 4009-2026 FSC-klagomål mail.docx", "A 4009-2026")</f>
        <v/>
      </c>
      <c r="X5">
        <f>HYPERLINK("https://klasma.github.io/Logging_2101/tillsyn/A 4009-2026 tillsynsbegäran.docx", "A 4009-2026")</f>
        <v/>
      </c>
      <c r="Y5">
        <f>HYPERLINK("https://klasma.github.io/Logging_2101/tillsynsmail/A 4009-2026 tillsynsbegäran mail.docx", "A 4009-2026")</f>
        <v/>
      </c>
      <c r="Z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s="1" t="n">
        <v>45545</v>
      </c>
      <c r="C6" s="1" t="n">
        <v>46197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17.2</v>
      </c>
      <c r="H6" t="n">
        <v>1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Skrovlig taggsvamp
Blå taggsvamp
Dropptaggsvamp
Svartvit taggsvamp
Tallriska
Korallblylav
Revlummer</t>
        </is>
      </c>
      <c r="S6">
        <f>HYPERLINK("https://klasma.github.io/Logging_2101/artfynd/A 38086-2024 artfynd.xlsx", "A 38086-2024")</f>
        <v/>
      </c>
      <c r="T6">
        <f>HYPERLINK("https://klasma.github.io/Logging_2101/kartor/A 38086-2024 karta.png", "A 38086-2024")</f>
        <v/>
      </c>
      <c r="V6">
        <f>HYPERLINK("https://klasma.github.io/Logging_2101/klagomål/A 38086-2024 FSC-klagomål.docx", "A 38086-2024")</f>
        <v/>
      </c>
      <c r="W6">
        <f>HYPERLINK("https://klasma.github.io/Logging_2101/klagomålsmail/A 38086-2024 FSC-klagomål mail.docx", "A 38086-2024")</f>
        <v/>
      </c>
      <c r="X6">
        <f>HYPERLINK("https://klasma.github.io/Logging_2101/tillsyn/A 38086-2024 tillsynsbegäran.docx", "A 38086-2024")</f>
        <v/>
      </c>
      <c r="Y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s="1" t="n">
        <v>46132</v>
      </c>
      <c r="C7" s="1" t="n">
        <v>46197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7.1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Garnlav
Dropptaggsvamp
Motaggsvamp
Plattlummer
Skinnlav
Fläcknycklar
Revlummer</t>
        </is>
      </c>
      <c r="S7">
        <f>HYPERLINK("https://klasma.github.io/Logging_2101/artfynd/A 19165-2026 artfynd.xlsx", "A 19165-2026")</f>
        <v/>
      </c>
      <c r="T7">
        <f>HYPERLINK("https://klasma.github.io/Logging_2101/kartor/A 19165-2026 karta.png", "A 19165-2026")</f>
        <v/>
      </c>
      <c r="V7">
        <f>HYPERLINK("https://klasma.github.io/Logging_2101/klagomål/A 19165-2026 FSC-klagomål.docx", "A 19165-2026")</f>
        <v/>
      </c>
      <c r="W7">
        <f>HYPERLINK("https://klasma.github.io/Logging_2101/klagomålsmail/A 19165-2026 FSC-klagomål mail.docx", "A 19165-2026")</f>
        <v/>
      </c>
      <c r="X7">
        <f>HYPERLINK("https://klasma.github.io/Logging_2101/tillsyn/A 19165-2026 tillsynsbegäran.docx", "A 19165-2026")</f>
        <v/>
      </c>
      <c r="Y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s="1" t="n">
        <v>46099</v>
      </c>
      <c r="C8" s="1" t="n">
        <v>46197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40.5</v>
      </c>
      <c r="H8" t="n">
        <v>0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Garnlav
Blanksvart spiklav
Dropptaggsvamp
Vedskivlav
Mindre märgborre
Nästlav
Vågbandad barkbock</t>
        </is>
      </c>
      <c r="S8">
        <f>HYPERLINK("https://klasma.github.io/Logging_2101/artfynd/A 14258-2026 artfynd.xlsx", "A 14258-2026")</f>
        <v/>
      </c>
      <c r="T8">
        <f>HYPERLINK("https://klasma.github.io/Logging_2101/kartor/A 14258-2026 karta.png", "A 14258-2026")</f>
        <v/>
      </c>
      <c r="U8">
        <f>HYPERLINK("https://klasma.github.io/Logging_2101/knärot/A 14258-2026 karta knärot.png", "A 14258-2026")</f>
        <v/>
      </c>
      <c r="V8">
        <f>HYPERLINK("https://klasma.github.io/Logging_2101/klagomål/A 14258-2026 FSC-klagomål.docx", "A 14258-2026")</f>
        <v/>
      </c>
      <c r="W8">
        <f>HYPERLINK("https://klasma.github.io/Logging_2101/klagomålsmail/A 14258-2026 FSC-klagomål mail.docx", "A 14258-2026")</f>
        <v/>
      </c>
      <c r="X8">
        <f>HYPERLINK("https://klasma.github.io/Logging_2101/tillsyn/A 14258-2026 tillsynsbegäran.docx", "A 14258-2026")</f>
        <v/>
      </c>
      <c r="Y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s="1" t="n">
        <v>45106</v>
      </c>
      <c r="C9" s="1" t="n">
        <v>46197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5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Vårärt
Skogsknipprot
Tibast
Blåsippa
Fläcknycklar
Lopplummer (aggregat)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33367-2025</t>
        </is>
      </c>
      <c r="B10" s="1" t="n">
        <v>45841</v>
      </c>
      <c r="C10" s="1" t="n">
        <v>46197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Talltita
Vedskivlav
Bronshjon
Vågbandad barkbock
Spillkråka
Tjäder</t>
        </is>
      </c>
      <c r="S10">
        <f>HYPERLINK("https://klasma.github.io/Logging_2101/artfynd/A 33367-2025 artfynd.xlsx", "A 33367-2025")</f>
        <v/>
      </c>
      <c r="T10">
        <f>HYPERLINK("https://klasma.github.io/Logging_2101/kartor/A 33367-2025 karta.png", "A 33367-2025")</f>
        <v/>
      </c>
      <c r="V10">
        <f>HYPERLINK("https://klasma.github.io/Logging_2101/klagomål/A 33367-2025 FSC-klagomål.docx", "A 33367-2025")</f>
        <v/>
      </c>
      <c r="W10">
        <f>HYPERLINK("https://klasma.github.io/Logging_2101/klagomålsmail/A 33367-2025 FSC-klagomål mail.docx", "A 33367-2025")</f>
        <v/>
      </c>
      <c r="X10">
        <f>HYPERLINK("https://klasma.github.io/Logging_2101/tillsyn/A 33367-2025 tillsynsbegäran.docx", "A 33367-2025")</f>
        <v/>
      </c>
      <c r="Y10">
        <f>HYPERLINK("https://klasma.github.io/Logging_2101/tillsynsmail/A 33367-2025 tillsynsbegäran mail.docx", "A 33367-2025")</f>
        <v/>
      </c>
      <c r="Z10">
        <f>HYPERLINK("https://klasma.github.io/Logging_2101/fåglar/A 33367-2025 prioriterade fågelarter.docx", "A 33367-2025")</f>
        <v/>
      </c>
    </row>
    <row r="11" ht="15" customHeight="1">
      <c r="A11" t="inlineStr">
        <is>
          <t>A 10518-2026</t>
        </is>
      </c>
      <c r="B11" s="1" t="n">
        <v>46077</v>
      </c>
      <c r="C11" s="1" t="n">
        <v>46197</v>
      </c>
      <c r="D11" t="inlineStr">
        <is>
          <t>GÄVLEBORGS LÄN</t>
        </is>
      </c>
      <c r="E11" t="inlineStr">
        <is>
          <t>OCKELBO</t>
        </is>
      </c>
      <c r="G11" t="n">
        <v>5.1</v>
      </c>
      <c r="H11" t="n">
        <v>1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6</v>
      </c>
      <c r="R11" s="2" t="inlineStr">
        <is>
          <t>Garnlav
Knärot
Rynkskinn
Tallticka
Ullticka
Bronshjon</t>
        </is>
      </c>
      <c r="S11">
        <f>HYPERLINK("https://klasma.github.io/Logging_2101/artfynd/A 10518-2026 artfynd.xlsx", "A 10518-2026")</f>
        <v/>
      </c>
      <c r="T11">
        <f>HYPERLINK("https://klasma.github.io/Logging_2101/kartor/A 10518-2026 karta.png", "A 10518-2026")</f>
        <v/>
      </c>
      <c r="U11">
        <f>HYPERLINK("https://klasma.github.io/Logging_2101/knärot/A 10518-2026 karta knärot.png", "A 10518-2026")</f>
        <v/>
      </c>
      <c r="V11">
        <f>HYPERLINK("https://klasma.github.io/Logging_2101/klagomål/A 10518-2026 FSC-klagomål.docx", "A 10518-2026")</f>
        <v/>
      </c>
      <c r="W11">
        <f>HYPERLINK("https://klasma.github.io/Logging_2101/klagomålsmail/A 10518-2026 FSC-klagomål mail.docx", "A 10518-2026")</f>
        <v/>
      </c>
      <c r="X11">
        <f>HYPERLINK("https://klasma.github.io/Logging_2101/tillsyn/A 10518-2026 tillsynsbegäran.docx", "A 10518-2026")</f>
        <v/>
      </c>
      <c r="Y11">
        <f>HYPERLINK("https://klasma.github.io/Logging_2101/tillsynsmail/A 10518-2026 tillsynsbegäran mail.docx", "A 10518-2026")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46197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Kortskaftad ärgspik
Motaggsvamp
Järpe
Tjäder
Buskskvätta
Fläcknycklar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46197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14115-2026</t>
        </is>
      </c>
      <c r="B14" s="1" t="n">
        <v>46099</v>
      </c>
      <c r="C14" s="1" t="n">
        <v>46197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10.7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Lunglav
Vedskivlav
Bårdlav
Stuplav</t>
        </is>
      </c>
      <c r="S14">
        <f>HYPERLINK("https://klasma.github.io/Logging_2101/artfynd/A 14115-2026 artfynd.xlsx", "A 14115-2026")</f>
        <v/>
      </c>
      <c r="T14">
        <f>HYPERLINK("https://klasma.github.io/Logging_2101/kartor/A 14115-2026 karta.png", "A 14115-2026")</f>
        <v/>
      </c>
      <c r="V14">
        <f>HYPERLINK("https://klasma.github.io/Logging_2101/klagomål/A 14115-2026 FSC-klagomål.docx", "A 14115-2026")</f>
        <v/>
      </c>
      <c r="W14">
        <f>HYPERLINK("https://klasma.github.io/Logging_2101/klagomålsmail/A 14115-2026 FSC-klagomål mail.docx", "A 14115-2026")</f>
        <v/>
      </c>
      <c r="X14">
        <f>HYPERLINK("https://klasma.github.io/Logging_2101/tillsyn/A 14115-2026 tillsynsbegäran.docx", "A 14115-2026")</f>
        <v/>
      </c>
      <c r="Y14">
        <f>HYPERLINK("https://klasma.github.io/Logging_2101/tillsynsmail/A 14115-2026 tillsynsbegäran mail.docx", "A 14115-2026")</f>
        <v/>
      </c>
    </row>
    <row r="15" ht="15" customHeight="1">
      <c r="A15" t="inlineStr">
        <is>
          <t>A 24596-2026</t>
        </is>
      </c>
      <c r="B15" s="1" t="n">
        <v>46170</v>
      </c>
      <c r="C15" s="1" t="n">
        <v>46197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3.1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Violettgrå tagellav
Vågbandad barkbock
Tjäder</t>
        </is>
      </c>
      <c r="S15">
        <f>HYPERLINK("https://klasma.github.io/Logging_2101/artfynd/A 24596-2026 artfynd.xlsx", "A 24596-2026")</f>
        <v/>
      </c>
      <c r="T15">
        <f>HYPERLINK("https://klasma.github.io/Logging_2101/kartor/A 24596-2026 karta.png", "A 24596-2026")</f>
        <v/>
      </c>
      <c r="V15">
        <f>HYPERLINK("https://klasma.github.io/Logging_2101/klagomål/A 24596-2026 FSC-klagomål.docx", "A 24596-2026")</f>
        <v/>
      </c>
      <c r="W15">
        <f>HYPERLINK("https://klasma.github.io/Logging_2101/klagomålsmail/A 24596-2026 FSC-klagomål mail.docx", "A 24596-2026")</f>
        <v/>
      </c>
      <c r="X15">
        <f>HYPERLINK("https://klasma.github.io/Logging_2101/tillsyn/A 24596-2026 tillsynsbegäran.docx", "A 24596-2026")</f>
        <v/>
      </c>
      <c r="Y15">
        <f>HYPERLINK("https://klasma.github.io/Logging_2101/tillsynsmail/A 24596-2026 tillsynsbegäran mail.docx", "A 24596-2026")</f>
        <v/>
      </c>
      <c r="Z15">
        <f>HYPERLINK("https://klasma.github.io/Logging_2101/fåglar/A 24596-2026 prioriterade fågelarter.docx", "A 24596-2026")</f>
        <v/>
      </c>
    </row>
    <row r="16" ht="15" customHeight="1">
      <c r="A16" t="inlineStr">
        <is>
          <t>A 26463-2024</t>
        </is>
      </c>
      <c r="B16" s="1" t="n">
        <v>45469</v>
      </c>
      <c r="C16" s="1" t="n">
        <v>46197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Tvåblad
Fläcknycklar
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18253-2026</t>
        </is>
      </c>
      <c r="B17" s="1" t="n">
        <v>46126</v>
      </c>
      <c r="C17" s="1" t="n">
        <v>46197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Vårärt
Blåsippa
Nattviol</t>
        </is>
      </c>
      <c r="S17">
        <f>HYPERLINK("https://klasma.github.io/Logging_2101/artfynd/A 18253-2026 artfynd.xlsx", "A 18253-2026")</f>
        <v/>
      </c>
      <c r="T17">
        <f>HYPERLINK("https://klasma.github.io/Logging_2101/kartor/A 18253-2026 karta.png", "A 18253-2026")</f>
        <v/>
      </c>
      <c r="V17">
        <f>HYPERLINK("https://klasma.github.io/Logging_2101/klagomål/A 18253-2026 FSC-klagomål.docx", "A 18253-2026")</f>
        <v/>
      </c>
      <c r="W17">
        <f>HYPERLINK("https://klasma.github.io/Logging_2101/klagomålsmail/A 18253-2026 FSC-klagomål mail.docx", "A 18253-2026")</f>
        <v/>
      </c>
      <c r="X17">
        <f>HYPERLINK("https://klasma.github.io/Logging_2101/tillsyn/A 18253-2026 tillsynsbegäran.docx", "A 18253-2026")</f>
        <v/>
      </c>
      <c r="Y17">
        <f>HYPERLINK("https://klasma.github.io/Logging_2101/tillsynsmail/A 18253-2026 tillsynsbegäran mail.docx", "A 18253-2026")</f>
        <v/>
      </c>
    </row>
    <row r="18" ht="15" customHeight="1">
      <c r="A18" t="inlineStr">
        <is>
          <t>A 27199-2025</t>
        </is>
      </c>
      <c r="B18" s="1" t="n">
        <v>45812</v>
      </c>
      <c r="C18" s="1" t="n">
        <v>46197</v>
      </c>
      <c r="D18" t="inlineStr">
        <is>
          <t>GÄVLEBORGS LÄN</t>
        </is>
      </c>
      <c r="E18" t="inlineStr">
        <is>
          <t>OCKELBO</t>
        </is>
      </c>
      <c r="G18" t="n">
        <v>1.6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Dropptaggsvamp
Mattlummer</t>
        </is>
      </c>
      <c r="S18">
        <f>HYPERLINK("https://klasma.github.io/Logging_2101/artfynd/A 27199-2025 artfynd.xlsx", "A 27199-2025")</f>
        <v/>
      </c>
      <c r="T18">
        <f>HYPERLINK("https://klasma.github.io/Logging_2101/kartor/A 27199-2025 karta.png", "A 27199-2025")</f>
        <v/>
      </c>
      <c r="U18">
        <f>HYPERLINK("https://klasma.github.io/Logging_2101/knärot/A 27199-2025 karta knärot.png", "A 27199-2025")</f>
        <v/>
      </c>
      <c r="V18">
        <f>HYPERLINK("https://klasma.github.io/Logging_2101/klagomål/A 27199-2025 FSC-klagomål.docx", "A 27199-2025")</f>
        <v/>
      </c>
      <c r="W18">
        <f>HYPERLINK("https://klasma.github.io/Logging_2101/klagomålsmail/A 27199-2025 FSC-klagomål mail.docx", "A 27199-2025")</f>
        <v/>
      </c>
      <c r="X18">
        <f>HYPERLINK("https://klasma.github.io/Logging_2101/tillsyn/A 27199-2025 tillsynsbegäran.docx", "A 27199-2025")</f>
        <v/>
      </c>
      <c r="Y18">
        <f>HYPERLINK("https://klasma.github.io/Logging_2101/tillsynsmail/A 27199-2025 tillsynsbegäran mail.docx", "A 27199-2025")</f>
        <v/>
      </c>
    </row>
    <row r="19" ht="15" customHeight="1">
      <c r="A19" t="inlineStr">
        <is>
          <t>A 13474-2026</t>
        </is>
      </c>
      <c r="B19" s="1" t="n">
        <v>46094</v>
      </c>
      <c r="C19" s="1" t="n">
        <v>46197</v>
      </c>
      <c r="D19" t="inlineStr">
        <is>
          <t>GÄVLEBORGS LÄN</t>
        </is>
      </c>
      <c r="E19" t="inlineStr">
        <is>
          <t>OCKELBO</t>
        </is>
      </c>
      <c r="F19" t="inlineStr">
        <is>
          <t>Naturvårdsverket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Ullticka
Vedtrappmossa</t>
        </is>
      </c>
      <c r="S19">
        <f>HYPERLINK("https://klasma.github.io/Logging_2101/artfynd/A 13474-2026 artfynd.xlsx", "A 13474-2026")</f>
        <v/>
      </c>
      <c r="T19">
        <f>HYPERLINK("https://klasma.github.io/Logging_2101/kartor/A 13474-2026 karta.png", "A 13474-2026")</f>
        <v/>
      </c>
      <c r="V19">
        <f>HYPERLINK("https://klasma.github.io/Logging_2101/klagomål/A 13474-2026 FSC-klagomål.docx", "A 13474-2026")</f>
        <v/>
      </c>
      <c r="W19">
        <f>HYPERLINK("https://klasma.github.io/Logging_2101/klagomålsmail/A 13474-2026 FSC-klagomål mail.docx", "A 13474-2026")</f>
        <v/>
      </c>
      <c r="X19">
        <f>HYPERLINK("https://klasma.github.io/Logging_2101/tillsyn/A 13474-2026 tillsynsbegäran.docx", "A 13474-2026")</f>
        <v/>
      </c>
      <c r="Y19">
        <f>HYPERLINK("https://klasma.github.io/Logging_2101/tillsynsmail/A 13474-2026 tillsynsbegäran mail.docx", "A 13474-2026")</f>
        <v/>
      </c>
    </row>
    <row r="20" ht="15" customHeight="1">
      <c r="A20" t="inlineStr">
        <is>
          <t>A 830-2026</t>
        </is>
      </c>
      <c r="B20" s="1" t="n">
        <v>46030</v>
      </c>
      <c r="C20" s="1" t="n">
        <v>46197</v>
      </c>
      <c r="D20" t="inlineStr">
        <is>
          <t>GÄVLEBORGS LÄN</t>
        </is>
      </c>
      <c r="E20" t="inlineStr">
        <is>
          <t>OCKELBO</t>
        </is>
      </c>
      <c r="G20" t="n">
        <v>14.9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Mattlummer
Nattviol
Revlummer</t>
        </is>
      </c>
      <c r="S20">
        <f>HYPERLINK("https://klasma.github.io/Logging_2101/artfynd/A 830-2026 artfynd.xlsx", "A 830-2026")</f>
        <v/>
      </c>
      <c r="T20">
        <f>HYPERLINK("https://klasma.github.io/Logging_2101/kartor/A 830-2026 karta.png", "A 830-2026")</f>
        <v/>
      </c>
      <c r="V20">
        <f>HYPERLINK("https://klasma.github.io/Logging_2101/klagomål/A 830-2026 FSC-klagomål.docx", "A 830-2026")</f>
        <v/>
      </c>
      <c r="W20">
        <f>HYPERLINK("https://klasma.github.io/Logging_2101/klagomålsmail/A 830-2026 FSC-klagomål mail.docx", "A 830-2026")</f>
        <v/>
      </c>
      <c r="X20">
        <f>HYPERLINK("https://klasma.github.io/Logging_2101/tillsyn/A 830-2026 tillsynsbegäran.docx", "A 830-2026")</f>
        <v/>
      </c>
      <c r="Y20">
        <f>HYPERLINK("https://klasma.github.io/Logging_2101/tillsynsmail/A 830-2026 tillsynsbegäran mail.docx", "A 830-2026")</f>
        <v/>
      </c>
    </row>
    <row r="21" ht="15" customHeight="1">
      <c r="A21" t="inlineStr">
        <is>
          <t>A 9324-2026</t>
        </is>
      </c>
      <c r="B21" s="1" t="n">
        <v>46070</v>
      </c>
      <c r="C21" s="1" t="n">
        <v>46197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38.6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Grönpyrola
Vedticka
Spillkråka</t>
        </is>
      </c>
      <c r="S21">
        <f>HYPERLINK("https://klasma.github.io/Logging_2101/artfynd/A 9324-2026 artfynd.xlsx", "A 9324-2026")</f>
        <v/>
      </c>
      <c r="T21">
        <f>HYPERLINK("https://klasma.github.io/Logging_2101/kartor/A 9324-2026 karta.png", "A 9324-2026")</f>
        <v/>
      </c>
      <c r="V21">
        <f>HYPERLINK("https://klasma.github.io/Logging_2101/klagomål/A 9324-2026 FSC-klagomål.docx", "A 9324-2026")</f>
        <v/>
      </c>
      <c r="W21">
        <f>HYPERLINK("https://klasma.github.io/Logging_2101/klagomålsmail/A 9324-2026 FSC-klagomål mail.docx", "A 9324-2026")</f>
        <v/>
      </c>
      <c r="X21">
        <f>HYPERLINK("https://klasma.github.io/Logging_2101/tillsyn/A 9324-2026 tillsynsbegäran.docx", "A 9324-2026")</f>
        <v/>
      </c>
      <c r="Y21">
        <f>HYPERLINK("https://klasma.github.io/Logging_2101/tillsynsmail/A 9324-2026 tillsynsbegäran mail.docx", "A 9324-2026")</f>
        <v/>
      </c>
      <c r="Z21">
        <f>HYPERLINK("https://klasma.github.io/Logging_2101/fåglar/A 9324-2026 prioriterade fågelarter.docx", "A 9324-2026")</f>
        <v/>
      </c>
    </row>
    <row r="22" ht="15" customHeight="1">
      <c r="A22" t="inlineStr">
        <is>
          <t>A 18091-2026</t>
        </is>
      </c>
      <c r="B22" s="1" t="n">
        <v>46125</v>
      </c>
      <c r="C22" s="1" t="n">
        <v>46197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21.6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Vanlig padda
Fläcknycklar</t>
        </is>
      </c>
      <c r="S22">
        <f>HYPERLINK("https://klasma.github.io/Logging_2101/artfynd/A 18091-2026 artfynd.xlsx", "A 18091-2026")</f>
        <v/>
      </c>
      <c r="T22">
        <f>HYPERLINK("https://klasma.github.io/Logging_2101/kartor/A 18091-2026 karta.png", "A 18091-2026")</f>
        <v/>
      </c>
      <c r="V22">
        <f>HYPERLINK("https://klasma.github.io/Logging_2101/klagomål/A 18091-2026 FSC-klagomål.docx", "A 18091-2026")</f>
        <v/>
      </c>
      <c r="W22">
        <f>HYPERLINK("https://klasma.github.io/Logging_2101/klagomålsmail/A 18091-2026 FSC-klagomål mail.docx", "A 18091-2026")</f>
        <v/>
      </c>
      <c r="X22">
        <f>HYPERLINK("https://klasma.github.io/Logging_2101/tillsyn/A 18091-2026 tillsynsbegäran.docx", "A 18091-2026")</f>
        <v/>
      </c>
      <c r="Y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s="1" t="n">
        <v>46185</v>
      </c>
      <c r="C23" s="1" t="n">
        <v>46197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Fläcknycklar</t>
        </is>
      </c>
      <c r="S23">
        <f>HYPERLINK("https://klasma.github.io/Logging_2101/artfynd/A 26870-2026 artfynd.xlsx", "A 26870-2026")</f>
        <v/>
      </c>
      <c r="T23">
        <f>HYPERLINK("https://klasma.github.io/Logging_2101/kartor/A 26870-2026 karta.png", "A 26870-2026")</f>
        <v/>
      </c>
      <c r="V23">
        <f>HYPERLINK("https://klasma.github.io/Logging_2101/klagomål/A 26870-2026 FSC-klagomål.docx", "A 26870-2026")</f>
        <v/>
      </c>
      <c r="W23">
        <f>HYPERLINK("https://klasma.github.io/Logging_2101/klagomålsmail/A 26870-2026 FSC-klagomål mail.docx", "A 26870-2026")</f>
        <v/>
      </c>
      <c r="X23">
        <f>HYPERLINK("https://klasma.github.io/Logging_2101/tillsyn/A 26870-2026 tillsynsbegäran.docx", "A 26870-2026")</f>
        <v/>
      </c>
      <c r="Y23">
        <f>HYPERLINK("https://klasma.github.io/Logging_2101/tillsynsmail/A 26870-2026 tillsynsbegäran mail.docx", "A 26870-2026")</f>
        <v/>
      </c>
    </row>
    <row r="24" ht="15" customHeight="1">
      <c r="A24" t="inlineStr">
        <is>
          <t>A 4180-2026</t>
        </is>
      </c>
      <c r="B24" s="1" t="n">
        <v>46044</v>
      </c>
      <c r="C24" s="1" t="n">
        <v>46197</v>
      </c>
      <c r="D24" t="inlineStr">
        <is>
          <t>GÄVLEBORGS LÄN</t>
        </is>
      </c>
      <c r="E24" t="inlineStr">
        <is>
          <t>OCKELBO</t>
        </is>
      </c>
      <c r="G24" t="n">
        <v>15.9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HYPERLINK("https://klasma.github.io/Logging_2101/artfynd/A 4180-2026 artfynd.xlsx", "A 4180-2026")</f>
        <v/>
      </c>
      <c r="T24">
        <f>HYPERLINK("https://klasma.github.io/Logging_2101/kartor/A 4180-2026 karta.png", "A 4180-2026")</f>
        <v/>
      </c>
      <c r="V24">
        <f>HYPERLINK("https://klasma.github.io/Logging_2101/klagomål/A 4180-2026 FSC-klagomål.docx", "A 4180-2026")</f>
        <v/>
      </c>
      <c r="W24">
        <f>HYPERLINK("https://klasma.github.io/Logging_2101/klagomålsmail/A 4180-2026 FSC-klagomål mail.docx", "A 4180-2026")</f>
        <v/>
      </c>
      <c r="X24">
        <f>HYPERLINK("https://klasma.github.io/Logging_2101/tillsyn/A 4180-2026 tillsynsbegäran.docx", "A 4180-2026")</f>
        <v/>
      </c>
      <c r="Y24">
        <f>HYPERLINK("https://klasma.github.io/Logging_2101/tillsynsmail/A 4180-2026 tillsynsbegäran mail.docx", "A 4180-2026")</f>
        <v/>
      </c>
      <c r="Z24">
        <f>HYPERLINK("https://klasma.github.io/Logging_2101/fåglar/A 4180-2026 prioriterade fågelarter.docx", "A 4180-2026")</f>
        <v/>
      </c>
    </row>
    <row r="25" ht="15" customHeight="1">
      <c r="A25" t="inlineStr">
        <is>
          <t>A 2201-2026</t>
        </is>
      </c>
      <c r="B25" s="1" t="n">
        <v>46036</v>
      </c>
      <c r="C25" s="1" t="n">
        <v>46197</v>
      </c>
      <c r="D25" t="inlineStr">
        <is>
          <t>GÄVLEBORGS LÄN</t>
        </is>
      </c>
      <c r="E25" t="inlineStr">
        <is>
          <t>OCKELBO</t>
        </is>
      </c>
      <c r="G25" t="n">
        <v>2.4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Revlummer</t>
        </is>
      </c>
      <c r="S25">
        <f>HYPERLINK("https://klasma.github.io/Logging_2101/artfynd/A 2201-2026 artfynd.xlsx", "A 2201-2026")</f>
        <v/>
      </c>
      <c r="T25">
        <f>HYPERLINK("https://klasma.github.io/Logging_2101/kartor/A 2201-2026 karta.png", "A 2201-2026")</f>
        <v/>
      </c>
      <c r="V25">
        <f>HYPERLINK("https://klasma.github.io/Logging_2101/klagomål/A 2201-2026 FSC-klagomål.docx", "A 2201-2026")</f>
        <v/>
      </c>
      <c r="W25">
        <f>HYPERLINK("https://klasma.github.io/Logging_2101/klagomålsmail/A 2201-2026 FSC-klagomål mail.docx", "A 2201-2026")</f>
        <v/>
      </c>
      <c r="X25">
        <f>HYPERLINK("https://klasma.github.io/Logging_2101/tillsyn/A 2201-2026 tillsynsbegäran.docx", "A 2201-2026")</f>
        <v/>
      </c>
      <c r="Y25">
        <f>HYPERLINK("https://klasma.github.io/Logging_2101/tillsynsmail/A 2201-2026 tillsynsbegäran mail.docx", "A 2201-2026")</f>
        <v/>
      </c>
    </row>
    <row r="26" ht="15" customHeight="1">
      <c r="A26" t="inlineStr">
        <is>
          <t>A 17107-2026</t>
        </is>
      </c>
      <c r="B26" s="1" t="n">
        <v>46114</v>
      </c>
      <c r="C26" s="1" t="n">
        <v>46197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36.8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HYPERLINK("https://klasma.github.io/Logging_2101/artfynd/A 17107-2026 artfynd.xlsx", "A 17107-2026")</f>
        <v/>
      </c>
      <c r="T26">
        <f>HYPERLINK("https://klasma.github.io/Logging_2101/kartor/A 17107-2026 karta.png", "A 17107-2026")</f>
        <v/>
      </c>
      <c r="V26">
        <f>HYPERLINK("https://klasma.github.io/Logging_2101/klagomål/A 17107-2026 FSC-klagomål.docx", "A 17107-2026")</f>
        <v/>
      </c>
      <c r="W26">
        <f>HYPERLINK("https://klasma.github.io/Logging_2101/klagomålsmail/A 17107-2026 FSC-klagomål mail.docx", "A 17107-2026")</f>
        <v/>
      </c>
      <c r="X26">
        <f>HYPERLINK("https://klasma.github.io/Logging_2101/tillsyn/A 17107-2026 tillsynsbegäran.docx", "A 17107-2026")</f>
        <v/>
      </c>
      <c r="Y26">
        <f>HYPERLINK("https://klasma.github.io/Logging_2101/tillsynsmail/A 17107-2026 tillsynsbegäran mail.docx", "A 17107-2026")</f>
        <v/>
      </c>
    </row>
    <row r="27" ht="15" customHeight="1">
      <c r="A27" t="inlineStr">
        <is>
          <t>A 19145-2026</t>
        </is>
      </c>
      <c r="B27" s="1" t="n">
        <v>46132</v>
      </c>
      <c r="C27" s="1" t="n">
        <v>46197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11.9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Garnlav
Revlummer</t>
        </is>
      </c>
      <c r="S27">
        <f>HYPERLINK("https://klasma.github.io/Logging_2101/artfynd/A 19145-2026 artfynd.xlsx", "A 19145-2026")</f>
        <v/>
      </c>
      <c r="T27">
        <f>HYPERLINK("https://klasma.github.io/Logging_2101/kartor/A 19145-2026 karta.png", "A 19145-2026")</f>
        <v/>
      </c>
      <c r="V27">
        <f>HYPERLINK("https://klasma.github.io/Logging_2101/klagomål/A 19145-2026 FSC-klagomål.docx", "A 19145-2026")</f>
        <v/>
      </c>
      <c r="W27">
        <f>HYPERLINK("https://klasma.github.io/Logging_2101/klagomålsmail/A 19145-2026 FSC-klagomål mail.docx", "A 19145-2026")</f>
        <v/>
      </c>
      <c r="X27">
        <f>HYPERLINK("https://klasma.github.io/Logging_2101/tillsyn/A 19145-2026 tillsynsbegäran.docx", "A 19145-2026")</f>
        <v/>
      </c>
      <c r="Y27">
        <f>HYPERLINK("https://klasma.github.io/Logging_2101/tillsynsmail/A 19145-2026 tillsynsbegäran mail.docx", "A 19145-2026")</f>
        <v/>
      </c>
    </row>
    <row r="28" ht="15" customHeight="1">
      <c r="A28" t="inlineStr">
        <is>
          <t>A 18117-2026</t>
        </is>
      </c>
      <c r="B28" s="1" t="n">
        <v>46125</v>
      </c>
      <c r="C28" s="1" t="n">
        <v>46197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groda
Fläcknycklar</t>
        </is>
      </c>
      <c r="S28">
        <f>HYPERLINK("https://klasma.github.io/Logging_2101/artfynd/A 18117-2026 artfynd.xlsx", "A 18117-2026")</f>
        <v/>
      </c>
      <c r="T28">
        <f>HYPERLINK("https://klasma.github.io/Logging_2101/kartor/A 18117-2026 karta.png", "A 18117-2026")</f>
        <v/>
      </c>
      <c r="V28">
        <f>HYPERLINK("https://klasma.github.io/Logging_2101/klagomål/A 18117-2026 FSC-klagomål.docx", "A 18117-2026")</f>
        <v/>
      </c>
      <c r="W28">
        <f>HYPERLINK("https://klasma.github.io/Logging_2101/klagomålsmail/A 18117-2026 FSC-klagomål mail.docx", "A 18117-2026")</f>
        <v/>
      </c>
      <c r="X28">
        <f>HYPERLINK("https://klasma.github.io/Logging_2101/tillsyn/A 18117-2026 tillsynsbegäran.docx", "A 18117-2026")</f>
        <v/>
      </c>
      <c r="Y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s="1" t="n">
        <v>46125</v>
      </c>
      <c r="C29" s="1" t="n">
        <v>46197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Vanlig padda
Fläcknycklar</t>
        </is>
      </c>
      <c r="S29">
        <f>HYPERLINK("https://klasma.github.io/Logging_2101/artfynd/A 18120-2026 artfynd.xlsx", "A 18120-2026")</f>
        <v/>
      </c>
      <c r="T29">
        <f>HYPERLINK("https://klasma.github.io/Logging_2101/kartor/A 18120-2026 karta.png", "A 18120-2026")</f>
        <v/>
      </c>
      <c r="V29">
        <f>HYPERLINK("https://klasma.github.io/Logging_2101/klagomål/A 18120-2026 FSC-klagomål.docx", "A 18120-2026")</f>
        <v/>
      </c>
      <c r="W29">
        <f>HYPERLINK("https://klasma.github.io/Logging_2101/klagomålsmail/A 18120-2026 FSC-klagomål mail.docx", "A 18120-2026")</f>
        <v/>
      </c>
      <c r="X29">
        <f>HYPERLINK("https://klasma.github.io/Logging_2101/tillsyn/A 18120-2026 tillsynsbegäran.docx", "A 18120-2026")</f>
        <v/>
      </c>
      <c r="Y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s="1" t="n">
        <v>46139</v>
      </c>
      <c r="C30" s="1" t="n">
        <v>46197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Lopplummer (aggregat)</t>
        </is>
      </c>
      <c r="S30">
        <f>HYPERLINK("https://klasma.github.io/Logging_2101/artfynd/A 20299-2026 artfynd.xlsx", "A 20299-2026")</f>
        <v/>
      </c>
      <c r="T30">
        <f>HYPERLINK("https://klasma.github.io/Logging_2101/kartor/A 20299-2026 karta.png", "A 20299-2026")</f>
        <v/>
      </c>
      <c r="V30">
        <f>HYPERLINK("https://klasma.github.io/Logging_2101/klagomål/A 20299-2026 FSC-klagomål.docx", "A 20299-2026")</f>
        <v/>
      </c>
      <c r="W30">
        <f>HYPERLINK("https://klasma.github.io/Logging_2101/klagomålsmail/A 20299-2026 FSC-klagomål mail.docx", "A 20299-2026")</f>
        <v/>
      </c>
      <c r="X30">
        <f>HYPERLINK("https://klasma.github.io/Logging_2101/tillsyn/A 20299-2026 tillsynsbegäran.docx", "A 20299-2026")</f>
        <v/>
      </c>
      <c r="Y30">
        <f>HYPERLINK("https://klasma.github.io/Logging_2101/tillsynsmail/A 20299-2026 tillsynsbegäran mail.docx", "A 20299-2026")</f>
        <v/>
      </c>
    </row>
    <row r="31" ht="15" customHeight="1">
      <c r="A31" t="inlineStr">
        <is>
          <t>A 2923-2026</t>
        </is>
      </c>
      <c r="B31" s="1" t="n">
        <v>46038</v>
      </c>
      <c r="C31" s="1" t="n">
        <v>46197</v>
      </c>
      <c r="D31" t="inlineStr">
        <is>
          <t>GÄVLEBORGS LÄN</t>
        </is>
      </c>
      <c r="E31" t="inlineStr">
        <is>
          <t>OCKELBO</t>
        </is>
      </c>
      <c r="G31" t="n">
        <v>2.8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HYPERLINK("https://klasma.github.io/Logging_2101/artfynd/A 2923-2026 artfynd.xlsx", "A 2923-2026")</f>
        <v/>
      </c>
      <c r="T31">
        <f>HYPERLINK("https://klasma.github.io/Logging_2101/kartor/A 2923-2026 karta.png", "A 2923-2026")</f>
        <v/>
      </c>
      <c r="U31">
        <f>HYPERLINK("https://klasma.github.io/Logging_2101/knärot/A 2923-2026 karta knärot.png", "A 2923-2026")</f>
        <v/>
      </c>
      <c r="V31">
        <f>HYPERLINK("https://klasma.github.io/Logging_2101/klagomål/A 2923-2026 FSC-klagomål.docx", "A 2923-2026")</f>
        <v/>
      </c>
      <c r="W31">
        <f>HYPERLINK("https://klasma.github.io/Logging_2101/klagomålsmail/A 2923-2026 FSC-klagomål mail.docx", "A 2923-2026")</f>
        <v/>
      </c>
      <c r="X31">
        <f>HYPERLINK("https://klasma.github.io/Logging_2101/tillsyn/A 2923-2026 tillsynsbegäran.docx", "A 2923-2026")</f>
        <v/>
      </c>
      <c r="Y31">
        <f>HYPERLINK("https://klasma.github.io/Logging_2101/tillsynsmail/A 2923-2026 tillsynsbegäran mail.docx", "A 2923-2026")</f>
        <v/>
      </c>
    </row>
    <row r="32" ht="15" customHeight="1">
      <c r="A32" t="inlineStr">
        <is>
          <t>A 64364-2023</t>
        </is>
      </c>
      <c r="B32" s="1" t="n">
        <v>45280</v>
      </c>
      <c r="C32" s="1" t="n">
        <v>46197</v>
      </c>
      <c r="D32" t="inlineStr">
        <is>
          <t>GÄVLEBORGS LÄN</t>
        </is>
      </c>
      <c r="E32" t="inlineStr">
        <is>
          <t>OCKELBO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HYPERLINK("https://klasma.github.io/Logging_2101/artfynd/A 64364-2023 artfynd.xlsx", "A 64364-2023")</f>
        <v/>
      </c>
      <c r="T32">
        <f>HYPERLINK("https://klasma.github.io/Logging_2101/kartor/A 64364-2023 karta.png", "A 64364-2023")</f>
        <v/>
      </c>
      <c r="V32">
        <f>HYPERLINK("https://klasma.github.io/Logging_2101/klagomål/A 64364-2023 FSC-klagomål.docx", "A 64364-2023")</f>
        <v/>
      </c>
      <c r="W32">
        <f>HYPERLINK("https://klasma.github.io/Logging_2101/klagomålsmail/A 64364-2023 FSC-klagomål mail.docx", "A 64364-2023")</f>
        <v/>
      </c>
      <c r="X32">
        <f>HYPERLINK("https://klasma.github.io/Logging_2101/tillsyn/A 64364-2023 tillsynsbegäran.docx", "A 64364-2023")</f>
        <v/>
      </c>
      <c r="Y32">
        <f>HYPERLINK("https://klasma.github.io/Logging_2101/tillsynsmail/A 64364-2023 tillsynsbegäran mail.docx", "A 64364-2023")</f>
        <v/>
      </c>
    </row>
    <row r="33" ht="15" customHeight="1">
      <c r="A33" t="inlineStr">
        <is>
          <t>A 57946-2023</t>
        </is>
      </c>
      <c r="B33" s="1" t="n">
        <v>45247</v>
      </c>
      <c r="C33" s="1" t="n">
        <v>46197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57946-2023 artfynd.xlsx", "A 57946-2023")</f>
        <v/>
      </c>
      <c r="T33">
        <f>HYPERLINK("https://klasma.github.io/Logging_2101/kartor/A 57946-2023 karta.png", "A 57946-2023")</f>
        <v/>
      </c>
      <c r="V33">
        <f>HYPERLINK("https://klasma.github.io/Logging_2101/klagomål/A 57946-2023 FSC-klagomål.docx", "A 57946-2023")</f>
        <v/>
      </c>
      <c r="W33">
        <f>HYPERLINK("https://klasma.github.io/Logging_2101/klagomålsmail/A 57946-2023 FSC-klagomål mail.docx", "A 57946-2023")</f>
        <v/>
      </c>
      <c r="X33">
        <f>HYPERLINK("https://klasma.github.io/Logging_2101/tillsyn/A 57946-2023 tillsynsbegäran.docx", "A 57946-2023")</f>
        <v/>
      </c>
      <c r="Y33">
        <f>HYPERLINK("https://klasma.github.io/Logging_2101/tillsynsmail/A 57946-2023 tillsynsbegäran mail.docx", "A 57946-2023")</f>
        <v/>
      </c>
    </row>
    <row r="34" ht="15" customHeight="1">
      <c r="A34" t="inlineStr">
        <is>
          <t>A 46481-2024</t>
        </is>
      </c>
      <c r="B34" s="1" t="n">
        <v>45582</v>
      </c>
      <c r="C34" s="1" t="n">
        <v>46197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HYPERLINK("https://klasma.github.io/Logging_2101/artfynd/A 46481-2024 artfynd.xlsx", "A 46481-2024")</f>
        <v/>
      </c>
      <c r="T34">
        <f>HYPERLINK("https://klasma.github.io/Logging_2101/kartor/A 46481-2024 karta.png", "A 46481-2024")</f>
        <v/>
      </c>
      <c r="V34">
        <f>HYPERLINK("https://klasma.github.io/Logging_2101/klagomål/A 46481-2024 FSC-klagomål.docx", "A 46481-2024")</f>
        <v/>
      </c>
      <c r="W34">
        <f>HYPERLINK("https://klasma.github.io/Logging_2101/klagomålsmail/A 46481-2024 FSC-klagomål mail.docx", "A 46481-2024")</f>
        <v/>
      </c>
      <c r="X34">
        <f>HYPERLINK("https://klasma.github.io/Logging_2101/tillsyn/A 46481-2024 tillsynsbegäran.docx", "A 46481-2024")</f>
        <v/>
      </c>
      <c r="Y34">
        <f>HYPERLINK("https://klasma.github.io/Logging_2101/tillsynsmail/A 46481-2024 tillsynsbegäran mail.docx", "A 46481-2024")</f>
        <v/>
      </c>
    </row>
    <row r="35" ht="15" customHeight="1">
      <c r="A35" t="inlineStr">
        <is>
          <t>A 60615-2021</t>
        </is>
      </c>
      <c r="B35" s="1" t="n">
        <v>44496</v>
      </c>
      <c r="C35" s="1" t="n">
        <v>46197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HYPERLINK("https://klasma.github.io/Logging_2101/artfynd/A 60615-2021 artfynd.xlsx", "A 60615-2021")</f>
        <v/>
      </c>
      <c r="T35">
        <f>HYPERLINK("https://klasma.github.io/Logging_2101/kartor/A 60615-2021 karta.png", "A 60615-2021")</f>
        <v/>
      </c>
      <c r="V35">
        <f>HYPERLINK("https://klasma.github.io/Logging_2101/klagomål/A 60615-2021 FSC-klagomål.docx", "A 60615-2021")</f>
        <v/>
      </c>
      <c r="W35">
        <f>HYPERLINK("https://klasma.github.io/Logging_2101/klagomålsmail/A 60615-2021 FSC-klagomål mail.docx", "A 60615-2021")</f>
        <v/>
      </c>
      <c r="X35">
        <f>HYPERLINK("https://klasma.github.io/Logging_2101/tillsyn/A 60615-2021 tillsynsbegäran.docx", "A 60615-2021")</f>
        <v/>
      </c>
      <c r="Y35">
        <f>HYPERLINK("https://klasma.github.io/Logging_2101/tillsynsmail/A 60615-2021 tillsynsbegäran mail.docx", "A 60615-2021")</f>
        <v/>
      </c>
    </row>
    <row r="36" ht="15" customHeight="1">
      <c r="A36" t="inlineStr">
        <is>
          <t>A 6121-2026</t>
        </is>
      </c>
      <c r="B36" s="1" t="n">
        <v>46053</v>
      </c>
      <c r="C36" s="1" t="n">
        <v>46197</v>
      </c>
      <c r="D36" t="inlineStr">
        <is>
          <t>GÄVLEBORGS LÄN</t>
        </is>
      </c>
      <c r="E36" t="inlineStr">
        <is>
          <t>OCKELBO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6121-2026 artfynd.xlsx", "A 6121-2026")</f>
        <v/>
      </c>
      <c r="T36">
        <f>HYPERLINK("https://klasma.github.io/Logging_2101/kartor/A 6121-2026 karta.png", "A 6121-2026")</f>
        <v/>
      </c>
      <c r="V36">
        <f>HYPERLINK("https://klasma.github.io/Logging_2101/klagomål/A 6121-2026 FSC-klagomål.docx", "A 6121-2026")</f>
        <v/>
      </c>
      <c r="W36">
        <f>HYPERLINK("https://klasma.github.io/Logging_2101/klagomålsmail/A 6121-2026 FSC-klagomål mail.docx", "A 6121-2026")</f>
        <v/>
      </c>
      <c r="X36">
        <f>HYPERLINK("https://klasma.github.io/Logging_2101/tillsyn/A 6121-2026 tillsynsbegäran.docx", "A 6121-2026")</f>
        <v/>
      </c>
      <c r="Y36">
        <f>HYPERLINK("https://klasma.github.io/Logging_2101/tillsynsmail/A 6121-2026 tillsynsbegäran mail.docx", "A 6121-2026")</f>
        <v/>
      </c>
      <c r="Z36">
        <f>HYPERLINK("https://klasma.github.io/Logging_2101/fåglar/A 6121-2026 prioriterade fågelarter.docx", "A 6121-2026")</f>
        <v/>
      </c>
    </row>
    <row r="37" ht="15" customHeight="1">
      <c r="A37" t="inlineStr">
        <is>
          <t>A 6586-2026</t>
        </is>
      </c>
      <c r="B37" s="1" t="n">
        <v>46056</v>
      </c>
      <c r="C37" s="1" t="n">
        <v>46197</v>
      </c>
      <c r="D37" t="inlineStr">
        <is>
          <t>GÄVLEBORGS LÄN</t>
        </is>
      </c>
      <c r="E37" t="inlineStr">
        <is>
          <t>OCKELBO</t>
        </is>
      </c>
      <c r="G37" t="n">
        <v>1.6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Igelkott</t>
        </is>
      </c>
      <c r="S37">
        <f>HYPERLINK("https://klasma.github.io/Logging_2101/artfynd/A 6586-2026 artfynd.xlsx", "A 6586-2026")</f>
        <v/>
      </c>
      <c r="T37">
        <f>HYPERLINK("https://klasma.github.io/Logging_2101/kartor/A 6586-2026 karta.png", "A 6586-2026")</f>
        <v/>
      </c>
      <c r="V37">
        <f>HYPERLINK("https://klasma.github.io/Logging_2101/klagomål/A 6586-2026 FSC-klagomål.docx", "A 6586-2026")</f>
        <v/>
      </c>
      <c r="W37">
        <f>HYPERLINK("https://klasma.github.io/Logging_2101/klagomålsmail/A 6586-2026 FSC-klagomål mail.docx", "A 6586-2026")</f>
        <v/>
      </c>
      <c r="X37">
        <f>HYPERLINK("https://klasma.github.io/Logging_2101/tillsyn/A 6586-2026 tillsynsbegäran.docx", "A 6586-2026")</f>
        <v/>
      </c>
      <c r="Y37">
        <f>HYPERLINK("https://klasma.github.io/Logging_2101/tillsynsmail/A 6586-2026 tillsynsbegäran mail.docx", "A 6586-2026")</f>
        <v/>
      </c>
    </row>
    <row r="38" ht="15" customHeight="1">
      <c r="A38" t="inlineStr">
        <is>
          <t>A 8451-2026</t>
        </is>
      </c>
      <c r="B38" s="1" t="n">
        <v>46065</v>
      </c>
      <c r="C38" s="1" t="n">
        <v>46197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Lavskrika</t>
        </is>
      </c>
      <c r="S38">
        <f>HYPERLINK("https://klasma.github.io/Logging_2101/artfynd/A 8451-2026 artfynd.xlsx", "A 8451-2026")</f>
        <v/>
      </c>
      <c r="T38">
        <f>HYPERLINK("https://klasma.github.io/Logging_2101/kartor/A 8451-2026 karta.png", "A 8451-2026")</f>
        <v/>
      </c>
      <c r="V38">
        <f>HYPERLINK("https://klasma.github.io/Logging_2101/klagomål/A 8451-2026 FSC-klagomål.docx", "A 8451-2026")</f>
        <v/>
      </c>
      <c r="W38">
        <f>HYPERLINK("https://klasma.github.io/Logging_2101/klagomålsmail/A 8451-2026 FSC-klagomål mail.docx", "A 8451-2026")</f>
        <v/>
      </c>
      <c r="X38">
        <f>HYPERLINK("https://klasma.github.io/Logging_2101/tillsyn/A 8451-2026 tillsynsbegäran.docx", "A 8451-2026")</f>
        <v/>
      </c>
      <c r="Y38">
        <f>HYPERLINK("https://klasma.github.io/Logging_2101/tillsynsmail/A 8451-2026 tillsynsbegäran mail.docx", "A 8451-2026")</f>
        <v/>
      </c>
      <c r="Z38">
        <f>HYPERLINK("https://klasma.github.io/Logging_2101/fåglar/A 8451-2026 prioriterade fågelarter.docx", "A 8451-2026")</f>
        <v/>
      </c>
    </row>
    <row r="39" ht="15" customHeight="1">
      <c r="A39" t="inlineStr">
        <is>
          <t>A 55778-2025</t>
        </is>
      </c>
      <c r="B39" s="1" t="n">
        <v>45972</v>
      </c>
      <c r="C39" s="1" t="n">
        <v>46197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HYPERLINK("https://klasma.github.io/Logging_2101/artfynd/A 55778-2025 artfynd.xlsx", "A 55778-2025")</f>
        <v/>
      </c>
      <c r="T39">
        <f>HYPERLINK("https://klasma.github.io/Logging_2101/kartor/A 55778-2025 karta.png", "A 55778-2025")</f>
        <v/>
      </c>
      <c r="V39">
        <f>HYPERLINK("https://klasma.github.io/Logging_2101/klagomål/A 55778-2025 FSC-klagomål.docx", "A 55778-2025")</f>
        <v/>
      </c>
      <c r="W39">
        <f>HYPERLINK("https://klasma.github.io/Logging_2101/klagomålsmail/A 55778-2025 FSC-klagomål mail.docx", "A 55778-2025")</f>
        <v/>
      </c>
      <c r="X39">
        <f>HYPERLINK("https://klasma.github.io/Logging_2101/tillsyn/A 55778-2025 tillsynsbegäran.docx", "A 55778-2025")</f>
        <v/>
      </c>
      <c r="Y39">
        <f>HYPERLINK("https://klasma.github.io/Logging_2101/tillsynsmail/A 55778-2025 tillsynsbegäran mail.docx", "A 55778-2025")</f>
        <v/>
      </c>
    </row>
    <row r="40" ht="15" customHeight="1">
      <c r="A40" t="inlineStr">
        <is>
          <t>A 10484-2026</t>
        </is>
      </c>
      <c r="B40" s="1" t="n">
        <v>46077</v>
      </c>
      <c r="C40" s="1" t="n">
        <v>46197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HYPERLINK("https://klasma.github.io/Logging_2101/artfynd/A 10484-2026 artfynd.xlsx", "A 10484-2026")</f>
        <v/>
      </c>
      <c r="T40">
        <f>HYPERLINK("https://klasma.github.io/Logging_2101/kartor/A 10484-2026 karta.png", "A 10484-2026")</f>
        <v/>
      </c>
      <c r="V40">
        <f>HYPERLINK("https://klasma.github.io/Logging_2101/klagomål/A 10484-2026 FSC-klagomål.docx", "A 10484-2026")</f>
        <v/>
      </c>
      <c r="W40">
        <f>HYPERLINK("https://klasma.github.io/Logging_2101/klagomålsmail/A 10484-2026 FSC-klagomål mail.docx", "A 10484-2026")</f>
        <v/>
      </c>
      <c r="X40">
        <f>HYPERLINK("https://klasma.github.io/Logging_2101/tillsyn/A 10484-2026 tillsynsbegäran.docx", "A 10484-2026")</f>
        <v/>
      </c>
      <c r="Y40">
        <f>HYPERLINK("https://klasma.github.io/Logging_2101/tillsynsmail/A 10484-2026 tillsynsbegäran mail.docx", "A 10484-2026")</f>
        <v/>
      </c>
    </row>
    <row r="41" ht="15" customHeight="1">
      <c r="A41" t="inlineStr">
        <is>
          <t>A 15841-2023</t>
        </is>
      </c>
      <c r="B41" s="1" t="n">
        <v>45022</v>
      </c>
      <c r="C41" s="1" t="n">
        <v>46197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HYPERLINK("https://klasma.github.io/Logging_2101/artfynd/A 15841-2023 artfynd.xlsx", "A 15841-2023")</f>
        <v/>
      </c>
      <c r="T41">
        <f>HYPERLINK("https://klasma.github.io/Logging_2101/kartor/A 15841-2023 karta.png", "A 15841-2023")</f>
        <v/>
      </c>
      <c r="V41">
        <f>HYPERLINK("https://klasma.github.io/Logging_2101/klagomål/A 15841-2023 FSC-klagomål.docx", "A 15841-2023")</f>
        <v/>
      </c>
      <c r="W41">
        <f>HYPERLINK("https://klasma.github.io/Logging_2101/klagomålsmail/A 15841-2023 FSC-klagomål mail.docx", "A 15841-2023")</f>
        <v/>
      </c>
      <c r="X41">
        <f>HYPERLINK("https://klasma.github.io/Logging_2101/tillsyn/A 15841-2023 tillsynsbegäran.docx", "A 15841-2023")</f>
        <v/>
      </c>
      <c r="Y41">
        <f>HYPERLINK("https://klasma.github.io/Logging_2101/tillsynsmail/A 15841-2023 tillsynsbegäran mail.docx", "A 15841-2023")</f>
        <v/>
      </c>
      <c r="Z41">
        <f>HYPERLINK("https://klasma.github.io/Logging_2101/fåglar/A 15841-2023 prioriterade fågelarter.docx", "A 15841-2023")</f>
        <v/>
      </c>
    </row>
    <row r="42" ht="15" customHeight="1">
      <c r="A42" t="inlineStr">
        <is>
          <t>A 13640-2026</t>
        </is>
      </c>
      <c r="B42" s="1" t="n">
        <v>46097</v>
      </c>
      <c r="C42" s="1" t="n">
        <v>46197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HYPERLINK("https://klasma.github.io/Logging_2101/artfynd/A 13640-2026 artfynd.xlsx", "A 13640-2026")</f>
        <v/>
      </c>
      <c r="T42">
        <f>HYPERLINK("https://klasma.github.io/Logging_2101/kartor/A 13640-2026 karta.png", "A 13640-2026")</f>
        <v/>
      </c>
      <c r="V42">
        <f>HYPERLINK("https://klasma.github.io/Logging_2101/klagomål/A 13640-2026 FSC-klagomål.docx", "A 13640-2026")</f>
        <v/>
      </c>
      <c r="W42">
        <f>HYPERLINK("https://klasma.github.io/Logging_2101/klagomålsmail/A 13640-2026 FSC-klagomål mail.docx", "A 13640-2026")</f>
        <v/>
      </c>
      <c r="X42">
        <f>HYPERLINK("https://klasma.github.io/Logging_2101/tillsyn/A 13640-2026 tillsynsbegäran.docx", "A 13640-2026")</f>
        <v/>
      </c>
      <c r="Y42">
        <f>HYPERLINK("https://klasma.github.io/Logging_2101/tillsynsmail/A 13640-2026 tillsynsbegäran mail.docx", "A 13640-2026")</f>
        <v/>
      </c>
    </row>
    <row r="43" ht="15" customHeight="1">
      <c r="A43" t="inlineStr">
        <is>
          <t>A 62989-2025</t>
        </is>
      </c>
      <c r="B43" s="1" t="n">
        <v>46009</v>
      </c>
      <c r="C43" s="1" t="n">
        <v>46197</v>
      </c>
      <c r="D43" t="inlineStr">
        <is>
          <t>GÄVLEBORGS LÄN</t>
        </is>
      </c>
      <c r="E43" t="inlineStr">
        <is>
          <t>OCKELBO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HYPERLINK("https://klasma.github.io/Logging_2101/artfynd/A 62989-2025 artfynd.xlsx", "A 62989-2025")</f>
        <v/>
      </c>
      <c r="T43">
        <f>HYPERLINK("https://klasma.github.io/Logging_2101/kartor/A 62989-2025 karta.png", "A 62989-2025")</f>
        <v/>
      </c>
      <c r="V43">
        <f>HYPERLINK("https://klasma.github.io/Logging_2101/klagomål/A 62989-2025 FSC-klagomål.docx", "A 62989-2025")</f>
        <v/>
      </c>
      <c r="W43">
        <f>HYPERLINK("https://klasma.github.io/Logging_2101/klagomålsmail/A 62989-2025 FSC-klagomål mail.docx", "A 62989-2025")</f>
        <v/>
      </c>
      <c r="X43">
        <f>HYPERLINK("https://klasma.github.io/Logging_2101/tillsyn/A 62989-2025 tillsynsbegäran.docx", "A 62989-2025")</f>
        <v/>
      </c>
      <c r="Y43">
        <f>HYPERLINK("https://klasma.github.io/Logging_2101/tillsynsmail/A 62989-2025 tillsynsbegäran mail.docx", "A 62989-2025")</f>
        <v/>
      </c>
    </row>
    <row r="44" ht="15" customHeight="1">
      <c r="A44" t="inlineStr">
        <is>
          <t>A 14479-2026</t>
        </is>
      </c>
      <c r="B44" s="1" t="n">
        <v>46100</v>
      </c>
      <c r="C44" s="1" t="n">
        <v>46197</v>
      </c>
      <c r="D44" t="inlineStr">
        <is>
          <t>GÄVLEBORGS LÄN</t>
        </is>
      </c>
      <c r="E44" t="inlineStr">
        <is>
          <t>OCKELBO</t>
        </is>
      </c>
      <c r="G44" t="n">
        <v>4.8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Igelkott</t>
        </is>
      </c>
      <c r="S44">
        <f>HYPERLINK("https://klasma.github.io/Logging_2101/artfynd/A 14479-2026 artfynd.xlsx", "A 14479-2026")</f>
        <v/>
      </c>
      <c r="T44">
        <f>HYPERLINK("https://klasma.github.io/Logging_2101/kartor/A 14479-2026 karta.png", "A 14479-2026")</f>
        <v/>
      </c>
      <c r="V44">
        <f>HYPERLINK("https://klasma.github.io/Logging_2101/klagomål/A 14479-2026 FSC-klagomål.docx", "A 14479-2026")</f>
        <v/>
      </c>
      <c r="W44">
        <f>HYPERLINK("https://klasma.github.io/Logging_2101/klagomålsmail/A 14479-2026 FSC-klagomål mail.docx", "A 14479-2026")</f>
        <v/>
      </c>
      <c r="X44">
        <f>HYPERLINK("https://klasma.github.io/Logging_2101/tillsyn/A 14479-2026 tillsynsbegäran.docx", "A 14479-2026")</f>
        <v/>
      </c>
      <c r="Y44">
        <f>HYPERLINK("https://klasma.github.io/Logging_2101/tillsynsmail/A 14479-2026 tillsynsbegäran mail.docx", "A 14479-2026")</f>
        <v/>
      </c>
    </row>
    <row r="45" ht="15" customHeight="1">
      <c r="A45" t="inlineStr">
        <is>
          <t>A 14664-2026</t>
        </is>
      </c>
      <c r="B45" s="1" t="n">
        <v>46101</v>
      </c>
      <c r="C45" s="1" t="n">
        <v>46197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14664-2026 artfynd.xlsx", "A 14664-2026")</f>
        <v/>
      </c>
      <c r="T45">
        <f>HYPERLINK("https://klasma.github.io/Logging_2101/kartor/A 14664-2026 karta.png", "A 14664-2026")</f>
        <v/>
      </c>
      <c r="V45">
        <f>HYPERLINK("https://klasma.github.io/Logging_2101/klagomål/A 14664-2026 FSC-klagomål.docx", "A 14664-2026")</f>
        <v/>
      </c>
      <c r="W45">
        <f>HYPERLINK("https://klasma.github.io/Logging_2101/klagomålsmail/A 14664-2026 FSC-klagomål mail.docx", "A 14664-2026")</f>
        <v/>
      </c>
      <c r="X45">
        <f>HYPERLINK("https://klasma.github.io/Logging_2101/tillsyn/A 14664-2026 tillsynsbegäran.docx", "A 14664-2026")</f>
        <v/>
      </c>
      <c r="Y45">
        <f>HYPERLINK("https://klasma.github.io/Logging_2101/tillsynsmail/A 14664-2026 tillsynsbegäran mail.docx", "A 14664-2026")</f>
        <v/>
      </c>
      <c r="Z45">
        <f>HYPERLINK("https://klasma.github.io/Logging_2101/fåglar/A 14664-2026 prioriterade fågelarter.docx", "A 14664-2026")</f>
        <v/>
      </c>
    </row>
    <row r="46" ht="15" customHeight="1">
      <c r="A46" t="inlineStr">
        <is>
          <t>A 18159-2026</t>
        </is>
      </c>
      <c r="B46" s="1" t="n">
        <v>46125</v>
      </c>
      <c r="C46" s="1" t="n">
        <v>46197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HYPERLINK("https://klasma.github.io/Logging_2101/artfynd/A 18159-2026 artfynd.xlsx", "A 18159-2026")</f>
        <v/>
      </c>
      <c r="T46">
        <f>HYPERLINK("https://klasma.github.io/Logging_2101/kartor/A 18159-2026 karta.png", "A 18159-2026")</f>
        <v/>
      </c>
      <c r="V46">
        <f>HYPERLINK("https://klasma.github.io/Logging_2101/klagomål/A 18159-2026 FSC-klagomål.docx", "A 18159-2026")</f>
        <v/>
      </c>
      <c r="W46">
        <f>HYPERLINK("https://klasma.github.io/Logging_2101/klagomålsmail/A 18159-2026 FSC-klagomål mail.docx", "A 18159-2026")</f>
        <v/>
      </c>
      <c r="X46">
        <f>HYPERLINK("https://klasma.github.io/Logging_2101/tillsyn/A 18159-2026 tillsynsbegäran.docx", "A 18159-2026")</f>
        <v/>
      </c>
      <c r="Y46">
        <f>HYPERLINK("https://klasma.github.io/Logging_2101/tillsynsmail/A 18159-2026 tillsynsbegäran mail.docx", "A 18159-2026")</f>
        <v/>
      </c>
    </row>
    <row r="47" ht="15" customHeight="1">
      <c r="A47" t="inlineStr">
        <is>
          <t>A 18188-2026</t>
        </is>
      </c>
      <c r="B47" s="1" t="n">
        <v>46125</v>
      </c>
      <c r="C47" s="1" t="n">
        <v>46197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HYPERLINK("https://klasma.github.io/Logging_2101/artfynd/A 18188-2026 artfynd.xlsx", "A 18188-2026")</f>
        <v/>
      </c>
      <c r="T47">
        <f>HYPERLINK("https://klasma.github.io/Logging_2101/kartor/A 18188-2026 karta.png", "A 18188-2026")</f>
        <v/>
      </c>
      <c r="V47">
        <f>HYPERLINK("https://klasma.github.io/Logging_2101/klagomål/A 18188-2026 FSC-klagomål.docx", "A 18188-2026")</f>
        <v/>
      </c>
      <c r="W47">
        <f>HYPERLINK("https://klasma.github.io/Logging_2101/klagomålsmail/A 18188-2026 FSC-klagomål mail.docx", "A 18188-2026")</f>
        <v/>
      </c>
      <c r="X47">
        <f>HYPERLINK("https://klasma.github.io/Logging_2101/tillsyn/A 18188-2026 tillsynsbegäran.docx", "A 18188-2026")</f>
        <v/>
      </c>
      <c r="Y47">
        <f>HYPERLINK("https://klasma.github.io/Logging_2101/tillsynsmail/A 18188-2026 tillsynsbegäran mail.docx", "A 18188-2026")</f>
        <v/>
      </c>
      <c r="Z47">
        <f>HYPERLINK("https://klasma.github.io/Logging_2101/fåglar/A 18188-2026 prioriterade fågelarter.docx", "A 18188-2026")</f>
        <v/>
      </c>
    </row>
    <row r="48" ht="15" customHeight="1">
      <c r="A48" t="inlineStr">
        <is>
          <t>A 12777-2026</t>
        </is>
      </c>
      <c r="B48" s="1" t="n">
        <v>46091</v>
      </c>
      <c r="C48" s="1" t="n">
        <v>46197</v>
      </c>
      <c r="D48" t="inlineStr">
        <is>
          <t>GÄVLEBORGS LÄN</t>
        </is>
      </c>
      <c r="E48" t="inlineStr">
        <is>
          <t>OCKELBO</t>
        </is>
      </c>
      <c r="G48" t="n">
        <v>4.2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HYPERLINK("https://klasma.github.io/Logging_2101/artfynd/A 12777-2026 artfynd.xlsx", "A 12777-2026")</f>
        <v/>
      </c>
      <c r="T48">
        <f>HYPERLINK("https://klasma.github.io/Logging_2101/kartor/A 12777-2026 karta.png", "A 12777-2026")</f>
        <v/>
      </c>
      <c r="V48">
        <f>HYPERLINK("https://klasma.github.io/Logging_2101/klagomål/A 12777-2026 FSC-klagomål.docx", "A 12777-2026")</f>
        <v/>
      </c>
      <c r="W48">
        <f>HYPERLINK("https://klasma.github.io/Logging_2101/klagomålsmail/A 12777-2026 FSC-klagomål mail.docx", "A 12777-2026")</f>
        <v/>
      </c>
      <c r="X48">
        <f>HYPERLINK("https://klasma.github.io/Logging_2101/tillsyn/A 12777-2026 tillsynsbegäran.docx", "A 12777-2026")</f>
        <v/>
      </c>
      <c r="Y48">
        <f>HYPERLINK("https://klasma.github.io/Logging_2101/tillsynsmail/A 12777-2026 tillsynsbegäran mail.docx", "A 12777-2026")</f>
        <v/>
      </c>
      <c r="Z48">
        <f>HYPERLINK("https://klasma.github.io/Logging_2101/fåglar/A 12777-2026 prioriterade fågelarter.docx", "A 12777-2026")</f>
        <v/>
      </c>
    </row>
    <row r="49" ht="15" customHeight="1">
      <c r="A49" t="inlineStr">
        <is>
          <t>A 10145-2026</t>
        </is>
      </c>
      <c r="B49" s="1" t="n">
        <v>46076</v>
      </c>
      <c r="C49" s="1" t="n">
        <v>46197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öst AB</t>
        </is>
      </c>
      <c r="G49" t="n">
        <v>10.5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HYPERLINK("https://klasma.github.io/Logging_2101/artfynd/A 10145-2026 artfynd.xlsx", "A 10145-2026")</f>
        <v/>
      </c>
      <c r="T49">
        <f>HYPERLINK("https://klasma.github.io/Logging_2101/kartor/A 10145-2026 karta.png", "A 10145-2026")</f>
        <v/>
      </c>
      <c r="U49">
        <f>HYPERLINK("https://klasma.github.io/Logging_2101/knärot/A 10145-2026 karta knärot.png", "A 10145-2026")</f>
        <v/>
      </c>
      <c r="V49">
        <f>HYPERLINK("https://klasma.github.io/Logging_2101/klagomål/A 10145-2026 FSC-klagomål.docx", "A 10145-2026")</f>
        <v/>
      </c>
      <c r="W49">
        <f>HYPERLINK("https://klasma.github.io/Logging_2101/klagomålsmail/A 10145-2026 FSC-klagomål mail.docx", "A 10145-2026")</f>
        <v/>
      </c>
      <c r="X49">
        <f>HYPERLINK("https://klasma.github.io/Logging_2101/tillsyn/A 10145-2026 tillsynsbegäran.docx", "A 10145-2026")</f>
        <v/>
      </c>
      <c r="Y49">
        <f>HYPERLINK("https://klasma.github.io/Logging_2101/tillsynsmail/A 10145-2026 tillsynsbegäran mail.docx", "A 10145-2026")</f>
        <v/>
      </c>
    </row>
    <row r="50" ht="15" customHeight="1">
      <c r="A50" t="inlineStr">
        <is>
          <t>A 8475-2026</t>
        </is>
      </c>
      <c r="B50" s="1" t="n">
        <v>46065</v>
      </c>
      <c r="C50" s="1" t="n">
        <v>46197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HYPERLINK("https://klasma.github.io/Logging_2101/artfynd/A 8475-2026 artfynd.xlsx", "A 8475-2026")</f>
        <v/>
      </c>
      <c r="T50">
        <f>HYPERLINK("https://klasma.github.io/Logging_2101/kartor/A 8475-2026 karta.png", "A 8475-2026")</f>
        <v/>
      </c>
      <c r="V50">
        <f>HYPERLINK("https://klasma.github.io/Logging_2101/klagomål/A 8475-2026 FSC-klagomål.docx", "A 8475-2026")</f>
        <v/>
      </c>
      <c r="W50">
        <f>HYPERLINK("https://klasma.github.io/Logging_2101/klagomålsmail/A 8475-2026 FSC-klagomål mail.docx", "A 8475-2026")</f>
        <v/>
      </c>
      <c r="X50">
        <f>HYPERLINK("https://klasma.github.io/Logging_2101/tillsyn/A 8475-2026 tillsynsbegäran.docx", "A 8475-2026")</f>
        <v/>
      </c>
      <c r="Y50">
        <f>HYPERLINK("https://klasma.github.io/Logging_2101/tillsynsmail/A 8475-2026 tillsynsbegäran mail.docx", "A 8475-2026")</f>
        <v/>
      </c>
    </row>
    <row r="51" ht="15" customHeight="1">
      <c r="A51" t="inlineStr">
        <is>
          <t>A 9155-2026</t>
        </is>
      </c>
      <c r="B51" s="1" t="n">
        <v>46070</v>
      </c>
      <c r="C51" s="1" t="n">
        <v>46197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Kolflarnlav</t>
        </is>
      </c>
      <c r="S51">
        <f>HYPERLINK("https://klasma.github.io/Logging_2101/artfynd/A 9155-2026 artfynd.xlsx", "A 9155-2026")</f>
        <v/>
      </c>
      <c r="T51">
        <f>HYPERLINK("https://klasma.github.io/Logging_2101/kartor/A 9155-2026 karta.png", "A 9155-2026")</f>
        <v/>
      </c>
      <c r="V51">
        <f>HYPERLINK("https://klasma.github.io/Logging_2101/klagomål/A 9155-2026 FSC-klagomål.docx", "A 9155-2026")</f>
        <v/>
      </c>
      <c r="W51">
        <f>HYPERLINK("https://klasma.github.io/Logging_2101/klagomålsmail/A 9155-2026 FSC-klagomål mail.docx", "A 9155-2026")</f>
        <v/>
      </c>
      <c r="X51">
        <f>HYPERLINK("https://klasma.github.io/Logging_2101/tillsyn/A 9155-2026 tillsynsbegäran.docx", "A 9155-2026")</f>
        <v/>
      </c>
      <c r="Y51">
        <f>HYPERLINK("https://klasma.github.io/Logging_2101/tillsynsmail/A 9155-2026 tillsynsbegäran mail.docx", "A 9155-2026")</f>
        <v/>
      </c>
    </row>
    <row r="52" ht="15" customHeight="1">
      <c r="A52" t="inlineStr">
        <is>
          <t>A 20233-2026</t>
        </is>
      </c>
      <c r="B52" s="1" t="n">
        <v>46139</v>
      </c>
      <c r="C52" s="1" t="n">
        <v>46197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17.9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HYPERLINK("https://klasma.github.io/Logging_2101/artfynd/A 20233-2026 artfynd.xlsx", "A 20233-2026")</f>
        <v/>
      </c>
      <c r="T52">
        <f>HYPERLINK("https://klasma.github.io/Logging_2101/kartor/A 20233-2026 karta.png", "A 20233-2026")</f>
        <v/>
      </c>
      <c r="V52">
        <f>HYPERLINK("https://klasma.github.io/Logging_2101/klagomål/A 20233-2026 FSC-klagomål.docx", "A 20233-2026")</f>
        <v/>
      </c>
      <c r="W52">
        <f>HYPERLINK("https://klasma.github.io/Logging_2101/klagomålsmail/A 20233-2026 FSC-klagomål mail.docx", "A 20233-2026")</f>
        <v/>
      </c>
      <c r="X52">
        <f>HYPERLINK("https://klasma.github.io/Logging_2101/tillsyn/A 20233-2026 tillsynsbegäran.docx", "A 20233-2026")</f>
        <v/>
      </c>
      <c r="Y52">
        <f>HYPERLINK("https://klasma.github.io/Logging_2101/tillsynsmail/A 20233-2026 tillsynsbegäran mail.docx", "A 20233-2026")</f>
        <v/>
      </c>
    </row>
    <row r="53" ht="15" customHeight="1">
      <c r="A53" t="inlineStr">
        <is>
          <t>A 22821-2024</t>
        </is>
      </c>
      <c r="B53" s="1" t="n">
        <v>45448</v>
      </c>
      <c r="C53" s="1" t="n">
        <v>46197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HYPERLINK("https://klasma.github.io/Logging_2101/artfynd/A 22821-2024 artfynd.xlsx", "A 22821-2024")</f>
        <v/>
      </c>
      <c r="T53">
        <f>HYPERLINK("https://klasma.github.io/Logging_2101/kartor/A 22821-2024 karta.png", "A 22821-2024")</f>
        <v/>
      </c>
      <c r="V53">
        <f>HYPERLINK("https://klasma.github.io/Logging_2101/klagomål/A 22821-2024 FSC-klagomål.docx", "A 22821-2024")</f>
        <v/>
      </c>
      <c r="W53">
        <f>HYPERLINK("https://klasma.github.io/Logging_2101/klagomålsmail/A 22821-2024 FSC-klagomål mail.docx", "A 22821-2024")</f>
        <v/>
      </c>
      <c r="X53">
        <f>HYPERLINK("https://klasma.github.io/Logging_2101/tillsyn/A 22821-2024 tillsynsbegäran.docx", "A 22821-2024")</f>
        <v/>
      </c>
      <c r="Y53">
        <f>HYPERLINK("https://klasma.github.io/Logging_2101/tillsynsmail/A 22821-2024 tillsynsbegäran mail.docx", "A 22821-2024")</f>
        <v/>
      </c>
    </row>
    <row r="54" ht="15" customHeight="1">
      <c r="A54" t="inlineStr">
        <is>
          <t>A 26448-2024</t>
        </is>
      </c>
      <c r="B54" s="1" t="n">
        <v>45469</v>
      </c>
      <c r="C54" s="1" t="n">
        <v>46197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HYPERLINK("https://klasma.github.io/Logging_2101/artfynd/A 26448-2024 artfynd.xlsx", "A 26448-2024")</f>
        <v/>
      </c>
      <c r="T54">
        <f>HYPERLINK("https://klasma.github.io/Logging_2101/kartor/A 26448-2024 karta.png", "A 26448-2024")</f>
        <v/>
      </c>
      <c r="V54">
        <f>HYPERLINK("https://klasma.github.io/Logging_2101/klagomål/A 26448-2024 FSC-klagomål.docx", "A 26448-2024")</f>
        <v/>
      </c>
      <c r="W54">
        <f>HYPERLINK("https://klasma.github.io/Logging_2101/klagomålsmail/A 26448-2024 FSC-klagomål mail.docx", "A 26448-2024")</f>
        <v/>
      </c>
      <c r="X54">
        <f>HYPERLINK("https://klasma.github.io/Logging_2101/tillsyn/A 26448-2024 tillsynsbegäran.docx", "A 26448-2024")</f>
        <v/>
      </c>
      <c r="Y54">
        <f>HYPERLINK("https://klasma.github.io/Logging_2101/tillsynsmail/A 26448-2024 tillsynsbegäran mail.docx", "A 26448-2024")</f>
        <v/>
      </c>
    </row>
    <row r="55" ht="15" customHeight="1">
      <c r="A55" t="inlineStr">
        <is>
          <t>A 15039-2026</t>
        </is>
      </c>
      <c r="B55" s="1" t="n">
        <v>46104</v>
      </c>
      <c r="C55" s="1" t="n">
        <v>46197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18.2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HYPERLINK("https://klasma.github.io/Logging_2101/artfynd/A 15039-2026 artfynd.xlsx", "A 15039-2026")</f>
        <v/>
      </c>
      <c r="T55">
        <f>HYPERLINK("https://klasma.github.io/Logging_2101/kartor/A 15039-2026 karta.png", "A 15039-2026")</f>
        <v/>
      </c>
      <c r="V55">
        <f>HYPERLINK("https://klasma.github.io/Logging_2101/klagomål/A 15039-2026 FSC-klagomål.docx", "A 15039-2026")</f>
        <v/>
      </c>
      <c r="W55">
        <f>HYPERLINK("https://klasma.github.io/Logging_2101/klagomålsmail/A 15039-2026 FSC-klagomål mail.docx", "A 15039-2026")</f>
        <v/>
      </c>
      <c r="X55">
        <f>HYPERLINK("https://klasma.github.io/Logging_2101/tillsyn/A 15039-2026 tillsynsbegäran.docx", "A 15039-2026")</f>
        <v/>
      </c>
      <c r="Y55">
        <f>HYPERLINK("https://klasma.github.io/Logging_2101/tillsynsmail/A 15039-2026 tillsynsbegäran mail.docx", "A 15039-2026")</f>
        <v/>
      </c>
      <c r="Z55">
        <f>HYPERLINK("https://klasma.github.io/Logging_2101/fåglar/A 15039-2026 prioriterade fågelarter.docx", "A 15039-2026")</f>
        <v/>
      </c>
    </row>
    <row r="56" ht="15" customHeight="1">
      <c r="A56" t="inlineStr">
        <is>
          <t>A 11970-2026</t>
        </is>
      </c>
      <c r="B56" s="1" t="n">
        <v>46085</v>
      </c>
      <c r="C56" s="1" t="n">
        <v>46197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HYPERLINK("https://klasma.github.io/Logging_2101/artfynd/A 11970-2026 artfynd.xlsx", "A 11970-2026")</f>
        <v/>
      </c>
      <c r="T56">
        <f>HYPERLINK("https://klasma.github.io/Logging_2101/kartor/A 11970-2026 karta.png", "A 11970-2026")</f>
        <v/>
      </c>
      <c r="V56">
        <f>HYPERLINK("https://klasma.github.io/Logging_2101/klagomål/A 11970-2026 FSC-klagomål.docx", "A 11970-2026")</f>
        <v/>
      </c>
      <c r="W56">
        <f>HYPERLINK("https://klasma.github.io/Logging_2101/klagomålsmail/A 11970-2026 FSC-klagomål mail.docx", "A 11970-2026")</f>
        <v/>
      </c>
      <c r="X56">
        <f>HYPERLINK("https://klasma.github.io/Logging_2101/tillsyn/A 11970-2026 tillsynsbegäran.docx", "A 11970-2026")</f>
        <v/>
      </c>
      <c r="Y56">
        <f>HYPERLINK("https://klasma.github.io/Logging_2101/tillsynsmail/A 11970-2026 tillsynsbegäran mail.docx", "A 11970-2026")</f>
        <v/>
      </c>
      <c r="Z56">
        <f>HYPERLINK("https://klasma.github.io/Logging_2101/fåglar/A 11970-2026 prioriterade fågelarter.docx", "A 11970-2026")</f>
        <v/>
      </c>
    </row>
    <row r="57" ht="15" customHeight="1">
      <c r="A57" t="inlineStr">
        <is>
          <t>A 10448-2026</t>
        </is>
      </c>
      <c r="B57" s="1" t="n">
        <v>46077</v>
      </c>
      <c r="C57" s="1" t="n">
        <v>46197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3.6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HYPERLINK("https://klasma.github.io/Logging_2101/artfynd/A 10448-2026 artfynd.xlsx", "A 10448-2026")</f>
        <v/>
      </c>
      <c r="T57">
        <f>HYPERLINK("https://klasma.github.io/Logging_2101/kartor/A 10448-2026 karta.png", "A 10448-2026")</f>
        <v/>
      </c>
      <c r="V57">
        <f>HYPERLINK("https://klasma.github.io/Logging_2101/klagomål/A 10448-2026 FSC-klagomål.docx", "A 10448-2026")</f>
        <v/>
      </c>
      <c r="W57">
        <f>HYPERLINK("https://klasma.github.io/Logging_2101/klagomålsmail/A 10448-2026 FSC-klagomål mail.docx", "A 10448-2026")</f>
        <v/>
      </c>
      <c r="X57">
        <f>HYPERLINK("https://klasma.github.io/Logging_2101/tillsyn/A 10448-2026 tillsynsbegäran.docx", "A 10448-2026")</f>
        <v/>
      </c>
      <c r="Y57">
        <f>HYPERLINK("https://klasma.github.io/Logging_2101/tillsynsmail/A 10448-2026 tillsynsbegäran mail.docx", "A 10448-2026")</f>
        <v/>
      </c>
    </row>
    <row r="58" ht="15" customHeight="1">
      <c r="A58" t="inlineStr">
        <is>
          <t>A 16738-2025</t>
        </is>
      </c>
      <c r="B58" s="1" t="n">
        <v>45754</v>
      </c>
      <c r="C58" s="1" t="n">
        <v>46197</v>
      </c>
      <c r="D58" t="inlineStr">
        <is>
          <t>GÄVLEBORGS LÄN</t>
        </is>
      </c>
      <c r="E58" t="inlineStr">
        <is>
          <t>OCKELBO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HYPERLINK("https://klasma.github.io/Logging_2101/artfynd/A 16738-2025 artfynd.xlsx", "A 16738-2025")</f>
        <v/>
      </c>
      <c r="T58">
        <f>HYPERLINK("https://klasma.github.io/Logging_2101/kartor/A 16738-2025 karta.png", "A 16738-2025")</f>
        <v/>
      </c>
      <c r="V58">
        <f>HYPERLINK("https://klasma.github.io/Logging_2101/klagomål/A 16738-2025 FSC-klagomål.docx", "A 16738-2025")</f>
        <v/>
      </c>
      <c r="W58">
        <f>HYPERLINK("https://klasma.github.io/Logging_2101/klagomålsmail/A 16738-2025 FSC-klagomål mail.docx", "A 16738-2025")</f>
        <v/>
      </c>
      <c r="X58">
        <f>HYPERLINK("https://klasma.github.io/Logging_2101/tillsyn/A 16738-2025 tillsynsbegäran.docx", "A 16738-2025")</f>
        <v/>
      </c>
      <c r="Y58">
        <f>HYPERLINK("https://klasma.github.io/Logging_2101/tillsynsmail/A 16738-2025 tillsynsbegäran mail.docx", "A 16738-2025")</f>
        <v/>
      </c>
    </row>
    <row r="59" ht="15" customHeight="1">
      <c r="A59" t="inlineStr">
        <is>
          <t>A 4226-2023</t>
        </is>
      </c>
      <c r="B59" s="1" t="n">
        <v>44953</v>
      </c>
      <c r="C59" s="1" t="n">
        <v>46197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HYPERLINK("https://klasma.github.io/Logging_2101/artfynd/A 4226-2023 artfynd.xlsx", "A 4226-2023")</f>
        <v/>
      </c>
      <c r="T59">
        <f>HYPERLINK("https://klasma.github.io/Logging_2101/kartor/A 4226-2023 karta.png", "A 4226-2023")</f>
        <v/>
      </c>
      <c r="V59">
        <f>HYPERLINK("https://klasma.github.io/Logging_2101/klagomål/A 4226-2023 FSC-klagomål.docx", "A 4226-2023")</f>
        <v/>
      </c>
      <c r="W59">
        <f>HYPERLINK("https://klasma.github.io/Logging_2101/klagomålsmail/A 4226-2023 FSC-klagomål mail.docx", "A 4226-2023")</f>
        <v/>
      </c>
      <c r="X59">
        <f>HYPERLINK("https://klasma.github.io/Logging_2101/tillsyn/A 4226-2023 tillsynsbegäran.docx", "A 4226-2023")</f>
        <v/>
      </c>
      <c r="Y59">
        <f>HYPERLINK("https://klasma.github.io/Logging_2101/tillsynsmail/A 4226-2023 tillsynsbegäran mail.docx", "A 4226-2023")</f>
        <v/>
      </c>
    </row>
    <row r="60" ht="15" customHeight="1">
      <c r="A60" t="inlineStr">
        <is>
          <t>A 33384-2024</t>
        </is>
      </c>
      <c r="B60" s="1" t="n">
        <v>45519</v>
      </c>
      <c r="C60" s="1" t="n">
        <v>46197</v>
      </c>
      <c r="D60" t="inlineStr">
        <is>
          <t>GÄVLEBORGS LÄN</t>
        </is>
      </c>
      <c r="E60" t="inlineStr">
        <is>
          <t>OCKELBO</t>
        </is>
      </c>
      <c r="G60" t="n">
        <v>3.8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HYPERLINK("https://klasma.github.io/Logging_2101/artfynd/A 33384-2024 artfynd.xlsx", "A 33384-2024")</f>
        <v/>
      </c>
      <c r="T60">
        <f>HYPERLINK("https://klasma.github.io/Logging_2101/kartor/A 33384-2024 karta.png", "A 33384-2024")</f>
        <v/>
      </c>
      <c r="V60">
        <f>HYPERLINK("https://klasma.github.io/Logging_2101/klagomål/A 33384-2024 FSC-klagomål.docx", "A 33384-2024")</f>
        <v/>
      </c>
      <c r="W60">
        <f>HYPERLINK("https://klasma.github.io/Logging_2101/klagomålsmail/A 33384-2024 FSC-klagomål mail.docx", "A 33384-2024")</f>
        <v/>
      </c>
      <c r="X60">
        <f>HYPERLINK("https://klasma.github.io/Logging_2101/tillsyn/A 33384-2024 tillsynsbegäran.docx", "A 33384-2024")</f>
        <v/>
      </c>
      <c r="Y60">
        <f>HYPERLINK("https://klasma.github.io/Logging_2101/tillsynsmail/A 33384-2024 tillsynsbegäran mail.docx", "A 33384-2024")</f>
        <v/>
      </c>
    </row>
    <row r="61" ht="15" customHeight="1">
      <c r="A61" t="inlineStr">
        <is>
          <t>A 32266-2021</t>
        </is>
      </c>
      <c r="B61" s="1" t="n">
        <v>44371</v>
      </c>
      <c r="C61" s="1" t="n">
        <v>46197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34722-2022</t>
        </is>
      </c>
      <c r="B62" s="1" t="n">
        <v>44795</v>
      </c>
      <c r="C62" s="1" t="n">
        <v>46197</v>
      </c>
      <c r="D62" t="inlineStr">
        <is>
          <t>GÄVLEBORGS LÄN</t>
        </is>
      </c>
      <c r="E62" t="inlineStr">
        <is>
          <t>OCKELBO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48201-2022</t>
        </is>
      </c>
      <c r="B63" s="1" t="n">
        <v>44858</v>
      </c>
      <c r="C63" s="1" t="n">
        <v>46197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51257-2021</t>
        </is>
      </c>
      <c r="B64" s="1" t="n">
        <v>44460</v>
      </c>
      <c r="C64" s="1" t="n">
        <v>46197</v>
      </c>
      <c r="D64" t="inlineStr">
        <is>
          <t>GÄVLEBORGS LÄN</t>
        </is>
      </c>
      <c r="E64" t="inlineStr">
        <is>
          <t>OCKELBO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34712-2022</t>
        </is>
      </c>
      <c r="B65" s="1" t="n">
        <v>44795</v>
      </c>
      <c r="C65" s="1" t="n">
        <v>46197</v>
      </c>
      <c r="D65" t="inlineStr">
        <is>
          <t>GÄVLEBORGS LÄN</t>
        </is>
      </c>
      <c r="E65" t="inlineStr">
        <is>
          <t>OCKELBO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39888-2021</t>
        </is>
      </c>
      <c r="B66" s="1" t="n">
        <v>44417</v>
      </c>
      <c r="C66" s="1" t="n">
        <v>46197</v>
      </c>
      <c r="D66" t="inlineStr">
        <is>
          <t>GÄVLEBORGS LÄN</t>
        </is>
      </c>
      <c r="E66" t="inlineStr">
        <is>
          <t>OCKELBO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51206-2021</t>
        </is>
      </c>
      <c r="B67" s="1" t="n">
        <v>44460</v>
      </c>
      <c r="C67" s="1" t="n">
        <v>46197</v>
      </c>
      <c r="D67" t="inlineStr">
        <is>
          <t>GÄVLEBORGS LÄN</t>
        </is>
      </c>
      <c r="E67" t="inlineStr">
        <is>
          <t>OCKELBO</t>
        </is>
      </c>
      <c r="G67" t="n">
        <v>16.8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56282-2021</t>
        </is>
      </c>
      <c r="B68" s="1" t="n">
        <v>44479</v>
      </c>
      <c r="C68" s="1" t="n">
        <v>46197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68541-2021</t>
        </is>
      </c>
      <c r="B69" s="1" t="n">
        <v>44529</v>
      </c>
      <c r="C69" s="1" t="n">
        <v>46197</v>
      </c>
      <c r="D69" t="inlineStr">
        <is>
          <t>GÄVLEBORGS LÄN</t>
        </is>
      </c>
      <c r="E69" t="inlineStr">
        <is>
          <t>OCKELBO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69833-2021</t>
        </is>
      </c>
      <c r="B70" s="1" t="n">
        <v>44532</v>
      </c>
      <c r="C70" s="1" t="n">
        <v>46197</v>
      </c>
      <c r="D70" t="inlineStr">
        <is>
          <t>GÄVLEBORGS LÄN</t>
        </is>
      </c>
      <c r="E70" t="inlineStr">
        <is>
          <t>OCKELBO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39325-2022</t>
        </is>
      </c>
      <c r="B71" s="1" t="n">
        <v>44817</v>
      </c>
      <c r="C71" s="1" t="n">
        <v>46197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34718-2022</t>
        </is>
      </c>
      <c r="B72" s="1" t="n">
        <v>44795</v>
      </c>
      <c r="C72" s="1" t="n">
        <v>46197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63731-2021</t>
        </is>
      </c>
      <c r="B73" s="1" t="n">
        <v>44509</v>
      </c>
      <c r="C73" s="1" t="n">
        <v>46197</v>
      </c>
      <c r="D73" t="inlineStr">
        <is>
          <t>GÄVLEBORGS LÄN</t>
        </is>
      </c>
      <c r="E73" t="inlineStr">
        <is>
          <t>OCKELBO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40159-2021</t>
        </is>
      </c>
      <c r="B74" s="1" t="n">
        <v>44418</v>
      </c>
      <c r="C74" s="1" t="n">
        <v>46197</v>
      </c>
      <c r="D74" t="inlineStr">
        <is>
          <t>GÄVLEBORGS LÄN</t>
        </is>
      </c>
      <c r="E74" t="inlineStr">
        <is>
          <t>OCKELBO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51250-2021</t>
        </is>
      </c>
      <c r="B75" s="1" t="n">
        <v>44460</v>
      </c>
      <c r="C75" s="1" t="n">
        <v>46197</v>
      </c>
      <c r="D75" t="inlineStr">
        <is>
          <t>GÄVLEBORGS LÄN</t>
        </is>
      </c>
      <c r="E75" t="inlineStr">
        <is>
          <t>OCKELBO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48381-2022</t>
        </is>
      </c>
      <c r="B76" s="1" t="n">
        <v>44858</v>
      </c>
      <c r="C76" s="1" t="n">
        <v>46197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59629-2021</t>
        </is>
      </c>
      <c r="B77" s="1" t="n">
        <v>44492</v>
      </c>
      <c r="C77" s="1" t="n">
        <v>46197</v>
      </c>
      <c r="D77" t="inlineStr">
        <is>
          <t>GÄVLEBORGS LÄN</t>
        </is>
      </c>
      <c r="E77" t="inlineStr">
        <is>
          <t>OCKELBO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34854-2021</t>
        </is>
      </c>
      <c r="B78" s="1" t="n">
        <v>44383</v>
      </c>
      <c r="C78" s="1" t="n">
        <v>46197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37694-2021</t>
        </is>
      </c>
      <c r="B79" s="1" t="n">
        <v>44400</v>
      </c>
      <c r="C79" s="1" t="n">
        <v>46197</v>
      </c>
      <c r="D79" t="inlineStr">
        <is>
          <t>GÄVLEBORGS LÄN</t>
        </is>
      </c>
      <c r="E79" t="inlineStr">
        <is>
          <t>OCKELBO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22035-2022</t>
        </is>
      </c>
      <c r="B80" s="1" t="n">
        <v>44711</v>
      </c>
      <c r="C80" s="1" t="n">
        <v>46197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45522-2021</t>
        </is>
      </c>
      <c r="B81" s="1" t="n">
        <v>44440</v>
      </c>
      <c r="C81" s="1" t="n">
        <v>46197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34709-2022</t>
        </is>
      </c>
      <c r="B82" s="1" t="n">
        <v>44795</v>
      </c>
      <c r="C82" s="1" t="n">
        <v>46197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48205-2022</t>
        </is>
      </c>
      <c r="B83" s="1" t="n">
        <v>44858</v>
      </c>
      <c r="C83" s="1" t="n">
        <v>46197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41622-2021</t>
        </is>
      </c>
      <c r="B84" s="1" t="n">
        <v>44425</v>
      </c>
      <c r="C84" s="1" t="n">
        <v>46197</v>
      </c>
      <c r="D84" t="inlineStr">
        <is>
          <t>GÄVLEBORGS LÄN</t>
        </is>
      </c>
      <c r="E84" t="inlineStr">
        <is>
          <t>OCKELBO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51708-2021</t>
        </is>
      </c>
      <c r="B85" s="1" t="n">
        <v>44462</v>
      </c>
      <c r="C85" s="1" t="n">
        <v>46197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35846-2022</t>
        </is>
      </c>
      <c r="B86" s="1" t="n">
        <v>44802</v>
      </c>
      <c r="C86" s="1" t="n">
        <v>46197</v>
      </c>
      <c r="D86" t="inlineStr">
        <is>
          <t>GÄVLEBORGS LÄN</t>
        </is>
      </c>
      <c r="E86" t="inlineStr">
        <is>
          <t>OCKELBO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54152-2022</t>
        </is>
      </c>
      <c r="B87" s="1" t="n">
        <v>44881</v>
      </c>
      <c r="C87" s="1" t="n">
        <v>46197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21291-2022</t>
        </is>
      </c>
      <c r="B88" s="1" t="n">
        <v>44705</v>
      </c>
      <c r="C88" s="1" t="n">
        <v>46197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51747-2022</t>
        </is>
      </c>
      <c r="B89" s="1" t="n">
        <v>44872</v>
      </c>
      <c r="C89" s="1" t="n">
        <v>46197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32282-2021</t>
        </is>
      </c>
      <c r="B90" s="1" t="n">
        <v>44371</v>
      </c>
      <c r="C90" s="1" t="n">
        <v>46197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69580-2021</t>
        </is>
      </c>
      <c r="B91" s="1" t="n">
        <v>44532</v>
      </c>
      <c r="C91" s="1" t="n">
        <v>46197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12987-2022</t>
        </is>
      </c>
      <c r="B92" s="1" t="n">
        <v>44643</v>
      </c>
      <c r="C92" s="1" t="n">
        <v>46197</v>
      </c>
      <c r="D92" t="inlineStr">
        <is>
          <t>GÄVLEBORGS LÄN</t>
        </is>
      </c>
      <c r="E92" t="inlineStr">
        <is>
          <t>OCKELBO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15705-2022</t>
        </is>
      </c>
      <c r="B93" s="1" t="n">
        <v>44663</v>
      </c>
      <c r="C93" s="1" t="n">
        <v>46197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51271-2021</t>
        </is>
      </c>
      <c r="B94" s="1" t="n">
        <v>44460</v>
      </c>
      <c r="C94" s="1" t="n">
        <v>46197</v>
      </c>
      <c r="D94" t="inlineStr">
        <is>
          <t>GÄVLEBORGS LÄN</t>
        </is>
      </c>
      <c r="E94" t="inlineStr">
        <is>
          <t>OCKELBO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</v>
      </c>
      <c r="C95" s="1" t="n">
        <v>46197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51565-2021</t>
        </is>
      </c>
      <c r="B96" s="1" t="n">
        <v>44460</v>
      </c>
      <c r="C96" s="1" t="n">
        <v>46197</v>
      </c>
      <c r="D96" t="inlineStr">
        <is>
          <t>GÄVLEBORGS LÄN</t>
        </is>
      </c>
      <c r="E96" t="inlineStr">
        <is>
          <t>OCKELBO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56635-2021</t>
        </is>
      </c>
      <c r="B97" s="1" t="n">
        <v>44480</v>
      </c>
      <c r="C97" s="1" t="n">
        <v>46197</v>
      </c>
      <c r="D97" t="inlineStr">
        <is>
          <t>GÄVLEBORGS LÄN</t>
        </is>
      </c>
      <c r="E97" t="inlineStr">
        <is>
          <t>OCKELBO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43538-2023</t>
        </is>
      </c>
      <c r="B98" s="1" t="n">
        <v>45184</v>
      </c>
      <c r="C98" s="1" t="n">
        <v>46197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5558-2024</t>
        </is>
      </c>
      <c r="B99" s="1" t="n">
        <v>45334</v>
      </c>
      <c r="C99" s="1" t="n">
        <v>46197</v>
      </c>
      <c r="D99" t="inlineStr">
        <is>
          <t>GÄVLEBORGS LÄN</t>
        </is>
      </c>
      <c r="E99" t="inlineStr">
        <is>
          <t>OCKELBO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47674-2023</t>
        </is>
      </c>
      <c r="B100" s="1" t="n">
        <v>45203</v>
      </c>
      <c r="C100" s="1" t="n">
        <v>46197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34944-2024</t>
        </is>
      </c>
      <c r="B101" s="1" t="n">
        <v>45527</v>
      </c>
      <c r="C101" s="1" t="n">
        <v>46197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9859-2025</t>
        </is>
      </c>
      <c r="B102" s="1" t="n">
        <v>45716</v>
      </c>
      <c r="C102" s="1" t="n">
        <v>46197</v>
      </c>
      <c r="D102" t="inlineStr">
        <is>
          <t>GÄVLEBORGS LÄN</t>
        </is>
      </c>
      <c r="E102" t="inlineStr">
        <is>
          <t>OCKELBO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6617-2025</t>
        </is>
      </c>
      <c r="B103" s="1" t="n">
        <v>45700</v>
      </c>
      <c r="C103" s="1" t="n">
        <v>46197</v>
      </c>
      <c r="D103" t="inlineStr">
        <is>
          <t>GÄVLEBORGS LÄN</t>
        </is>
      </c>
      <c r="E103" t="inlineStr">
        <is>
          <t>OCKELBO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5131-2024</t>
        </is>
      </c>
      <c r="B104" s="1" t="n">
        <v>45330</v>
      </c>
      <c r="C104" s="1" t="n">
        <v>46197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43799-2022</t>
        </is>
      </c>
      <c r="B105" s="1" t="n">
        <v>44838</v>
      </c>
      <c r="C105" s="1" t="n">
        <v>46197</v>
      </c>
      <c r="D105" t="inlineStr">
        <is>
          <t>GÄVLEBORGS LÄN</t>
        </is>
      </c>
      <c r="E105" t="inlineStr">
        <is>
          <t>OCKELBO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56631-2022</t>
        </is>
      </c>
      <c r="B106" s="1" t="n">
        <v>44893</v>
      </c>
      <c r="C106" s="1" t="n">
        <v>46197</v>
      </c>
      <c r="D106" t="inlineStr">
        <is>
          <t>GÄVLEBORGS LÄN</t>
        </is>
      </c>
      <c r="E106" t="inlineStr">
        <is>
          <t>OCKELBO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40140-2022</t>
        </is>
      </c>
      <c r="B107" s="1" t="n">
        <v>44820</v>
      </c>
      <c r="C107" s="1" t="n">
        <v>46197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20231-2024</t>
        </is>
      </c>
      <c r="B108" s="1" t="n">
        <v>45434</v>
      </c>
      <c r="C108" s="1" t="n">
        <v>46197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55422-2022</t>
        </is>
      </c>
      <c r="B109" s="1" t="n">
        <v>44887</v>
      </c>
      <c r="C109" s="1" t="n">
        <v>46197</v>
      </c>
      <c r="D109" t="inlineStr">
        <is>
          <t>GÄVLEBORGS LÄN</t>
        </is>
      </c>
      <c r="E109" t="inlineStr">
        <is>
          <t>OCKELBO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23072-2024</t>
        </is>
      </c>
      <c r="B110" s="1" t="n">
        <v>45450</v>
      </c>
      <c r="C110" s="1" t="n">
        <v>46197</v>
      </c>
      <c r="D110" t="inlineStr">
        <is>
          <t>GÄVLEBORGS LÄN</t>
        </is>
      </c>
      <c r="E110" t="inlineStr">
        <is>
          <t>OCKELBO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21878-2024</t>
        </is>
      </c>
      <c r="B111" s="1" t="n">
        <v>45443</v>
      </c>
      <c r="C111" s="1" t="n">
        <v>46197</v>
      </c>
      <c r="D111" t="inlineStr">
        <is>
          <t>GÄVLEBORGS LÄN</t>
        </is>
      </c>
      <c r="E111" t="inlineStr">
        <is>
          <t>OCKELBO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23772-2024</t>
        </is>
      </c>
      <c r="B112" s="1" t="n">
        <v>45455</v>
      </c>
      <c r="C112" s="1" t="n">
        <v>46197</v>
      </c>
      <c r="D112" t="inlineStr">
        <is>
          <t>GÄVLEBORGS LÄN</t>
        </is>
      </c>
      <c r="E112" t="inlineStr">
        <is>
          <t>OCKELBO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5571-2024</t>
        </is>
      </c>
      <c r="B113" s="1" t="n">
        <v>45334</v>
      </c>
      <c r="C113" s="1" t="n">
        <v>46197</v>
      </c>
      <c r="D113" t="inlineStr">
        <is>
          <t>GÄVLEBORGS LÄN</t>
        </is>
      </c>
      <c r="E113" t="inlineStr">
        <is>
          <t>OCKELBO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28965-2024</t>
        </is>
      </c>
      <c r="B114" s="1" t="n">
        <v>45481</v>
      </c>
      <c r="C114" s="1" t="n">
        <v>46197</v>
      </c>
      <c r="D114" t="inlineStr">
        <is>
          <t>GÄVLEBORGS LÄN</t>
        </is>
      </c>
      <c r="E114" t="inlineStr">
        <is>
          <t>OCKELBO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30242-2024</t>
        </is>
      </c>
      <c r="B115" s="1" t="n">
        <v>45490</v>
      </c>
      <c r="C115" s="1" t="n">
        <v>46197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10445-2024</t>
        </is>
      </c>
      <c r="B116" s="1" t="n">
        <v>45366</v>
      </c>
      <c r="C116" s="1" t="n">
        <v>46197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28586-2024</t>
        </is>
      </c>
      <c r="B117" s="1" t="n">
        <v>45478</v>
      </c>
      <c r="C117" s="1" t="n">
        <v>46197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6742-2024</t>
        </is>
      </c>
      <c r="B118" s="1" t="n">
        <v>45342</v>
      </c>
      <c r="C118" s="1" t="n">
        <v>46197</v>
      </c>
      <c r="D118" t="inlineStr">
        <is>
          <t>GÄVLEBORGS LÄN</t>
        </is>
      </c>
      <c r="E118" t="inlineStr">
        <is>
          <t>OCKELBO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33880-2023</t>
        </is>
      </c>
      <c r="B119" s="1" t="n">
        <v>45134</v>
      </c>
      <c r="C119" s="1" t="n">
        <v>46197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36295-2024</t>
        </is>
      </c>
      <c r="B120" s="1" t="n">
        <v>45534</v>
      </c>
      <c r="C120" s="1" t="n">
        <v>46197</v>
      </c>
      <c r="D120" t="inlineStr">
        <is>
          <t>GÄVLEBORGS LÄN</t>
        </is>
      </c>
      <c r="E120" t="inlineStr">
        <is>
          <t>OCKELBO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55715-2023</t>
        </is>
      </c>
      <c r="B121" s="1" t="n">
        <v>45239</v>
      </c>
      <c r="C121" s="1" t="n">
        <v>46197</v>
      </c>
      <c r="D121" t="inlineStr">
        <is>
          <t>GÄVLEBORGS LÄN</t>
        </is>
      </c>
      <c r="E121" t="inlineStr">
        <is>
          <t>OCKELBO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60497-2021</t>
        </is>
      </c>
      <c r="B122" s="1" t="n">
        <v>44496</v>
      </c>
      <c r="C122" s="1" t="n">
        <v>46197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29954-2024</t>
        </is>
      </c>
      <c r="B123" s="1" t="n">
        <v>45488</v>
      </c>
      <c r="C123" s="1" t="n">
        <v>46197</v>
      </c>
      <c r="D123" t="inlineStr">
        <is>
          <t>GÄVLEBORGS LÄN</t>
        </is>
      </c>
      <c r="E123" t="inlineStr">
        <is>
          <t>OCKELBO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25640-2025</t>
        </is>
      </c>
      <c r="B124" s="1" t="n">
        <v>45803</v>
      </c>
      <c r="C124" s="1" t="n">
        <v>46197</v>
      </c>
      <c r="D124" t="inlineStr">
        <is>
          <t>GÄVLEBORGS LÄN</t>
        </is>
      </c>
      <c r="E124" t="inlineStr">
        <is>
          <t>OCKELBO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2593-2026</t>
        </is>
      </c>
      <c r="B125" s="1" t="n">
        <v>46037</v>
      </c>
      <c r="C125" s="1" t="n">
        <v>46197</v>
      </c>
      <c r="D125" t="inlineStr">
        <is>
          <t>GÄVLEBORGS LÄN</t>
        </is>
      </c>
      <c r="E125" t="inlineStr">
        <is>
          <t>OCKELBO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2926-2026</t>
        </is>
      </c>
      <c r="B126" s="1" t="n">
        <v>46038</v>
      </c>
      <c r="C126" s="1" t="n">
        <v>46197</v>
      </c>
      <c r="D126" t="inlineStr">
        <is>
          <t>GÄVLEBORGS LÄN</t>
        </is>
      </c>
      <c r="E126" t="inlineStr">
        <is>
          <t>OCKELBO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2858-2026</t>
        </is>
      </c>
      <c r="B127" s="1" t="n">
        <v>46038</v>
      </c>
      <c r="C127" s="1" t="n">
        <v>46197</v>
      </c>
      <c r="D127" t="inlineStr">
        <is>
          <t>GÄVLEBORGS LÄN</t>
        </is>
      </c>
      <c r="E127" t="inlineStr">
        <is>
          <t>OCKELBO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43550-2023</t>
        </is>
      </c>
      <c r="B128" s="1" t="n">
        <v>45184</v>
      </c>
      <c r="C128" s="1" t="n">
        <v>46197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2550-2026</t>
        </is>
      </c>
      <c r="B129" s="1" t="n">
        <v>46037</v>
      </c>
      <c r="C129" s="1" t="n">
        <v>46197</v>
      </c>
      <c r="D129" t="inlineStr">
        <is>
          <t>GÄVLEBORGS LÄN</t>
        </is>
      </c>
      <c r="E129" t="inlineStr">
        <is>
          <t>OCKELBO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26195-2025</t>
        </is>
      </c>
      <c r="B130" s="1" t="n">
        <v>45805</v>
      </c>
      <c r="C130" s="1" t="n">
        <v>46197</v>
      </c>
      <c r="D130" t="inlineStr">
        <is>
          <t>GÄVLEBORGS LÄN</t>
        </is>
      </c>
      <c r="E130" t="inlineStr">
        <is>
          <t>OCKELBO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36553-2021</t>
        </is>
      </c>
      <c r="B131" s="1" t="n">
        <v>44391</v>
      </c>
      <c r="C131" s="1" t="n">
        <v>46197</v>
      </c>
      <c r="D131" t="inlineStr">
        <is>
          <t>GÄVLEBORGS LÄN</t>
        </is>
      </c>
      <c r="E131" t="inlineStr">
        <is>
          <t>OCKELBO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53393-2022</t>
        </is>
      </c>
      <c r="B132" s="1" t="n">
        <v>44879</v>
      </c>
      <c r="C132" s="1" t="n">
        <v>46197</v>
      </c>
      <c r="D132" t="inlineStr">
        <is>
          <t>GÄVLEBORGS LÄN</t>
        </is>
      </c>
      <c r="E132" t="inlineStr">
        <is>
          <t>OCKELBO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3138-2026</t>
        </is>
      </c>
      <c r="B133" s="1" t="n">
        <v>46041</v>
      </c>
      <c r="C133" s="1" t="n">
        <v>46197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54807-2024</t>
        </is>
      </c>
      <c r="B134" s="1" t="n">
        <v>45618</v>
      </c>
      <c r="C134" s="1" t="n">
        <v>46197</v>
      </c>
      <c r="D134" t="inlineStr">
        <is>
          <t>GÄVLEBORGS LÄN</t>
        </is>
      </c>
      <c r="E134" t="inlineStr">
        <is>
          <t>OCKELBO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55952-2022</t>
        </is>
      </c>
      <c r="B135" s="1" t="n">
        <v>44889</v>
      </c>
      <c r="C135" s="1" t="n">
        <v>46197</v>
      </c>
      <c r="D135" t="inlineStr">
        <is>
          <t>GÄVLEBORGS LÄN</t>
        </is>
      </c>
      <c r="E135" t="inlineStr">
        <is>
          <t>OCKELBO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2389-2026</t>
        </is>
      </c>
      <c r="B136" s="1" t="n">
        <v>46036</v>
      </c>
      <c r="C136" s="1" t="n">
        <v>46197</v>
      </c>
      <c r="D136" t="inlineStr">
        <is>
          <t>GÄVLEBORGS LÄN</t>
        </is>
      </c>
      <c r="E136" t="inlineStr">
        <is>
          <t>OCKELBO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24927-2025</t>
        </is>
      </c>
      <c r="B137" s="1" t="n">
        <v>45799</v>
      </c>
      <c r="C137" s="1" t="n">
        <v>46197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3216-2026</t>
        </is>
      </c>
      <c r="B138" s="1" t="n">
        <v>46041</v>
      </c>
      <c r="C138" s="1" t="n">
        <v>46197</v>
      </c>
      <c r="D138" t="inlineStr">
        <is>
          <t>GÄVLEBORGS LÄN</t>
        </is>
      </c>
      <c r="E138" t="inlineStr">
        <is>
          <t>OCKELBO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39142-2025</t>
        </is>
      </c>
      <c r="B139" s="1" t="n">
        <v>45888</v>
      </c>
      <c r="C139" s="1" t="n">
        <v>46197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39035-2025</t>
        </is>
      </c>
      <c r="B140" s="1" t="n">
        <v>45888</v>
      </c>
      <c r="C140" s="1" t="n">
        <v>46197</v>
      </c>
      <c r="D140" t="inlineStr">
        <is>
          <t>GÄVLEBORGS LÄN</t>
        </is>
      </c>
      <c r="E140" t="inlineStr">
        <is>
          <t>OCKELBO</t>
        </is>
      </c>
      <c r="F140" t="inlineStr">
        <is>
          <t>Kyrkan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64367-2023</t>
        </is>
      </c>
      <c r="B141" s="1" t="n">
        <v>45280</v>
      </c>
      <c r="C141" s="1" t="n">
        <v>46197</v>
      </c>
      <c r="D141" t="inlineStr">
        <is>
          <t>GÄVLEBORGS LÄN</t>
        </is>
      </c>
      <c r="E141" t="inlineStr">
        <is>
          <t>OCKELBO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27990-2025</t>
        </is>
      </c>
      <c r="B142" s="1" t="n">
        <v>45817</v>
      </c>
      <c r="C142" s="1" t="n">
        <v>46197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39324-2025</t>
        </is>
      </c>
      <c r="B143" s="1" t="n">
        <v>45889</v>
      </c>
      <c r="C143" s="1" t="n">
        <v>46197</v>
      </c>
      <c r="D143" t="inlineStr">
        <is>
          <t>GÄVLEBORGS LÄN</t>
        </is>
      </c>
      <c r="E143" t="inlineStr">
        <is>
          <t>OCKELBO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28006-2025</t>
        </is>
      </c>
      <c r="B144" s="1" t="n">
        <v>45817</v>
      </c>
      <c r="C144" s="1" t="n">
        <v>46197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39325-2025</t>
        </is>
      </c>
      <c r="B145" s="1" t="n">
        <v>45889</v>
      </c>
      <c r="C145" s="1" t="n">
        <v>46197</v>
      </c>
      <c r="D145" t="inlineStr">
        <is>
          <t>GÄVLEBORGS LÄN</t>
        </is>
      </c>
      <c r="E145" t="inlineStr">
        <is>
          <t>OCKELBO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39360-2025</t>
        </is>
      </c>
      <c r="B146" s="1" t="n">
        <v>45889</v>
      </c>
      <c r="C146" s="1" t="n">
        <v>46197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15195-2025</t>
        </is>
      </c>
      <c r="B147" s="1" t="n">
        <v>45744</v>
      </c>
      <c r="C147" s="1" t="n">
        <v>46197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28080-2025</t>
        </is>
      </c>
      <c r="B148" s="1" t="n">
        <v>45817</v>
      </c>
      <c r="C148" s="1" t="n">
        <v>46197</v>
      </c>
      <c r="D148" t="inlineStr">
        <is>
          <t>GÄVLEBORGS LÄN</t>
        </is>
      </c>
      <c r="E148" t="inlineStr">
        <is>
          <t>OCKELBO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28576-2025</t>
        </is>
      </c>
      <c r="B149" s="1" t="n">
        <v>45819</v>
      </c>
      <c r="C149" s="1" t="n">
        <v>46197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28669-2025</t>
        </is>
      </c>
      <c r="B150" s="1" t="n">
        <v>45819</v>
      </c>
      <c r="C150" s="1" t="n">
        <v>46197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39723-2025</t>
        </is>
      </c>
      <c r="B151" s="1" t="n">
        <v>45891</v>
      </c>
      <c r="C151" s="1" t="n">
        <v>46197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3999-2026</t>
        </is>
      </c>
      <c r="B152" s="1" t="n">
        <v>46044</v>
      </c>
      <c r="C152" s="1" t="n">
        <v>46197</v>
      </c>
      <c r="D152" t="inlineStr">
        <is>
          <t>GÄVLEBORGS LÄN</t>
        </is>
      </c>
      <c r="E152" t="inlineStr">
        <is>
          <t>OCKELBO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4001-2026</t>
        </is>
      </c>
      <c r="B153" s="1" t="n">
        <v>46044</v>
      </c>
      <c r="C153" s="1" t="n">
        <v>46197</v>
      </c>
      <c r="D153" t="inlineStr">
        <is>
          <t>GÄVLEBORGS LÄN</t>
        </is>
      </c>
      <c r="E153" t="inlineStr">
        <is>
          <t>OCKELBO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40196-2024</t>
        </is>
      </c>
      <c r="B154" s="1" t="n">
        <v>45554</v>
      </c>
      <c r="C154" s="1" t="n">
        <v>46197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40148-2025</t>
        </is>
      </c>
      <c r="B155" s="1" t="n">
        <v>45894</v>
      </c>
      <c r="C155" s="1" t="n">
        <v>46197</v>
      </c>
      <c r="D155" t="inlineStr">
        <is>
          <t>GÄVLEBORGS LÄN</t>
        </is>
      </c>
      <c r="E155" t="inlineStr">
        <is>
          <t>OCKELBO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40525-2025</t>
        </is>
      </c>
      <c r="B156" s="1" t="n">
        <v>45896</v>
      </c>
      <c r="C156" s="1" t="n">
        <v>46197</v>
      </c>
      <c r="D156" t="inlineStr">
        <is>
          <t>GÄVLEBORGS LÄN</t>
        </is>
      </c>
      <c r="E156" t="inlineStr">
        <is>
          <t>OCKELBO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29274-2025</t>
        </is>
      </c>
      <c r="B157" s="1" t="n">
        <v>45824</v>
      </c>
      <c r="C157" s="1" t="n">
        <v>46197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4179-2026</t>
        </is>
      </c>
      <c r="B158" s="1" t="n">
        <v>46044</v>
      </c>
      <c r="C158" s="1" t="n">
        <v>46197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29158-2025</t>
        </is>
      </c>
      <c r="B159" s="1" t="n">
        <v>45821</v>
      </c>
      <c r="C159" s="1" t="n">
        <v>46197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29116-2025</t>
        </is>
      </c>
      <c r="B160" s="1" t="n">
        <v>45821</v>
      </c>
      <c r="C160" s="1" t="n">
        <v>46197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3593-2023</t>
        </is>
      </c>
      <c r="B161" s="1" t="n">
        <v>44950</v>
      </c>
      <c r="C161" s="1" t="n">
        <v>46197</v>
      </c>
      <c r="D161" t="inlineStr">
        <is>
          <t>GÄVLEBORGS LÄN</t>
        </is>
      </c>
      <c r="E161" t="inlineStr">
        <is>
          <t>OCKELBO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30331-2025</t>
        </is>
      </c>
      <c r="B162" s="1" t="n">
        <v>45827</v>
      </c>
      <c r="C162" s="1" t="n">
        <v>46197</v>
      </c>
      <c r="D162" t="inlineStr">
        <is>
          <t>GÄVLEBORGS LÄN</t>
        </is>
      </c>
      <c r="E162" t="inlineStr">
        <is>
          <t>OCKELBO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30229-2025</t>
        </is>
      </c>
      <c r="B163" s="1" t="n">
        <v>45827</v>
      </c>
      <c r="C163" s="1" t="n">
        <v>46197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30152-2025</t>
        </is>
      </c>
      <c r="B164" s="1" t="n">
        <v>45827</v>
      </c>
      <c r="C164" s="1" t="n">
        <v>46197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30179-2025</t>
        </is>
      </c>
      <c r="B165" s="1" t="n">
        <v>45827</v>
      </c>
      <c r="C165" s="1" t="n">
        <v>46197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3883-2026</t>
        </is>
      </c>
      <c r="B166" s="1" t="n">
        <v>46043</v>
      </c>
      <c r="C166" s="1" t="n">
        <v>46197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41901-2025</t>
        </is>
      </c>
      <c r="B167" s="1" t="n">
        <v>45903</v>
      </c>
      <c r="C167" s="1" t="n">
        <v>46197</v>
      </c>
      <c r="D167" t="inlineStr">
        <is>
          <t>GÄVLEBORGS LÄN</t>
        </is>
      </c>
      <c r="E167" t="inlineStr">
        <is>
          <t>OCKELBO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41899-2025</t>
        </is>
      </c>
      <c r="B168" s="1" t="n">
        <v>45903</v>
      </c>
      <c r="C168" s="1" t="n">
        <v>46197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41897-2025</t>
        </is>
      </c>
      <c r="B169" s="1" t="n">
        <v>45903</v>
      </c>
      <c r="C169" s="1" t="n">
        <v>46197</v>
      </c>
      <c r="D169" t="inlineStr">
        <is>
          <t>GÄVLEBORGS LÄN</t>
        </is>
      </c>
      <c r="E169" t="inlineStr">
        <is>
          <t>OCKELBO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4178-2026</t>
        </is>
      </c>
      <c r="B170" s="1" t="n">
        <v>46044</v>
      </c>
      <c r="C170" s="1" t="n">
        <v>46197</v>
      </c>
      <c r="D170" t="inlineStr">
        <is>
          <t>GÄVLEBORGS LÄN</t>
        </is>
      </c>
      <c r="E170" t="inlineStr">
        <is>
          <t>OCKELBO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32087-2025</t>
        </is>
      </c>
      <c r="B171" s="1" t="n">
        <v>45835</v>
      </c>
      <c r="C171" s="1" t="n">
        <v>46197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42386-2025</t>
        </is>
      </c>
      <c r="B172" s="1" t="n">
        <v>45905</v>
      </c>
      <c r="C172" s="1" t="n">
        <v>46197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30798-2024</t>
        </is>
      </c>
      <c r="B173" s="1" t="n">
        <v>45497</v>
      </c>
      <c r="C173" s="1" t="n">
        <v>46197</v>
      </c>
      <c r="D173" t="inlineStr">
        <is>
          <t>GÄVLEBORGS LÄN</t>
        </is>
      </c>
      <c r="E173" t="inlineStr">
        <is>
          <t>OCKELBO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4008-2026</t>
        </is>
      </c>
      <c r="B174" s="1" t="n">
        <v>46044</v>
      </c>
      <c r="C174" s="1" t="n">
        <v>46197</v>
      </c>
      <c r="D174" t="inlineStr">
        <is>
          <t>GÄVLEBORGS LÄN</t>
        </is>
      </c>
      <c r="E174" t="inlineStr">
        <is>
          <t>OCKELBO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32449-2025</t>
        </is>
      </c>
      <c r="B175" s="1" t="n">
        <v>45838</v>
      </c>
      <c r="C175" s="1" t="n">
        <v>46197</v>
      </c>
      <c r="D175" t="inlineStr">
        <is>
          <t>GÄVLEBORGS LÄN</t>
        </is>
      </c>
      <c r="E175" t="inlineStr">
        <is>
          <t>OCKELBO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20892-2025</t>
        </is>
      </c>
      <c r="B176" s="1" t="n">
        <v>45777</v>
      </c>
      <c r="C176" s="1" t="n">
        <v>46197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43423-2025</t>
        </is>
      </c>
      <c r="B177" s="1" t="n">
        <v>45911</v>
      </c>
      <c r="C177" s="1" t="n">
        <v>46197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43436-2025</t>
        </is>
      </c>
      <c r="B178" s="1" t="n">
        <v>45911</v>
      </c>
      <c r="C178" s="1" t="n">
        <v>46197</v>
      </c>
      <c r="D178" t="inlineStr">
        <is>
          <t>GÄVLEBORGS LÄN</t>
        </is>
      </c>
      <c r="E178" t="inlineStr">
        <is>
          <t>OCKELBO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43424-2025</t>
        </is>
      </c>
      <c r="B179" s="1" t="n">
        <v>45911</v>
      </c>
      <c r="C179" s="1" t="n">
        <v>46197</v>
      </c>
      <c r="D179" t="inlineStr">
        <is>
          <t>GÄVLEBORGS LÄN</t>
        </is>
      </c>
      <c r="E179" t="inlineStr">
        <is>
          <t>OCKELBO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33228-2025</t>
        </is>
      </c>
      <c r="B180" s="1" t="n">
        <v>45840</v>
      </c>
      <c r="C180" s="1" t="n">
        <v>46197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43447-2025</t>
        </is>
      </c>
      <c r="B181" s="1" t="n">
        <v>45911</v>
      </c>
      <c r="C181" s="1" t="n">
        <v>46197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33231-2025</t>
        </is>
      </c>
      <c r="B182" s="1" t="n">
        <v>45840</v>
      </c>
      <c r="C182" s="1" t="n">
        <v>46197</v>
      </c>
      <c r="D182" t="inlineStr">
        <is>
          <t>GÄVLEBORGS LÄN</t>
        </is>
      </c>
      <c r="E182" t="inlineStr">
        <is>
          <t>OCKELBO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49207-2023</t>
        </is>
      </c>
      <c r="B183" s="1" t="n">
        <v>45210</v>
      </c>
      <c r="C183" s="1" t="n">
        <v>46197</v>
      </c>
      <c r="D183" t="inlineStr">
        <is>
          <t>GÄVLEBORGS LÄN</t>
        </is>
      </c>
      <c r="E183" t="inlineStr">
        <is>
          <t>OCKELBO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33384-2025</t>
        </is>
      </c>
      <c r="B184" s="1" t="n">
        <v>45841</v>
      </c>
      <c r="C184" s="1" t="n">
        <v>46197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30011-2023</t>
        </is>
      </c>
      <c r="B185" s="1" t="n">
        <v>45109</v>
      </c>
      <c r="C185" s="1" t="n">
        <v>46197</v>
      </c>
      <c r="D185" t="inlineStr">
        <is>
          <t>GÄVLEBORGS LÄN</t>
        </is>
      </c>
      <c r="E185" t="inlineStr">
        <is>
          <t>OCKELBO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3628-2023</t>
        </is>
      </c>
      <c r="B186" s="1" t="n">
        <v>44950</v>
      </c>
      <c r="C186" s="1" t="n">
        <v>46197</v>
      </c>
      <c r="D186" t="inlineStr">
        <is>
          <t>GÄVLEBORGS LÄN</t>
        </is>
      </c>
      <c r="E186" t="inlineStr">
        <is>
          <t>OCKELBO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3653-2026</t>
        </is>
      </c>
      <c r="B187" s="1" t="n">
        <v>46043</v>
      </c>
      <c r="C187" s="1" t="n">
        <v>46197</v>
      </c>
      <c r="D187" t="inlineStr">
        <is>
          <t>GÄVLEBORGS LÄN</t>
        </is>
      </c>
      <c r="E187" t="inlineStr">
        <is>
          <t>OCKELBO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3664-2026</t>
        </is>
      </c>
      <c r="B188" s="1" t="n">
        <v>46043</v>
      </c>
      <c r="C188" s="1" t="n">
        <v>46197</v>
      </c>
      <c r="D188" t="inlineStr">
        <is>
          <t>GÄVLEBORGS LÄN</t>
        </is>
      </c>
      <c r="E188" t="inlineStr">
        <is>
          <t>OCKELBO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10149-2025</t>
        </is>
      </c>
      <c r="B189" s="1" t="n">
        <v>45719</v>
      </c>
      <c r="C189" s="1" t="n">
        <v>46197</v>
      </c>
      <c r="D189" t="inlineStr">
        <is>
          <t>GÄVLEBORGS LÄN</t>
        </is>
      </c>
      <c r="E189" t="inlineStr">
        <is>
          <t>OCKELBO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23006-2023</t>
        </is>
      </c>
      <c r="B190" s="1" t="n">
        <v>45073</v>
      </c>
      <c r="C190" s="1" t="n">
        <v>46197</v>
      </c>
      <c r="D190" t="inlineStr">
        <is>
          <t>GÄVLEBORGS LÄN</t>
        </is>
      </c>
      <c r="E190" t="inlineStr">
        <is>
          <t>OCKELBO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14937-2024</t>
        </is>
      </c>
      <c r="B191" s="1" t="n">
        <v>45398</v>
      </c>
      <c r="C191" s="1" t="n">
        <v>46197</v>
      </c>
      <c r="D191" t="inlineStr">
        <is>
          <t>GÄVLEBORGS LÄN</t>
        </is>
      </c>
      <c r="E191" t="inlineStr">
        <is>
          <t>OCKELBO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22824-2024</t>
        </is>
      </c>
      <c r="B192" s="1" t="n">
        <v>45448</v>
      </c>
      <c r="C192" s="1" t="n">
        <v>46197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2919-2026</t>
        </is>
      </c>
      <c r="B193" s="1" t="n">
        <v>46038</v>
      </c>
      <c r="C193" s="1" t="n">
        <v>46197</v>
      </c>
      <c r="D193" t="inlineStr">
        <is>
          <t>GÄVLEBORGS LÄN</t>
        </is>
      </c>
      <c r="E193" t="inlineStr">
        <is>
          <t>OCKELBO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35017-2025</t>
        </is>
      </c>
      <c r="B194" s="1" t="n">
        <v>45851</v>
      </c>
      <c r="C194" s="1" t="n">
        <v>46197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46320-2025</t>
        </is>
      </c>
      <c r="B195" s="1" t="n">
        <v>45925</v>
      </c>
      <c r="C195" s="1" t="n">
        <v>46197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46609-2025</t>
        </is>
      </c>
      <c r="B196" s="1" t="n">
        <v>45926</v>
      </c>
      <c r="C196" s="1" t="n">
        <v>46197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2330-2026</t>
        </is>
      </c>
      <c r="B197" s="1" t="n">
        <v>46036</v>
      </c>
      <c r="C197" s="1" t="n">
        <v>46197</v>
      </c>
      <c r="D197" t="inlineStr">
        <is>
          <t>GÄVLEBORGS LÄN</t>
        </is>
      </c>
      <c r="E197" t="inlineStr">
        <is>
          <t>OCKELBO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35614-2025</t>
        </is>
      </c>
      <c r="B198" s="1" t="n">
        <v>45859</v>
      </c>
      <c r="C198" s="1" t="n">
        <v>46197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4250-2026</t>
        </is>
      </c>
      <c r="B199" s="1" t="n">
        <v>46045</v>
      </c>
      <c r="C199" s="1" t="n">
        <v>46197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34291-2025</t>
        </is>
      </c>
      <c r="B200" s="1" t="n">
        <v>45846</v>
      </c>
      <c r="C200" s="1" t="n">
        <v>46197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29768-2023</t>
        </is>
      </c>
      <c r="B201" s="1" t="n">
        <v>45107</v>
      </c>
      <c r="C201" s="1" t="n">
        <v>46197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47267-2025</t>
        </is>
      </c>
      <c r="B202" s="1" t="n">
        <v>45930</v>
      </c>
      <c r="C202" s="1" t="n">
        <v>46197</v>
      </c>
      <c r="D202" t="inlineStr">
        <is>
          <t>GÄVLEBORGS LÄN</t>
        </is>
      </c>
      <c r="E202" t="inlineStr">
        <is>
          <t>OCKELBO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45519-2022</t>
        </is>
      </c>
      <c r="B203" s="1" t="n">
        <v>44845</v>
      </c>
      <c r="C203" s="1" t="n">
        <v>46197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48221-2024</t>
        </is>
      </c>
      <c r="B204" s="1" t="n">
        <v>45590</v>
      </c>
      <c r="C204" s="1" t="n">
        <v>46197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54454-2024</t>
        </is>
      </c>
      <c r="B205" s="1" t="n">
        <v>45617</v>
      </c>
      <c r="C205" s="1" t="n">
        <v>46197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34797-2021</t>
        </is>
      </c>
      <c r="B206" s="1" t="n">
        <v>44383</v>
      </c>
      <c r="C206" s="1" t="n">
        <v>46197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61622-2021</t>
        </is>
      </c>
      <c r="B207" s="1" t="n">
        <v>44501</v>
      </c>
      <c r="C207" s="1" t="n">
        <v>46197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4891-2026</t>
        </is>
      </c>
      <c r="B208" s="1" t="n">
        <v>46048</v>
      </c>
      <c r="C208" s="1" t="n">
        <v>46197</v>
      </c>
      <c r="D208" t="inlineStr">
        <is>
          <t>GÄVLEBORGS LÄN</t>
        </is>
      </c>
      <c r="E208" t="inlineStr">
        <is>
          <t>OCKELBO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4900-2026</t>
        </is>
      </c>
      <c r="B209" s="1" t="n">
        <v>46048</v>
      </c>
      <c r="C209" s="1" t="n">
        <v>46197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40283-2024</t>
        </is>
      </c>
      <c r="B210" s="1" t="n">
        <v>45554</v>
      </c>
      <c r="C210" s="1" t="n">
        <v>46197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38401-2023</t>
        </is>
      </c>
      <c r="B211" s="1" t="n">
        <v>45162</v>
      </c>
      <c r="C211" s="1" t="n">
        <v>46197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4867-2026</t>
        </is>
      </c>
      <c r="B212" s="1" t="n">
        <v>46048</v>
      </c>
      <c r="C212" s="1" t="n">
        <v>46197</v>
      </c>
      <c r="D212" t="inlineStr">
        <is>
          <t>GÄVLEBORGS LÄN</t>
        </is>
      </c>
      <c r="E212" t="inlineStr">
        <is>
          <t>OCKELBO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67768-2021</t>
        </is>
      </c>
      <c r="B213" s="1" t="n">
        <v>44525</v>
      </c>
      <c r="C213" s="1" t="n">
        <v>46197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46485-2024</t>
        </is>
      </c>
      <c r="B214" s="1" t="n">
        <v>45582</v>
      </c>
      <c r="C214" s="1" t="n">
        <v>46197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47011-2025</t>
        </is>
      </c>
      <c r="B215" s="1" t="n">
        <v>45929</v>
      </c>
      <c r="C215" s="1" t="n">
        <v>46197</v>
      </c>
      <c r="D215" t="inlineStr">
        <is>
          <t>GÄVLEBORGS LÄN</t>
        </is>
      </c>
      <c r="E215" t="inlineStr">
        <is>
          <t>OCKELBO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47016-2025</t>
        </is>
      </c>
      <c r="B216" s="1" t="n">
        <v>45929</v>
      </c>
      <c r="C216" s="1" t="n">
        <v>46197</v>
      </c>
      <c r="D216" t="inlineStr">
        <is>
          <t>GÄVLEBORGS LÄN</t>
        </is>
      </c>
      <c r="E216" t="inlineStr">
        <is>
          <t>OCKELBO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50689-2024</t>
        </is>
      </c>
      <c r="B217" s="1" t="n">
        <v>45602</v>
      </c>
      <c r="C217" s="1" t="n">
        <v>46197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50692-2024</t>
        </is>
      </c>
      <c r="B218" s="1" t="n">
        <v>45602</v>
      </c>
      <c r="C218" s="1" t="n">
        <v>46197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50693-2024</t>
        </is>
      </c>
      <c r="B219" s="1" t="n">
        <v>45602</v>
      </c>
      <c r="C219" s="1" t="n">
        <v>46197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38893-2022</t>
        </is>
      </c>
      <c r="B220" s="1" t="n">
        <v>44816</v>
      </c>
      <c r="C220" s="1" t="n">
        <v>46197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64609-2023</t>
        </is>
      </c>
      <c r="B221" s="1" t="n">
        <v>45281</v>
      </c>
      <c r="C221" s="1" t="n">
        <v>46197</v>
      </c>
      <c r="D221" t="inlineStr">
        <is>
          <t>GÄVLEBORGS LÄN</t>
        </is>
      </c>
      <c r="E221" t="inlineStr">
        <is>
          <t>OCKELBO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2325-2026</t>
        </is>
      </c>
      <c r="B222" s="1" t="n">
        <v>46036</v>
      </c>
      <c r="C222" s="1" t="n">
        <v>46197</v>
      </c>
      <c r="D222" t="inlineStr">
        <is>
          <t>GÄVLEBORGS LÄN</t>
        </is>
      </c>
      <c r="E222" t="inlineStr">
        <is>
          <t>OCKELBO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16141-2023</t>
        </is>
      </c>
      <c r="B223" s="1" t="n">
        <v>45027</v>
      </c>
      <c r="C223" s="1" t="n">
        <v>46197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52140-2024</t>
        </is>
      </c>
      <c r="B224" s="1" t="n">
        <v>45608</v>
      </c>
      <c r="C224" s="1" t="n">
        <v>46197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4234-2026</t>
        </is>
      </c>
      <c r="B225" s="1" t="n">
        <v>46044</v>
      </c>
      <c r="C225" s="1" t="n">
        <v>46197</v>
      </c>
      <c r="D225" t="inlineStr">
        <is>
          <t>GÄVLEBORGS LÄN</t>
        </is>
      </c>
      <c r="E225" t="inlineStr">
        <is>
          <t>OCKELBO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40281-2024</t>
        </is>
      </c>
      <c r="B226" s="1" t="n">
        <v>45554</v>
      </c>
      <c r="C226" s="1" t="n">
        <v>46197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4320-2026</t>
        </is>
      </c>
      <c r="B227" s="1" t="n">
        <v>46045</v>
      </c>
      <c r="C227" s="1" t="n">
        <v>46197</v>
      </c>
      <c r="D227" t="inlineStr">
        <is>
          <t>GÄVLEBORGS LÄN</t>
        </is>
      </c>
      <c r="E227" t="inlineStr">
        <is>
          <t>OCKELBO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60699-2024</t>
        </is>
      </c>
      <c r="B228" s="1" t="n">
        <v>45644</v>
      </c>
      <c r="C228" s="1" t="n">
        <v>46197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50235-2023</t>
        </is>
      </c>
      <c r="B229" s="1" t="n">
        <v>45216</v>
      </c>
      <c r="C229" s="1" t="n">
        <v>46197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66825-2021</t>
        </is>
      </c>
      <c r="B230" s="1" t="n">
        <v>44522</v>
      </c>
      <c r="C230" s="1" t="n">
        <v>46197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4268-2026</t>
        </is>
      </c>
      <c r="B231" s="1" t="n">
        <v>46045</v>
      </c>
      <c r="C231" s="1" t="n">
        <v>46197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5232-2026</t>
        </is>
      </c>
      <c r="B232" s="1" t="n">
        <v>46049</v>
      </c>
      <c r="C232" s="1" t="n">
        <v>46197</v>
      </c>
      <c r="D232" t="inlineStr">
        <is>
          <t>GÄVLEBORGS LÄN</t>
        </is>
      </c>
      <c r="E232" t="inlineStr">
        <is>
          <t>OCKELBO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5330-2026</t>
        </is>
      </c>
      <c r="B233" s="1" t="n">
        <v>46050</v>
      </c>
      <c r="C233" s="1" t="n">
        <v>46197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47987-2025</t>
        </is>
      </c>
      <c r="B234" s="1" t="n">
        <v>45932</v>
      </c>
      <c r="C234" s="1" t="n">
        <v>46197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5164-2026</t>
        </is>
      </c>
      <c r="B235" s="1" t="n">
        <v>46049</v>
      </c>
      <c r="C235" s="1" t="n">
        <v>46197</v>
      </c>
      <c r="D235" t="inlineStr">
        <is>
          <t>GÄVLEBORGS LÄN</t>
        </is>
      </c>
      <c r="E235" t="inlineStr">
        <is>
          <t>OCKELBO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65259-2023</t>
        </is>
      </c>
      <c r="B236" s="1" t="n">
        <v>45291</v>
      </c>
      <c r="C236" s="1" t="n">
        <v>46197</v>
      </c>
      <c r="D236" t="inlineStr">
        <is>
          <t>GÄVLEBORGS LÄN</t>
        </is>
      </c>
      <c r="E236" t="inlineStr">
        <is>
          <t>OCKELBO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5231-2026</t>
        </is>
      </c>
      <c r="B237" s="1" t="n">
        <v>46049</v>
      </c>
      <c r="C237" s="1" t="n">
        <v>46197</v>
      </c>
      <c r="D237" t="inlineStr">
        <is>
          <t>GÄVLEBORGS LÄN</t>
        </is>
      </c>
      <c r="E237" t="inlineStr">
        <is>
          <t>OCKELBO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5337-2026</t>
        </is>
      </c>
      <c r="B238" s="1" t="n">
        <v>46050</v>
      </c>
      <c r="C238" s="1" t="n">
        <v>46197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5596-2026</t>
        </is>
      </c>
      <c r="B239" s="1" t="n">
        <v>46051</v>
      </c>
      <c r="C239" s="1" t="n">
        <v>46197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5887-2026</t>
        </is>
      </c>
      <c r="B240" s="1" t="n">
        <v>46052</v>
      </c>
      <c r="C240" s="1" t="n">
        <v>46197</v>
      </c>
      <c r="D240" t="inlineStr">
        <is>
          <t>GÄVLEBORGS LÄN</t>
        </is>
      </c>
      <c r="E240" t="inlineStr">
        <is>
          <t>OCKELBO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5846-2026</t>
        </is>
      </c>
      <c r="B241" s="1" t="n">
        <v>46052</v>
      </c>
      <c r="C241" s="1" t="n">
        <v>46197</v>
      </c>
      <c r="D241" t="inlineStr">
        <is>
          <t>GÄVLEBORGS LÄN</t>
        </is>
      </c>
      <c r="E241" t="inlineStr">
        <is>
          <t>OCKELBO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6529-2026</t>
        </is>
      </c>
      <c r="B242" s="1" t="n">
        <v>46052</v>
      </c>
      <c r="C242" s="1" t="n">
        <v>46197</v>
      </c>
      <c r="D242" t="inlineStr">
        <is>
          <t>GÄVLEBORGS LÄN</t>
        </is>
      </c>
      <c r="E242" t="inlineStr">
        <is>
          <t>OCKELBO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6531-2026</t>
        </is>
      </c>
      <c r="B243" s="1" t="n">
        <v>46052</v>
      </c>
      <c r="C243" s="1" t="n">
        <v>46197</v>
      </c>
      <c r="D243" t="inlineStr">
        <is>
          <t>GÄVLEBORGS LÄN</t>
        </is>
      </c>
      <c r="E243" t="inlineStr">
        <is>
          <t>OCKELBO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48855-2025</t>
        </is>
      </c>
      <c r="B244" s="1" t="n">
        <v>45937</v>
      </c>
      <c r="C244" s="1" t="n">
        <v>46197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29534-2023</t>
        </is>
      </c>
      <c r="B245" s="1" t="n">
        <v>45106</v>
      </c>
      <c r="C245" s="1" t="n">
        <v>46197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48996-2025</t>
        </is>
      </c>
      <c r="B246" s="1" t="n">
        <v>45937</v>
      </c>
      <c r="C246" s="1" t="n">
        <v>46197</v>
      </c>
      <c r="D246" t="inlineStr">
        <is>
          <t>GÄVLEBORGS LÄN</t>
        </is>
      </c>
      <c r="E246" t="inlineStr">
        <is>
          <t>OCKELBO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49008-2025</t>
        </is>
      </c>
      <c r="B247" s="1" t="n">
        <v>45937</v>
      </c>
      <c r="C247" s="1" t="n">
        <v>46197</v>
      </c>
      <c r="D247" t="inlineStr">
        <is>
          <t>GÄVLEBORGS LÄN</t>
        </is>
      </c>
      <c r="E247" t="inlineStr">
        <is>
          <t>OCKELBO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52335-2024</t>
        </is>
      </c>
      <c r="B248" s="1" t="n">
        <v>45609</v>
      </c>
      <c r="C248" s="1" t="n">
        <v>46197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49014-2025</t>
        </is>
      </c>
      <c r="B249" s="1" t="n">
        <v>45937</v>
      </c>
      <c r="C249" s="1" t="n">
        <v>46197</v>
      </c>
      <c r="D249" t="inlineStr">
        <is>
          <t>GÄVLEBORGS LÄN</t>
        </is>
      </c>
      <c r="E249" t="inlineStr">
        <is>
          <t>OCKELBO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49032-2025</t>
        </is>
      </c>
      <c r="B250" s="1" t="n">
        <v>45937</v>
      </c>
      <c r="C250" s="1" t="n">
        <v>46197</v>
      </c>
      <c r="D250" t="inlineStr">
        <is>
          <t>GÄVLEBORGS LÄN</t>
        </is>
      </c>
      <c r="E250" t="inlineStr">
        <is>
          <t>OCKELBO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49027-2025</t>
        </is>
      </c>
      <c r="B251" s="1" t="n">
        <v>45937</v>
      </c>
      <c r="C251" s="1" t="n">
        <v>46197</v>
      </c>
      <c r="D251" t="inlineStr">
        <is>
          <t>GÄVLEBORGS LÄN</t>
        </is>
      </c>
      <c r="E251" t="inlineStr">
        <is>
          <t>OCKELBO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5668-2026</t>
        </is>
      </c>
      <c r="B252" s="1" t="n">
        <v>46051</v>
      </c>
      <c r="C252" s="1" t="n">
        <v>46197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6654-2026</t>
        </is>
      </c>
      <c r="B253" s="1" t="n">
        <v>46056</v>
      </c>
      <c r="C253" s="1" t="n">
        <v>46197</v>
      </c>
      <c r="D253" t="inlineStr">
        <is>
          <t>GÄVLEBORGS LÄN</t>
        </is>
      </c>
      <c r="E253" t="inlineStr">
        <is>
          <t>OCKELBO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6698-2026</t>
        </is>
      </c>
      <c r="B254" s="1" t="n">
        <v>46056</v>
      </c>
      <c r="C254" s="1" t="n">
        <v>46197</v>
      </c>
      <c r="D254" t="inlineStr">
        <is>
          <t>GÄVLEBORGS LÄN</t>
        </is>
      </c>
      <c r="E254" t="inlineStr">
        <is>
          <t>OCKELBO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53139-2024</t>
        </is>
      </c>
      <c r="B255" s="1" t="n">
        <v>45611</v>
      </c>
      <c r="C255" s="1" t="n">
        <v>46197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2555-2025</t>
        </is>
      </c>
      <c r="B256" s="1" t="n">
        <v>45674</v>
      </c>
      <c r="C256" s="1" t="n">
        <v>46197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6710-2026</t>
        </is>
      </c>
      <c r="B257" s="1" t="n">
        <v>46056</v>
      </c>
      <c r="C257" s="1" t="n">
        <v>46197</v>
      </c>
      <c r="D257" t="inlineStr">
        <is>
          <t>GÄVLEBORGS LÄN</t>
        </is>
      </c>
      <c r="E257" t="inlineStr">
        <is>
          <t>OCKELBO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6120-2026</t>
        </is>
      </c>
      <c r="B258" s="1" t="n">
        <v>46053</v>
      </c>
      <c r="C258" s="1" t="n">
        <v>46197</v>
      </c>
      <c r="D258" t="inlineStr">
        <is>
          <t>GÄVLEBORGS LÄN</t>
        </is>
      </c>
      <c r="E258" t="inlineStr">
        <is>
          <t>OCKELBO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9964-2025</t>
        </is>
      </c>
      <c r="B259" s="1" t="n">
        <v>45719</v>
      </c>
      <c r="C259" s="1" t="n">
        <v>46197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öst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49503-2025</t>
        </is>
      </c>
      <c r="B260" s="1" t="n">
        <v>45939</v>
      </c>
      <c r="C260" s="1" t="n">
        <v>46197</v>
      </c>
      <c r="D260" t="inlineStr">
        <is>
          <t>GÄVLEBORGS LÄN</t>
        </is>
      </c>
      <c r="E260" t="inlineStr">
        <is>
          <t>OCKELBO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6377-2026</t>
        </is>
      </c>
      <c r="B261" s="1" t="n">
        <v>46055</v>
      </c>
      <c r="C261" s="1" t="n">
        <v>46197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31822-2025</t>
        </is>
      </c>
      <c r="B262" s="1" t="n">
        <v>45834</v>
      </c>
      <c r="C262" s="1" t="n">
        <v>46197</v>
      </c>
      <c r="D262" t="inlineStr">
        <is>
          <t>GÄVLEBORGS LÄN</t>
        </is>
      </c>
      <c r="E262" t="inlineStr">
        <is>
          <t>OCKELBO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6588-2026</t>
        </is>
      </c>
      <c r="B263" s="1" t="n">
        <v>46056</v>
      </c>
      <c r="C263" s="1" t="n">
        <v>46197</v>
      </c>
      <c r="D263" t="inlineStr">
        <is>
          <t>GÄVLEBORGS LÄN</t>
        </is>
      </c>
      <c r="E263" t="inlineStr">
        <is>
          <t>OCKELBO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6589-2026</t>
        </is>
      </c>
      <c r="B264" s="1" t="n">
        <v>46056</v>
      </c>
      <c r="C264" s="1" t="n">
        <v>46197</v>
      </c>
      <c r="D264" t="inlineStr">
        <is>
          <t>GÄVLEBORGS LÄN</t>
        </is>
      </c>
      <c r="E264" t="inlineStr">
        <is>
          <t>OCKELBO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6598-2026</t>
        </is>
      </c>
      <c r="B265" s="1" t="n">
        <v>46056</v>
      </c>
      <c r="C265" s="1" t="n">
        <v>46197</v>
      </c>
      <c r="D265" t="inlineStr">
        <is>
          <t>GÄVLEBORGS LÄN</t>
        </is>
      </c>
      <c r="E265" t="inlineStr">
        <is>
          <t>OCKELBO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6420-2026</t>
        </is>
      </c>
      <c r="B266" s="1" t="n">
        <v>46055</v>
      </c>
      <c r="C266" s="1" t="n">
        <v>46197</v>
      </c>
      <c r="D266" t="inlineStr">
        <is>
          <t>GÄVLEBORGS LÄN</t>
        </is>
      </c>
      <c r="E266" t="inlineStr">
        <is>
          <t>OCKELBO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47100-2024</t>
        </is>
      </c>
      <c r="B267" s="1" t="n">
        <v>45586</v>
      </c>
      <c r="C267" s="1" t="n">
        <v>46197</v>
      </c>
      <c r="D267" t="inlineStr">
        <is>
          <t>GÄVLEBORGS LÄN</t>
        </is>
      </c>
      <c r="E267" t="inlineStr">
        <is>
          <t>OCKELBO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39424-2024</t>
        </is>
      </c>
      <c r="B268" s="1" t="n">
        <v>45551</v>
      </c>
      <c r="C268" s="1" t="n">
        <v>46197</v>
      </c>
      <c r="D268" t="inlineStr">
        <is>
          <t>GÄVLEBORGS LÄN</t>
        </is>
      </c>
      <c r="E268" t="inlineStr">
        <is>
          <t>OCKELBO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1143-2025</t>
        </is>
      </c>
      <c r="B269" s="1" t="n">
        <v>45666</v>
      </c>
      <c r="C269" s="1" t="n">
        <v>46197</v>
      </c>
      <c r="D269" t="inlineStr">
        <is>
          <t>GÄVLEBORGS LÄN</t>
        </is>
      </c>
      <c r="E269" t="inlineStr">
        <is>
          <t>OCKELBO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6590-2026</t>
        </is>
      </c>
      <c r="B270" s="1" t="n">
        <v>46056</v>
      </c>
      <c r="C270" s="1" t="n">
        <v>46197</v>
      </c>
      <c r="D270" t="inlineStr">
        <is>
          <t>GÄVLEBORGS LÄN</t>
        </is>
      </c>
      <c r="E270" t="inlineStr">
        <is>
          <t>OCKELBO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6266-2026</t>
        </is>
      </c>
      <c r="B271" s="1" t="n">
        <v>46055</v>
      </c>
      <c r="C271" s="1" t="n">
        <v>46197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6742-2026</t>
        </is>
      </c>
      <c r="B272" s="1" t="n">
        <v>46056</v>
      </c>
      <c r="C272" s="1" t="n">
        <v>46197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6665-2026</t>
        </is>
      </c>
      <c r="B273" s="1" t="n">
        <v>46056</v>
      </c>
      <c r="C273" s="1" t="n">
        <v>46197</v>
      </c>
      <c r="D273" t="inlineStr">
        <is>
          <t>GÄVLEBORGS LÄN</t>
        </is>
      </c>
      <c r="E273" t="inlineStr">
        <is>
          <t>OCKELBO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32011-2024</t>
        </is>
      </c>
      <c r="B274" s="1" t="n">
        <v>45510</v>
      </c>
      <c r="C274" s="1" t="n">
        <v>46197</v>
      </c>
      <c r="D274" t="inlineStr">
        <is>
          <t>GÄVLEBORGS LÄN</t>
        </is>
      </c>
      <c r="E274" t="inlineStr">
        <is>
          <t>OCKELBO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6677-2026</t>
        </is>
      </c>
      <c r="B275" s="1" t="n">
        <v>46056</v>
      </c>
      <c r="C275" s="1" t="n">
        <v>46197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6862-2026</t>
        </is>
      </c>
      <c r="B276" s="1" t="n">
        <v>46057</v>
      </c>
      <c r="C276" s="1" t="n">
        <v>46197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32123-2024</t>
        </is>
      </c>
      <c r="B277" s="1" t="n">
        <v>45511</v>
      </c>
      <c r="C277" s="1" t="n">
        <v>46197</v>
      </c>
      <c r="D277" t="inlineStr">
        <is>
          <t>GÄVLEBORGS LÄN</t>
        </is>
      </c>
      <c r="E277" t="inlineStr">
        <is>
          <t>OCKELBO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22385-2023</t>
        </is>
      </c>
      <c r="B278" s="1" t="n">
        <v>45070</v>
      </c>
      <c r="C278" s="1" t="n">
        <v>46197</v>
      </c>
      <c r="D278" t="inlineStr">
        <is>
          <t>GÄVLEBORGS LÄN</t>
        </is>
      </c>
      <c r="E278" t="inlineStr">
        <is>
          <t>OCKELBO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61456-2024</t>
        </is>
      </c>
      <c r="B279" s="1" t="n">
        <v>45646</v>
      </c>
      <c r="C279" s="1" t="n">
        <v>46197</v>
      </c>
      <c r="D279" t="inlineStr">
        <is>
          <t>GÄVLEBORGS LÄN</t>
        </is>
      </c>
      <c r="E279" t="inlineStr">
        <is>
          <t>OCKELBO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51892-2025</t>
        </is>
      </c>
      <c r="B280" s="1" t="n">
        <v>45952</v>
      </c>
      <c r="C280" s="1" t="n">
        <v>46197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60962-2024</t>
        </is>
      </c>
      <c r="B281" s="1" t="n">
        <v>45645</v>
      </c>
      <c r="C281" s="1" t="n">
        <v>46197</v>
      </c>
      <c r="D281" t="inlineStr">
        <is>
          <t>GÄVLEBORGS LÄN</t>
        </is>
      </c>
      <c r="E281" t="inlineStr">
        <is>
          <t>OCKELBO</t>
        </is>
      </c>
      <c r="F281" t="inlineStr">
        <is>
          <t>Kyrkan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7765-2026</t>
        </is>
      </c>
      <c r="B282" s="1" t="n">
        <v>46062</v>
      </c>
      <c r="C282" s="1" t="n">
        <v>46197</v>
      </c>
      <c r="D282" t="inlineStr">
        <is>
          <t>GÄVLEBORGS LÄN</t>
        </is>
      </c>
      <c r="E282" t="inlineStr">
        <is>
          <t>OCKELBO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52635-2025</t>
        </is>
      </c>
      <c r="B283" s="1" t="n">
        <v>45954</v>
      </c>
      <c r="C283" s="1" t="n">
        <v>46197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7544-2026</t>
        </is>
      </c>
      <c r="B284" s="1" t="n">
        <v>46059</v>
      </c>
      <c r="C284" s="1" t="n">
        <v>46197</v>
      </c>
      <c r="D284" t="inlineStr">
        <is>
          <t>GÄVLEBORGS LÄN</t>
        </is>
      </c>
      <c r="E284" t="inlineStr">
        <is>
          <t>OCKELBO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52259-2025</t>
        </is>
      </c>
      <c r="B285" s="1" t="n">
        <v>45953</v>
      </c>
      <c r="C285" s="1" t="n">
        <v>46197</v>
      </c>
      <c r="D285" t="inlineStr">
        <is>
          <t>GÄVLEBORGS LÄN</t>
        </is>
      </c>
      <c r="E285" t="inlineStr">
        <is>
          <t>OCKELBO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11734-2025</t>
        </is>
      </c>
      <c r="B286" s="1" t="n">
        <v>45727</v>
      </c>
      <c r="C286" s="1" t="n">
        <v>46197</v>
      </c>
      <c r="D286" t="inlineStr">
        <is>
          <t>GÄVLEBORGS LÄN</t>
        </is>
      </c>
      <c r="E286" t="inlineStr">
        <is>
          <t>OCKELBO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38652-2025</t>
        </is>
      </c>
      <c r="B287" s="1" t="n">
        <v>45884</v>
      </c>
      <c r="C287" s="1" t="n">
        <v>46197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52461-2025</t>
        </is>
      </c>
      <c r="B288" s="1" t="n">
        <v>45954</v>
      </c>
      <c r="C288" s="1" t="n">
        <v>46197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52241-2025</t>
        </is>
      </c>
      <c r="B289" s="1" t="n">
        <v>45953</v>
      </c>
      <c r="C289" s="1" t="n">
        <v>46197</v>
      </c>
      <c r="D289" t="inlineStr">
        <is>
          <t>GÄVLEBORGS LÄN</t>
        </is>
      </c>
      <c r="E289" t="inlineStr">
        <is>
          <t>OCKELBO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7639-2026</t>
        </is>
      </c>
      <c r="B290" s="1" t="n">
        <v>46062</v>
      </c>
      <c r="C290" s="1" t="n">
        <v>46197</v>
      </c>
      <c r="D290" t="inlineStr">
        <is>
          <t>GÄVLEBORGS LÄN</t>
        </is>
      </c>
      <c r="E290" t="inlineStr">
        <is>
          <t>OCKELBO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7681-2026</t>
        </is>
      </c>
      <c r="B291" s="1" t="n">
        <v>46062</v>
      </c>
      <c r="C291" s="1" t="n">
        <v>46197</v>
      </c>
      <c r="D291" t="inlineStr">
        <is>
          <t>GÄVLEBORGS LÄN</t>
        </is>
      </c>
      <c r="E291" t="inlineStr">
        <is>
          <t>OCKELBO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6396-2025</t>
        </is>
      </c>
      <c r="B292" s="1" t="n">
        <v>45699</v>
      </c>
      <c r="C292" s="1" t="n">
        <v>46197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7409-2026</t>
        </is>
      </c>
      <c r="B293" s="1" t="n">
        <v>46059</v>
      </c>
      <c r="C293" s="1" t="n">
        <v>46197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7769-2026</t>
        </is>
      </c>
      <c r="B294" s="1" t="n">
        <v>46062</v>
      </c>
      <c r="C294" s="1" t="n">
        <v>46197</v>
      </c>
      <c r="D294" t="inlineStr">
        <is>
          <t>GÄVLEBORGS LÄN</t>
        </is>
      </c>
      <c r="E294" t="inlineStr">
        <is>
          <t>OCKELBO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52880-2025</t>
        </is>
      </c>
      <c r="B295" s="1" t="n">
        <v>45957</v>
      </c>
      <c r="C295" s="1" t="n">
        <v>46197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29567-2024</t>
        </is>
      </c>
      <c r="B296" s="1" t="n">
        <v>45484</v>
      </c>
      <c r="C296" s="1" t="n">
        <v>46197</v>
      </c>
      <c r="D296" t="inlineStr">
        <is>
          <t>GÄVLEBORGS LÄN</t>
        </is>
      </c>
      <c r="E296" t="inlineStr">
        <is>
          <t>OCKELBO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8351-2026</t>
        </is>
      </c>
      <c r="B297" s="1" t="n">
        <v>46064</v>
      </c>
      <c r="C297" s="1" t="n">
        <v>46197</v>
      </c>
      <c r="D297" t="inlineStr">
        <is>
          <t>GÄVLEBORGS LÄN</t>
        </is>
      </c>
      <c r="E297" t="inlineStr">
        <is>
          <t>OCKELBO</t>
        </is>
      </c>
      <c r="G297" t="n">
        <v>17.4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8274-2026</t>
        </is>
      </c>
      <c r="B298" s="1" t="n">
        <v>46064</v>
      </c>
      <c r="C298" s="1" t="n">
        <v>46197</v>
      </c>
      <c r="D298" t="inlineStr">
        <is>
          <t>GÄVLEBORGS LÄN</t>
        </is>
      </c>
      <c r="E298" t="inlineStr">
        <is>
          <t>OCKELBO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53391-2025</t>
        </is>
      </c>
      <c r="B299" s="1" t="n">
        <v>45959</v>
      </c>
      <c r="C299" s="1" t="n">
        <v>46197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8354-2026</t>
        </is>
      </c>
      <c r="B300" s="1" t="n">
        <v>46064</v>
      </c>
      <c r="C300" s="1" t="n">
        <v>46197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36210-2024</t>
        </is>
      </c>
      <c r="B301" s="1" t="n">
        <v>45534</v>
      </c>
      <c r="C301" s="1" t="n">
        <v>46197</v>
      </c>
      <c r="D301" t="inlineStr">
        <is>
          <t>GÄVLEBORGS LÄN</t>
        </is>
      </c>
      <c r="E301" t="inlineStr">
        <is>
          <t>OCKELBO</t>
        </is>
      </c>
      <c r="F301" t="inlineStr">
        <is>
          <t>Kyrkan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8150-2026</t>
        </is>
      </c>
      <c r="B302" s="1" t="n">
        <v>46064</v>
      </c>
      <c r="C302" s="1" t="n">
        <v>46197</v>
      </c>
      <c r="D302" t="inlineStr">
        <is>
          <t>GÄVLEBORGS LÄN</t>
        </is>
      </c>
      <c r="E302" t="inlineStr">
        <is>
          <t>OCKELBO</t>
        </is>
      </c>
      <c r="F302" t="inlineStr">
        <is>
          <t>Kyrkan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8750-2026</t>
        </is>
      </c>
      <c r="B303" s="1" t="n">
        <v>46066</v>
      </c>
      <c r="C303" s="1" t="n">
        <v>46197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8404-2026</t>
        </is>
      </c>
      <c r="B304" s="1" t="n">
        <v>46065</v>
      </c>
      <c r="C304" s="1" t="n">
        <v>46197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8402-2026</t>
        </is>
      </c>
      <c r="B305" s="1" t="n">
        <v>46065</v>
      </c>
      <c r="C305" s="1" t="n">
        <v>46197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8405-2026</t>
        </is>
      </c>
      <c r="B306" s="1" t="n">
        <v>46065</v>
      </c>
      <c r="C306" s="1" t="n">
        <v>46197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54655-2025</t>
        </is>
      </c>
      <c r="B307" s="1" t="n">
        <v>45966</v>
      </c>
      <c r="C307" s="1" t="n">
        <v>46197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8429-2026</t>
        </is>
      </c>
      <c r="B308" s="1" t="n">
        <v>46065</v>
      </c>
      <c r="C308" s="1" t="n">
        <v>46197</v>
      </c>
      <c r="D308" t="inlineStr">
        <is>
          <t>GÄVLEBORGS LÄN</t>
        </is>
      </c>
      <c r="E308" t="inlineStr">
        <is>
          <t>OCKELBO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54944-2025</t>
        </is>
      </c>
      <c r="B309" s="1" t="n">
        <v>45967</v>
      </c>
      <c r="C309" s="1" t="n">
        <v>46197</v>
      </c>
      <c r="D309" t="inlineStr">
        <is>
          <t>GÄVLEBORGS LÄN</t>
        </is>
      </c>
      <c r="E309" t="inlineStr">
        <is>
          <t>OCKELBO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54879-2025</t>
        </is>
      </c>
      <c r="B310" s="1" t="n">
        <v>45967</v>
      </c>
      <c r="C310" s="1" t="n">
        <v>46197</v>
      </c>
      <c r="D310" t="inlineStr">
        <is>
          <t>GÄVLEBORGS LÄN</t>
        </is>
      </c>
      <c r="E310" t="inlineStr">
        <is>
          <t>OCKELBO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54880-2025</t>
        </is>
      </c>
      <c r="B311" s="1" t="n">
        <v>45967</v>
      </c>
      <c r="C311" s="1" t="n">
        <v>46197</v>
      </c>
      <c r="D311" t="inlineStr">
        <is>
          <t>GÄVLEBORGS LÄN</t>
        </is>
      </c>
      <c r="E311" t="inlineStr">
        <is>
          <t>OCKELBO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55632-2025</t>
        </is>
      </c>
      <c r="B312" s="1" t="n">
        <v>45972</v>
      </c>
      <c r="C312" s="1" t="n">
        <v>46197</v>
      </c>
      <c r="D312" t="inlineStr">
        <is>
          <t>GÄVLEBORGS LÄN</t>
        </is>
      </c>
      <c r="E312" t="inlineStr">
        <is>
          <t>OCKELBO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8933-2026</t>
        </is>
      </c>
      <c r="B313" s="1" t="n">
        <v>46069</v>
      </c>
      <c r="C313" s="1" t="n">
        <v>46197</v>
      </c>
      <c r="D313" t="inlineStr">
        <is>
          <t>GÄVLEBORGS LÄN</t>
        </is>
      </c>
      <c r="E313" t="inlineStr">
        <is>
          <t>OCKELBO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6764-2026</t>
        </is>
      </c>
      <c r="B314" s="1" t="n">
        <v>46056</v>
      </c>
      <c r="C314" s="1" t="n">
        <v>46197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9505-2026</t>
        </is>
      </c>
      <c r="B315" s="1" t="n">
        <v>46071</v>
      </c>
      <c r="C315" s="1" t="n">
        <v>46197</v>
      </c>
      <c r="D315" t="inlineStr">
        <is>
          <t>GÄVLEBORGS LÄN</t>
        </is>
      </c>
      <c r="E315" t="inlineStr">
        <is>
          <t>OCKELBO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55629-2025</t>
        </is>
      </c>
      <c r="B316" s="1" t="n">
        <v>45972</v>
      </c>
      <c r="C316" s="1" t="n">
        <v>46197</v>
      </c>
      <c r="D316" t="inlineStr">
        <is>
          <t>GÄVLEBORGS LÄN</t>
        </is>
      </c>
      <c r="E316" t="inlineStr">
        <is>
          <t>OCKELBO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9414-2026</t>
        </is>
      </c>
      <c r="B317" s="1" t="n">
        <v>46071</v>
      </c>
      <c r="C317" s="1" t="n">
        <v>46197</v>
      </c>
      <c r="D317" t="inlineStr">
        <is>
          <t>GÄVLEBORGS LÄN</t>
        </is>
      </c>
      <c r="E317" t="inlineStr">
        <is>
          <t>OCKELBO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9416-2026</t>
        </is>
      </c>
      <c r="B318" s="1" t="n">
        <v>46071</v>
      </c>
      <c r="C318" s="1" t="n">
        <v>46197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9464-2026</t>
        </is>
      </c>
      <c r="B319" s="1" t="n">
        <v>46071</v>
      </c>
      <c r="C319" s="1" t="n">
        <v>46197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9553-2026</t>
        </is>
      </c>
      <c r="B320" s="1" t="n">
        <v>46071</v>
      </c>
      <c r="C320" s="1" t="n">
        <v>46197</v>
      </c>
      <c r="D320" t="inlineStr">
        <is>
          <t>GÄVLEBORGS LÄN</t>
        </is>
      </c>
      <c r="E320" t="inlineStr">
        <is>
          <t>OCKELBO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9507-2026</t>
        </is>
      </c>
      <c r="B321" s="1" t="n">
        <v>46071</v>
      </c>
      <c r="C321" s="1" t="n">
        <v>46197</v>
      </c>
      <c r="D321" t="inlineStr">
        <is>
          <t>GÄVLEBORGS LÄN</t>
        </is>
      </c>
      <c r="E321" t="inlineStr">
        <is>
          <t>OCKELBO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9675-2026</t>
        </is>
      </c>
      <c r="B322" s="1" t="n">
        <v>46072</v>
      </c>
      <c r="C322" s="1" t="n">
        <v>46197</v>
      </c>
      <c r="D322" t="inlineStr">
        <is>
          <t>GÄVLEBORGS LÄN</t>
        </is>
      </c>
      <c r="E322" t="inlineStr">
        <is>
          <t>OCKELBO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9681-2026</t>
        </is>
      </c>
      <c r="B323" s="1" t="n">
        <v>46072</v>
      </c>
      <c r="C323" s="1" t="n">
        <v>46197</v>
      </c>
      <c r="D323" t="inlineStr">
        <is>
          <t>GÄVLEBORGS LÄN</t>
        </is>
      </c>
      <c r="E323" t="inlineStr">
        <is>
          <t>OCKELBO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9727-2026</t>
        </is>
      </c>
      <c r="B324" s="1" t="n">
        <v>46072</v>
      </c>
      <c r="C324" s="1" t="n">
        <v>46197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9732-2026</t>
        </is>
      </c>
      <c r="B325" s="1" t="n">
        <v>46072</v>
      </c>
      <c r="C325" s="1" t="n">
        <v>46197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9554-2026</t>
        </is>
      </c>
      <c r="B326" s="1" t="n">
        <v>46071</v>
      </c>
      <c r="C326" s="1" t="n">
        <v>46197</v>
      </c>
      <c r="D326" t="inlineStr">
        <is>
          <t>GÄVLEBORGS LÄN</t>
        </is>
      </c>
      <c r="E326" t="inlineStr">
        <is>
          <t>OCKELBO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9557-2026</t>
        </is>
      </c>
      <c r="B327" s="1" t="n">
        <v>46071</v>
      </c>
      <c r="C327" s="1" t="n">
        <v>46197</v>
      </c>
      <c r="D327" t="inlineStr">
        <is>
          <t>GÄVLEBORGS LÄN</t>
        </is>
      </c>
      <c r="E327" t="inlineStr">
        <is>
          <t>OCKELBO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9559-2026</t>
        </is>
      </c>
      <c r="B328" s="1" t="n">
        <v>46071</v>
      </c>
      <c r="C328" s="1" t="n">
        <v>46197</v>
      </c>
      <c r="D328" t="inlineStr">
        <is>
          <t>GÄVLEBORGS LÄN</t>
        </is>
      </c>
      <c r="E328" t="inlineStr">
        <is>
          <t>OCKELBO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1288-2026</t>
        </is>
      </c>
      <c r="B329" s="1" t="n">
        <v>46031</v>
      </c>
      <c r="C329" s="1" t="n">
        <v>46197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9461-2026</t>
        </is>
      </c>
      <c r="B330" s="1" t="n">
        <v>46071</v>
      </c>
      <c r="C330" s="1" t="n">
        <v>46197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9470-2026</t>
        </is>
      </c>
      <c r="B331" s="1" t="n">
        <v>46071</v>
      </c>
      <c r="C331" s="1" t="n">
        <v>46197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1286-2026</t>
        </is>
      </c>
      <c r="B332" s="1" t="n">
        <v>46031</v>
      </c>
      <c r="C332" s="1" t="n">
        <v>46197</v>
      </c>
      <c r="D332" t="inlineStr">
        <is>
          <t>GÄVLEBORGS LÄN</t>
        </is>
      </c>
      <c r="E332" t="inlineStr">
        <is>
          <t>OCKELBO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10159-2026</t>
        </is>
      </c>
      <c r="B333" s="1" t="n">
        <v>46076</v>
      </c>
      <c r="C333" s="1" t="n">
        <v>46197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55726-2025</t>
        </is>
      </c>
      <c r="B334" s="1" t="n">
        <v>45972</v>
      </c>
      <c r="C334" s="1" t="n">
        <v>46197</v>
      </c>
      <c r="D334" t="inlineStr">
        <is>
          <t>GÄVLEBORGS LÄN</t>
        </is>
      </c>
      <c r="E334" t="inlineStr">
        <is>
          <t>OCKELBO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55913-2025</t>
        </is>
      </c>
      <c r="B335" s="1" t="n">
        <v>45973</v>
      </c>
      <c r="C335" s="1" t="n">
        <v>46197</v>
      </c>
      <c r="D335" t="inlineStr">
        <is>
          <t>GÄVLEBORGS LÄN</t>
        </is>
      </c>
      <c r="E335" t="inlineStr">
        <is>
          <t>OCKELBO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10437-2026</t>
        </is>
      </c>
      <c r="B336" s="1" t="n">
        <v>46077</v>
      </c>
      <c r="C336" s="1" t="n">
        <v>46197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55920-2025</t>
        </is>
      </c>
      <c r="B337" s="1" t="n">
        <v>45973</v>
      </c>
      <c r="C337" s="1" t="n">
        <v>46197</v>
      </c>
      <c r="D337" t="inlineStr">
        <is>
          <t>GÄVLEBORGS LÄN</t>
        </is>
      </c>
      <c r="E337" t="inlineStr">
        <is>
          <t>OCKELBO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55926-2025</t>
        </is>
      </c>
      <c r="B338" s="1" t="n">
        <v>45973</v>
      </c>
      <c r="C338" s="1" t="n">
        <v>46197</v>
      </c>
      <c r="D338" t="inlineStr">
        <is>
          <t>GÄVLEBORGS LÄN</t>
        </is>
      </c>
      <c r="E338" t="inlineStr">
        <is>
          <t>OCKELBO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10418-2026</t>
        </is>
      </c>
      <c r="B339" s="1" t="n">
        <v>46077</v>
      </c>
      <c r="C339" s="1" t="n">
        <v>46197</v>
      </c>
      <c r="D339" t="inlineStr">
        <is>
          <t>GÄVLEBORGS LÄN</t>
        </is>
      </c>
      <c r="E339" t="inlineStr">
        <is>
          <t>OCKELBO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10501-2026</t>
        </is>
      </c>
      <c r="B340" s="1" t="n">
        <v>46077</v>
      </c>
      <c r="C340" s="1" t="n">
        <v>46197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10498-2026</t>
        </is>
      </c>
      <c r="B341" s="1" t="n">
        <v>46077</v>
      </c>
      <c r="C341" s="1" t="n">
        <v>46197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10454-2026</t>
        </is>
      </c>
      <c r="B342" s="1" t="n">
        <v>46077</v>
      </c>
      <c r="C342" s="1" t="n">
        <v>46197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55859-2025</t>
        </is>
      </c>
      <c r="B343" s="1" t="n">
        <v>45973</v>
      </c>
      <c r="C343" s="1" t="n">
        <v>46197</v>
      </c>
      <c r="D343" t="inlineStr">
        <is>
          <t>GÄVLEBORGS LÄN</t>
        </is>
      </c>
      <c r="E343" t="inlineStr">
        <is>
          <t>OCKELBO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55866-2025</t>
        </is>
      </c>
      <c r="B344" s="1" t="n">
        <v>45973</v>
      </c>
      <c r="C344" s="1" t="n">
        <v>46197</v>
      </c>
      <c r="D344" t="inlineStr">
        <is>
          <t>GÄVLEBORGS LÄN</t>
        </is>
      </c>
      <c r="E344" t="inlineStr">
        <is>
          <t>OCKELBO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9997-2026</t>
        </is>
      </c>
      <c r="B345" s="1" t="n">
        <v>46073</v>
      </c>
      <c r="C345" s="1" t="n">
        <v>46197</v>
      </c>
      <c r="D345" t="inlineStr">
        <is>
          <t>GÄVLEBORGS LÄN</t>
        </is>
      </c>
      <c r="E345" t="inlineStr">
        <is>
          <t>OCKELBO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55911-2025</t>
        </is>
      </c>
      <c r="B346" s="1" t="n">
        <v>45973</v>
      </c>
      <c r="C346" s="1" t="n">
        <v>46197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9927-2026</t>
        </is>
      </c>
      <c r="B347" s="1" t="n">
        <v>46073</v>
      </c>
      <c r="C347" s="1" t="n">
        <v>46197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10184-2026</t>
        </is>
      </c>
      <c r="B348" s="1" t="n">
        <v>46076</v>
      </c>
      <c r="C348" s="1" t="n">
        <v>46197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10529-2026</t>
        </is>
      </c>
      <c r="B349" s="1" t="n">
        <v>46077</v>
      </c>
      <c r="C349" s="1" t="n">
        <v>46197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öst AB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55884-2025</t>
        </is>
      </c>
      <c r="B350" s="1" t="n">
        <v>45973</v>
      </c>
      <c r="C350" s="1" t="n">
        <v>46197</v>
      </c>
      <c r="D350" t="inlineStr">
        <is>
          <t>GÄVLEBORGS LÄN</t>
        </is>
      </c>
      <c r="E350" t="inlineStr">
        <is>
          <t>OCKELBO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10535-2026</t>
        </is>
      </c>
      <c r="B351" s="1" t="n">
        <v>46077</v>
      </c>
      <c r="C351" s="1" t="n">
        <v>46197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öst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56921-2025</t>
        </is>
      </c>
      <c r="B352" s="1" t="n">
        <v>45978</v>
      </c>
      <c r="C352" s="1" t="n">
        <v>46197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56803-2025</t>
        </is>
      </c>
      <c r="B353" s="1" t="n">
        <v>45978</v>
      </c>
      <c r="C353" s="1" t="n">
        <v>46197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56919-2025</t>
        </is>
      </c>
      <c r="B354" s="1" t="n">
        <v>45978</v>
      </c>
      <c r="C354" s="1" t="n">
        <v>46197</v>
      </c>
      <c r="D354" t="inlineStr">
        <is>
          <t>GÄVLEBORGS LÄN</t>
        </is>
      </c>
      <c r="E354" t="inlineStr">
        <is>
          <t>OCKELBO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1293-2026</t>
        </is>
      </c>
      <c r="B355" s="1" t="n">
        <v>46031</v>
      </c>
      <c r="C355" s="1" t="n">
        <v>46197</v>
      </c>
      <c r="D355" t="inlineStr">
        <is>
          <t>GÄVLEBORGS LÄN</t>
        </is>
      </c>
      <c r="E355" t="inlineStr">
        <is>
          <t>OCKELBO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56850-2025</t>
        </is>
      </c>
      <c r="B356" s="1" t="n">
        <v>45978</v>
      </c>
      <c r="C356" s="1" t="n">
        <v>46197</v>
      </c>
      <c r="D356" t="inlineStr">
        <is>
          <t>GÄVLEBORGS LÄN</t>
        </is>
      </c>
      <c r="E356" t="inlineStr">
        <is>
          <t>OCKELBO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56888-2025</t>
        </is>
      </c>
      <c r="B357" s="1" t="n">
        <v>45978</v>
      </c>
      <c r="C357" s="1" t="n">
        <v>46197</v>
      </c>
      <c r="D357" t="inlineStr">
        <is>
          <t>GÄVLEBORGS LÄN</t>
        </is>
      </c>
      <c r="E357" t="inlineStr">
        <is>
          <t>OCKELBO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10456-2026</t>
        </is>
      </c>
      <c r="B358" s="1" t="n">
        <v>46077</v>
      </c>
      <c r="C358" s="1" t="n">
        <v>46197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öst AB</t>
        </is>
      </c>
      <c r="G358" t="n">
        <v>45.7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10682-2026</t>
        </is>
      </c>
      <c r="B359" s="1" t="n">
        <v>46078</v>
      </c>
      <c r="C359" s="1" t="n">
        <v>46197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11078-2026</t>
        </is>
      </c>
      <c r="B360" s="1" t="n">
        <v>46079</v>
      </c>
      <c r="C360" s="1" t="n">
        <v>46197</v>
      </c>
      <c r="D360" t="inlineStr">
        <is>
          <t>GÄVLEBORGS LÄN</t>
        </is>
      </c>
      <c r="E360" t="inlineStr">
        <is>
          <t>OCKELBO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56876-2025</t>
        </is>
      </c>
      <c r="B361" s="1" t="n">
        <v>45978</v>
      </c>
      <c r="C361" s="1" t="n">
        <v>46197</v>
      </c>
      <c r="D361" t="inlineStr">
        <is>
          <t>GÄVLEBORGS LÄN</t>
        </is>
      </c>
      <c r="E361" t="inlineStr">
        <is>
          <t>OCKELBO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56882-2025</t>
        </is>
      </c>
      <c r="B362" s="1" t="n">
        <v>45978</v>
      </c>
      <c r="C362" s="1" t="n">
        <v>46197</v>
      </c>
      <c r="D362" t="inlineStr">
        <is>
          <t>GÄVLEBORGS LÄN</t>
        </is>
      </c>
      <c r="E362" t="inlineStr">
        <is>
          <t>OCKELBO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56877-2025</t>
        </is>
      </c>
      <c r="B363" s="1" t="n">
        <v>45978</v>
      </c>
      <c r="C363" s="1" t="n">
        <v>46197</v>
      </c>
      <c r="D363" t="inlineStr">
        <is>
          <t>GÄVLEBORGS LÄN</t>
        </is>
      </c>
      <c r="E363" t="inlineStr">
        <is>
          <t>OCKELBO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56454-2025</t>
        </is>
      </c>
      <c r="B364" s="1" t="n">
        <v>45975</v>
      </c>
      <c r="C364" s="1" t="n">
        <v>46197</v>
      </c>
      <c r="D364" t="inlineStr">
        <is>
          <t>GÄVLEBORGS LÄN</t>
        </is>
      </c>
      <c r="E364" t="inlineStr">
        <is>
          <t>OCKELBO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11027-2026</t>
        </is>
      </c>
      <c r="B365" s="1" t="n">
        <v>46079</v>
      </c>
      <c r="C365" s="1" t="n">
        <v>46197</v>
      </c>
      <c r="D365" t="inlineStr">
        <is>
          <t>GÄVLEBORGS LÄN</t>
        </is>
      </c>
      <c r="E365" t="inlineStr">
        <is>
          <t>OCKELBO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10681-2026</t>
        </is>
      </c>
      <c r="B366" s="1" t="n">
        <v>46078</v>
      </c>
      <c r="C366" s="1" t="n">
        <v>46197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11234-2026</t>
        </is>
      </c>
      <c r="B367" s="1" t="n">
        <v>46080</v>
      </c>
      <c r="C367" s="1" t="n">
        <v>46197</v>
      </c>
      <c r="D367" t="inlineStr">
        <is>
          <t>GÄVLEBORGS LÄN</t>
        </is>
      </c>
      <c r="E367" t="inlineStr">
        <is>
          <t>OCKELBO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58156-2025</t>
        </is>
      </c>
      <c r="B368" s="1" t="n">
        <v>45982</v>
      </c>
      <c r="C368" s="1" t="n">
        <v>46197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11300-2026</t>
        </is>
      </c>
      <c r="B369" s="1" t="n">
        <v>46080</v>
      </c>
      <c r="C369" s="1" t="n">
        <v>46197</v>
      </c>
      <c r="D369" t="inlineStr">
        <is>
          <t>GÄVLEBORGS LÄN</t>
        </is>
      </c>
      <c r="E369" t="inlineStr">
        <is>
          <t>OCKELBO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11423-2026</t>
        </is>
      </c>
      <c r="B370" s="1" t="n">
        <v>46083</v>
      </c>
      <c r="C370" s="1" t="n">
        <v>46197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57614-2025</t>
        </is>
      </c>
      <c r="B371" s="1" t="n">
        <v>45981</v>
      </c>
      <c r="C371" s="1" t="n">
        <v>46197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6194-2025</t>
        </is>
      </c>
      <c r="B372" s="1" t="n">
        <v>45698</v>
      </c>
      <c r="C372" s="1" t="n">
        <v>46197</v>
      </c>
      <c r="D372" t="inlineStr">
        <is>
          <t>GÄVLEBORGS LÄN</t>
        </is>
      </c>
      <c r="E372" t="inlineStr">
        <is>
          <t>OCKELBO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11496-2026</t>
        </is>
      </c>
      <c r="B373" s="1" t="n">
        <v>46083</v>
      </c>
      <c r="C373" s="1" t="n">
        <v>46197</v>
      </c>
      <c r="D373" t="inlineStr">
        <is>
          <t>GÄVLEBORGS LÄN</t>
        </is>
      </c>
      <c r="E373" t="inlineStr">
        <is>
          <t>OCKELBO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5898-2026</t>
        </is>
      </c>
      <c r="B374" s="1" t="n">
        <v>46052</v>
      </c>
      <c r="C374" s="1" t="n">
        <v>46197</v>
      </c>
      <c r="D374" t="inlineStr">
        <is>
          <t>GÄVLEBORGS LÄN</t>
        </is>
      </c>
      <c r="E374" t="inlineStr">
        <is>
          <t>OCKELBO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11432-2026</t>
        </is>
      </c>
      <c r="B375" s="1" t="n">
        <v>46083</v>
      </c>
      <c r="C375" s="1" t="n">
        <v>46197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11237-2026</t>
        </is>
      </c>
      <c r="B376" s="1" t="n">
        <v>46080</v>
      </c>
      <c r="C376" s="1" t="n">
        <v>46197</v>
      </c>
      <c r="D376" t="inlineStr">
        <is>
          <t>GÄVLEBORGS LÄN</t>
        </is>
      </c>
      <c r="E376" t="inlineStr">
        <is>
          <t>OCKELBO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58770-2025</t>
        </is>
      </c>
      <c r="B377" s="1" t="n">
        <v>45986</v>
      </c>
      <c r="C377" s="1" t="n">
        <v>46197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58768-2025</t>
        </is>
      </c>
      <c r="B378" s="1" t="n">
        <v>45986</v>
      </c>
      <c r="C378" s="1" t="n">
        <v>46197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58727-2025</t>
        </is>
      </c>
      <c r="B379" s="1" t="n">
        <v>45986</v>
      </c>
      <c r="C379" s="1" t="n">
        <v>46197</v>
      </c>
      <c r="D379" t="inlineStr">
        <is>
          <t>GÄVLEBORGS LÄN</t>
        </is>
      </c>
      <c r="E379" t="inlineStr">
        <is>
          <t>OCKELBO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11588-2026</t>
        </is>
      </c>
      <c r="B380" s="1" t="n">
        <v>46084</v>
      </c>
      <c r="C380" s="1" t="n">
        <v>46197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öst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58295-2025</t>
        </is>
      </c>
      <c r="B381" s="1" t="n">
        <v>45985</v>
      </c>
      <c r="C381" s="1" t="n">
        <v>46197</v>
      </c>
      <c r="D381" t="inlineStr">
        <is>
          <t>GÄVLEBORGS LÄN</t>
        </is>
      </c>
      <c r="E381" t="inlineStr">
        <is>
          <t>OCKELBO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58299-2025</t>
        </is>
      </c>
      <c r="B382" s="1" t="n">
        <v>45985</v>
      </c>
      <c r="C382" s="1" t="n">
        <v>46197</v>
      </c>
      <c r="D382" t="inlineStr">
        <is>
          <t>GÄVLEBORGS LÄN</t>
        </is>
      </c>
      <c r="E382" t="inlineStr">
        <is>
          <t>OCKELBO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11974-2026</t>
        </is>
      </c>
      <c r="B383" s="1" t="n">
        <v>46085</v>
      </c>
      <c r="C383" s="1" t="n">
        <v>46197</v>
      </c>
      <c r="D383" t="inlineStr">
        <is>
          <t>GÄVLEBORGS LÄN</t>
        </is>
      </c>
      <c r="E383" t="inlineStr">
        <is>
          <t>OCKELBO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59086-2025</t>
        </is>
      </c>
      <c r="B384" s="1" t="n">
        <v>45988</v>
      </c>
      <c r="C384" s="1" t="n">
        <v>46197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18326-2026</t>
        </is>
      </c>
      <c r="B385" s="1" t="n">
        <v>46126</v>
      </c>
      <c r="C385" s="1" t="n">
        <v>46197</v>
      </c>
      <c r="D385" t="inlineStr">
        <is>
          <t>GÄVLEBORGS LÄN</t>
        </is>
      </c>
      <c r="E385" t="inlineStr">
        <is>
          <t>OCKELBO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11810-2026</t>
        </is>
      </c>
      <c r="B386" s="1" t="n">
        <v>46085</v>
      </c>
      <c r="C386" s="1" t="n">
        <v>46197</v>
      </c>
      <c r="D386" t="inlineStr">
        <is>
          <t>GÄVLEBORGS LÄN</t>
        </is>
      </c>
      <c r="E386" t="inlineStr">
        <is>
          <t>OCKELBO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12080-2026</t>
        </is>
      </c>
      <c r="B387" s="1" t="n">
        <v>46086</v>
      </c>
      <c r="C387" s="1" t="n">
        <v>46197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18.7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30349-2023</t>
        </is>
      </c>
      <c r="B388" s="1" t="n">
        <v>45111</v>
      </c>
      <c r="C388" s="1" t="n">
        <v>46197</v>
      </c>
      <c r="D388" t="inlineStr">
        <is>
          <t>GÄVLEBORGS LÄN</t>
        </is>
      </c>
      <c r="E388" t="inlineStr">
        <is>
          <t>OCKELBO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12341-2026</t>
        </is>
      </c>
      <c r="B389" s="1" t="n">
        <v>46087</v>
      </c>
      <c r="C389" s="1" t="n">
        <v>46197</v>
      </c>
      <c r="D389" t="inlineStr">
        <is>
          <t>GÄVLEBORGS LÄN</t>
        </is>
      </c>
      <c r="E389" t="inlineStr">
        <is>
          <t>OCKELBO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15966-2023</t>
        </is>
      </c>
      <c r="B390" s="1" t="n">
        <v>45022</v>
      </c>
      <c r="C390" s="1" t="n">
        <v>46197</v>
      </c>
      <c r="D390" t="inlineStr">
        <is>
          <t>GÄVLEBORGS LÄN</t>
        </is>
      </c>
      <c r="E390" t="inlineStr">
        <is>
          <t>OCKELBO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12370-2026</t>
        </is>
      </c>
      <c r="B391" s="1" t="n">
        <v>46089</v>
      </c>
      <c r="C391" s="1" t="n">
        <v>46197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56232-2022</t>
        </is>
      </c>
      <c r="B392" s="1" t="n">
        <v>44890</v>
      </c>
      <c r="C392" s="1" t="n">
        <v>46197</v>
      </c>
      <c r="D392" t="inlineStr">
        <is>
          <t>GÄVLEBORGS LÄN</t>
        </is>
      </c>
      <c r="E392" t="inlineStr">
        <is>
          <t>OCKELBO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60183-2025</t>
        </is>
      </c>
      <c r="B393" s="1" t="n">
        <v>45994</v>
      </c>
      <c r="C393" s="1" t="n">
        <v>46197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12716-2026</t>
        </is>
      </c>
      <c r="B394" s="1" t="n">
        <v>46091</v>
      </c>
      <c r="C394" s="1" t="n">
        <v>46197</v>
      </c>
      <c r="D394" t="inlineStr">
        <is>
          <t>GÄVLEBORGS LÄN</t>
        </is>
      </c>
      <c r="E394" t="inlineStr">
        <is>
          <t>OCKELBO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47849-2021</t>
        </is>
      </c>
      <c r="B395" s="1" t="n">
        <v>44448</v>
      </c>
      <c r="C395" s="1" t="n">
        <v>46197</v>
      </c>
      <c r="D395" t="inlineStr">
        <is>
          <t>GÄVLEBORGS LÄN</t>
        </is>
      </c>
      <c r="E395" t="inlineStr">
        <is>
          <t>OCKELBO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60616-2025</t>
        </is>
      </c>
      <c r="B396" s="1" t="n">
        <v>45996</v>
      </c>
      <c r="C396" s="1" t="n">
        <v>46197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54817-2022</t>
        </is>
      </c>
      <c r="B397" s="1" t="n">
        <v>44883</v>
      </c>
      <c r="C397" s="1" t="n">
        <v>46197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60487-2025</t>
        </is>
      </c>
      <c r="B398" s="1" t="n">
        <v>45995</v>
      </c>
      <c r="C398" s="1" t="n">
        <v>46197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60527-2025</t>
        </is>
      </c>
      <c r="B399" s="1" t="n">
        <v>45995</v>
      </c>
      <c r="C399" s="1" t="n">
        <v>46197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13271-2026</t>
        </is>
      </c>
      <c r="B400" s="1" t="n">
        <v>46093</v>
      </c>
      <c r="C400" s="1" t="n">
        <v>46197</v>
      </c>
      <c r="D400" t="inlineStr">
        <is>
          <t>GÄVLEBORGS LÄN</t>
        </is>
      </c>
      <c r="E400" t="inlineStr">
        <is>
          <t>OCKELBO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13162-2026</t>
        </is>
      </c>
      <c r="B401" s="1" t="n">
        <v>46093</v>
      </c>
      <c r="C401" s="1" t="n">
        <v>46197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12807-2026</t>
        </is>
      </c>
      <c r="B402" s="1" t="n">
        <v>46092</v>
      </c>
      <c r="C402" s="1" t="n">
        <v>46197</v>
      </c>
      <c r="D402" t="inlineStr">
        <is>
          <t>GÄVLEBORGS LÄN</t>
        </is>
      </c>
      <c r="E402" t="inlineStr">
        <is>
          <t>OCKELBO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13208-2026</t>
        </is>
      </c>
      <c r="B403" s="1" t="n">
        <v>46093</v>
      </c>
      <c r="C403" s="1" t="n">
        <v>46197</v>
      </c>
      <c r="D403" t="inlineStr">
        <is>
          <t>GÄVLEBORGS LÄN</t>
        </is>
      </c>
      <c r="E403" t="inlineStr">
        <is>
          <t>OCKELBO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61148-2025</t>
        </is>
      </c>
      <c r="B404" s="1" t="n">
        <v>46000</v>
      </c>
      <c r="C404" s="1" t="n">
        <v>46197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22151-2022</t>
        </is>
      </c>
      <c r="B405" s="1" t="n">
        <v>44712</v>
      </c>
      <c r="C405" s="1" t="n">
        <v>46197</v>
      </c>
      <c r="D405" t="inlineStr">
        <is>
          <t>GÄVLEBORGS LÄN</t>
        </is>
      </c>
      <c r="E405" t="inlineStr">
        <is>
          <t>OCKELBO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33881-2023</t>
        </is>
      </c>
      <c r="B406" s="1" t="n">
        <v>45134</v>
      </c>
      <c r="C406" s="1" t="n">
        <v>46197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13216-2026</t>
        </is>
      </c>
      <c r="B407" s="1" t="n">
        <v>46093</v>
      </c>
      <c r="C407" s="1" t="n">
        <v>46197</v>
      </c>
      <c r="D407" t="inlineStr">
        <is>
          <t>GÄVLEBORGS LÄN</t>
        </is>
      </c>
      <c r="E407" t="inlineStr">
        <is>
          <t>OCKELBO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36362-2024</t>
        </is>
      </c>
      <c r="B408" s="1" t="n">
        <v>45534</v>
      </c>
      <c r="C408" s="1" t="n">
        <v>46197</v>
      </c>
      <c r="D408" t="inlineStr">
        <is>
          <t>GÄVLEBORGS LÄN</t>
        </is>
      </c>
      <c r="E408" t="inlineStr">
        <is>
          <t>OCKELBO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13481-2026</t>
        </is>
      </c>
      <c r="B409" s="1" t="n">
        <v>46094</v>
      </c>
      <c r="C409" s="1" t="n">
        <v>46197</v>
      </c>
      <c r="D409" t="inlineStr">
        <is>
          <t>GÄVLEBORGS LÄN</t>
        </is>
      </c>
      <c r="E409" t="inlineStr">
        <is>
          <t>OCKELBO</t>
        </is>
      </c>
      <c r="F409" t="inlineStr">
        <is>
          <t>Naturvårdsverket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13513-2026</t>
        </is>
      </c>
      <c r="B410" s="1" t="n">
        <v>46094</v>
      </c>
      <c r="C410" s="1" t="n">
        <v>46197</v>
      </c>
      <c r="D410" t="inlineStr">
        <is>
          <t>GÄVLEBORGS LÄN</t>
        </is>
      </c>
      <c r="E410" t="inlineStr">
        <is>
          <t>OCKELBO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13621-2026</t>
        </is>
      </c>
      <c r="B411" s="1" t="n">
        <v>46097</v>
      </c>
      <c r="C411" s="1" t="n">
        <v>46197</v>
      </c>
      <c r="D411" t="inlineStr">
        <is>
          <t>GÄVLEBORGS LÄN</t>
        </is>
      </c>
      <c r="E411" t="inlineStr">
        <is>
          <t>OCKELBO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13321-2026</t>
        </is>
      </c>
      <c r="B412" s="1" t="n">
        <v>46094</v>
      </c>
      <c r="C412" s="1" t="n">
        <v>46197</v>
      </c>
      <c r="D412" t="inlineStr">
        <is>
          <t>GÄVLEBORGS LÄN</t>
        </is>
      </c>
      <c r="E412" t="inlineStr">
        <is>
          <t>OCKELBO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62196-2025</t>
        </is>
      </c>
      <c r="B413" s="1" t="n">
        <v>46006</v>
      </c>
      <c r="C413" s="1" t="n">
        <v>46197</v>
      </c>
      <c r="D413" t="inlineStr">
        <is>
          <t>GÄVLEBORGS LÄN</t>
        </is>
      </c>
      <c r="E413" t="inlineStr">
        <is>
          <t>OCKELBO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13441-2026</t>
        </is>
      </c>
      <c r="B414" s="1" t="n">
        <v>46094</v>
      </c>
      <c r="C414" s="1" t="n">
        <v>46197</v>
      </c>
      <c r="D414" t="inlineStr">
        <is>
          <t>GÄVLEBORGS LÄN</t>
        </is>
      </c>
      <c r="E414" t="inlineStr">
        <is>
          <t>OCKELBO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12947-2026</t>
        </is>
      </c>
      <c r="B415" s="1" t="n">
        <v>46092</v>
      </c>
      <c r="C415" s="1" t="n">
        <v>46197</v>
      </c>
      <c r="D415" t="inlineStr">
        <is>
          <t>GÄVLEBORGS LÄN</t>
        </is>
      </c>
      <c r="E415" t="inlineStr">
        <is>
          <t>OCKELBO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59383-2025</t>
        </is>
      </c>
      <c r="B416" s="1" t="n">
        <v>45989</v>
      </c>
      <c r="C416" s="1" t="n">
        <v>46197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13882-2026</t>
        </is>
      </c>
      <c r="B417" s="1" t="n">
        <v>46098</v>
      </c>
      <c r="C417" s="1" t="n">
        <v>46197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13856-2026</t>
        </is>
      </c>
      <c r="B418" s="1" t="n">
        <v>46098</v>
      </c>
      <c r="C418" s="1" t="n">
        <v>46197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14232-2026</t>
        </is>
      </c>
      <c r="B419" s="1" t="n">
        <v>46099</v>
      </c>
      <c r="C419" s="1" t="n">
        <v>46197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13931-2026</t>
        </is>
      </c>
      <c r="B420" s="1" t="n">
        <v>46098</v>
      </c>
      <c r="C420" s="1" t="n">
        <v>46197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13972-2026</t>
        </is>
      </c>
      <c r="B421" s="1" t="n">
        <v>46098</v>
      </c>
      <c r="C421" s="1" t="n">
        <v>46197</v>
      </c>
      <c r="D421" t="inlineStr">
        <is>
          <t>GÄVLEBORGS LÄN</t>
        </is>
      </c>
      <c r="E421" t="inlineStr">
        <is>
          <t>OCKELBO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13825-2026</t>
        </is>
      </c>
      <c r="B422" s="1" t="n">
        <v>46098</v>
      </c>
      <c r="C422" s="1" t="n">
        <v>46197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36.6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13962-2026</t>
        </is>
      </c>
      <c r="B423" s="1" t="n">
        <v>46098</v>
      </c>
      <c r="C423" s="1" t="n">
        <v>46197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63061-2025</t>
        </is>
      </c>
      <c r="B424" s="1" t="n">
        <v>46009</v>
      </c>
      <c r="C424" s="1" t="n">
        <v>46197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14037-2026</t>
        </is>
      </c>
      <c r="B425" s="1" t="n">
        <v>46098</v>
      </c>
      <c r="C425" s="1" t="n">
        <v>46197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14038-2026</t>
        </is>
      </c>
      <c r="B426" s="1" t="n">
        <v>46098</v>
      </c>
      <c r="C426" s="1" t="n">
        <v>46197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14100-2026</t>
        </is>
      </c>
      <c r="B427" s="1" t="n">
        <v>46099</v>
      </c>
      <c r="C427" s="1" t="n">
        <v>46197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14439-2026</t>
        </is>
      </c>
      <c r="B428" s="1" t="n">
        <v>46100</v>
      </c>
      <c r="C428" s="1" t="n">
        <v>46197</v>
      </c>
      <c r="D428" t="inlineStr">
        <is>
          <t>GÄVLEBORGS LÄN</t>
        </is>
      </c>
      <c r="E428" t="inlineStr">
        <is>
          <t>OCKELBO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14441-2026</t>
        </is>
      </c>
      <c r="B429" s="1" t="n">
        <v>46100</v>
      </c>
      <c r="C429" s="1" t="n">
        <v>46197</v>
      </c>
      <c r="D429" t="inlineStr">
        <is>
          <t>GÄVLEBORGS LÄN</t>
        </is>
      </c>
      <c r="E429" t="inlineStr">
        <is>
          <t>OCKELBO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14419-2026</t>
        </is>
      </c>
      <c r="B430" s="1" t="n">
        <v>46100</v>
      </c>
      <c r="C430" s="1" t="n">
        <v>46197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14684-2026</t>
        </is>
      </c>
      <c r="B431" s="1" t="n">
        <v>46101</v>
      </c>
      <c r="C431" s="1" t="n">
        <v>46197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62914-2025</t>
        </is>
      </c>
      <c r="B432" s="1" t="n">
        <v>46009</v>
      </c>
      <c r="C432" s="1" t="n">
        <v>46197</v>
      </c>
      <c r="D432" t="inlineStr">
        <is>
          <t>GÄVLEBORGS LÄN</t>
        </is>
      </c>
      <c r="E432" t="inlineStr">
        <is>
          <t>OCKELBO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14756-2026</t>
        </is>
      </c>
      <c r="B433" s="1" t="n">
        <v>46101</v>
      </c>
      <c r="C433" s="1" t="n">
        <v>46197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63459-2025</t>
        </is>
      </c>
      <c r="B434" s="1" t="n">
        <v>46013</v>
      </c>
      <c r="C434" s="1" t="n">
        <v>46197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63616-2025</t>
        </is>
      </c>
      <c r="B435" s="1" t="n">
        <v>46014</v>
      </c>
      <c r="C435" s="1" t="n">
        <v>46197</v>
      </c>
      <c r="D435" t="inlineStr">
        <is>
          <t>GÄVLEBORGS LÄN</t>
        </is>
      </c>
      <c r="E435" t="inlineStr">
        <is>
          <t>OCKELBO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63224-2025</t>
        </is>
      </c>
      <c r="B436" s="1" t="n">
        <v>46010</v>
      </c>
      <c r="C436" s="1" t="n">
        <v>46197</v>
      </c>
      <c r="D436" t="inlineStr">
        <is>
          <t>GÄVLEBORGS LÄN</t>
        </is>
      </c>
      <c r="E436" t="inlineStr">
        <is>
          <t>OCKELBO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14388-2026</t>
        </is>
      </c>
      <c r="B437" s="1" t="n">
        <v>46100</v>
      </c>
      <c r="C437" s="1" t="n">
        <v>46197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63464-2025</t>
        </is>
      </c>
      <c r="B438" s="1" t="n">
        <v>46013</v>
      </c>
      <c r="C438" s="1" t="n">
        <v>46197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16629-2025</t>
        </is>
      </c>
      <c r="B439" s="1" t="n">
        <v>45754</v>
      </c>
      <c r="C439" s="1" t="n">
        <v>46197</v>
      </c>
      <c r="D439" t="inlineStr">
        <is>
          <t>GÄVLEBORGS LÄN</t>
        </is>
      </c>
      <c r="E439" t="inlineStr">
        <is>
          <t>OCKELBO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15018-2026</t>
        </is>
      </c>
      <c r="B440" s="1" t="n">
        <v>46104</v>
      </c>
      <c r="C440" s="1" t="n">
        <v>46197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15151-2026</t>
        </is>
      </c>
      <c r="B441" s="1" t="n">
        <v>46105</v>
      </c>
      <c r="C441" s="1" t="n">
        <v>46197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öst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15067-2026</t>
        </is>
      </c>
      <c r="B442" s="1" t="n">
        <v>46104</v>
      </c>
      <c r="C442" s="1" t="n">
        <v>46197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63017-2025</t>
        </is>
      </c>
      <c r="B443" s="1" t="n">
        <v>46009</v>
      </c>
      <c r="C443" s="1" t="n">
        <v>46197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14972-2026</t>
        </is>
      </c>
      <c r="B444" s="1" t="n">
        <v>46104</v>
      </c>
      <c r="C444" s="1" t="n">
        <v>46197</v>
      </c>
      <c r="D444" t="inlineStr">
        <is>
          <t>GÄVLEBORGS LÄN</t>
        </is>
      </c>
      <c r="E444" t="inlineStr">
        <is>
          <t>OCKELBO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14827-2026</t>
        </is>
      </c>
      <c r="B445" s="1" t="n">
        <v>46104</v>
      </c>
      <c r="C445" s="1" t="n">
        <v>46197</v>
      </c>
      <c r="D445" t="inlineStr">
        <is>
          <t>GÄVLEBORGS LÄN</t>
        </is>
      </c>
      <c r="E445" t="inlineStr">
        <is>
          <t>OCKELBO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15029-2026</t>
        </is>
      </c>
      <c r="B446" s="1" t="n">
        <v>46104</v>
      </c>
      <c r="C446" s="1" t="n">
        <v>46197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64006-2025</t>
        </is>
      </c>
      <c r="B447" s="1" t="n">
        <v>46021</v>
      </c>
      <c r="C447" s="1" t="n">
        <v>46197</v>
      </c>
      <c r="D447" t="inlineStr">
        <is>
          <t>GÄVLEBORGS LÄN</t>
        </is>
      </c>
      <c r="E447" t="inlineStr">
        <is>
          <t>OCKELBO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142-2026</t>
        </is>
      </c>
      <c r="B448" s="1" t="n">
        <v>46024</v>
      </c>
      <c r="C448" s="1" t="n">
        <v>46197</v>
      </c>
      <c r="D448" t="inlineStr">
        <is>
          <t>GÄVLEBORGS LÄN</t>
        </is>
      </c>
      <c r="E448" t="inlineStr">
        <is>
          <t>OCKELBO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17-2026</t>
        </is>
      </c>
      <c r="B449" s="1" t="n">
        <v>46023</v>
      </c>
      <c r="C449" s="1" t="n">
        <v>46197</v>
      </c>
      <c r="D449" t="inlineStr">
        <is>
          <t>GÄVLEBORGS LÄN</t>
        </is>
      </c>
      <c r="E449" t="inlineStr">
        <is>
          <t>OCKELBO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17730-2025</t>
        </is>
      </c>
      <c r="B450" s="1" t="n">
        <v>45758</v>
      </c>
      <c r="C450" s="1" t="n">
        <v>46197</v>
      </c>
      <c r="D450" t="inlineStr">
        <is>
          <t>GÄVLEBORGS LÄN</t>
        </is>
      </c>
      <c r="E450" t="inlineStr">
        <is>
          <t>OCKELBO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327-2026</t>
        </is>
      </c>
      <c r="B451" s="1" t="n">
        <v>46027</v>
      </c>
      <c r="C451" s="1" t="n">
        <v>46197</v>
      </c>
      <c r="D451" t="inlineStr">
        <is>
          <t>GÄVLEBORGS LÄN</t>
        </is>
      </c>
      <c r="E451" t="inlineStr">
        <is>
          <t>OCKELBO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15300-2026</t>
        </is>
      </c>
      <c r="B452" s="1" t="n">
        <v>46105</v>
      </c>
      <c r="C452" s="1" t="n">
        <v>46197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335-2026</t>
        </is>
      </c>
      <c r="B453" s="1" t="n">
        <v>46027</v>
      </c>
      <c r="C453" s="1" t="n">
        <v>46197</v>
      </c>
      <c r="D453" t="inlineStr">
        <is>
          <t>GÄVLEBORGS LÄN</t>
        </is>
      </c>
      <c r="E453" t="inlineStr">
        <is>
          <t>OCKELBO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342-2026</t>
        </is>
      </c>
      <c r="B454" s="1" t="n">
        <v>46027</v>
      </c>
      <c r="C454" s="1" t="n">
        <v>46197</v>
      </c>
      <c r="D454" t="inlineStr">
        <is>
          <t>GÄVLEBORGS LÄN</t>
        </is>
      </c>
      <c r="E454" t="inlineStr">
        <is>
          <t>OCKELBO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350-2026</t>
        </is>
      </c>
      <c r="B455" s="1" t="n">
        <v>46027</v>
      </c>
      <c r="C455" s="1" t="n">
        <v>46197</v>
      </c>
      <c r="D455" t="inlineStr">
        <is>
          <t>GÄVLEBORGS LÄN</t>
        </is>
      </c>
      <c r="E455" t="inlineStr">
        <is>
          <t>OCKELBO</t>
        </is>
      </c>
      <c r="G455" t="n">
        <v>16.2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346-2026</t>
        </is>
      </c>
      <c r="B456" s="1" t="n">
        <v>46027</v>
      </c>
      <c r="C456" s="1" t="n">
        <v>46197</v>
      </c>
      <c r="D456" t="inlineStr">
        <is>
          <t>GÄVLEBORGS LÄN</t>
        </is>
      </c>
      <c r="E456" t="inlineStr">
        <is>
          <t>OCKELBO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287-2026</t>
        </is>
      </c>
      <c r="B457" s="1" t="n">
        <v>46027</v>
      </c>
      <c r="C457" s="1" t="n">
        <v>46197</v>
      </c>
      <c r="D457" t="inlineStr">
        <is>
          <t>GÄVLEBORGS LÄN</t>
        </is>
      </c>
      <c r="E457" t="inlineStr">
        <is>
          <t>OCKELBO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465-2026</t>
        </is>
      </c>
      <c r="B458" s="1" t="n">
        <v>46029</v>
      </c>
      <c r="C458" s="1" t="n">
        <v>46197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15052-2026</t>
        </is>
      </c>
      <c r="B459" s="1" t="n">
        <v>46104</v>
      </c>
      <c r="C459" s="1" t="n">
        <v>46197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15042-2026</t>
        </is>
      </c>
      <c r="B460" s="1" t="n">
        <v>46104</v>
      </c>
      <c r="C460" s="1" t="n">
        <v>46197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15043-2026</t>
        </is>
      </c>
      <c r="B461" s="1" t="n">
        <v>46104</v>
      </c>
      <c r="C461" s="1" t="n">
        <v>46197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14958-2026</t>
        </is>
      </c>
      <c r="B462" s="1" t="n">
        <v>46104</v>
      </c>
      <c r="C462" s="1" t="n">
        <v>46197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423-2026</t>
        </is>
      </c>
      <c r="B463" s="1" t="n">
        <v>46028</v>
      </c>
      <c r="C463" s="1" t="n">
        <v>46197</v>
      </c>
      <c r="D463" t="inlineStr">
        <is>
          <t>GÄVLEBORGS LÄN</t>
        </is>
      </c>
      <c r="E463" t="inlineStr">
        <is>
          <t>OCKELBO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14973-2026</t>
        </is>
      </c>
      <c r="B464" s="1" t="n">
        <v>46104</v>
      </c>
      <c r="C464" s="1" t="n">
        <v>46197</v>
      </c>
      <c r="D464" t="inlineStr">
        <is>
          <t>GÄVLEBORGS LÄN</t>
        </is>
      </c>
      <c r="E464" t="inlineStr">
        <is>
          <t>OCKELBO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14169-2026</t>
        </is>
      </c>
      <c r="B465" s="1" t="n">
        <v>46099</v>
      </c>
      <c r="C465" s="1" t="n">
        <v>46197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461-2026</t>
        </is>
      </c>
      <c r="B466" s="1" t="n">
        <v>46029</v>
      </c>
      <c r="C466" s="1" t="n">
        <v>46197</v>
      </c>
      <c r="D466" t="inlineStr">
        <is>
          <t>GÄVLEBORGS LÄN</t>
        </is>
      </c>
      <c r="E466" t="inlineStr">
        <is>
          <t>OCKELBO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15795-2026</t>
        </is>
      </c>
      <c r="B467" s="1" t="n">
        <v>46107</v>
      </c>
      <c r="C467" s="1" t="n">
        <v>46197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417-2026</t>
        </is>
      </c>
      <c r="B468" s="1" t="n">
        <v>46028</v>
      </c>
      <c r="C468" s="1" t="n">
        <v>46197</v>
      </c>
      <c r="D468" t="inlineStr">
        <is>
          <t>GÄVLEBORGS LÄN</t>
        </is>
      </c>
      <c r="E468" t="inlineStr">
        <is>
          <t>OCKELBO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479-2026</t>
        </is>
      </c>
      <c r="B469" s="1" t="n">
        <v>46029</v>
      </c>
      <c r="C469" s="1" t="n">
        <v>46197</v>
      </c>
      <c r="D469" t="inlineStr">
        <is>
          <t>GÄVLEBORGS LÄN</t>
        </is>
      </c>
      <c r="E469" t="inlineStr">
        <is>
          <t>OCKELBO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469-2026</t>
        </is>
      </c>
      <c r="B470" s="1" t="n">
        <v>46029</v>
      </c>
      <c r="C470" s="1" t="n">
        <v>46197</v>
      </c>
      <c r="D470" t="inlineStr">
        <is>
          <t>GÄVLEBORGS LÄN</t>
        </is>
      </c>
      <c r="E470" t="inlineStr">
        <is>
          <t>OCKELBO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136-2026</t>
        </is>
      </c>
      <c r="B471" s="1" t="n">
        <v>46024</v>
      </c>
      <c r="C471" s="1" t="n">
        <v>46197</v>
      </c>
      <c r="D471" t="inlineStr">
        <is>
          <t>GÄVLEBORGS LÄN</t>
        </is>
      </c>
      <c r="E471" t="inlineStr">
        <is>
          <t>OCKELBO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15679-2026</t>
        </is>
      </c>
      <c r="B472" s="1" t="n">
        <v>46106</v>
      </c>
      <c r="C472" s="1" t="n">
        <v>46197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15681-2026</t>
        </is>
      </c>
      <c r="B473" s="1" t="n">
        <v>46106</v>
      </c>
      <c r="C473" s="1" t="n">
        <v>46197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15572-2026</t>
        </is>
      </c>
      <c r="B474" s="1" t="n">
        <v>46106</v>
      </c>
      <c r="C474" s="1" t="n">
        <v>46197</v>
      </c>
      <c r="D474" t="inlineStr">
        <is>
          <t>GÄVLEBORGS LÄN</t>
        </is>
      </c>
      <c r="E474" t="inlineStr">
        <is>
          <t>OCKELBO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15782-2026</t>
        </is>
      </c>
      <c r="B475" s="1" t="n">
        <v>46107</v>
      </c>
      <c r="C475" s="1" t="n">
        <v>46197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1290-2026</t>
        </is>
      </c>
      <c r="B476" s="1" t="n">
        <v>46031</v>
      </c>
      <c r="C476" s="1" t="n">
        <v>46197</v>
      </c>
      <c r="D476" t="inlineStr">
        <is>
          <t>GÄVLEBORGS LÄN</t>
        </is>
      </c>
      <c r="E476" t="inlineStr">
        <is>
          <t>OCKELBO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1726-2026</t>
        </is>
      </c>
      <c r="B477" s="1" t="n">
        <v>46034</v>
      </c>
      <c r="C477" s="1" t="n">
        <v>46197</v>
      </c>
      <c r="D477" t="inlineStr">
        <is>
          <t>GÄVLEBORGS LÄN</t>
        </is>
      </c>
      <c r="E477" t="inlineStr">
        <is>
          <t>OCKELBO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14168-2026</t>
        </is>
      </c>
      <c r="B478" s="1" t="n">
        <v>46099</v>
      </c>
      <c r="C478" s="1" t="n">
        <v>46197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1456-2026</t>
        </is>
      </c>
      <c r="B479" s="1" t="n">
        <v>46033</v>
      </c>
      <c r="C479" s="1" t="n">
        <v>46197</v>
      </c>
      <c r="D479" t="inlineStr">
        <is>
          <t>GÄVLEBORGS LÄN</t>
        </is>
      </c>
      <c r="E479" t="inlineStr">
        <is>
          <t>OCKELBO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1724-2026</t>
        </is>
      </c>
      <c r="B480" s="1" t="n">
        <v>46034</v>
      </c>
      <c r="C480" s="1" t="n">
        <v>46197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1349-2026</t>
        </is>
      </c>
      <c r="B481" s="1" t="n">
        <v>46031</v>
      </c>
      <c r="C481" s="1" t="n">
        <v>46197</v>
      </c>
      <c r="D481" t="inlineStr">
        <is>
          <t>GÄVLEBORGS LÄN</t>
        </is>
      </c>
      <c r="E481" t="inlineStr">
        <is>
          <t>OCKELBO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15678-2026</t>
        </is>
      </c>
      <c r="B482" s="1" t="n">
        <v>46106</v>
      </c>
      <c r="C482" s="1" t="n">
        <v>46197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2388-2026</t>
        </is>
      </c>
      <c r="B483" s="1" t="n">
        <v>46036</v>
      </c>
      <c r="C483" s="1" t="n">
        <v>46197</v>
      </c>
      <c r="D483" t="inlineStr">
        <is>
          <t>GÄVLEBORGS LÄN</t>
        </is>
      </c>
      <c r="E483" t="inlineStr">
        <is>
          <t>OCKELBO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2392-2026</t>
        </is>
      </c>
      <c r="B484" s="1" t="n">
        <v>46036</v>
      </c>
      <c r="C484" s="1" t="n">
        <v>46197</v>
      </c>
      <c r="D484" t="inlineStr">
        <is>
          <t>GÄVLEBORGS LÄN</t>
        </is>
      </c>
      <c r="E484" t="inlineStr">
        <is>
          <t>OCKELBO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1866-2026</t>
        </is>
      </c>
      <c r="B485" s="1" t="n">
        <v>46035</v>
      </c>
      <c r="C485" s="1" t="n">
        <v>46197</v>
      </c>
      <c r="D485" t="inlineStr">
        <is>
          <t>GÄVLEBORGS LÄN</t>
        </is>
      </c>
      <c r="E485" t="inlineStr">
        <is>
          <t>OCKELBO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2178-2026</t>
        </is>
      </c>
      <c r="B486" s="1" t="n">
        <v>46036</v>
      </c>
      <c r="C486" s="1" t="n">
        <v>46197</v>
      </c>
      <c r="D486" t="inlineStr">
        <is>
          <t>GÄVLEBORGS LÄN</t>
        </is>
      </c>
      <c r="E486" t="inlineStr">
        <is>
          <t>OCKELBO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1984-2026</t>
        </is>
      </c>
      <c r="B487" s="1" t="n">
        <v>46035</v>
      </c>
      <c r="C487" s="1" t="n">
        <v>46197</v>
      </c>
      <c r="D487" t="inlineStr">
        <is>
          <t>GÄVLEBORGS LÄN</t>
        </is>
      </c>
      <c r="E487" t="inlineStr">
        <is>
          <t>OCKELBO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2304-2026</t>
        </is>
      </c>
      <c r="B488" s="1" t="n">
        <v>46036</v>
      </c>
      <c r="C488" s="1" t="n">
        <v>46197</v>
      </c>
      <c r="D488" t="inlineStr">
        <is>
          <t>GÄVLEBORGS LÄN</t>
        </is>
      </c>
      <c r="E488" t="inlineStr">
        <is>
          <t>OCKELBO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2319-2026</t>
        </is>
      </c>
      <c r="B489" s="1" t="n">
        <v>46036</v>
      </c>
      <c r="C489" s="1" t="n">
        <v>46197</v>
      </c>
      <c r="D489" t="inlineStr">
        <is>
          <t>GÄVLEBORGS LÄN</t>
        </is>
      </c>
      <c r="E489" t="inlineStr">
        <is>
          <t>OCKELBO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15648-2026</t>
        </is>
      </c>
      <c r="B490" s="1" t="n">
        <v>46106</v>
      </c>
      <c r="C490" s="1" t="n">
        <v>46197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1981-2026</t>
        </is>
      </c>
      <c r="B491" s="1" t="n">
        <v>46035</v>
      </c>
      <c r="C491" s="1" t="n">
        <v>46197</v>
      </c>
      <c r="D491" t="inlineStr">
        <is>
          <t>GÄVLEBORGS LÄN</t>
        </is>
      </c>
      <c r="E491" t="inlineStr">
        <is>
          <t>OCKELBO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2207-2026</t>
        </is>
      </c>
      <c r="B492" s="1" t="n">
        <v>46036</v>
      </c>
      <c r="C492" s="1" t="n">
        <v>46197</v>
      </c>
      <c r="D492" t="inlineStr">
        <is>
          <t>GÄVLEBORGS LÄN</t>
        </is>
      </c>
      <c r="E492" t="inlineStr">
        <is>
          <t>OCKELBO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15575-2026</t>
        </is>
      </c>
      <c r="B493" s="1" t="n">
        <v>46106</v>
      </c>
      <c r="C493" s="1" t="n">
        <v>46197</v>
      </c>
      <c r="D493" t="inlineStr">
        <is>
          <t>GÄVLEBORGS LÄN</t>
        </is>
      </c>
      <c r="E493" t="inlineStr">
        <is>
          <t>OCKELBO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16296-2026</t>
        </is>
      </c>
      <c r="B494" s="1" t="n">
        <v>46111</v>
      </c>
      <c r="C494" s="1" t="n">
        <v>46197</v>
      </c>
      <c r="D494" t="inlineStr">
        <is>
          <t>GÄVLEBORGS LÄN</t>
        </is>
      </c>
      <c r="E494" t="inlineStr">
        <is>
          <t>OCKELBO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16344-2026</t>
        </is>
      </c>
      <c r="B495" s="1" t="n">
        <v>46111</v>
      </c>
      <c r="C495" s="1" t="n">
        <v>46197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16154-2026</t>
        </is>
      </c>
      <c r="B496" s="1" t="n">
        <v>46108</v>
      </c>
      <c r="C496" s="1" t="n">
        <v>46197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16054-2026</t>
        </is>
      </c>
      <c r="B497" s="1" t="n">
        <v>46108</v>
      </c>
      <c r="C497" s="1" t="n">
        <v>46197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16419-2026</t>
        </is>
      </c>
      <c r="B498" s="1" t="n">
        <v>46111</v>
      </c>
      <c r="C498" s="1" t="n">
        <v>46197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16006-2026</t>
        </is>
      </c>
      <c r="B499" s="1" t="n">
        <v>46108</v>
      </c>
      <c r="C499" s="1" t="n">
        <v>46197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16388-2026</t>
        </is>
      </c>
      <c r="B500" s="1" t="n">
        <v>46111</v>
      </c>
      <c r="C500" s="1" t="n">
        <v>46197</v>
      </c>
      <c r="D500" t="inlineStr">
        <is>
          <t>GÄVLEBORGS LÄN</t>
        </is>
      </c>
      <c r="E500" t="inlineStr">
        <is>
          <t>OCKELBO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16667-2026</t>
        </is>
      </c>
      <c r="B501" s="1" t="n">
        <v>46112</v>
      </c>
      <c r="C501" s="1" t="n">
        <v>46197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16481-2026</t>
        </is>
      </c>
      <c r="B502" s="1" t="n">
        <v>46112</v>
      </c>
      <c r="C502" s="1" t="n">
        <v>46197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16535-2026</t>
        </is>
      </c>
      <c r="B503" s="1" t="n">
        <v>46112</v>
      </c>
      <c r="C503" s="1" t="n">
        <v>46197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60122-2025</t>
        </is>
      </c>
      <c r="B504" s="1" t="n">
        <v>45994</v>
      </c>
      <c r="C504" s="1" t="n">
        <v>46197</v>
      </c>
      <c r="D504" t="inlineStr">
        <is>
          <t>GÄVLEBORGS LÄN</t>
        </is>
      </c>
      <c r="E504" t="inlineStr">
        <is>
          <t>OCKELBO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22460-2026</t>
        </is>
      </c>
      <c r="B505" s="1" t="n">
        <v>46155</v>
      </c>
      <c r="C505" s="1" t="n">
        <v>46197</v>
      </c>
      <c r="D505" t="inlineStr">
        <is>
          <t>GÄVLEBORGS LÄN</t>
        </is>
      </c>
      <c r="E505" t="inlineStr">
        <is>
          <t>OCKELBO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60120-2025</t>
        </is>
      </c>
      <c r="B506" s="1" t="n">
        <v>45994</v>
      </c>
      <c r="C506" s="1" t="n">
        <v>46197</v>
      </c>
      <c r="D506" t="inlineStr">
        <is>
          <t>GÄVLEBORGS LÄN</t>
        </is>
      </c>
      <c r="E506" t="inlineStr">
        <is>
          <t>OCKELBO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16981-2026</t>
        </is>
      </c>
      <c r="B507" s="1" t="n">
        <v>46114</v>
      </c>
      <c r="C507" s="1" t="n">
        <v>46197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17112-2026</t>
        </is>
      </c>
      <c r="B508" s="1" t="n">
        <v>46114</v>
      </c>
      <c r="C508" s="1" t="n">
        <v>46197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22692-2026</t>
        </is>
      </c>
      <c r="B509" s="1" t="n">
        <v>46156</v>
      </c>
      <c r="C509" s="1" t="n">
        <v>46197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16989-2026</t>
        </is>
      </c>
      <c r="B510" s="1" t="n">
        <v>46114</v>
      </c>
      <c r="C510" s="1" t="n">
        <v>46197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16991-2026</t>
        </is>
      </c>
      <c r="B511" s="1" t="n">
        <v>46114</v>
      </c>
      <c r="C511" s="1" t="n">
        <v>46197</v>
      </c>
      <c r="D511" t="inlineStr">
        <is>
          <t>GÄVLEBORGS LÄN</t>
        </is>
      </c>
      <c r="E511" t="inlineStr">
        <is>
          <t>OCKELBO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22712-2026</t>
        </is>
      </c>
      <c r="B512" s="1" t="n">
        <v>46156</v>
      </c>
      <c r="C512" s="1" t="n">
        <v>46197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13428-2026</t>
        </is>
      </c>
      <c r="B513" s="1" t="n">
        <v>46094</v>
      </c>
      <c r="C513" s="1" t="n">
        <v>46197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17113-2026</t>
        </is>
      </c>
      <c r="B514" s="1" t="n">
        <v>46114</v>
      </c>
      <c r="C514" s="1" t="n">
        <v>46197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17115-2026</t>
        </is>
      </c>
      <c r="B515" s="1" t="n">
        <v>46114</v>
      </c>
      <c r="C515" s="1" t="n">
        <v>46197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22594-2026</t>
        </is>
      </c>
      <c r="B516" s="1" t="n">
        <v>46155</v>
      </c>
      <c r="C516" s="1" t="n">
        <v>46197</v>
      </c>
      <c r="D516" t="inlineStr">
        <is>
          <t>GÄVLEBORGS LÄN</t>
        </is>
      </c>
      <c r="E516" t="inlineStr">
        <is>
          <t>OCKELBO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17224-2026</t>
        </is>
      </c>
      <c r="B517" s="1" t="n">
        <v>46119</v>
      </c>
      <c r="C517" s="1" t="n">
        <v>46197</v>
      </c>
      <c r="D517" t="inlineStr">
        <is>
          <t>GÄVLEBORGS LÄN</t>
        </is>
      </c>
      <c r="E517" t="inlineStr">
        <is>
          <t>OCKELBO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22569-2026</t>
        </is>
      </c>
      <c r="B518" s="1" t="n">
        <v>46155</v>
      </c>
      <c r="C518" s="1" t="n">
        <v>46197</v>
      </c>
      <c r="D518" t="inlineStr">
        <is>
          <t>GÄVLEBORGS LÄN</t>
        </is>
      </c>
      <c r="E518" t="inlineStr">
        <is>
          <t>OCKELBO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22843-2026</t>
        </is>
      </c>
      <c r="B519" s="1" t="n">
        <v>46160</v>
      </c>
      <c r="C519" s="1" t="n">
        <v>46197</v>
      </c>
      <c r="D519" t="inlineStr">
        <is>
          <t>GÄVLEBORGS LÄN</t>
        </is>
      </c>
      <c r="E519" t="inlineStr">
        <is>
          <t>OCKELBO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50968-2024</t>
        </is>
      </c>
      <c r="B520" s="1" t="n">
        <v>45603</v>
      </c>
      <c r="C520" s="1" t="n">
        <v>46197</v>
      </c>
      <c r="D520" t="inlineStr">
        <is>
          <t>GÄVLEBORGS LÄN</t>
        </is>
      </c>
      <c r="E520" t="inlineStr">
        <is>
          <t>OCKELBO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23060-2026</t>
        </is>
      </c>
      <c r="B521" s="1" t="n">
        <v>46161</v>
      </c>
      <c r="C521" s="1" t="n">
        <v>46197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17241-2026</t>
        </is>
      </c>
      <c r="B522" s="1" t="n">
        <v>46119</v>
      </c>
      <c r="C522" s="1" t="n">
        <v>46197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26367-2024</t>
        </is>
      </c>
      <c r="B523" s="1" t="n">
        <v>45469</v>
      </c>
      <c r="C523" s="1" t="n">
        <v>46197</v>
      </c>
      <c r="D523" t="inlineStr">
        <is>
          <t>GÄVLEBORGS LÄN</t>
        </is>
      </c>
      <c r="E523" t="inlineStr">
        <is>
          <t>OCKELBO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23040-2026</t>
        </is>
      </c>
      <c r="B524" s="1" t="n">
        <v>46161</v>
      </c>
      <c r="C524" s="1" t="n">
        <v>46197</v>
      </c>
      <c r="D524" t="inlineStr">
        <is>
          <t>GÄVLEBORGS LÄN</t>
        </is>
      </c>
      <c r="E524" t="inlineStr">
        <is>
          <t>OCKELBO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23149-2026</t>
        </is>
      </c>
      <c r="B525" s="1" t="n">
        <v>46161</v>
      </c>
      <c r="C525" s="1" t="n">
        <v>46197</v>
      </c>
      <c r="D525" t="inlineStr">
        <is>
          <t>GÄVLEBORGS LÄN</t>
        </is>
      </c>
      <c r="E525" t="inlineStr">
        <is>
          <t>OCKELBO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17202-2026</t>
        </is>
      </c>
      <c r="B526" s="1" t="n">
        <v>46118</v>
      </c>
      <c r="C526" s="1" t="n">
        <v>46197</v>
      </c>
      <c r="D526" t="inlineStr">
        <is>
          <t>GÄVLEBORGS LÄN</t>
        </is>
      </c>
      <c r="E526" t="inlineStr">
        <is>
          <t>OCKELBO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17709-2026</t>
        </is>
      </c>
      <c r="B527" s="1" t="n">
        <v>46121</v>
      </c>
      <c r="C527" s="1" t="n">
        <v>46197</v>
      </c>
      <c r="D527" t="inlineStr">
        <is>
          <t>GÄVLEBORGS LÄN</t>
        </is>
      </c>
      <c r="E527" t="inlineStr">
        <is>
          <t>OCKELBO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37438-2023</t>
        </is>
      </c>
      <c r="B528" s="1" t="n">
        <v>45156</v>
      </c>
      <c r="C528" s="1" t="n">
        <v>46197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10290-2026</t>
        </is>
      </c>
      <c r="B529" s="1" t="n">
        <v>46076</v>
      </c>
      <c r="C529" s="1" t="n">
        <v>46197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10326-2026</t>
        </is>
      </c>
      <c r="B530" s="1" t="n">
        <v>46076</v>
      </c>
      <c r="C530" s="1" t="n">
        <v>46197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öst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10457-2026</t>
        </is>
      </c>
      <c r="B531" s="1" t="n">
        <v>46077</v>
      </c>
      <c r="C531" s="1" t="n">
        <v>46197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10268-2026</t>
        </is>
      </c>
      <c r="B532" s="1" t="n">
        <v>46076</v>
      </c>
      <c r="C532" s="1" t="n">
        <v>46197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öst AB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17589-2026</t>
        </is>
      </c>
      <c r="B533" s="1" t="n">
        <v>46121</v>
      </c>
      <c r="C533" s="1" t="n">
        <v>46197</v>
      </c>
      <c r="D533" t="inlineStr">
        <is>
          <t>GÄVLEBORGS LÄN</t>
        </is>
      </c>
      <c r="E533" t="inlineStr">
        <is>
          <t>OCKELBO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17600-2026</t>
        </is>
      </c>
      <c r="B534" s="1" t="n">
        <v>46121</v>
      </c>
      <c r="C534" s="1" t="n">
        <v>46197</v>
      </c>
      <c r="D534" t="inlineStr">
        <is>
          <t>GÄVLEBORGS LÄN</t>
        </is>
      </c>
      <c r="E534" t="inlineStr">
        <is>
          <t>OCKELBO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5240-2026</t>
        </is>
      </c>
      <c r="B535" s="1" t="n">
        <v>46049</v>
      </c>
      <c r="C535" s="1" t="n">
        <v>46197</v>
      </c>
      <c r="D535" t="inlineStr">
        <is>
          <t>GÄVLEBORGS LÄN</t>
        </is>
      </c>
      <c r="E535" t="inlineStr">
        <is>
          <t>OCKELBO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10309-2026</t>
        </is>
      </c>
      <c r="B536" s="1" t="n">
        <v>46076</v>
      </c>
      <c r="C536" s="1" t="n">
        <v>46197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öst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18104-2026</t>
        </is>
      </c>
      <c r="B537" s="1" t="n">
        <v>46125</v>
      </c>
      <c r="C537" s="1" t="n">
        <v>46197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23663-2026</t>
        </is>
      </c>
      <c r="B538" s="1" t="n">
        <v>46164</v>
      </c>
      <c r="C538" s="1" t="n">
        <v>46197</v>
      </c>
      <c r="D538" t="inlineStr">
        <is>
          <t>GÄVLEBORGS LÄN</t>
        </is>
      </c>
      <c r="E538" t="inlineStr">
        <is>
          <t>OCKELBO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18121-2026</t>
        </is>
      </c>
      <c r="B539" s="1" t="n">
        <v>46125</v>
      </c>
      <c r="C539" s="1" t="n">
        <v>46197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48804-2024</t>
        </is>
      </c>
      <c r="B540" s="1" t="n">
        <v>45593</v>
      </c>
      <c r="C540" s="1" t="n">
        <v>46197</v>
      </c>
      <c r="D540" t="inlineStr">
        <is>
          <t>GÄVLEBORGS LÄN</t>
        </is>
      </c>
      <c r="E540" t="inlineStr">
        <is>
          <t>OCKELBO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18133-2026</t>
        </is>
      </c>
      <c r="B541" s="1" t="n">
        <v>46125</v>
      </c>
      <c r="C541" s="1" t="n">
        <v>46197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18291-2023</t>
        </is>
      </c>
      <c r="B542" s="1" t="n">
        <v>45041</v>
      </c>
      <c r="C542" s="1" t="n">
        <v>46197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18260-2026</t>
        </is>
      </c>
      <c r="B543" s="1" t="n">
        <v>46126</v>
      </c>
      <c r="C543" s="1" t="n">
        <v>46197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15581-2026</t>
        </is>
      </c>
      <c r="B544" s="1" t="n">
        <v>46106</v>
      </c>
      <c r="C544" s="1" t="n">
        <v>46197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öst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18248-2026</t>
        </is>
      </c>
      <c r="B545" s="1" t="n">
        <v>46126</v>
      </c>
      <c r="C545" s="1" t="n">
        <v>46197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15255-2026</t>
        </is>
      </c>
      <c r="B546" s="1" t="n">
        <v>46105</v>
      </c>
      <c r="C546" s="1" t="n">
        <v>46197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18234-2026</t>
        </is>
      </c>
      <c r="B547" s="1" t="n">
        <v>46126</v>
      </c>
      <c r="C547" s="1" t="n">
        <v>46197</v>
      </c>
      <c r="D547" t="inlineStr">
        <is>
          <t>GÄVLEBORGS LÄN</t>
        </is>
      </c>
      <c r="E547" t="inlineStr">
        <is>
          <t>OCKELBO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18457-2026</t>
        </is>
      </c>
      <c r="B548" s="1" t="n">
        <v>46127</v>
      </c>
      <c r="C548" s="1" t="n">
        <v>46197</v>
      </c>
      <c r="D548" t="inlineStr">
        <is>
          <t>GÄVLEBORGS LÄN</t>
        </is>
      </c>
      <c r="E548" t="inlineStr">
        <is>
          <t>OCKELBO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18513-2026</t>
        </is>
      </c>
      <c r="B549" s="1" t="n">
        <v>46127</v>
      </c>
      <c r="C549" s="1" t="n">
        <v>46197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18426-2026</t>
        </is>
      </c>
      <c r="B550" s="1" t="n">
        <v>46127</v>
      </c>
      <c r="C550" s="1" t="n">
        <v>46197</v>
      </c>
      <c r="D550" t="inlineStr">
        <is>
          <t>GÄVLEBORGS LÄN</t>
        </is>
      </c>
      <c r="E550" t="inlineStr">
        <is>
          <t>OCKELBO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24185-2026</t>
        </is>
      </c>
      <c r="B551" s="1" t="n">
        <v>46168</v>
      </c>
      <c r="C551" s="1" t="n">
        <v>46197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53137-2024</t>
        </is>
      </c>
      <c r="B552" s="1" t="n">
        <v>45611</v>
      </c>
      <c r="C552" s="1" t="n">
        <v>46197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24267-2026</t>
        </is>
      </c>
      <c r="B553" s="1" t="n">
        <v>46169</v>
      </c>
      <c r="C553" s="1" t="n">
        <v>46197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13855-2026</t>
        </is>
      </c>
      <c r="B554" s="1" t="n">
        <v>46098</v>
      </c>
      <c r="C554" s="1" t="n">
        <v>46197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23786-2026</t>
        </is>
      </c>
      <c r="B555" s="1" t="n">
        <v>46164</v>
      </c>
      <c r="C555" s="1" t="n">
        <v>46197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24449-2026</t>
        </is>
      </c>
      <c r="B556" s="1" t="n">
        <v>46170</v>
      </c>
      <c r="C556" s="1" t="n">
        <v>46197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19038-2026</t>
        </is>
      </c>
      <c r="B557" s="1" t="n">
        <v>46132</v>
      </c>
      <c r="C557" s="1" t="n">
        <v>46197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24968-2026</t>
        </is>
      </c>
      <c r="B558" s="1" t="n">
        <v>46174</v>
      </c>
      <c r="C558" s="1" t="n">
        <v>46197</v>
      </c>
      <c r="D558" t="inlineStr">
        <is>
          <t>GÄVLEBORGS LÄN</t>
        </is>
      </c>
      <c r="E558" t="inlineStr">
        <is>
          <t>OCKELBO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18646-2026</t>
        </is>
      </c>
      <c r="B559" s="1" t="n">
        <v>46128</v>
      </c>
      <c r="C559" s="1" t="n">
        <v>46197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19068-2026</t>
        </is>
      </c>
      <c r="B560" s="1" t="n">
        <v>46132</v>
      </c>
      <c r="C560" s="1" t="n">
        <v>46197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24567-2026</t>
        </is>
      </c>
      <c r="B561" s="1" t="n">
        <v>46170</v>
      </c>
      <c r="C561" s="1" t="n">
        <v>46197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24569-2026</t>
        </is>
      </c>
      <c r="B562" s="1" t="n">
        <v>46170</v>
      </c>
      <c r="C562" s="1" t="n">
        <v>46197</v>
      </c>
      <c r="D562" t="inlineStr">
        <is>
          <t>GÄVLEBORGS LÄN</t>
        </is>
      </c>
      <c r="E562" t="inlineStr">
        <is>
          <t>OCKELBO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19138-2026</t>
        </is>
      </c>
      <c r="B563" s="1" t="n">
        <v>46132</v>
      </c>
      <c r="C563" s="1" t="n">
        <v>46197</v>
      </c>
      <c r="D563" t="inlineStr">
        <is>
          <t>GÄVLEBORGS LÄN</t>
        </is>
      </c>
      <c r="E563" t="inlineStr">
        <is>
          <t>OCKELBO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19213-2026</t>
        </is>
      </c>
      <c r="B564" s="1" t="n">
        <v>46132</v>
      </c>
      <c r="C564" s="1" t="n">
        <v>46197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24578-2026</t>
        </is>
      </c>
      <c r="B565" s="1" t="n">
        <v>46170</v>
      </c>
      <c r="C565" s="1" t="n">
        <v>46197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24451-2026</t>
        </is>
      </c>
      <c r="B566" s="1" t="n">
        <v>46170</v>
      </c>
      <c r="C566" s="1" t="n">
        <v>46197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18705-2026</t>
        </is>
      </c>
      <c r="B567" s="1" t="n">
        <v>46128</v>
      </c>
      <c r="C567" s="1" t="n">
        <v>46197</v>
      </c>
      <c r="D567" t="inlineStr">
        <is>
          <t>GÄVLEBORGS LÄN</t>
        </is>
      </c>
      <c r="E567" t="inlineStr">
        <is>
          <t>OCKELBO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24974-2026</t>
        </is>
      </c>
      <c r="B568" s="1" t="n">
        <v>46174</v>
      </c>
      <c r="C568" s="1" t="n">
        <v>46197</v>
      </c>
      <c r="D568" t="inlineStr">
        <is>
          <t>GÄVLEBORGS LÄN</t>
        </is>
      </c>
      <c r="E568" t="inlineStr">
        <is>
          <t>OCKELBO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16572-2026</t>
        </is>
      </c>
      <c r="B569" s="1" t="n">
        <v>46112</v>
      </c>
      <c r="C569" s="1" t="n">
        <v>46197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16530-2026</t>
        </is>
      </c>
      <c r="B570" s="1" t="n">
        <v>46112</v>
      </c>
      <c r="C570" s="1" t="n">
        <v>46197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23456-2026</t>
        </is>
      </c>
      <c r="B571" s="1" t="n">
        <v>46163</v>
      </c>
      <c r="C571" s="1" t="n">
        <v>46197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19142-2026</t>
        </is>
      </c>
      <c r="B572" s="1" t="n">
        <v>46132</v>
      </c>
      <c r="C572" s="1" t="n">
        <v>46197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24598-2026</t>
        </is>
      </c>
      <c r="B573" s="1" t="n">
        <v>46170</v>
      </c>
      <c r="C573" s="1" t="n">
        <v>46197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19043-2026</t>
        </is>
      </c>
      <c r="B574" s="1" t="n">
        <v>46132</v>
      </c>
      <c r="C574" s="1" t="n">
        <v>46197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19139-2026</t>
        </is>
      </c>
      <c r="B575" s="1" t="n">
        <v>46132</v>
      </c>
      <c r="C575" s="1" t="n">
        <v>46197</v>
      </c>
      <c r="D575" t="inlineStr">
        <is>
          <t>GÄVLEBORGS LÄN</t>
        </is>
      </c>
      <c r="E575" t="inlineStr">
        <is>
          <t>OCKELBO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18669-2026</t>
        </is>
      </c>
      <c r="B576" s="1" t="n">
        <v>46128</v>
      </c>
      <c r="C576" s="1" t="n">
        <v>46197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24952-2026</t>
        </is>
      </c>
      <c r="B577" s="1" t="n">
        <v>46174</v>
      </c>
      <c r="C577" s="1" t="n">
        <v>46197</v>
      </c>
      <c r="D577" t="inlineStr">
        <is>
          <t>GÄVLEBORGS LÄN</t>
        </is>
      </c>
      <c r="E577" t="inlineStr">
        <is>
          <t>OCKELBO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19040-2026</t>
        </is>
      </c>
      <c r="B578" s="1" t="n">
        <v>46132</v>
      </c>
      <c r="C578" s="1" t="n">
        <v>46197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24521-2026</t>
        </is>
      </c>
      <c r="B579" s="1" t="n">
        <v>46170</v>
      </c>
      <c r="C579" s="1" t="n">
        <v>46197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19146-2026</t>
        </is>
      </c>
      <c r="B580" s="1" t="n">
        <v>46132</v>
      </c>
      <c r="C580" s="1" t="n">
        <v>46197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7276-2023</t>
        </is>
      </c>
      <c r="B581" s="1" t="n">
        <v>44970</v>
      </c>
      <c r="C581" s="1" t="n">
        <v>46197</v>
      </c>
      <c r="D581" t="inlineStr">
        <is>
          <t>GÄVLEBORGS LÄN</t>
        </is>
      </c>
      <c r="E581" t="inlineStr">
        <is>
          <t>OCKELBO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61732-2024</t>
        </is>
      </c>
      <c r="B582" s="1" t="n">
        <v>45649</v>
      </c>
      <c r="C582" s="1" t="n">
        <v>46197</v>
      </c>
      <c r="D582" t="inlineStr">
        <is>
          <t>GÄVLEBORGS LÄN</t>
        </is>
      </c>
      <c r="E582" t="inlineStr">
        <is>
          <t>OCKELBO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19491-2026</t>
        </is>
      </c>
      <c r="B583" s="1" t="n">
        <v>46134</v>
      </c>
      <c r="C583" s="1" t="n">
        <v>46197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19603-2026</t>
        </is>
      </c>
      <c r="B584" s="1" t="n">
        <v>46134</v>
      </c>
      <c r="C584" s="1" t="n">
        <v>46197</v>
      </c>
      <c r="D584" t="inlineStr">
        <is>
          <t>GÄVLEBORGS LÄN</t>
        </is>
      </c>
      <c r="E584" t="inlineStr">
        <is>
          <t>OCKELBO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25128-2026</t>
        </is>
      </c>
      <c r="B585" s="1" t="n">
        <v>46175</v>
      </c>
      <c r="C585" s="1" t="n">
        <v>46197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19531-2026</t>
        </is>
      </c>
      <c r="B586" s="1" t="n">
        <v>46134</v>
      </c>
      <c r="C586" s="1" t="n">
        <v>46197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19431-2026</t>
        </is>
      </c>
      <c r="B587" s="1" t="n">
        <v>46133</v>
      </c>
      <c r="C587" s="1" t="n">
        <v>46197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19271-2026</t>
        </is>
      </c>
      <c r="B588" s="1" t="n">
        <v>46133</v>
      </c>
      <c r="C588" s="1" t="n">
        <v>46197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19275-2026</t>
        </is>
      </c>
      <c r="B589" s="1" t="n">
        <v>46133</v>
      </c>
      <c r="C589" s="1" t="n">
        <v>46197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22952-2023</t>
        </is>
      </c>
      <c r="B590" s="1" t="n">
        <v>45072</v>
      </c>
      <c r="C590" s="1" t="n">
        <v>46197</v>
      </c>
      <c r="D590" t="inlineStr">
        <is>
          <t>GÄVLEBORGS LÄN</t>
        </is>
      </c>
      <c r="E590" t="inlineStr">
        <is>
          <t>OCKELBO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54977-2024</t>
        </is>
      </c>
      <c r="B591" s="1" t="n">
        <v>45620</v>
      </c>
      <c r="C591" s="1" t="n">
        <v>46197</v>
      </c>
      <c r="D591" t="inlineStr">
        <is>
          <t>GÄVLEBORGS LÄN</t>
        </is>
      </c>
      <c r="E591" t="inlineStr">
        <is>
          <t>OCKELBO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19277-2026</t>
        </is>
      </c>
      <c r="B592" s="1" t="n">
        <v>46133</v>
      </c>
      <c r="C592" s="1" t="n">
        <v>46197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49529-2024</t>
        </is>
      </c>
      <c r="B593" s="1" t="n">
        <v>45596</v>
      </c>
      <c r="C593" s="1" t="n">
        <v>46197</v>
      </c>
      <c r="D593" t="inlineStr">
        <is>
          <t>GÄVLEBORGS LÄN</t>
        </is>
      </c>
      <c r="E593" t="inlineStr">
        <is>
          <t>OCKELBO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6568-2024</t>
        </is>
      </c>
      <c r="B594" s="1" t="n">
        <v>45341</v>
      </c>
      <c r="C594" s="1" t="n">
        <v>46197</v>
      </c>
      <c r="D594" t="inlineStr">
        <is>
          <t>GÄVLEBORGS LÄN</t>
        </is>
      </c>
      <c r="E594" t="inlineStr">
        <is>
          <t>OCKELBO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19424-2026</t>
        </is>
      </c>
      <c r="B595" s="1" t="n">
        <v>46133</v>
      </c>
      <c r="C595" s="1" t="n">
        <v>46197</v>
      </c>
      <c r="D595" t="inlineStr">
        <is>
          <t>GÄVLEBORGS LÄN</t>
        </is>
      </c>
      <c r="E595" t="inlineStr">
        <is>
          <t>OCKELBO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19924-2026</t>
        </is>
      </c>
      <c r="B596" s="1" t="n">
        <v>46136</v>
      </c>
      <c r="C596" s="1" t="n">
        <v>46197</v>
      </c>
      <c r="D596" t="inlineStr">
        <is>
          <t>GÄVLEBORGS LÄN</t>
        </is>
      </c>
      <c r="E596" t="inlineStr">
        <is>
          <t>OCKELBO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25525-2026</t>
        </is>
      </c>
      <c r="B597" s="1" t="n">
        <v>46177</v>
      </c>
      <c r="C597" s="1" t="n">
        <v>46197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25599-2026</t>
        </is>
      </c>
      <c r="B598" s="1" t="n">
        <v>46177</v>
      </c>
      <c r="C598" s="1" t="n">
        <v>46197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50194-2024</t>
        </is>
      </c>
      <c r="B599" s="1" t="n">
        <v>45600</v>
      </c>
      <c r="C599" s="1" t="n">
        <v>46197</v>
      </c>
      <c r="D599" t="inlineStr">
        <is>
          <t>GÄVLEBORGS LÄN</t>
        </is>
      </c>
      <c r="E599" t="inlineStr">
        <is>
          <t>OCKELBO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24409-2026</t>
        </is>
      </c>
      <c r="B600" s="1" t="n">
        <v>46169</v>
      </c>
      <c r="C600" s="1" t="n">
        <v>46197</v>
      </c>
      <c r="D600" t="inlineStr">
        <is>
          <t>GÄVLEBORGS LÄN</t>
        </is>
      </c>
      <c r="E600" t="inlineStr">
        <is>
          <t>OCKELBO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24335-2026</t>
        </is>
      </c>
      <c r="B601" s="1" t="n">
        <v>46169</v>
      </c>
      <c r="C601" s="1" t="n">
        <v>46197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62096-2024</t>
        </is>
      </c>
      <c r="B602" s="1" t="n">
        <v>45656</v>
      </c>
      <c r="C602" s="1" t="n">
        <v>46197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24333-2026</t>
        </is>
      </c>
      <c r="B603" s="1" t="n">
        <v>46169</v>
      </c>
      <c r="C603" s="1" t="n">
        <v>46197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54309-2024</t>
        </is>
      </c>
      <c r="B604" s="1" t="n">
        <v>45617</v>
      </c>
      <c r="C604" s="1" t="n">
        <v>46197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42585-2023</t>
        </is>
      </c>
      <c r="B605" s="1" t="n">
        <v>45181</v>
      </c>
      <c r="C605" s="1" t="n">
        <v>46197</v>
      </c>
      <c r="D605" t="inlineStr">
        <is>
          <t>GÄVLEBORGS LÄN</t>
        </is>
      </c>
      <c r="E605" t="inlineStr">
        <is>
          <t>OCKELBO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56352-2024</t>
        </is>
      </c>
      <c r="B606" s="1" t="n">
        <v>45624</v>
      </c>
      <c r="C606" s="1" t="n">
        <v>46197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42313-2023</t>
        </is>
      </c>
      <c r="B607" s="1" t="n">
        <v>45180</v>
      </c>
      <c r="C607" s="1" t="n">
        <v>46197</v>
      </c>
      <c r="D607" t="inlineStr">
        <is>
          <t>GÄVLEBORGS LÄN</t>
        </is>
      </c>
      <c r="E607" t="inlineStr">
        <is>
          <t>OCKELBO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19945-2026</t>
        </is>
      </c>
      <c r="B608" s="1" t="n">
        <v>46136</v>
      </c>
      <c r="C608" s="1" t="n">
        <v>46197</v>
      </c>
      <c r="D608" t="inlineStr">
        <is>
          <t>GÄVLEBORGS LÄN</t>
        </is>
      </c>
      <c r="E608" t="inlineStr">
        <is>
          <t>OCKELBO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17682-2026</t>
        </is>
      </c>
      <c r="B609" s="1" t="n">
        <v>46121</v>
      </c>
      <c r="C609" s="1" t="n">
        <v>46197</v>
      </c>
      <c r="D609" t="inlineStr">
        <is>
          <t>GÄVLEBORGS LÄN</t>
        </is>
      </c>
      <c r="E609" t="inlineStr">
        <is>
          <t>OCKELBO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17208-2026</t>
        </is>
      </c>
      <c r="B610" s="1" t="n">
        <v>46119</v>
      </c>
      <c r="C610" s="1" t="n">
        <v>46197</v>
      </c>
      <c r="D610" t="inlineStr">
        <is>
          <t>GÄVLEBORGS LÄN</t>
        </is>
      </c>
      <c r="E610" t="inlineStr">
        <is>
          <t>OCKELBO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17117-2026</t>
        </is>
      </c>
      <c r="B611" s="1" t="n">
        <v>46114</v>
      </c>
      <c r="C611" s="1" t="n">
        <v>46197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24408-2026</t>
        </is>
      </c>
      <c r="B612" s="1" t="n">
        <v>46169</v>
      </c>
      <c r="C612" s="1" t="n">
        <v>46197</v>
      </c>
      <c r="D612" t="inlineStr">
        <is>
          <t>GÄVLEBORGS LÄN</t>
        </is>
      </c>
      <c r="E612" t="inlineStr">
        <is>
          <t>OCKELBO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8662-2025</t>
        </is>
      </c>
      <c r="B613" s="1" t="n">
        <v>45712</v>
      </c>
      <c r="C613" s="1" t="n">
        <v>46197</v>
      </c>
      <c r="D613" t="inlineStr">
        <is>
          <t>GÄVLEBORGS LÄN</t>
        </is>
      </c>
      <c r="E613" t="inlineStr">
        <is>
          <t>OCKELBO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60132-2024</t>
        </is>
      </c>
      <c r="B614" s="1" t="n">
        <v>45642</v>
      </c>
      <c r="C614" s="1" t="n">
        <v>46197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öst AB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60915-2024</t>
        </is>
      </c>
      <c r="B615" s="1" t="n">
        <v>45645</v>
      </c>
      <c r="C615" s="1" t="n">
        <v>46197</v>
      </c>
      <c r="D615" t="inlineStr">
        <is>
          <t>GÄVLEBORGS LÄN</t>
        </is>
      </c>
      <c r="E615" t="inlineStr">
        <is>
          <t>OCKELBO</t>
        </is>
      </c>
      <c r="F615" t="inlineStr">
        <is>
          <t>Kyrkan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20481-2026</t>
        </is>
      </c>
      <c r="B616" s="1" t="n">
        <v>46140</v>
      </c>
      <c r="C616" s="1" t="n">
        <v>46197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9556-2026</t>
        </is>
      </c>
      <c r="B617" s="1" t="n">
        <v>46071</v>
      </c>
      <c r="C617" s="1" t="n">
        <v>46197</v>
      </c>
      <c r="D617" t="inlineStr">
        <is>
          <t>GÄVLEBORGS LÄN</t>
        </is>
      </c>
      <c r="E617" t="inlineStr">
        <is>
          <t>OCKELBO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33079-2025</t>
        </is>
      </c>
      <c r="B618" s="1" t="n">
        <v>45840</v>
      </c>
      <c r="C618" s="1" t="n">
        <v>46197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4675-2026</t>
        </is>
      </c>
      <c r="B619" s="1" t="n">
        <v>46048</v>
      </c>
      <c r="C619" s="1" t="n">
        <v>46197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3544-2026</t>
        </is>
      </c>
      <c r="B620" s="1" t="n">
        <v>46042</v>
      </c>
      <c r="C620" s="1" t="n">
        <v>46197</v>
      </c>
      <c r="D620" t="inlineStr">
        <is>
          <t>GÄVLEBORGS LÄN</t>
        </is>
      </c>
      <c r="E620" t="inlineStr">
        <is>
          <t>OCKELBO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8343-2026</t>
        </is>
      </c>
      <c r="B621" s="1" t="n">
        <v>46064</v>
      </c>
      <c r="C621" s="1" t="n">
        <v>46197</v>
      </c>
      <c r="D621" t="inlineStr">
        <is>
          <t>GÄVLEBORGS LÄN</t>
        </is>
      </c>
      <c r="E621" t="inlineStr">
        <is>
          <t>OCKELBO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20467-2026</t>
        </is>
      </c>
      <c r="B622" s="1" t="n">
        <v>46140</v>
      </c>
      <c r="C622" s="1" t="n">
        <v>46197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36343-2023</t>
        </is>
      </c>
      <c r="B623" s="1" t="n">
        <v>45152</v>
      </c>
      <c r="C623" s="1" t="n">
        <v>46197</v>
      </c>
      <c r="D623" t="inlineStr">
        <is>
          <t>GÄVLEBORGS LÄN</t>
        </is>
      </c>
      <c r="E623" t="inlineStr">
        <is>
          <t>OCKELBO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20149-2026</t>
        </is>
      </c>
      <c r="B624" s="1" t="n">
        <v>46137</v>
      </c>
      <c r="C624" s="1" t="n">
        <v>46197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20150-2026</t>
        </is>
      </c>
      <c r="B625" s="1" t="n">
        <v>46137</v>
      </c>
      <c r="C625" s="1" t="n">
        <v>46197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26131-2026</t>
        </is>
      </c>
      <c r="B626" s="1" t="n">
        <v>46181</v>
      </c>
      <c r="C626" s="1" t="n">
        <v>46197</v>
      </c>
      <c r="D626" t="inlineStr">
        <is>
          <t>GÄVLEBORGS LÄN</t>
        </is>
      </c>
      <c r="E626" t="inlineStr">
        <is>
          <t>OCKELBO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19762-2024</t>
        </is>
      </c>
      <c r="B627" s="1" t="n">
        <v>45432</v>
      </c>
      <c r="C627" s="1" t="n">
        <v>46197</v>
      </c>
      <c r="D627" t="inlineStr">
        <is>
          <t>GÄVLEBORGS LÄN</t>
        </is>
      </c>
      <c r="E627" t="inlineStr">
        <is>
          <t>OCKELBO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21582-2024</t>
        </is>
      </c>
      <c r="B628" s="1" t="n">
        <v>45441</v>
      </c>
      <c r="C628" s="1" t="n">
        <v>46197</v>
      </c>
      <c r="D628" t="inlineStr">
        <is>
          <t>GÄVLEBORGS LÄN</t>
        </is>
      </c>
      <c r="E628" t="inlineStr">
        <is>
          <t>OCKELBO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20502-2026</t>
        </is>
      </c>
      <c r="B629" s="1" t="n">
        <v>46140</v>
      </c>
      <c r="C629" s="1" t="n">
        <v>46197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30422-2023</t>
        </is>
      </c>
      <c r="B630" s="1" t="n">
        <v>45111</v>
      </c>
      <c r="C630" s="1" t="n">
        <v>46197</v>
      </c>
      <c r="D630" t="inlineStr">
        <is>
          <t>GÄVLEBORGS LÄN</t>
        </is>
      </c>
      <c r="E630" t="inlineStr">
        <is>
          <t>OCKELBO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20251-2026</t>
        </is>
      </c>
      <c r="B631" s="1" t="n">
        <v>46139</v>
      </c>
      <c r="C631" s="1" t="n">
        <v>46197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1716-2025</t>
        </is>
      </c>
      <c r="B632" s="1" t="n">
        <v>45671</v>
      </c>
      <c r="C632" s="1" t="n">
        <v>46197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2353-2026</t>
        </is>
      </c>
      <c r="B633" s="1" t="n">
        <v>46036</v>
      </c>
      <c r="C633" s="1" t="n">
        <v>46197</v>
      </c>
      <c r="D633" t="inlineStr">
        <is>
          <t>GÄVLEBORGS LÄN</t>
        </is>
      </c>
      <c r="E633" t="inlineStr">
        <is>
          <t>OCKELBO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20157-2026</t>
        </is>
      </c>
      <c r="B634" s="1" t="n">
        <v>46138</v>
      </c>
      <c r="C634" s="1" t="n">
        <v>46197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28966-2025</t>
        </is>
      </c>
      <c r="B635" s="1" t="n">
        <v>45821</v>
      </c>
      <c r="C635" s="1" t="n">
        <v>46197</v>
      </c>
      <c r="D635" t="inlineStr">
        <is>
          <t>GÄVLEBORGS LÄN</t>
        </is>
      </c>
      <c r="E635" t="inlineStr">
        <is>
          <t>OCKELBO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17548-2025</t>
        </is>
      </c>
      <c r="B636" s="1" t="n">
        <v>45757</v>
      </c>
      <c r="C636" s="1" t="n">
        <v>46197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7478-2025</t>
        </is>
      </c>
      <c r="B637" s="1" t="n">
        <v>45705</v>
      </c>
      <c r="C637" s="1" t="n">
        <v>46197</v>
      </c>
      <c r="D637" t="inlineStr">
        <is>
          <t>GÄVLEBORGS LÄN</t>
        </is>
      </c>
      <c r="E637" t="inlineStr">
        <is>
          <t>OCKELBO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50742-2025</t>
        </is>
      </c>
      <c r="B638" s="1" t="n">
        <v>45946</v>
      </c>
      <c r="C638" s="1" t="n">
        <v>46197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3719-2026</t>
        </is>
      </c>
      <c r="B639" s="1" t="n">
        <v>46043</v>
      </c>
      <c r="C639" s="1" t="n">
        <v>46197</v>
      </c>
      <c r="D639" t="inlineStr">
        <is>
          <t>GÄVLEBORGS LÄN</t>
        </is>
      </c>
      <c r="E639" t="inlineStr">
        <is>
          <t>OCKELBO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3720-2026</t>
        </is>
      </c>
      <c r="B640" s="1" t="n">
        <v>46043</v>
      </c>
      <c r="C640" s="1" t="n">
        <v>46197</v>
      </c>
      <c r="D640" t="inlineStr">
        <is>
          <t>GÄVLEBORGS LÄN</t>
        </is>
      </c>
      <c r="E640" t="inlineStr">
        <is>
          <t>OCKELBO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29953-2024</t>
        </is>
      </c>
      <c r="B641" s="1" t="n">
        <v>45488</v>
      </c>
      <c r="C641" s="1" t="n">
        <v>46197</v>
      </c>
      <c r="D641" t="inlineStr">
        <is>
          <t>GÄVLEBORGS LÄN</t>
        </is>
      </c>
      <c r="E641" t="inlineStr">
        <is>
          <t>OCKELBO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7907-2026</t>
        </is>
      </c>
      <c r="B642" s="1" t="n">
        <v>46063</v>
      </c>
      <c r="C642" s="1" t="n">
        <v>46197</v>
      </c>
      <c r="D642" t="inlineStr">
        <is>
          <t>GÄVLEBORGS LÄN</t>
        </is>
      </c>
      <c r="E642" t="inlineStr">
        <is>
          <t>OCKELBO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12983-2022</t>
        </is>
      </c>
      <c r="B643" s="1" t="n">
        <v>44643</v>
      </c>
      <c r="C643" s="1" t="n">
        <v>46197</v>
      </c>
      <c r="D643" t="inlineStr">
        <is>
          <t>GÄVLEBORGS LÄN</t>
        </is>
      </c>
      <c r="E643" t="inlineStr">
        <is>
          <t>OCKELBO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3484-2026</t>
        </is>
      </c>
      <c r="B644" s="1" t="n">
        <v>46042</v>
      </c>
      <c r="C644" s="1" t="n">
        <v>46197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37391-2023</t>
        </is>
      </c>
      <c r="B645" s="1" t="n">
        <v>45156</v>
      </c>
      <c r="C645" s="1" t="n">
        <v>46197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5234-2026</t>
        </is>
      </c>
      <c r="B646" s="1" t="n">
        <v>46049</v>
      </c>
      <c r="C646" s="1" t="n">
        <v>46197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7949-2026</t>
        </is>
      </c>
      <c r="B647" s="1" t="n">
        <v>46063</v>
      </c>
      <c r="C647" s="1" t="n">
        <v>46197</v>
      </c>
      <c r="D647" t="inlineStr">
        <is>
          <t>GÄVLEBORGS LÄN</t>
        </is>
      </c>
      <c r="E647" t="inlineStr">
        <is>
          <t>OCKELBO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15542-2026</t>
        </is>
      </c>
      <c r="B648" s="1" t="n">
        <v>46106</v>
      </c>
      <c r="C648" s="1" t="n">
        <v>46197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20155-2026</t>
        </is>
      </c>
      <c r="B649" s="1" t="n">
        <v>46138</v>
      </c>
      <c r="C649" s="1" t="n">
        <v>46197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56634-2023</t>
        </is>
      </c>
      <c r="B650" s="1" t="n">
        <v>45243</v>
      </c>
      <c r="C650" s="1" t="n">
        <v>46197</v>
      </c>
      <c r="D650" t="inlineStr">
        <is>
          <t>GÄVLEBORGS LÄN</t>
        </is>
      </c>
      <c r="E650" t="inlineStr">
        <is>
          <t>OCKELBO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5974-2026</t>
        </is>
      </c>
      <c r="B651" s="1" t="n">
        <v>46052</v>
      </c>
      <c r="C651" s="1" t="n">
        <v>46197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4729-2026</t>
        </is>
      </c>
      <c r="B652" s="1" t="n">
        <v>46048</v>
      </c>
      <c r="C652" s="1" t="n">
        <v>46197</v>
      </c>
      <c r="D652" t="inlineStr">
        <is>
          <t>GÄVLEBORGS LÄN</t>
        </is>
      </c>
      <c r="E652" t="inlineStr">
        <is>
          <t>OCKELBO</t>
        </is>
      </c>
      <c r="G652" t="n">
        <v>36.1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14474-2026</t>
        </is>
      </c>
      <c r="B653" s="1" t="n">
        <v>46100</v>
      </c>
      <c r="C653" s="1" t="n">
        <v>46197</v>
      </c>
      <c r="D653" t="inlineStr">
        <is>
          <t>GÄVLEBORGS LÄN</t>
        </is>
      </c>
      <c r="E653" t="inlineStr">
        <is>
          <t>OCKELBO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59533-2023</t>
        </is>
      </c>
      <c r="B654" s="1" t="n">
        <v>45254</v>
      </c>
      <c r="C654" s="1" t="n">
        <v>46197</v>
      </c>
      <c r="D654" t="inlineStr">
        <is>
          <t>GÄVLEBORGS LÄN</t>
        </is>
      </c>
      <c r="E654" t="inlineStr">
        <is>
          <t>OCKELBO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34792-2024</t>
        </is>
      </c>
      <c r="B655" s="1" t="n">
        <v>45526</v>
      </c>
      <c r="C655" s="1" t="n">
        <v>46197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13857-2026</t>
        </is>
      </c>
      <c r="B656" s="1" t="n">
        <v>46098</v>
      </c>
      <c r="C656" s="1" t="n">
        <v>46197</v>
      </c>
      <c r="D656" t="inlineStr">
        <is>
          <t>GÄVLEBORGS LÄN</t>
        </is>
      </c>
      <c r="E656" t="inlineStr">
        <is>
          <t>OCKELBO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11116-2026</t>
        </is>
      </c>
      <c r="B657" s="1" t="n">
        <v>46079</v>
      </c>
      <c r="C657" s="1" t="n">
        <v>46197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6386-2026</t>
        </is>
      </c>
      <c r="B658" s="1" t="n">
        <v>46055</v>
      </c>
      <c r="C658" s="1" t="n">
        <v>46197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36521-2022</t>
        </is>
      </c>
      <c r="B659" s="1" t="n">
        <v>44804</v>
      </c>
      <c r="C659" s="1" t="n">
        <v>46197</v>
      </c>
      <c r="D659" t="inlineStr">
        <is>
          <t>GÄVLEBORGS LÄN</t>
        </is>
      </c>
      <c r="E659" t="inlineStr">
        <is>
          <t>OCKELBO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15739-2026</t>
        </is>
      </c>
      <c r="B660" s="1" t="n">
        <v>46107</v>
      </c>
      <c r="C660" s="1" t="n">
        <v>46197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27997-2025</t>
        </is>
      </c>
      <c r="B661" s="1" t="n">
        <v>45817</v>
      </c>
      <c r="C661" s="1" t="n">
        <v>46197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25564-2025</t>
        </is>
      </c>
      <c r="B662" s="1" t="n">
        <v>45803</v>
      </c>
      <c r="C662" s="1" t="n">
        <v>46197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24228-2022</t>
        </is>
      </c>
      <c r="B663" s="1" t="n">
        <v>44725</v>
      </c>
      <c r="C663" s="1" t="n">
        <v>46197</v>
      </c>
      <c r="D663" t="inlineStr">
        <is>
          <t>GÄVLEBORGS LÄN</t>
        </is>
      </c>
      <c r="E663" t="inlineStr">
        <is>
          <t>OCKELBO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5325-2026</t>
        </is>
      </c>
      <c r="B664" s="1" t="n">
        <v>46050</v>
      </c>
      <c r="C664" s="1" t="n">
        <v>46197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63977-2025</t>
        </is>
      </c>
      <c r="B665" s="1" t="n">
        <v>46021</v>
      </c>
      <c r="C665" s="1" t="n">
        <v>46197</v>
      </c>
      <c r="D665" t="inlineStr">
        <is>
          <t>GÄVLEBORGS LÄN</t>
        </is>
      </c>
      <c r="E665" t="inlineStr">
        <is>
          <t>OCKELBO</t>
        </is>
      </c>
      <c r="G665" t="n">
        <v>18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20469-2026</t>
        </is>
      </c>
      <c r="B666" s="1" t="n">
        <v>46140</v>
      </c>
      <c r="C666" s="1" t="n">
        <v>46197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32301-2022</t>
        </is>
      </c>
      <c r="B667" s="1" t="n">
        <v>44781</v>
      </c>
      <c r="C667" s="1" t="n">
        <v>46197</v>
      </c>
      <c r="D667" t="inlineStr">
        <is>
          <t>GÄVLEBORGS LÄN</t>
        </is>
      </c>
      <c r="E667" t="inlineStr">
        <is>
          <t>OCKELBO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6499-2026</t>
        </is>
      </c>
      <c r="B668" s="1" t="n">
        <v>46056</v>
      </c>
      <c r="C668" s="1" t="n">
        <v>46197</v>
      </c>
      <c r="D668" t="inlineStr">
        <is>
          <t>GÄVLEBORGS LÄN</t>
        </is>
      </c>
      <c r="E668" t="inlineStr">
        <is>
          <t>OCKELBO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6518-2026</t>
        </is>
      </c>
      <c r="B669" s="1" t="n">
        <v>46052</v>
      </c>
      <c r="C669" s="1" t="n">
        <v>46197</v>
      </c>
      <c r="D669" t="inlineStr">
        <is>
          <t>GÄVLEBORGS LÄN</t>
        </is>
      </c>
      <c r="E669" t="inlineStr">
        <is>
          <t>OCKELBO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36604-2025</t>
        </is>
      </c>
      <c r="B670" s="1" t="n">
        <v>45870</v>
      </c>
      <c r="C670" s="1" t="n">
        <v>46197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25404-2025</t>
        </is>
      </c>
      <c r="B671" s="1" t="n">
        <v>45800</v>
      </c>
      <c r="C671" s="1" t="n">
        <v>46197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5982-2026</t>
        </is>
      </c>
      <c r="B672" s="1" t="n">
        <v>46052</v>
      </c>
      <c r="C672" s="1" t="n">
        <v>46197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25168-2025</t>
        </is>
      </c>
      <c r="B673" s="1" t="n">
        <v>45800</v>
      </c>
      <c r="C673" s="1" t="n">
        <v>46197</v>
      </c>
      <c r="D673" t="inlineStr">
        <is>
          <t>GÄVLEBORGS LÄN</t>
        </is>
      </c>
      <c r="E673" t="inlineStr">
        <is>
          <t>OCKELBO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20604-2026</t>
        </is>
      </c>
      <c r="B674" s="1" t="n">
        <v>46140</v>
      </c>
      <c r="C674" s="1" t="n">
        <v>46197</v>
      </c>
      <c r="D674" t="inlineStr">
        <is>
          <t>GÄVLEBORGS LÄN</t>
        </is>
      </c>
      <c r="E674" t="inlineStr">
        <is>
          <t>OCKELBO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20406-2026</t>
        </is>
      </c>
      <c r="B675" s="1" t="n">
        <v>46140</v>
      </c>
      <c r="C675" s="1" t="n">
        <v>46197</v>
      </c>
      <c r="D675" t="inlineStr">
        <is>
          <t>GÄVLEBORGS LÄN</t>
        </is>
      </c>
      <c r="E675" t="inlineStr">
        <is>
          <t>OCKELBO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20571-2026</t>
        </is>
      </c>
      <c r="B676" s="1" t="n">
        <v>46140</v>
      </c>
      <c r="C676" s="1" t="n">
        <v>46197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47841-2023</t>
        </is>
      </c>
      <c r="B677" s="1" t="n">
        <v>45204</v>
      </c>
      <c r="C677" s="1" t="n">
        <v>46197</v>
      </c>
      <c r="D677" t="inlineStr">
        <is>
          <t>GÄVLEBORGS LÄN</t>
        </is>
      </c>
      <c r="E677" t="inlineStr">
        <is>
          <t>OCKELBO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20151-2026</t>
        </is>
      </c>
      <c r="B678" s="1" t="n">
        <v>46137</v>
      </c>
      <c r="C678" s="1" t="n">
        <v>46197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33985-2023</t>
        </is>
      </c>
      <c r="B679" s="1" t="n">
        <v>45134</v>
      </c>
      <c r="C679" s="1" t="n">
        <v>46197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46316-2025</t>
        </is>
      </c>
      <c r="B680" s="1" t="n">
        <v>45925</v>
      </c>
      <c r="C680" s="1" t="n">
        <v>46197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1722-2026</t>
        </is>
      </c>
      <c r="B681" s="1" t="n">
        <v>46034</v>
      </c>
      <c r="C681" s="1" t="n">
        <v>46197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8253-2026</t>
        </is>
      </c>
      <c r="B682" s="1" t="n">
        <v>46064</v>
      </c>
      <c r="C682" s="1" t="n">
        <v>46197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15694-2022</t>
        </is>
      </c>
      <c r="B683" s="1" t="n">
        <v>44663</v>
      </c>
      <c r="C683" s="1" t="n">
        <v>46197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8521-2026</t>
        </is>
      </c>
      <c r="B684" s="1" t="n">
        <v>46065</v>
      </c>
      <c r="C684" s="1" t="n">
        <v>46197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5950-2026</t>
        </is>
      </c>
      <c r="B685" s="1" t="n">
        <v>46052</v>
      </c>
      <c r="C685" s="1" t="n">
        <v>46197</v>
      </c>
      <c r="D685" t="inlineStr">
        <is>
          <t>GÄVLEBORGS LÄN</t>
        </is>
      </c>
      <c r="E685" t="inlineStr">
        <is>
          <t>OCKELBO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20660-2022</t>
        </is>
      </c>
      <c r="B686" s="1" t="n">
        <v>44700</v>
      </c>
      <c r="C686" s="1" t="n">
        <v>46197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61335-2022</t>
        </is>
      </c>
      <c r="B687" s="1" t="n">
        <v>44915</v>
      </c>
      <c r="C687" s="1" t="n">
        <v>46197</v>
      </c>
      <c r="D687" t="inlineStr">
        <is>
          <t>GÄVLEBORGS LÄN</t>
        </is>
      </c>
      <c r="E687" t="inlineStr">
        <is>
          <t>OCKELBO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463-2026</t>
        </is>
      </c>
      <c r="B688" s="1" t="n">
        <v>46029</v>
      </c>
      <c r="C688" s="1" t="n">
        <v>46197</v>
      </c>
      <c r="D688" t="inlineStr">
        <is>
          <t>GÄVLEBORGS LÄN</t>
        </is>
      </c>
      <c r="E688" t="inlineStr">
        <is>
          <t>OCKELBO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3650-2026</t>
        </is>
      </c>
      <c r="B689" s="1" t="n">
        <v>46043</v>
      </c>
      <c r="C689" s="1" t="n">
        <v>46197</v>
      </c>
      <c r="D689" t="inlineStr">
        <is>
          <t>GÄVLEBORGS LÄN</t>
        </is>
      </c>
      <c r="E689" t="inlineStr">
        <is>
          <t>OCKELBO</t>
        </is>
      </c>
      <c r="G689" t="n">
        <v>10.3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14934-2026</t>
        </is>
      </c>
      <c r="B690" s="1" t="n">
        <v>46104</v>
      </c>
      <c r="C690" s="1" t="n">
        <v>46197</v>
      </c>
      <c r="D690" t="inlineStr">
        <is>
          <t>GÄVLEBORGS LÄN</t>
        </is>
      </c>
      <c r="E690" t="inlineStr">
        <is>
          <t>OCKELBO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61750-2023</t>
        </is>
      </c>
      <c r="B691" s="1" t="n">
        <v>45265</v>
      </c>
      <c r="C691" s="1" t="n">
        <v>46197</v>
      </c>
      <c r="D691" t="inlineStr">
        <is>
          <t>GÄVLEBORGS LÄN</t>
        </is>
      </c>
      <c r="E691" t="inlineStr">
        <is>
          <t>OCKELBO</t>
        </is>
      </c>
      <c r="G691" t="n">
        <v>11.2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15247-2025</t>
        </is>
      </c>
      <c r="B692" s="1" t="n">
        <v>45744</v>
      </c>
      <c r="C692" s="1" t="n">
        <v>46197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20674-2026</t>
        </is>
      </c>
      <c r="B693" s="1" t="n">
        <v>46141</v>
      </c>
      <c r="C693" s="1" t="n">
        <v>46197</v>
      </c>
      <c r="D693" t="inlineStr">
        <is>
          <t>GÄVLEBORGS LÄN</t>
        </is>
      </c>
      <c r="E693" t="inlineStr">
        <is>
          <t>OCKELBO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1693-2026</t>
        </is>
      </c>
      <c r="B694" s="1" t="n">
        <v>46034</v>
      </c>
      <c r="C694" s="1" t="n">
        <v>46197</v>
      </c>
      <c r="D694" t="inlineStr">
        <is>
          <t>GÄVLEBORGS LÄN</t>
        </is>
      </c>
      <c r="E694" t="inlineStr">
        <is>
          <t>OCKELBO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1865-2026</t>
        </is>
      </c>
      <c r="B695" s="1" t="n">
        <v>46035</v>
      </c>
      <c r="C695" s="1" t="n">
        <v>46197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12708-2026</t>
        </is>
      </c>
      <c r="B696" s="1" t="n">
        <v>46091</v>
      </c>
      <c r="C696" s="1" t="n">
        <v>46197</v>
      </c>
      <c r="D696" t="inlineStr">
        <is>
          <t>GÄVLEBORGS LÄN</t>
        </is>
      </c>
      <c r="E696" t="inlineStr">
        <is>
          <t>OCKELBO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26481-2026</t>
        </is>
      </c>
      <c r="B697" s="1" t="n">
        <v>46183</v>
      </c>
      <c r="C697" s="1" t="n">
        <v>46197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35054-2022</t>
        </is>
      </c>
      <c r="B698" s="1" t="n">
        <v>44797</v>
      </c>
      <c r="C698" s="1" t="n">
        <v>46197</v>
      </c>
      <c r="D698" t="inlineStr">
        <is>
          <t>GÄVLEBORGS LÄN</t>
        </is>
      </c>
      <c r="E698" t="inlineStr">
        <is>
          <t>OCKELBO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8683-2026</t>
        </is>
      </c>
      <c r="B699" s="1" t="n">
        <v>46066</v>
      </c>
      <c r="C699" s="1" t="n">
        <v>46197</v>
      </c>
      <c r="D699" t="inlineStr">
        <is>
          <t>GÄVLEBORGS LÄN</t>
        </is>
      </c>
      <c r="E699" t="inlineStr">
        <is>
          <t>OCKELBO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15484-2026</t>
        </is>
      </c>
      <c r="B700" s="1" t="n">
        <v>46106</v>
      </c>
      <c r="C700" s="1" t="n">
        <v>46197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10489-2026</t>
        </is>
      </c>
      <c r="B701" s="1" t="n">
        <v>46077</v>
      </c>
      <c r="C701" s="1" t="n">
        <v>46197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30418-2023</t>
        </is>
      </c>
      <c r="B702" s="1" t="n">
        <v>45111</v>
      </c>
      <c r="C702" s="1" t="n">
        <v>46197</v>
      </c>
      <c r="D702" t="inlineStr">
        <is>
          <t>GÄVLEBORGS LÄN</t>
        </is>
      </c>
      <c r="E702" t="inlineStr">
        <is>
          <t>OCKELBO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17862-2026</t>
        </is>
      </c>
      <c r="B703" s="1" t="n">
        <v>46122</v>
      </c>
      <c r="C703" s="1" t="n">
        <v>46197</v>
      </c>
      <c r="D703" t="inlineStr">
        <is>
          <t>GÄVLEBORGS LÄN</t>
        </is>
      </c>
      <c r="E703" t="inlineStr">
        <is>
          <t>OCKELBO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7955-2026</t>
        </is>
      </c>
      <c r="B704" s="1" t="n">
        <v>46063</v>
      </c>
      <c r="C704" s="1" t="n">
        <v>46197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23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710-2026</t>
        </is>
      </c>
      <c r="B705" s="1" t="n">
        <v>46029</v>
      </c>
      <c r="C705" s="1" t="n">
        <v>46197</v>
      </c>
      <c r="D705" t="inlineStr">
        <is>
          <t>GÄVLEBORGS LÄN</t>
        </is>
      </c>
      <c r="E705" t="inlineStr">
        <is>
          <t>OCKELBO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60117-2025</t>
        </is>
      </c>
      <c r="B706" s="1" t="n">
        <v>45994</v>
      </c>
      <c r="C706" s="1" t="n">
        <v>46197</v>
      </c>
      <c r="D706" t="inlineStr">
        <is>
          <t>GÄVLEBORGS LÄN</t>
        </is>
      </c>
      <c r="E706" t="inlineStr">
        <is>
          <t>OCKELBO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8348-2026</t>
        </is>
      </c>
      <c r="B707" s="1" t="n">
        <v>46064</v>
      </c>
      <c r="C707" s="1" t="n">
        <v>46197</v>
      </c>
      <c r="D707" t="inlineStr">
        <is>
          <t>GÄVLEBORGS LÄN</t>
        </is>
      </c>
      <c r="E707" t="inlineStr">
        <is>
          <t>OCKELBO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20059-2025</t>
        </is>
      </c>
      <c r="B708" s="1" t="n">
        <v>45772</v>
      </c>
      <c r="C708" s="1" t="n">
        <v>46197</v>
      </c>
      <c r="D708" t="inlineStr">
        <is>
          <t>GÄVLEBORGS LÄN</t>
        </is>
      </c>
      <c r="E708" t="inlineStr">
        <is>
          <t>OCKELBO</t>
        </is>
      </c>
      <c r="G708" t="n">
        <v>14.8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55112-2023</t>
        </is>
      </c>
      <c r="B709" s="1" t="n">
        <v>45237</v>
      </c>
      <c r="C709" s="1" t="n">
        <v>46197</v>
      </c>
      <c r="D709" t="inlineStr">
        <is>
          <t>GÄVLEBORGS LÄN</t>
        </is>
      </c>
      <c r="E709" t="inlineStr">
        <is>
          <t>OCKELBO</t>
        </is>
      </c>
      <c r="G709" t="n">
        <v>14.6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2584-2026</t>
        </is>
      </c>
      <c r="B710" s="1" t="n">
        <v>46037</v>
      </c>
      <c r="C710" s="1" t="n">
        <v>46197</v>
      </c>
      <c r="D710" t="inlineStr">
        <is>
          <t>GÄVLEBORGS LÄN</t>
        </is>
      </c>
      <c r="E710" t="inlineStr">
        <is>
          <t>OCKELBO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20641-2026</t>
        </is>
      </c>
      <c r="B711" s="1" t="n">
        <v>46141</v>
      </c>
      <c r="C711" s="1" t="n">
        <v>46197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59978-2023</t>
        </is>
      </c>
      <c r="B712" s="1" t="n">
        <v>45254</v>
      </c>
      <c r="C712" s="1" t="n">
        <v>46197</v>
      </c>
      <c r="D712" t="inlineStr">
        <is>
          <t>GÄVLEBORGS LÄN</t>
        </is>
      </c>
      <c r="E712" t="inlineStr">
        <is>
          <t>OCKELBO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18191-2026</t>
        </is>
      </c>
      <c r="B713" s="1" t="n">
        <v>46125</v>
      </c>
      <c r="C713" s="1" t="n">
        <v>46197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6561-2026</t>
        </is>
      </c>
      <c r="B714" s="1" t="n">
        <v>46056</v>
      </c>
      <c r="C714" s="1" t="n">
        <v>46197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292-2026</t>
        </is>
      </c>
      <c r="B715" s="1" t="n">
        <v>46027</v>
      </c>
      <c r="C715" s="1" t="n">
        <v>46197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53488-2023</t>
        </is>
      </c>
      <c r="B716" s="1" t="n">
        <v>45230</v>
      </c>
      <c r="C716" s="1" t="n">
        <v>46197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9401-2026</t>
        </is>
      </c>
      <c r="B717" s="1" t="n">
        <v>46071</v>
      </c>
      <c r="C717" s="1" t="n">
        <v>46197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10083-2026</t>
        </is>
      </c>
      <c r="B718" s="1" t="n">
        <v>46073</v>
      </c>
      <c r="C718" s="1" t="n">
        <v>46197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20984-2026</t>
        </is>
      </c>
      <c r="B719" s="1" t="n">
        <v>46142</v>
      </c>
      <c r="C719" s="1" t="n">
        <v>46197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21001-2026</t>
        </is>
      </c>
      <c r="B720" s="1" t="n">
        <v>46142</v>
      </c>
      <c r="C720" s="1" t="n">
        <v>46197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56034-2023</t>
        </is>
      </c>
      <c r="B721" s="1" t="n">
        <v>45240</v>
      </c>
      <c r="C721" s="1" t="n">
        <v>46197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4257-2026</t>
        </is>
      </c>
      <c r="B722" s="1" t="n">
        <v>46045</v>
      </c>
      <c r="C722" s="1" t="n">
        <v>46197</v>
      </c>
      <c r="D722" t="inlineStr">
        <is>
          <t>GÄVLEBORGS LÄN</t>
        </is>
      </c>
      <c r="E722" t="inlineStr">
        <is>
          <t>OCKELBO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26861-2026</t>
        </is>
      </c>
      <c r="B723" s="1" t="n">
        <v>46185</v>
      </c>
      <c r="C723" s="1" t="n">
        <v>46197</v>
      </c>
      <c r="D723" t="inlineStr">
        <is>
          <t>GÄVLEBORGS LÄN</t>
        </is>
      </c>
      <c r="E723" t="inlineStr">
        <is>
          <t>OCKELBO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25133-2026</t>
        </is>
      </c>
      <c r="B724" s="1" t="n">
        <v>46175</v>
      </c>
      <c r="C724" s="1" t="n">
        <v>46197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21173-2026</t>
        </is>
      </c>
      <c r="B725" s="1" t="n">
        <v>46146</v>
      </c>
      <c r="C725" s="1" t="n">
        <v>46197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27231-2026</t>
        </is>
      </c>
      <c r="B726" s="1" t="n">
        <v>46188</v>
      </c>
      <c r="C726" s="1" t="n">
        <v>46197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14905-2026</t>
        </is>
      </c>
      <c r="B727" s="1" t="n">
        <v>46104</v>
      </c>
      <c r="C727" s="1" t="n">
        <v>46197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17951-2026</t>
        </is>
      </c>
      <c r="B728" s="1" t="n">
        <v>46122</v>
      </c>
      <c r="C728" s="1" t="n">
        <v>46197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26808-2026</t>
        </is>
      </c>
      <c r="B729" s="1" t="n">
        <v>46185</v>
      </c>
      <c r="C729" s="1" t="n">
        <v>46197</v>
      </c>
      <c r="D729" t="inlineStr">
        <is>
          <t>GÄVLEBORGS LÄN</t>
        </is>
      </c>
      <c r="E729" t="inlineStr">
        <is>
          <t>OCKELBO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27272-2026</t>
        </is>
      </c>
      <c r="B730" s="1" t="n">
        <v>46188</v>
      </c>
      <c r="C730" s="1" t="n">
        <v>46197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26843-2026</t>
        </is>
      </c>
      <c r="B731" s="1" t="n">
        <v>46185</v>
      </c>
      <c r="C731" s="1" t="n">
        <v>46197</v>
      </c>
      <c r="D731" t="inlineStr">
        <is>
          <t>GÄVLEBORGS LÄN</t>
        </is>
      </c>
      <c r="E731" t="inlineStr">
        <is>
          <t>OCKELBO</t>
        </is>
      </c>
      <c r="G731" t="n">
        <v>14.6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921-2024</t>
        </is>
      </c>
      <c r="B732" s="1" t="n">
        <v>45301</v>
      </c>
      <c r="C732" s="1" t="n">
        <v>46197</v>
      </c>
      <c r="D732" t="inlineStr">
        <is>
          <t>GÄVLEBORGS LÄN</t>
        </is>
      </c>
      <c r="E732" t="inlineStr">
        <is>
          <t>OCKELBO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26924-2026</t>
        </is>
      </c>
      <c r="B733" s="1" t="n">
        <v>46185</v>
      </c>
      <c r="C733" s="1" t="n">
        <v>46197</v>
      </c>
      <c r="D733" t="inlineStr">
        <is>
          <t>GÄVLEBORGS LÄN</t>
        </is>
      </c>
      <c r="E733" t="inlineStr">
        <is>
          <t>OCKELBO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26845-2026</t>
        </is>
      </c>
      <c r="B734" s="1" t="n">
        <v>46185</v>
      </c>
      <c r="C734" s="1" t="n">
        <v>46197</v>
      </c>
      <c r="D734" t="inlineStr">
        <is>
          <t>GÄVLEBORGS LÄN</t>
        </is>
      </c>
      <c r="E734" t="inlineStr">
        <is>
          <t>OCKELBO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18549-2026</t>
        </is>
      </c>
      <c r="B735" s="1" t="n">
        <v>46127</v>
      </c>
      <c r="C735" s="1" t="n">
        <v>46197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18097-2026</t>
        </is>
      </c>
      <c r="B736" s="1" t="n">
        <v>46125</v>
      </c>
      <c r="C736" s="1" t="n">
        <v>46197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21468-2026</t>
        </is>
      </c>
      <c r="B737" s="1" t="n">
        <v>46148</v>
      </c>
      <c r="C737" s="1" t="n">
        <v>46197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27382-2026</t>
        </is>
      </c>
      <c r="B738" s="1" t="n">
        <v>46189</v>
      </c>
      <c r="C738" s="1" t="n">
        <v>46197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27416-2026</t>
        </is>
      </c>
      <c r="B739" s="1" t="n">
        <v>46189</v>
      </c>
      <c r="C739" s="1" t="n">
        <v>46197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27620-2026</t>
        </is>
      </c>
      <c r="B740" s="1" t="n">
        <v>46190</v>
      </c>
      <c r="C740" s="1" t="n">
        <v>46197</v>
      </c>
      <c r="D740" t="inlineStr">
        <is>
          <t>GÄVLEBORGS LÄN</t>
        </is>
      </c>
      <c r="E740" t="inlineStr">
        <is>
          <t>OCKELBO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27623-2026</t>
        </is>
      </c>
      <c r="B741" s="1" t="n">
        <v>46190</v>
      </c>
      <c r="C741" s="1" t="n">
        <v>46197</v>
      </c>
      <c r="D741" t="inlineStr">
        <is>
          <t>GÄVLEBORGS LÄN</t>
        </is>
      </c>
      <c r="E741" t="inlineStr">
        <is>
          <t>OCKELBO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21577-2026</t>
        </is>
      </c>
      <c r="B742" s="1" t="n">
        <v>46148</v>
      </c>
      <c r="C742" s="1" t="n">
        <v>46197</v>
      </c>
      <c r="D742" t="inlineStr">
        <is>
          <t>GÄVLEBORGS LÄN</t>
        </is>
      </c>
      <c r="E742" t="inlineStr">
        <is>
          <t>OCKELBO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15908-2026</t>
        </is>
      </c>
      <c r="B743" s="1" t="n">
        <v>46107</v>
      </c>
      <c r="C743" s="1" t="n">
        <v>46197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öst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21500-2026</t>
        </is>
      </c>
      <c r="B744" s="1" t="n">
        <v>46148</v>
      </c>
      <c r="C744" s="1" t="n">
        <v>46197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19537-2026</t>
        </is>
      </c>
      <c r="B745" s="1" t="n">
        <v>46134</v>
      </c>
      <c r="C745" s="1" t="n">
        <v>46197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27562-2026</t>
        </is>
      </c>
      <c r="B746" s="1" t="n">
        <v>46190</v>
      </c>
      <c r="C746" s="1" t="n">
        <v>46197</v>
      </c>
      <c r="D746" t="inlineStr">
        <is>
          <t>GÄVLEBORGS LÄN</t>
        </is>
      </c>
      <c r="E746" t="inlineStr">
        <is>
          <t>OCKELBO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21280-2026</t>
        </is>
      </c>
      <c r="B747" s="1" t="n">
        <v>46147</v>
      </c>
      <c r="C747" s="1" t="n">
        <v>46197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öst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17233-2026</t>
        </is>
      </c>
      <c r="B748" s="1" t="n">
        <v>46119</v>
      </c>
      <c r="C748" s="1" t="n">
        <v>46197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21277-2026</t>
        </is>
      </c>
      <c r="B749" s="1" t="n">
        <v>46147</v>
      </c>
      <c r="C749" s="1" t="n">
        <v>46197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öst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39710-2023</t>
        </is>
      </c>
      <c r="B750" s="1" t="n">
        <v>45167</v>
      </c>
      <c r="C750" s="1" t="n">
        <v>46197</v>
      </c>
      <c r="D750" t="inlineStr">
        <is>
          <t>GÄVLEBORGS LÄN</t>
        </is>
      </c>
      <c r="E750" t="inlineStr">
        <is>
          <t>OCKELBO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55906-2024</t>
        </is>
      </c>
      <c r="B751" s="1" t="n">
        <v>45623</v>
      </c>
      <c r="C751" s="1" t="n">
        <v>46197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27630-2026</t>
        </is>
      </c>
      <c r="B752" s="1" t="n">
        <v>46190</v>
      </c>
      <c r="C752" s="1" t="n">
        <v>46197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21461-2026</t>
        </is>
      </c>
      <c r="B753" s="1" t="n">
        <v>46148</v>
      </c>
      <c r="C753" s="1" t="n">
        <v>46197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34449-2023</t>
        </is>
      </c>
      <c r="B754" s="1" t="n">
        <v>45139</v>
      </c>
      <c r="C754" s="1" t="n">
        <v>46197</v>
      </c>
      <c r="D754" t="inlineStr">
        <is>
          <t>GÄVLEBORGS LÄN</t>
        </is>
      </c>
      <c r="E754" t="inlineStr">
        <is>
          <t>OCKELBO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21459-2026</t>
        </is>
      </c>
      <c r="B755" s="1" t="n">
        <v>46148</v>
      </c>
      <c r="C755" s="1" t="n">
        <v>46197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27889-2026</t>
        </is>
      </c>
      <c r="B756" s="1" t="n">
        <v>46191</v>
      </c>
      <c r="C756" s="1" t="n">
        <v>46197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14410-2026</t>
        </is>
      </c>
      <c r="B757" s="1" t="n">
        <v>46100</v>
      </c>
      <c r="C757" s="1" t="n">
        <v>46197</v>
      </c>
      <c r="D757" t="inlineStr">
        <is>
          <t>GÄVLEBORGS LÄN</t>
        </is>
      </c>
      <c r="E757" t="inlineStr">
        <is>
          <t>OCKELBO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21640-2026</t>
        </is>
      </c>
      <c r="B758" s="1" t="n">
        <v>46149</v>
      </c>
      <c r="C758" s="1" t="n">
        <v>46197</v>
      </c>
      <c r="D758" t="inlineStr">
        <is>
          <t>GÄVLEBORGS LÄN</t>
        </is>
      </c>
      <c r="E758" t="inlineStr">
        <is>
          <t>OCKELBO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24059-2026</t>
        </is>
      </c>
      <c r="B759" s="1" t="n">
        <v>46168</v>
      </c>
      <c r="C759" s="1" t="n">
        <v>46197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22057-2026</t>
        </is>
      </c>
      <c r="B760" s="1" t="n">
        <v>46153</v>
      </c>
      <c r="C760" s="1" t="n">
        <v>46197</v>
      </c>
      <c r="D760" t="inlineStr">
        <is>
          <t>GÄVLEBORGS LÄN</t>
        </is>
      </c>
      <c r="E760" t="inlineStr">
        <is>
          <t>OCKELBO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28289-2026</t>
        </is>
      </c>
      <c r="B761" s="1" t="n">
        <v>46196</v>
      </c>
      <c r="C761" s="1" t="n">
        <v>46197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27383-2026</t>
        </is>
      </c>
      <c r="B762" s="1" t="n">
        <v>46189</v>
      </c>
      <c r="C762" s="1" t="n">
        <v>46197</v>
      </c>
      <c r="D762" t="inlineStr">
        <is>
          <t>GÄVLEBORGS LÄN</t>
        </is>
      </c>
      <c r="E762" t="inlineStr">
        <is>
          <t>OCKELBO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24063-2026</t>
        </is>
      </c>
      <c r="B763" s="1" t="n">
        <v>46168</v>
      </c>
      <c r="C763" s="1" t="n">
        <v>46197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18645-2026</t>
        </is>
      </c>
      <c r="B764" s="1" t="n">
        <v>46128</v>
      </c>
      <c r="C764" s="1" t="n">
        <v>46197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13182-2026</t>
        </is>
      </c>
      <c r="B765" s="1" t="n">
        <v>46093</v>
      </c>
      <c r="C765" s="1" t="n">
        <v>46197</v>
      </c>
      <c r="D765" t="inlineStr">
        <is>
          <t>GÄVLEBORGS LÄN</t>
        </is>
      </c>
      <c r="E765" t="inlineStr">
        <is>
          <t>OCKELBO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13233-2026</t>
        </is>
      </c>
      <c r="B766" s="1" t="n">
        <v>46093</v>
      </c>
      <c r="C766" s="1" t="n">
        <v>46197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17221-2026</t>
        </is>
      </c>
      <c r="B767" s="1" t="n">
        <v>46119</v>
      </c>
      <c r="C767" s="1" t="n">
        <v>46197</v>
      </c>
      <c r="D767" t="inlineStr">
        <is>
          <t>GÄVLEBORGS LÄN</t>
        </is>
      </c>
      <c r="E767" t="inlineStr">
        <is>
          <t>OCKELBO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39062-2024</t>
        </is>
      </c>
      <c r="B768" s="1" t="n">
        <v>45548</v>
      </c>
      <c r="C768" s="1" t="n">
        <v>46197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28317-2026</t>
        </is>
      </c>
      <c r="B769" s="1" t="n">
        <v>46196</v>
      </c>
      <c r="C769" s="1" t="n">
        <v>46197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24624-2026</t>
        </is>
      </c>
      <c r="B770" s="1" t="n">
        <v>46171</v>
      </c>
      <c r="C770" s="1" t="n">
        <v>46197</v>
      </c>
      <c r="D770" t="inlineStr">
        <is>
          <t>GÄVLEBORGS LÄN</t>
        </is>
      </c>
      <c r="E770" t="inlineStr">
        <is>
          <t>OCKELBO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13210-2026</t>
        </is>
      </c>
      <c r="B771" s="1" t="n">
        <v>46093</v>
      </c>
      <c r="C771" s="1" t="n">
        <v>46197</v>
      </c>
      <c r="D771" t="inlineStr">
        <is>
          <t>GÄVLEBORGS LÄN</t>
        </is>
      </c>
      <c r="E771" t="inlineStr">
        <is>
          <t>OCKELBO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12352-2026</t>
        </is>
      </c>
      <c r="B772" s="1" t="n">
        <v>46088</v>
      </c>
      <c r="C772" s="1" t="n">
        <v>46197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22274-2026</t>
        </is>
      </c>
      <c r="B773" s="1" t="n">
        <v>46154</v>
      </c>
      <c r="C773" s="1" t="n">
        <v>46197</v>
      </c>
      <c r="D773" t="inlineStr">
        <is>
          <t>GÄVLEBORGS LÄN</t>
        </is>
      </c>
      <c r="E773" t="inlineStr">
        <is>
          <t>OCKELBO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9413-2026</t>
        </is>
      </c>
      <c r="B774" s="1" t="n">
        <v>46071</v>
      </c>
      <c r="C774" s="1" t="n">
        <v>46197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9542-2026</t>
        </is>
      </c>
      <c r="B775" s="1" t="n">
        <v>46071</v>
      </c>
      <c r="C775" s="1" t="n">
        <v>46197</v>
      </c>
      <c r="D775" t="inlineStr">
        <is>
          <t>GÄVLEBORGS LÄN</t>
        </is>
      </c>
      <c r="E775" t="inlineStr">
        <is>
          <t>OCKELBO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43071-2025</t>
        </is>
      </c>
      <c r="B776" s="1" t="n">
        <v>45909</v>
      </c>
      <c r="C776" s="1" t="n">
        <v>46197</v>
      </c>
      <c r="D776" t="inlineStr">
        <is>
          <t>GÄVLEBORGS LÄN</t>
        </is>
      </c>
      <c r="E776" t="inlineStr">
        <is>
          <t>OCKELBO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58718-2025</t>
        </is>
      </c>
      <c r="B777" s="1" t="n">
        <v>45986</v>
      </c>
      <c r="C777" s="1" t="n">
        <v>46197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27379-2026</t>
        </is>
      </c>
      <c r="B778" s="1" t="n">
        <v>46189</v>
      </c>
      <c r="C778" s="1" t="n">
        <v>46197</v>
      </c>
      <c r="D778" t="inlineStr">
        <is>
          <t>GÄVLEBORGS LÄN</t>
        </is>
      </c>
      <c r="E778" t="inlineStr">
        <is>
          <t>OCKELBO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27381-2026</t>
        </is>
      </c>
      <c r="B779" s="1" t="n">
        <v>46189</v>
      </c>
      <c r="C779" s="1" t="n">
        <v>46197</v>
      </c>
      <c r="D779" t="inlineStr">
        <is>
          <t>GÄVLEBORGS LÄN</t>
        </is>
      </c>
      <c r="E779" t="inlineStr">
        <is>
          <t>OCKELBO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22426-2026</t>
        </is>
      </c>
      <c r="B780" s="1" t="n">
        <v>46153</v>
      </c>
      <c r="C780" s="1" t="n">
        <v>46197</v>
      </c>
      <c r="D780" t="inlineStr">
        <is>
          <t>GÄVLEBORGS LÄN</t>
        </is>
      </c>
      <c r="E780" t="inlineStr">
        <is>
          <t>OCKELBO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3697-2026</t>
        </is>
      </c>
      <c r="B781" s="1" t="n">
        <v>46043</v>
      </c>
      <c r="C781" s="1" t="n">
        <v>46197</v>
      </c>
      <c r="D781" t="inlineStr">
        <is>
          <t>GÄVLEBORGS LÄN</t>
        </is>
      </c>
      <c r="E781" t="inlineStr">
        <is>
          <t>OCKELBO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15034-2026</t>
        </is>
      </c>
      <c r="B782" s="1" t="n">
        <v>46104</v>
      </c>
      <c r="C782" s="1" t="n">
        <v>46197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22329-2026</t>
        </is>
      </c>
      <c r="B783" s="1" t="n">
        <v>46154</v>
      </c>
      <c r="C783" s="1" t="n">
        <v>46197</v>
      </c>
      <c r="D783" t="inlineStr">
        <is>
          <t>GÄVLEBORGS LÄN</t>
        </is>
      </c>
      <c r="E783" t="inlineStr">
        <is>
          <t>OCKELBO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8408-2026</t>
        </is>
      </c>
      <c r="B784" s="1" t="n">
        <v>46065</v>
      </c>
      <c r="C784" s="1" t="n">
        <v>46197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8865-2026</t>
        </is>
      </c>
      <c r="B785" s="1" t="n">
        <v>46066</v>
      </c>
      <c r="C785" s="1" t="n">
        <v>46197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23513-2026</t>
        </is>
      </c>
      <c r="B786" s="1" t="n">
        <v>46163</v>
      </c>
      <c r="C786" s="1" t="n">
        <v>46197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27995-2026</t>
        </is>
      </c>
      <c r="B787" s="1" t="n">
        <v>46195</v>
      </c>
      <c r="C787" s="1" t="n">
        <v>46197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28318-2026</t>
        </is>
      </c>
      <c r="B788" s="1" t="n">
        <v>46196</v>
      </c>
      <c r="C788" s="1" t="n">
        <v>46197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14071-2026</t>
        </is>
      </c>
      <c r="B789" s="1" t="n">
        <v>46099</v>
      </c>
      <c r="C789" s="1" t="n">
        <v>46197</v>
      </c>
      <c r="D789" t="inlineStr">
        <is>
          <t>GÄVLEBORGS LÄN</t>
        </is>
      </c>
      <c r="E789" t="inlineStr">
        <is>
          <t>OCKELBO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33617-2023</t>
        </is>
      </c>
      <c r="B790" s="1" t="n">
        <v>45132</v>
      </c>
      <c r="C790" s="1" t="n">
        <v>46197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34444-2023</t>
        </is>
      </c>
      <c r="B791" s="1" t="n">
        <v>45139</v>
      </c>
      <c r="C791" s="1" t="n">
        <v>46197</v>
      </c>
      <c r="D791" t="inlineStr">
        <is>
          <t>GÄVLEBORGS LÄN</t>
        </is>
      </c>
      <c r="E791" t="inlineStr">
        <is>
          <t>OCKELBO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3626-2023</t>
        </is>
      </c>
      <c r="B792" s="1" t="n">
        <v>44950</v>
      </c>
      <c r="C792" s="1" t="n">
        <v>46197</v>
      </c>
      <c r="D792" t="inlineStr">
        <is>
          <t>GÄVLEBORGS LÄN</t>
        </is>
      </c>
      <c r="E792" t="inlineStr">
        <is>
          <t>OCKELBO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50197-2024</t>
        </is>
      </c>
      <c r="B793" s="1" t="n">
        <v>45600</v>
      </c>
      <c r="C793" s="1" t="n">
        <v>46197</v>
      </c>
      <c r="D793" t="inlineStr">
        <is>
          <t>GÄVLEBORGS LÄN</t>
        </is>
      </c>
      <c r="E793" t="inlineStr">
        <is>
          <t>OCKELBO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52330-2024</t>
        </is>
      </c>
      <c r="B794" s="1" t="n">
        <v>45609</v>
      </c>
      <c r="C794" s="1" t="n">
        <v>46197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60148-2023</t>
        </is>
      </c>
      <c r="B795" s="1" t="n">
        <v>45258</v>
      </c>
      <c r="C795" s="1" t="n">
        <v>46197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38292-2021</t>
        </is>
      </c>
      <c r="B796" s="1" t="n">
        <v>44406</v>
      </c>
      <c r="C796" s="1" t="n">
        <v>46197</v>
      </c>
      <c r="D796" t="inlineStr">
        <is>
          <t>GÄVLEBORGS LÄN</t>
        </is>
      </c>
      <c r="E796" t="inlineStr">
        <is>
          <t>OCKELBO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33278-2021</t>
        </is>
      </c>
      <c r="B797" s="1" t="n">
        <v>44377</v>
      </c>
      <c r="C797" s="1" t="n">
        <v>46197</v>
      </c>
      <c r="D797" t="inlineStr">
        <is>
          <t>GÄVLEBORGS LÄN</t>
        </is>
      </c>
      <c r="E797" t="inlineStr">
        <is>
          <t>OCKELBO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61116-2023</t>
        </is>
      </c>
      <c r="B798" s="1" t="n">
        <v>45261</v>
      </c>
      <c r="C798" s="1" t="n">
        <v>46197</v>
      </c>
      <c r="D798" t="inlineStr">
        <is>
          <t>GÄVLEBORGS LÄN</t>
        </is>
      </c>
      <c r="E798" t="inlineStr">
        <is>
          <t>OCKELBO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44281-2022</t>
        </is>
      </c>
      <c r="B799" s="1" t="n">
        <v>44839</v>
      </c>
      <c r="C799" s="1" t="n">
        <v>46197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15325-2025</t>
        </is>
      </c>
      <c r="B800" s="1" t="n">
        <v>45747</v>
      </c>
      <c r="C800" s="1" t="n">
        <v>46197</v>
      </c>
      <c r="D800" t="inlineStr">
        <is>
          <t>GÄVLEBORGS LÄN</t>
        </is>
      </c>
      <c r="E800" t="inlineStr">
        <is>
          <t>OCKELBO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29687-2023</t>
        </is>
      </c>
      <c r="B801" s="1" t="n">
        <v>45107</v>
      </c>
      <c r="C801" s="1" t="n">
        <v>46197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37442-2023</t>
        </is>
      </c>
      <c r="B802" s="1" t="n">
        <v>45156</v>
      </c>
      <c r="C802" s="1" t="n">
        <v>46197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3620-2023</t>
        </is>
      </c>
      <c r="B803" s="1" t="n">
        <v>44950</v>
      </c>
      <c r="C803" s="1" t="n">
        <v>46197</v>
      </c>
      <c r="D803" t="inlineStr">
        <is>
          <t>GÄVLEBORGS LÄN</t>
        </is>
      </c>
      <c r="E803" t="inlineStr">
        <is>
          <t>OCKELBO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53702-2024</t>
        </is>
      </c>
      <c r="B804" s="1" t="n">
        <v>45615</v>
      </c>
      <c r="C804" s="1" t="n">
        <v>46197</v>
      </c>
      <c r="D804" t="inlineStr">
        <is>
          <t>GÄVLEBORGS LÄN</t>
        </is>
      </c>
      <c r="E804" t="inlineStr">
        <is>
          <t>OCKELBO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33879-2023</t>
        </is>
      </c>
      <c r="B805" s="1" t="n">
        <v>45134</v>
      </c>
      <c r="C805" s="1" t="n">
        <v>46197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33987-2023</t>
        </is>
      </c>
      <c r="B806" s="1" t="n">
        <v>45134</v>
      </c>
      <c r="C806" s="1" t="n">
        <v>46197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29963-2024</t>
        </is>
      </c>
      <c r="B807" s="1" t="n">
        <v>45488</v>
      </c>
      <c r="C807" s="1" t="n">
        <v>46197</v>
      </c>
      <c r="D807" t="inlineStr">
        <is>
          <t>GÄVLEBORGS LÄN</t>
        </is>
      </c>
      <c r="E807" t="inlineStr">
        <is>
          <t>OCKELBO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52241-2024</t>
        </is>
      </c>
      <c r="B808" s="1" t="n">
        <v>45608</v>
      </c>
      <c r="C808" s="1" t="n">
        <v>46197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52243-2024</t>
        </is>
      </c>
      <c r="B809" s="1" t="n">
        <v>45608</v>
      </c>
      <c r="C809" s="1" t="n">
        <v>46197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34440-2023</t>
        </is>
      </c>
      <c r="B810" s="1" t="n">
        <v>45139</v>
      </c>
      <c r="C810" s="1" t="n">
        <v>46197</v>
      </c>
      <c r="D810" t="inlineStr">
        <is>
          <t>GÄVLEBORGS LÄN</t>
        </is>
      </c>
      <c r="E810" t="inlineStr">
        <is>
          <t>OCKELBO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29968-2024</t>
        </is>
      </c>
      <c r="B811" s="1" t="n">
        <v>45488</v>
      </c>
      <c r="C811" s="1" t="n">
        <v>46197</v>
      </c>
      <c r="D811" t="inlineStr">
        <is>
          <t>GÄVLEBORGS LÄN</t>
        </is>
      </c>
      <c r="E811" t="inlineStr">
        <is>
          <t>OCKELBO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51989-2023</t>
        </is>
      </c>
      <c r="B812" s="1" t="n">
        <v>45223</v>
      </c>
      <c r="C812" s="1" t="n">
        <v>46197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21900-2023</t>
        </is>
      </c>
      <c r="B813" s="1" t="n">
        <v>45068</v>
      </c>
      <c r="C813" s="1" t="n">
        <v>46197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3034-2025</t>
        </is>
      </c>
      <c r="B814" s="1" t="n">
        <v>45678</v>
      </c>
      <c r="C814" s="1" t="n">
        <v>46197</v>
      </c>
      <c r="D814" t="inlineStr">
        <is>
          <t>GÄVLEBORGS LÄN</t>
        </is>
      </c>
      <c r="E814" t="inlineStr">
        <is>
          <t>OCKELBO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56741-2024</t>
        </is>
      </c>
      <c r="B815" s="1" t="n">
        <v>45628</v>
      </c>
      <c r="C815" s="1" t="n">
        <v>46197</v>
      </c>
      <c r="D815" t="inlineStr">
        <is>
          <t>GÄVLEBORGS LÄN</t>
        </is>
      </c>
      <c r="E815" t="inlineStr">
        <is>
          <t>OCKELBO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49448-2023</t>
        </is>
      </c>
      <c r="B816" s="1" t="n">
        <v>45211</v>
      </c>
      <c r="C816" s="1" t="n">
        <v>46197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19772-2025</t>
        </is>
      </c>
      <c r="B817" s="1" t="n">
        <v>45771</v>
      </c>
      <c r="C817" s="1" t="n">
        <v>46197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19774-2025</t>
        </is>
      </c>
      <c r="B818" s="1" t="n">
        <v>45771</v>
      </c>
      <c r="C818" s="1" t="n">
        <v>46197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46074-2024</t>
        </is>
      </c>
      <c r="B819" s="1" t="n">
        <v>45581</v>
      </c>
      <c r="C819" s="1" t="n">
        <v>46197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21878-2023</t>
        </is>
      </c>
      <c r="B820" s="1" t="n">
        <v>45068</v>
      </c>
      <c r="C820" s="1" t="n">
        <v>46197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39430-2024</t>
        </is>
      </c>
      <c r="B821" s="1" t="n">
        <v>45551</v>
      </c>
      <c r="C821" s="1" t="n">
        <v>46197</v>
      </c>
      <c r="D821" t="inlineStr">
        <is>
          <t>GÄVLEBORGS LÄN</t>
        </is>
      </c>
      <c r="E821" t="inlineStr">
        <is>
          <t>OCKELBO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55070-2023</t>
        </is>
      </c>
      <c r="B822" s="1" t="n">
        <v>45237</v>
      </c>
      <c r="C822" s="1" t="n">
        <v>46197</v>
      </c>
      <c r="D822" t="inlineStr">
        <is>
          <t>GÄVLEBORGS LÄN</t>
        </is>
      </c>
      <c r="E822" t="inlineStr">
        <is>
          <t>OCKELBO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40218-2023</t>
        </is>
      </c>
      <c r="B823" s="1" t="n">
        <v>45169</v>
      </c>
      <c r="C823" s="1" t="n">
        <v>46197</v>
      </c>
      <c r="D823" t="inlineStr">
        <is>
          <t>GÄVLEBORGS LÄN</t>
        </is>
      </c>
      <c r="E823" t="inlineStr">
        <is>
          <t>OCKELBO</t>
        </is>
      </c>
      <c r="G823" t="n">
        <v>13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19178-2023</t>
        </is>
      </c>
      <c r="B824" s="1" t="n">
        <v>45048</v>
      </c>
      <c r="C824" s="1" t="n">
        <v>46197</v>
      </c>
      <c r="D824" t="inlineStr">
        <is>
          <t>GÄVLEBORGS LÄN</t>
        </is>
      </c>
      <c r="E824" t="inlineStr">
        <is>
          <t>OCKELBO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37386-2023</t>
        </is>
      </c>
      <c r="B825" s="1" t="n">
        <v>45156</v>
      </c>
      <c r="C825" s="1" t="n">
        <v>46197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2556-2025</t>
        </is>
      </c>
      <c r="B826" s="1" t="n">
        <v>45674</v>
      </c>
      <c r="C826" s="1" t="n">
        <v>46197</v>
      </c>
      <c r="D826" t="inlineStr">
        <is>
          <t>GÄVLEBORGS LÄN</t>
        </is>
      </c>
      <c r="E826" t="inlineStr">
        <is>
          <t>OCKELBO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59063-2023</t>
        </is>
      </c>
      <c r="B827" s="1" t="n">
        <v>45252</v>
      </c>
      <c r="C827" s="1" t="n">
        <v>46197</v>
      </c>
      <c r="D827" t="inlineStr">
        <is>
          <t>GÄVLEBORGS LÄN</t>
        </is>
      </c>
      <c r="E827" t="inlineStr">
        <is>
          <t>OCKELBO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10150-2023</t>
        </is>
      </c>
      <c r="B828" s="1" t="n">
        <v>44986</v>
      </c>
      <c r="C828" s="1" t="n">
        <v>46197</v>
      </c>
      <c r="D828" t="inlineStr">
        <is>
          <t>GÄVLEBORGS LÄN</t>
        </is>
      </c>
      <c r="E828" t="inlineStr">
        <is>
          <t>OCKELBO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37845-2024</t>
        </is>
      </c>
      <c r="B829" s="1" t="n">
        <v>45544</v>
      </c>
      <c r="C829" s="1" t="n">
        <v>46197</v>
      </c>
      <c r="D829" t="inlineStr">
        <is>
          <t>GÄVLEBORGS LÄN</t>
        </is>
      </c>
      <c r="E829" t="inlineStr">
        <is>
          <t>OCKELBO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11385-2025</t>
        </is>
      </c>
      <c r="B830" s="1" t="n">
        <v>45726</v>
      </c>
      <c r="C830" s="1" t="n">
        <v>46197</v>
      </c>
      <c r="D830" t="inlineStr">
        <is>
          <t>GÄVLEBORGS LÄN</t>
        </is>
      </c>
      <c r="E830" t="inlineStr">
        <is>
          <t>OCKELBO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20775-2025</t>
        </is>
      </c>
      <c r="B831" s="1" t="n">
        <v>45776</v>
      </c>
      <c r="C831" s="1" t="n">
        <v>46197</v>
      </c>
      <c r="D831" t="inlineStr">
        <is>
          <t>GÄVLEBORGS LÄN</t>
        </is>
      </c>
      <c r="E831" t="inlineStr">
        <is>
          <t>OCKELBO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52273-2024</t>
        </is>
      </c>
      <c r="B832" s="1" t="n">
        <v>45608</v>
      </c>
      <c r="C832" s="1" t="n">
        <v>46197</v>
      </c>
      <c r="D832" t="inlineStr">
        <is>
          <t>GÄVLEBORGS LÄN</t>
        </is>
      </c>
      <c r="E832" t="inlineStr">
        <is>
          <t>OCKELBO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54323-2024</t>
        </is>
      </c>
      <c r="B833" s="1" t="n">
        <v>45617</v>
      </c>
      <c r="C833" s="1" t="n">
        <v>46197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60253-2023</t>
        </is>
      </c>
      <c r="B834" s="1" t="n">
        <v>45258</v>
      </c>
      <c r="C834" s="1" t="n">
        <v>46197</v>
      </c>
      <c r="D834" t="inlineStr">
        <is>
          <t>GÄVLEBORGS LÄN</t>
        </is>
      </c>
      <c r="E834" t="inlineStr">
        <is>
          <t>OCKELBO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37848-2024</t>
        </is>
      </c>
      <c r="B835" s="1" t="n">
        <v>45544</v>
      </c>
      <c r="C835" s="1" t="n">
        <v>46197</v>
      </c>
      <c r="D835" t="inlineStr">
        <is>
          <t>GÄVLEBORGS LÄN</t>
        </is>
      </c>
      <c r="E835" t="inlineStr">
        <is>
          <t>OCKELBO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22387-2025</t>
        </is>
      </c>
      <c r="B836" s="1" t="n">
        <v>45786</v>
      </c>
      <c r="C836" s="1" t="n">
        <v>46197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23780-2024</t>
        </is>
      </c>
      <c r="B837" s="1" t="n">
        <v>45455</v>
      </c>
      <c r="C837" s="1" t="n">
        <v>46197</v>
      </c>
      <c r="D837" t="inlineStr">
        <is>
          <t>GÄVLEBORGS LÄN</t>
        </is>
      </c>
      <c r="E837" t="inlineStr">
        <is>
          <t>OCKELBO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22385-2025</t>
        </is>
      </c>
      <c r="B838" s="1" t="n">
        <v>45786</v>
      </c>
      <c r="C838" s="1" t="n">
        <v>46197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28584-2024</t>
        </is>
      </c>
      <c r="B839" s="1" t="n">
        <v>45478</v>
      </c>
      <c r="C839" s="1" t="n">
        <v>46197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28181-2022</t>
        </is>
      </c>
      <c r="B840" s="1" t="n">
        <v>44746</v>
      </c>
      <c r="C840" s="1" t="n">
        <v>46197</v>
      </c>
      <c r="D840" t="inlineStr">
        <is>
          <t>GÄVLEBORGS LÄN</t>
        </is>
      </c>
      <c r="E840" t="inlineStr">
        <is>
          <t>OCKELBO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23004-2025</t>
        </is>
      </c>
      <c r="B841" s="1" t="n">
        <v>45790</v>
      </c>
      <c r="C841" s="1" t="n">
        <v>46197</v>
      </c>
      <c r="D841" t="inlineStr">
        <is>
          <t>GÄVLEBORGS LÄN</t>
        </is>
      </c>
      <c r="E841" t="inlineStr">
        <is>
          <t>OCKELBO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48803-2024</t>
        </is>
      </c>
      <c r="B842" s="1" t="n">
        <v>45593</v>
      </c>
      <c r="C842" s="1" t="n">
        <v>46197</v>
      </c>
      <c r="D842" t="inlineStr">
        <is>
          <t>GÄVLEBORGS LÄN</t>
        </is>
      </c>
      <c r="E842" t="inlineStr">
        <is>
          <t>OCKELBO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20689-2025</t>
        </is>
      </c>
      <c r="B843" s="1" t="n">
        <v>45776</v>
      </c>
      <c r="C843" s="1" t="n">
        <v>46197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64924-2023</t>
        </is>
      </c>
      <c r="B844" s="1" t="n">
        <v>45282</v>
      </c>
      <c r="C844" s="1" t="n">
        <v>46197</v>
      </c>
      <c r="D844" t="inlineStr">
        <is>
          <t>GÄVLEBORGS LÄN</t>
        </is>
      </c>
      <c r="E844" t="inlineStr">
        <is>
          <t>OCKELBO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20207-2024</t>
        </is>
      </c>
      <c r="B845" s="1" t="n">
        <v>45434</v>
      </c>
      <c r="C845" s="1" t="n">
        <v>46197</v>
      </c>
      <c r="D845" t="inlineStr">
        <is>
          <t>GÄVLEBORGS LÄN</t>
        </is>
      </c>
      <c r="E845" t="inlineStr">
        <is>
          <t>OCKELBO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55011-2024</t>
        </is>
      </c>
      <c r="B846" s="1" t="n">
        <v>45621</v>
      </c>
      <c r="C846" s="1" t="n">
        <v>46197</v>
      </c>
      <c r="D846" t="inlineStr">
        <is>
          <t>GÄVLEBORGS LÄN</t>
        </is>
      </c>
      <c r="E846" t="inlineStr">
        <is>
          <t>OCKELBO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15403-2022</t>
        </is>
      </c>
      <c r="B847" s="1" t="n">
        <v>44659</v>
      </c>
      <c r="C847" s="1" t="n">
        <v>46197</v>
      </c>
      <c r="D847" t="inlineStr">
        <is>
          <t>GÄVLEBORGS LÄN</t>
        </is>
      </c>
      <c r="E847" t="inlineStr">
        <is>
          <t>OCKELBO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26085-2024</t>
        </is>
      </c>
      <c r="B848" s="1" t="n">
        <v>45468</v>
      </c>
      <c r="C848" s="1" t="n">
        <v>46197</v>
      </c>
      <c r="D848" t="inlineStr">
        <is>
          <t>GÄVLEBORGS LÄN</t>
        </is>
      </c>
      <c r="E848" t="inlineStr">
        <is>
          <t>OCKELBO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16752-2025</t>
        </is>
      </c>
      <c r="B849" s="1" t="n">
        <v>45754</v>
      </c>
      <c r="C849" s="1" t="n">
        <v>46197</v>
      </c>
      <c r="D849" t="inlineStr">
        <is>
          <t>GÄVLEBORGS LÄN</t>
        </is>
      </c>
      <c r="E849" t="inlineStr">
        <is>
          <t>OCKELBO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15502-2025</t>
        </is>
      </c>
      <c r="B850" s="1" t="n">
        <v>45747</v>
      </c>
      <c r="C850" s="1" t="n">
        <v>46197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49470-2024</t>
        </is>
      </c>
      <c r="B851" s="1" t="n">
        <v>45596</v>
      </c>
      <c r="C851" s="1" t="n">
        <v>46197</v>
      </c>
      <c r="D851" t="inlineStr">
        <is>
          <t>GÄVLEBORGS LÄN</t>
        </is>
      </c>
      <c r="E851" t="inlineStr">
        <is>
          <t>OCKELBO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25246-2025</t>
        </is>
      </c>
      <c r="B852" s="1" t="n">
        <v>45800</v>
      </c>
      <c r="C852" s="1" t="n">
        <v>46197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25250-2025</t>
        </is>
      </c>
      <c r="B853" s="1" t="n">
        <v>45800</v>
      </c>
      <c r="C853" s="1" t="n">
        <v>46197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25248-2025</t>
        </is>
      </c>
      <c r="B854" s="1" t="n">
        <v>45800</v>
      </c>
      <c r="C854" s="1" t="n">
        <v>46197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25191-2025</t>
        </is>
      </c>
      <c r="B855" s="1" t="n">
        <v>45800</v>
      </c>
      <c r="C855" s="1" t="n">
        <v>46197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25233-2025</t>
        </is>
      </c>
      <c r="B856" s="1" t="n">
        <v>45800</v>
      </c>
      <c r="C856" s="1" t="n">
        <v>46197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25234-2025</t>
        </is>
      </c>
      <c r="B857" s="1" t="n">
        <v>45800</v>
      </c>
      <c r="C857" s="1" t="n">
        <v>46197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2026-06-24T00:46:57Z</dcterms:created>
  <dcterms:modified xmlns:dcterms="http://purl.org/dc/terms/" xmlns:xsi="http://www.w3.org/2001/XMLSchema-instance" xsi:type="dcterms:W3CDTF">2026-06-24T00:46:58Z</dcterms:modified>
</cp:coreProperties>
</file>