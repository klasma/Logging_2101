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46316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46316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46316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46316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46316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46316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46316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46316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46316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46316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46316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46316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46316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46316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46316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46316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46316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46316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46316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46316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46316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46316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46316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62989-2025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46316</v>
      </c>
      <c r="F37" t="inlineStr">
        <is>
          <t>GÄVLEBORGS LÄN</t>
        </is>
      </c>
      <c r="G37" t="inlineStr">
        <is>
          <t>OCKELBO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Kortskaftad ärgspik</t>
        </is>
      </c>
      <c r="W37">
        <f>HYPERLINK("https://klasma.github.io/Logging_2101/artfynd/A 62989-2025 artfynd.xlsx", "A 62989-2025")</f>
        <v/>
      </c>
      <c r="X37">
        <f>HYPERLINK("https://klasma.github.io/Logging_2101/kartor/A 62989-2025 karta.png", "A 62989-2025")</f>
        <v/>
      </c>
      <c r="Y37">
        <f>HYPERLINK("https://klasma.github.io/Logging_2101/kartor_geotiff/A 62989-2025 georefererad karta.tif", "A 62989-2025")</f>
        <v/>
      </c>
      <c r="AA37">
        <f>HYPERLINK("https://klasma.github.io/Logging_2101/klagomål/A 62989-2025 FSC-klagomål.docx", "A 62989-2025")</f>
        <v/>
      </c>
      <c r="AB37">
        <f>HYPERLINK("https://klasma.github.io/Logging_2101/klagomålsmail/A 62989-2025 FSC-klagomål mail.docx", "A 62989-2025")</f>
        <v/>
      </c>
      <c r="AC37">
        <f>HYPERLINK("https://klasma.github.io/Logging_2101/tillsyn/A 62989-2025 tillsynsbegäran.docx", "A 62989-2025")</f>
        <v/>
      </c>
      <c r="AD37">
        <f>HYPERLINK("https://klasma.github.io/Logging_2101/tillsynsmail/A 62989-2025 tillsynsbegäran mail.docx", "A 62989-2025")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46316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46316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2923-2026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46316</v>
      </c>
      <c r="F40" t="inlineStr">
        <is>
          <t>GÄVLEBORGS LÄN</t>
        </is>
      </c>
      <c r="G40" t="inlineStr">
        <is>
          <t>OCKELBO</t>
        </is>
      </c>
      <c r="I40" t="n">
        <v>2.8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HYPERLINK("https://klasma.github.io/Logging_2101/artfynd/A 2923-2026 artfynd.xlsx", "A 2923-2026")</f>
        <v/>
      </c>
      <c r="X40">
        <f>HYPERLINK("https://klasma.github.io/Logging_2101/kartor/A 2923-2026 karta.png", "A 2923-2026")</f>
        <v/>
      </c>
      <c r="Y40">
        <f>HYPERLINK("https://klasma.github.io/Logging_2101/kartor_geotiff/A 2923-2026 georefererad karta.tif", "A 2923-2026")</f>
        <v/>
      </c>
      <c r="Z40">
        <f>HYPERLINK("https://klasma.github.io/Logging_2101/knärot/A 2923-2026 karta knärot.png", "A 2923-2026")</f>
        <v/>
      </c>
      <c r="AA40">
        <f>HYPERLINK("https://klasma.github.io/Logging_2101/klagomål/A 2923-2026 FSC-klagomål.docx", "A 2923-2026")</f>
        <v/>
      </c>
      <c r="AB40">
        <f>HYPERLINK("https://klasma.github.io/Logging_2101/klagomålsmail/A 2923-2026 FSC-klagomål mail.docx", "A 2923-2026")</f>
        <v/>
      </c>
      <c r="AC40">
        <f>HYPERLINK("https://klasma.github.io/Logging_2101/tillsyn/A 2923-2026 tillsynsbegäran.docx", "A 2923-2026")</f>
        <v/>
      </c>
      <c r="AD40">
        <f>HYPERLINK("https://klasma.github.io/Logging_2101/tillsynsmail/A 2923-2026 tillsynsbegäran mail.docx", "A 2923-2026")</f>
        <v/>
      </c>
    </row>
    <row r="41" ht="15" customHeight="1">
      <c r="A41" t="inlineStr">
        <is>
          <t>A 6121-2026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46053</v>
      </c>
      <c r="E41" s="1" t="n">
        <v>46316</v>
      </c>
      <c r="F41" t="inlineStr">
        <is>
          <t>GÄVLEBORGS LÄN</t>
        </is>
      </c>
      <c r="G41" t="inlineStr">
        <is>
          <t>OCKELBO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HYPERLINK("https://klasma.github.io/Logging_2101/artfynd/A 6121-2026 artfynd.xlsx", "A 6121-2026")</f>
        <v/>
      </c>
      <c r="X41">
        <f>HYPERLINK("https://klasma.github.io/Logging_2101/kartor/A 6121-2026 karta.png", "A 6121-2026")</f>
        <v/>
      </c>
      <c r="Y41">
        <f>HYPERLINK("https://klasma.github.io/Logging_2101/kartor_geotiff/A 6121-2026 georefererad karta.tif", "A 6121-2026")</f>
        <v/>
      </c>
      <c r="AA41">
        <f>HYPERLINK("https://klasma.github.io/Logging_2101/klagomål/A 6121-2026 FSC-klagomål.docx", "A 6121-2026")</f>
        <v/>
      </c>
      <c r="AB41">
        <f>HYPERLINK("https://klasma.github.io/Logging_2101/klagomålsmail/A 6121-2026 FSC-klagomål mail.docx", "A 6121-2026")</f>
        <v/>
      </c>
      <c r="AC41">
        <f>HYPERLINK("https://klasma.github.io/Logging_2101/tillsyn/A 6121-2026 tillsynsbegäran.docx", "A 6121-2026")</f>
        <v/>
      </c>
      <c r="AD41">
        <f>HYPERLINK("https://klasma.github.io/Logging_2101/tillsynsmail/A 6121-2026 tillsynsbegäran mail.docx", "A 6121-2026")</f>
        <v/>
      </c>
      <c r="AE41">
        <f>HYPERLINK("https://klasma.github.io/Logging_2101/fåglar/A 6121-2026 prioriterade fågelarter.docx", "A 6121-2026")</f>
        <v/>
      </c>
    </row>
    <row r="42" ht="15" customHeight="1">
      <c r="A42" t="inlineStr">
        <is>
          <t>A 6586-2026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46316</v>
      </c>
      <c r="F42" t="inlineStr">
        <is>
          <t>GÄVLEBORGS LÄN</t>
        </is>
      </c>
      <c r="G42" t="inlineStr">
        <is>
          <t>OCKELBO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HYPERLINK("https://klasma.github.io/Logging_2101/artfynd/A 6586-2026 artfynd.xlsx", "A 6586-2026")</f>
        <v/>
      </c>
      <c r="X42">
        <f>HYPERLINK("https://klasma.github.io/Logging_2101/kartor/A 6586-2026 karta.png", "A 6586-2026")</f>
        <v/>
      </c>
      <c r="Y42">
        <f>HYPERLINK("https://klasma.github.io/Logging_2101/kartor_geotiff/A 6586-2026 georefererad karta.tif", "A 6586-2026")</f>
        <v/>
      </c>
      <c r="AA42">
        <f>HYPERLINK("https://klasma.github.io/Logging_2101/klagomål/A 6586-2026 FSC-klagomål.docx", "A 6586-2026")</f>
        <v/>
      </c>
      <c r="AB42">
        <f>HYPERLINK("https://klasma.github.io/Logging_2101/klagomålsmail/A 6586-2026 FSC-klagomål mail.docx", "A 6586-2026")</f>
        <v/>
      </c>
      <c r="AC42">
        <f>HYPERLINK("https://klasma.github.io/Logging_2101/tillsyn/A 6586-2026 tillsynsbegäran.docx", "A 6586-2026")</f>
        <v/>
      </c>
      <c r="AD42">
        <f>HYPERLINK("https://klasma.github.io/Logging_2101/tillsynsmail/A 6586-2026 tillsynsbegäran mail.docx", "A 6586-2026")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46316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57946-2023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46316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HYPERLINK("https://klasma.github.io/Logging_2101/artfynd/A 57946-2023 artfynd.xlsx", "A 57946-2023")</f>
        <v/>
      </c>
      <c r="X44">
        <f>HYPERLINK("https://klasma.github.io/Logging_2101/kartor/A 57946-2023 karta.png", "A 57946-2023")</f>
        <v/>
      </c>
      <c r="Y44">
        <f>HYPERLINK("https://klasma.github.io/Logging_2101/kartor_geotiff/A 57946-2023 georefererad karta.tif", "A 57946-2023")</f>
        <v/>
      </c>
      <c r="AA44">
        <f>HYPERLINK("https://klasma.github.io/Logging_2101/klagomål/A 57946-2023 FSC-klagomål.docx", "A 57946-2023")</f>
        <v/>
      </c>
      <c r="AB44">
        <f>HYPERLINK("https://klasma.github.io/Logging_2101/klagomålsmail/A 57946-2023 FSC-klagomål mail.docx", "A 57946-2023")</f>
        <v/>
      </c>
      <c r="AC44">
        <f>HYPERLINK("https://klasma.github.io/Logging_2101/tillsyn/A 57946-2023 tillsynsbegäran.docx", "A 57946-2023")</f>
        <v/>
      </c>
      <c r="AD44">
        <f>HYPERLINK("https://klasma.github.io/Logging_2101/tillsynsmail/A 57946-2023 tillsynsbegäran mail.docx", "A 57946-2023")</f>
        <v/>
      </c>
    </row>
    <row r="45" ht="15" customHeight="1">
      <c r="A45" t="inlineStr">
        <is>
          <t>A 46481-2024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46316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HYPERLINK("https://klasma.github.io/Logging_2101/artfynd/A 46481-2024 artfynd.xlsx", "A 46481-2024")</f>
        <v/>
      </c>
      <c r="X45">
        <f>HYPERLINK("https://klasma.github.io/Logging_2101/kartor/A 46481-2024 karta.png", "A 46481-2024")</f>
        <v/>
      </c>
      <c r="Y45">
        <f>HYPERLINK("https://klasma.github.io/Logging_2101/kartor_geotiff/A 46481-2024 georefererad karta.tif", "A 46481-2024")</f>
        <v/>
      </c>
      <c r="AA45">
        <f>HYPERLINK("https://klasma.github.io/Logging_2101/klagomål/A 46481-2024 FSC-klagomål.docx", "A 46481-2024")</f>
        <v/>
      </c>
      <c r="AB45">
        <f>HYPERLINK("https://klasma.github.io/Logging_2101/klagomålsmail/A 46481-2024 FSC-klagomål mail.docx", "A 46481-2024")</f>
        <v/>
      </c>
      <c r="AC45">
        <f>HYPERLINK("https://klasma.github.io/Logging_2101/tillsyn/A 46481-2024 tillsynsbegäran.docx", "A 46481-2024")</f>
        <v/>
      </c>
      <c r="AD45">
        <f>HYPERLINK("https://klasma.github.io/Logging_2101/tillsynsmail/A 46481-2024 tillsynsbegäran mail.docx", "A 46481-2024")</f>
        <v/>
      </c>
    </row>
    <row r="46" ht="15" customHeight="1">
      <c r="A46" t="inlineStr">
        <is>
          <t>A 10484-2026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46316</v>
      </c>
      <c r="F46" t="inlineStr">
        <is>
          <t>GÄVLEBORGS LÄN</t>
        </is>
      </c>
      <c r="G46" t="inlineStr">
        <is>
          <t>OCKELBO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Ullticka</t>
        </is>
      </c>
      <c r="W46">
        <f>HYPERLINK("https://klasma.github.io/Logging_2101/artfynd/A 10484-2026 artfynd.xlsx", "A 10484-2026")</f>
        <v/>
      </c>
      <c r="X46">
        <f>HYPERLINK("https://klasma.github.io/Logging_2101/kartor/A 10484-2026 karta.png", "A 10484-2026")</f>
        <v/>
      </c>
      <c r="Y46">
        <f>HYPERLINK("https://klasma.github.io/Logging_2101/kartor_geotiff/A 10484-2026 georefererad karta.tif", "A 10484-2026")</f>
        <v/>
      </c>
      <c r="AA46">
        <f>HYPERLINK("https://klasma.github.io/Logging_2101/klagomål/A 10484-2026 FSC-klagomål.docx", "A 10484-2026")</f>
        <v/>
      </c>
      <c r="AB46">
        <f>HYPERLINK("https://klasma.github.io/Logging_2101/klagomålsmail/A 10484-2026 FSC-klagomål mail.docx", "A 10484-2026")</f>
        <v/>
      </c>
      <c r="AC46">
        <f>HYPERLINK("https://klasma.github.io/Logging_2101/tillsyn/A 10484-2026 tillsynsbegäran.docx", "A 10484-2026")</f>
        <v/>
      </c>
      <c r="AD46">
        <f>HYPERLINK("https://klasma.github.io/Logging_2101/tillsynsmail/A 10484-2026 tillsynsbegäran mail.docx", "A 10484-2026")</f>
        <v/>
      </c>
    </row>
    <row r="47" ht="15" customHeight="1">
      <c r="A47" t="inlineStr">
        <is>
          <t>A 13640-2026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46316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HYPERLINK("https://klasma.github.io/Logging_2101/artfynd/A 13640-2026 artfynd.xlsx", "A 13640-2026")</f>
        <v/>
      </c>
      <c r="X47">
        <f>HYPERLINK("https://klasma.github.io/Logging_2101/kartor/A 13640-2026 karta.png", "A 13640-2026")</f>
        <v/>
      </c>
      <c r="Y47">
        <f>HYPERLINK("https://klasma.github.io/Logging_2101/kartor_geotiff/A 13640-2026 georefererad karta.tif", "A 13640-2026")</f>
        <v/>
      </c>
      <c r="AA47">
        <f>HYPERLINK("https://klasma.github.io/Logging_2101/klagomål/A 13640-2026 FSC-klagomål.docx", "A 13640-2026")</f>
        <v/>
      </c>
      <c r="AB47">
        <f>HYPERLINK("https://klasma.github.io/Logging_2101/klagomålsmail/A 13640-2026 FSC-klagomål mail.docx", "A 13640-2026")</f>
        <v/>
      </c>
      <c r="AC47">
        <f>HYPERLINK("https://klasma.github.io/Logging_2101/tillsyn/A 13640-2026 tillsynsbegäran.docx", "A 13640-2026")</f>
        <v/>
      </c>
      <c r="AD47">
        <f>HYPERLINK("https://klasma.github.io/Logging_2101/tillsynsmail/A 13640-2026 tillsynsbegäran mail.docx", "A 13640-2026")</f>
        <v/>
      </c>
    </row>
    <row r="48" ht="15" customHeight="1">
      <c r="A48" t="inlineStr">
        <is>
          <t>A 14479-2026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46316</v>
      </c>
      <c r="F48" t="inlineStr">
        <is>
          <t>GÄVLEBORGS LÄN</t>
        </is>
      </c>
      <c r="G48" t="inlineStr">
        <is>
          <t>OCKELBO</t>
        </is>
      </c>
      <c r="I48" t="n">
        <v>4.8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14479-2026 artfynd.xlsx", "A 14479-2026")</f>
        <v/>
      </c>
      <c r="X48">
        <f>HYPERLINK("https://klasma.github.io/Logging_2101/kartor/A 14479-2026 karta.png", "A 14479-2026")</f>
        <v/>
      </c>
      <c r="Y48">
        <f>HYPERLINK("https://klasma.github.io/Logging_2101/kartor_geotiff/A 14479-2026 georefererad karta.tif", "A 14479-2026")</f>
        <v/>
      </c>
      <c r="AA48">
        <f>HYPERLINK("https://klasma.github.io/Logging_2101/klagomål/A 14479-2026 FSC-klagomål.docx", "A 14479-2026")</f>
        <v/>
      </c>
      <c r="AB48">
        <f>HYPERLINK("https://klasma.github.io/Logging_2101/klagomålsmail/A 14479-2026 FSC-klagomål mail.docx", "A 14479-2026")</f>
        <v/>
      </c>
      <c r="AC48">
        <f>HYPERLINK("https://klasma.github.io/Logging_2101/tillsyn/A 14479-2026 tillsynsbegäran.docx", "A 14479-2026")</f>
        <v/>
      </c>
      <c r="AD48">
        <f>HYPERLINK("https://klasma.github.io/Logging_2101/tillsynsmail/A 14479-2026 tillsynsbegäran mail.docx", "A 14479-2026")</f>
        <v/>
      </c>
    </row>
    <row r="49" ht="15" customHeight="1">
      <c r="A49" t="inlineStr">
        <is>
          <t>A 14664-2026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46101</v>
      </c>
      <c r="E49" s="1" t="n">
        <v>46316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Tjäder</t>
        </is>
      </c>
      <c r="W49">
        <f>HYPERLINK("https://klasma.github.io/Logging_2101/artfynd/A 14664-2026 artfynd.xlsx", "A 14664-2026")</f>
        <v/>
      </c>
      <c r="X49">
        <f>HYPERLINK("https://klasma.github.io/Logging_2101/kartor/A 14664-2026 karta.png", "A 14664-2026")</f>
        <v/>
      </c>
      <c r="Y49">
        <f>HYPERLINK("https://klasma.github.io/Logging_2101/kartor_geotiff/A 14664-2026 georefererad karta.tif", "A 14664-2026")</f>
        <v/>
      </c>
      <c r="AA49">
        <f>HYPERLINK("https://klasma.github.io/Logging_2101/klagomål/A 14664-2026 FSC-klagomål.docx", "A 14664-2026")</f>
        <v/>
      </c>
      <c r="AB49">
        <f>HYPERLINK("https://klasma.github.io/Logging_2101/klagomålsmail/A 14664-2026 FSC-klagomål mail.docx", "A 14664-2026")</f>
        <v/>
      </c>
      <c r="AC49">
        <f>HYPERLINK("https://klasma.github.io/Logging_2101/tillsyn/A 14664-2026 tillsynsbegäran.docx", "A 14664-2026")</f>
        <v/>
      </c>
      <c r="AD49">
        <f>HYPERLINK("https://klasma.github.io/Logging_2101/tillsynsmail/A 14664-2026 tillsynsbegäran mail.docx", "A 14664-2026")</f>
        <v/>
      </c>
      <c r="AE49">
        <f>HYPERLINK("https://klasma.github.io/Logging_2101/fåglar/A 14664-2026 prioriterade fågelarter.docx", "A 14664-2026")</f>
        <v/>
      </c>
    </row>
    <row r="50" ht="15" customHeight="1">
      <c r="A50" t="inlineStr">
        <is>
          <t>A 55778-2025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46316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HYPERLINK("https://klasma.github.io/Logging_2101/artfynd/A 55778-2025 artfynd.xlsx", "A 55778-2025")</f>
        <v/>
      </c>
      <c r="X50">
        <f>HYPERLINK("https://klasma.github.io/Logging_2101/kartor/A 55778-2025 karta.png", "A 55778-2025")</f>
        <v/>
      </c>
      <c r="Y50">
        <f>HYPERLINK("https://klasma.github.io/Logging_2101/kartor_geotiff/A 55778-2025 georefererad karta.tif", "A 55778-2025")</f>
        <v/>
      </c>
      <c r="AA50">
        <f>HYPERLINK("https://klasma.github.io/Logging_2101/klagomål/A 55778-2025 FSC-klagomål.docx", "A 55778-2025")</f>
        <v/>
      </c>
      <c r="AB50">
        <f>HYPERLINK("https://klasma.github.io/Logging_2101/klagomålsmail/A 55778-2025 FSC-klagomål mail.docx", "A 55778-2025")</f>
        <v/>
      </c>
      <c r="AC50">
        <f>HYPERLINK("https://klasma.github.io/Logging_2101/tillsyn/A 55778-2025 tillsynsbegäran.docx", "A 55778-2025")</f>
        <v/>
      </c>
      <c r="AD50">
        <f>HYPERLINK("https://klasma.github.io/Logging_2101/tillsynsmail/A 55778-2025 tillsynsbegäran mail.docx", "A 55778-2025")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46316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46316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46316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46316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46316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46316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46316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46316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46316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46316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38583-2026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46316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HYPERLINK("https://klasma.github.io/Logging_2101/artfynd/A 38583-2026 artfynd.xlsx", "A 38583-2026")</f>
        <v/>
      </c>
      <c r="X61">
        <f>HYPERLINK("https://klasma.github.io/Logging_2101/kartor/A 38583-2026 karta.png", "A 38583-2026")</f>
        <v/>
      </c>
      <c r="Y61">
        <f>HYPERLINK("https://klasma.github.io/Logging_2101/kartor_geotiff/A 38583-2026 georefererad karta.tif", "A 38583-2026")</f>
        <v/>
      </c>
      <c r="AA61">
        <f>HYPERLINK("https://klasma.github.io/Logging_2101/klagomål/A 38583-2026 FSC-klagomål.docx", "A 38583-2026")</f>
        <v/>
      </c>
      <c r="AB61">
        <f>HYPERLINK("https://klasma.github.io/Logging_2101/klagomålsmail/A 38583-2026 FSC-klagomål mail.docx", "A 38583-2026")</f>
        <v/>
      </c>
      <c r="AC61">
        <f>HYPERLINK("https://klasma.github.io/Logging_2101/tillsyn/A 38583-2026 tillsynsbegäran.docx", "A 38583-2026")</f>
        <v/>
      </c>
      <c r="AD61">
        <f>HYPERLINK("https://klasma.github.io/Logging_2101/tillsynsmail/A 38583-2026 tillsynsbegäran mail.docx", "A 38583-2026")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41696-2026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46302</v>
      </c>
      <c r="E64" s="1" t="n">
        <v>46316</v>
      </c>
      <c r="F64" t="inlineStr">
        <is>
          <t>GÄVLEBORGS LÄN</t>
        </is>
      </c>
      <c r="G64" t="inlineStr">
        <is>
          <t>OCKELBO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HYPERLINK("https://klasma.github.io/Logging_2101/artfynd/A 41696-2026 artfynd.xlsx", "A 41696-2026")</f>
        <v/>
      </c>
      <c r="X64">
        <f>HYPERLINK("https://klasma.github.io/Logging_2101/kartor/A 41696-2026 karta.png", "A 41696-2026")</f>
        <v/>
      </c>
      <c r="Y64">
        <f>HYPERLINK("https://klasma.github.io/Logging_2101/kartor_geotiff/A 41696-2026 georefererad karta.tif", "A 41696-2026")</f>
        <v/>
      </c>
      <c r="AA64">
        <f>HYPERLINK("https://klasma.github.io/Logging_2101/klagomål/A 41696-2026 FSC-klagomål.docx", "A 41696-2026")</f>
        <v/>
      </c>
      <c r="AB64">
        <f>HYPERLINK("https://klasma.github.io/Logging_2101/klagomålsmail/A 41696-2026 FSC-klagomål mail.docx", "A 41696-2026")</f>
        <v/>
      </c>
      <c r="AC64">
        <f>HYPERLINK("https://klasma.github.io/Logging_2101/tillsyn/A 41696-2026 tillsynsbegäran.docx", "A 41696-2026")</f>
        <v/>
      </c>
      <c r="AD64">
        <f>HYPERLINK("https://klasma.github.io/Logging_2101/tillsynsmail/A 41696-2026 tillsynsbegäran mail.docx", "A 41696-2026")</f>
        <v/>
      </c>
      <c r="AE64">
        <f>HYPERLINK("https://klasma.github.io/Logging_2101/fåglar/A 41696-2026 prioriterade fågelarter.docx", "A 41696-2026")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46316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46316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46316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46316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46316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46316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46316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46316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46316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46316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46316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46316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46316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46316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46316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46316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46316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46316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46316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46316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46316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44889</v>
      </c>
      <c r="E89" s="1" t="n">
        <v>46316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46316</v>
      </c>
      <c r="F90" t="inlineStr">
        <is>
          <t>GÄVLEBORGS LÄN</t>
        </is>
      </c>
      <c r="G90" t="inlineStr">
        <is>
          <t>OCKELBO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46316</v>
      </c>
      <c r="F91" t="inlineStr">
        <is>
          <t>GÄVLEBORGS LÄN</t>
        </is>
      </c>
      <c r="G91" t="inlineStr">
        <is>
          <t>OCKELBO</t>
        </is>
      </c>
      <c r="H91" t="inlineStr">
        <is>
          <t>Kyrkan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46316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36521-2022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44804</v>
      </c>
      <c r="E93" s="1" t="n">
        <v>46316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46316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56232-2022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46316</v>
      </c>
      <c r="F95" t="inlineStr">
        <is>
          <t>GÄVLEBORGS LÄN</t>
        </is>
      </c>
      <c r="G95" t="inlineStr">
        <is>
          <t>OCKELBO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46316</v>
      </c>
      <c r="F96" t="inlineStr">
        <is>
          <t>GÄVLEBORGS LÄN</t>
        </is>
      </c>
      <c r="G96" t="inlineStr">
        <is>
          <t>OCKELBO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46316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46316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46316</v>
      </c>
      <c r="F99" t="inlineStr">
        <is>
          <t>GÄVLEBORGS LÄN</t>
        </is>
      </c>
      <c r="G99" t="inlineStr">
        <is>
          <t>OCKELBO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46316</v>
      </c>
      <c r="F100" t="inlineStr">
        <is>
          <t>GÄVLEBORGS LÄN</t>
        </is>
      </c>
      <c r="G100" t="inlineStr">
        <is>
          <t>OCKELBO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46316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45341</v>
      </c>
      <c r="E102" s="1" t="n">
        <v>46316</v>
      </c>
      <c r="F102" t="inlineStr">
        <is>
          <t>GÄVLEBORGS LÄN</t>
        </is>
      </c>
      <c r="G102" t="inlineStr">
        <is>
          <t>OCKELBO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46316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46316</v>
      </c>
      <c r="F104" t="inlineStr">
        <is>
          <t>GÄVLEBORGS LÄN</t>
        </is>
      </c>
      <c r="G104" t="inlineStr">
        <is>
          <t>OCKELBO</t>
        </is>
      </c>
      <c r="H104" t="inlineStr">
        <is>
          <t>Kyrkan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23004-2025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45790</v>
      </c>
      <c r="E105" s="1" t="n">
        <v>46316</v>
      </c>
      <c r="F105" t="inlineStr">
        <is>
          <t>GÄVLEBORGS LÄN</t>
        </is>
      </c>
      <c r="G105" t="inlineStr">
        <is>
          <t>OCKELBO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45621</v>
      </c>
      <c r="E106" s="1" t="n">
        <v>46316</v>
      </c>
      <c r="F106" t="inlineStr">
        <is>
          <t>GÄVLEBORGS LÄN</t>
        </is>
      </c>
      <c r="G106" t="inlineStr">
        <is>
          <t>OCKELBO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46316</v>
      </c>
      <c r="F107" t="inlineStr">
        <is>
          <t>GÄVLEBORGS LÄN</t>
        </is>
      </c>
      <c r="G107" t="inlineStr">
        <is>
          <t>OCKELBO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46316</v>
      </c>
      <c r="F108" t="inlineStr">
        <is>
          <t>GÄVLEBORGS LÄN</t>
        </is>
      </c>
      <c r="G108" t="inlineStr">
        <is>
          <t>OCKELBO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46316</v>
      </c>
      <c r="F109" t="inlineStr">
        <is>
          <t>GÄVLEBORGS LÄN</t>
        </is>
      </c>
      <c r="G109" t="inlineStr">
        <is>
          <t>OCKELBO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44659</v>
      </c>
      <c r="E110" s="1" t="n">
        <v>46316</v>
      </c>
      <c r="F110" t="inlineStr">
        <is>
          <t>GÄVLEBORGS LÄN</t>
        </is>
      </c>
      <c r="G110" t="inlineStr">
        <is>
          <t>OCKELBO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46316</v>
      </c>
      <c r="F111" t="inlineStr">
        <is>
          <t>GÄVLEBORGS LÄN</t>
        </is>
      </c>
      <c r="G111" t="inlineStr">
        <is>
          <t>OCKELBO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45434</v>
      </c>
      <c r="E112" s="1" t="n">
        <v>46316</v>
      </c>
      <c r="F112" t="inlineStr">
        <is>
          <t>GÄVLEBORGS LÄN</t>
        </is>
      </c>
      <c r="G112" t="inlineStr">
        <is>
          <t>OCKELBO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62196-2025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46006</v>
      </c>
      <c r="E113" s="1" t="n">
        <v>46316</v>
      </c>
      <c r="F113" t="inlineStr">
        <is>
          <t>GÄVLEBORGS LÄN</t>
        </is>
      </c>
      <c r="G113" t="inlineStr">
        <is>
          <t>OCKELBO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46316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45989</v>
      </c>
      <c r="E115" s="1" t="n">
        <v>46316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46316</v>
      </c>
      <c r="F116" t="inlineStr">
        <is>
          <t>GÄVLEBORGS LÄN</t>
        </is>
      </c>
      <c r="G116" t="inlineStr">
        <is>
          <t>OCKELBO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46316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46316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46316</v>
      </c>
      <c r="F119" t="inlineStr">
        <is>
          <t>GÄVLEBORGS LÄN</t>
        </is>
      </c>
      <c r="G119" t="inlineStr">
        <is>
          <t>OCKELBO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46316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46316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46316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46316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46316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46316</v>
      </c>
      <c r="F125" t="inlineStr">
        <is>
          <t>GÄVLEBORGS LÄN</t>
        </is>
      </c>
      <c r="G125" t="inlineStr">
        <is>
          <t>OCKELBO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25250-2025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45800</v>
      </c>
      <c r="E126" s="1" t="n">
        <v>46316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46316</v>
      </c>
      <c r="F127" t="inlineStr">
        <is>
          <t>GÄVLEBORGS LÄN</t>
        </is>
      </c>
      <c r="G127" t="inlineStr">
        <is>
          <t>OCKELBO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46316</v>
      </c>
      <c r="F128" t="inlineStr">
        <is>
          <t>GÄVLEBORGS LÄN</t>
        </is>
      </c>
      <c r="G128" t="inlineStr">
        <is>
          <t>OCKELBO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46316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46316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46316</v>
      </c>
      <c r="F131" t="inlineStr">
        <is>
          <t>GÄVLEBORGS LÄN</t>
        </is>
      </c>
      <c r="G131" t="inlineStr">
        <is>
          <t>OCKELBO</t>
        </is>
      </c>
      <c r="H131" t="inlineStr">
        <is>
          <t>Kyrkan</t>
        </is>
      </c>
      <c r="I131" t="n">
        <v>12.5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63224-2025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46010</v>
      </c>
      <c r="E132" s="1" t="n">
        <v>46316</v>
      </c>
      <c r="F132" t="inlineStr">
        <is>
          <t>GÄVLEBORGS LÄN</t>
        </is>
      </c>
      <c r="G132" t="inlineStr">
        <is>
          <t>OCKELBO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46316</v>
      </c>
      <c r="F133" t="inlineStr">
        <is>
          <t>GÄVLEBORGS LÄN</t>
        </is>
      </c>
      <c r="G133" t="inlineStr">
        <is>
          <t>OCKELBO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46316</v>
      </c>
      <c r="F134" t="inlineStr">
        <is>
          <t>GÄVLEBORGS LÄN</t>
        </is>
      </c>
      <c r="G134" t="inlineStr">
        <is>
          <t>OCKELBO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46316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46316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44950</v>
      </c>
      <c r="E137" s="1" t="n">
        <v>46316</v>
      </c>
      <c r="F137" t="inlineStr">
        <is>
          <t>GÄVLEBORGS LÄN</t>
        </is>
      </c>
      <c r="G137" t="inlineStr">
        <is>
          <t>OCKELBO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46316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46014</v>
      </c>
      <c r="E139" s="1" t="n">
        <v>46316</v>
      </c>
      <c r="F139" t="inlineStr">
        <is>
          <t>GÄVLEBORGS LÄN</t>
        </is>
      </c>
      <c r="G139" t="inlineStr">
        <is>
          <t>OCKELBO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46316</v>
      </c>
      <c r="F140" t="inlineStr">
        <is>
          <t>GÄVLEBORGS LÄN</t>
        </is>
      </c>
      <c r="G140" t="inlineStr">
        <is>
          <t>OCKELBO</t>
        </is>
      </c>
      <c r="I140" t="n">
        <v>14.8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46316</v>
      </c>
      <c r="F141" t="inlineStr">
        <is>
          <t>GÄVLEBORGS LÄN</t>
        </is>
      </c>
      <c r="G141" t="inlineStr">
        <is>
          <t>OCKELBO</t>
        </is>
      </c>
      <c r="I141" t="n">
        <v>13.6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46316</v>
      </c>
      <c r="F142" t="inlineStr">
        <is>
          <t>GÄVLEBORGS LÄN</t>
        </is>
      </c>
      <c r="G142" t="inlineStr">
        <is>
          <t>OCKELBO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46316</v>
      </c>
      <c r="F143" t="inlineStr">
        <is>
          <t>GÄVLEBORGS LÄN</t>
        </is>
      </c>
      <c r="G143" t="inlineStr">
        <is>
          <t>OCKELBO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46027</v>
      </c>
      <c r="E144" s="1" t="n">
        <v>46316</v>
      </c>
      <c r="F144" t="inlineStr">
        <is>
          <t>GÄVLEBORGS LÄN</t>
        </is>
      </c>
      <c r="G144" t="inlineStr">
        <is>
          <t>OCKELBO</t>
        </is>
      </c>
      <c r="I144" t="n">
        <v>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46316</v>
      </c>
      <c r="F145" t="inlineStr">
        <is>
          <t>GÄVLEBORGS LÄN</t>
        </is>
      </c>
      <c r="G145" t="inlineStr">
        <is>
          <t>OCKELBO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46027</v>
      </c>
      <c r="E146" s="1" t="n">
        <v>46316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46316</v>
      </c>
      <c r="F147" t="inlineStr">
        <is>
          <t>GÄVLEBORGS LÄN</t>
        </is>
      </c>
      <c r="G147" t="inlineStr">
        <is>
          <t>OCKELBO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46027</v>
      </c>
      <c r="E148" s="1" t="n">
        <v>46316</v>
      </c>
      <c r="F148" t="inlineStr">
        <is>
          <t>GÄVLEBORGS LÄN</t>
        </is>
      </c>
      <c r="G148" t="inlineStr">
        <is>
          <t>OCKELBO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46316</v>
      </c>
      <c r="F149" t="inlineStr">
        <is>
          <t>GÄVLEBORGS LÄN</t>
        </is>
      </c>
      <c r="G149" t="inlineStr">
        <is>
          <t>OCKELBO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46316</v>
      </c>
      <c r="F150" t="inlineStr">
        <is>
          <t>GÄVLEBORGS LÄN</t>
        </is>
      </c>
      <c r="G150" t="inlineStr">
        <is>
          <t>OCKELBO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46316</v>
      </c>
      <c r="F151" t="inlineStr">
        <is>
          <t>GÄVLEBORGS LÄN</t>
        </is>
      </c>
      <c r="G151" t="inlineStr">
        <is>
          <t>OCKELBO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46316</v>
      </c>
      <c r="F152" t="inlineStr">
        <is>
          <t>GÄVLEBORGS LÄN</t>
        </is>
      </c>
      <c r="G152" t="inlineStr">
        <is>
          <t>OCKELBO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46028</v>
      </c>
      <c r="E153" s="1" t="n">
        <v>46316</v>
      </c>
      <c r="F153" t="inlineStr">
        <is>
          <t>GÄVLEBORGS LÄN</t>
        </is>
      </c>
      <c r="G153" t="inlineStr">
        <is>
          <t>OCKELBO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46028</v>
      </c>
      <c r="E154" s="1" t="n">
        <v>46316</v>
      </c>
      <c r="F154" t="inlineStr">
        <is>
          <t>GÄVLEBORGS LÄN</t>
        </is>
      </c>
      <c r="G154" t="inlineStr">
        <is>
          <t>OCKELBO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46316</v>
      </c>
      <c r="F155" t="inlineStr">
        <is>
          <t>GÄVLEBORGS LÄN</t>
        </is>
      </c>
      <c r="G155" t="inlineStr">
        <is>
          <t>OCKELBO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46316</v>
      </c>
      <c r="F156" t="inlineStr">
        <is>
          <t>GÄVLEBORGS LÄN</t>
        </is>
      </c>
      <c r="G156" t="inlineStr">
        <is>
          <t>OCKELBO</t>
        </is>
      </c>
      <c r="I156" t="n">
        <v>12.9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46029</v>
      </c>
      <c r="E157" s="1" t="n">
        <v>46316</v>
      </c>
      <c r="F157" t="inlineStr">
        <is>
          <t>GÄVLEBORGS LÄN</t>
        </is>
      </c>
      <c r="G157" t="inlineStr">
        <is>
          <t>OCKELBO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46316</v>
      </c>
      <c r="F158" t="inlineStr">
        <is>
          <t>GÄVLEBORGS LÄN</t>
        </is>
      </c>
      <c r="G158" t="inlineStr">
        <is>
          <t>OCKELBO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46316</v>
      </c>
      <c r="F159" t="inlineStr">
        <is>
          <t>GÄVLEBORGS LÄN</t>
        </is>
      </c>
      <c r="G159" t="inlineStr">
        <is>
          <t>OCKELBO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45817</v>
      </c>
      <c r="E160" s="1" t="n">
        <v>46316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46316</v>
      </c>
      <c r="F161" t="inlineStr">
        <is>
          <t>GÄVLEBORGS LÄN</t>
        </is>
      </c>
      <c r="G161" t="inlineStr">
        <is>
          <t>OCKELBO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46316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46316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46316</v>
      </c>
      <c r="F164" t="inlineStr">
        <is>
          <t>GÄVLEBORGS LÄN</t>
        </is>
      </c>
      <c r="G164" t="inlineStr">
        <is>
          <t>OCKELBO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46316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46316</v>
      </c>
      <c r="F166" t="inlineStr">
        <is>
          <t>GÄVLEBORGS LÄN</t>
        </is>
      </c>
      <c r="G166" t="inlineStr">
        <is>
          <t>OCKELBO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46033</v>
      </c>
      <c r="E167" s="1" t="n">
        <v>46316</v>
      </c>
      <c r="F167" t="inlineStr">
        <is>
          <t>GÄVLEBORGS LÄN</t>
        </is>
      </c>
      <c r="G167" t="inlineStr">
        <is>
          <t>OCKELBO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46316</v>
      </c>
      <c r="F168" t="inlineStr">
        <is>
          <t>GÄVLEBORGS LÄN</t>
        </is>
      </c>
      <c r="G168" t="inlineStr">
        <is>
          <t>OCKELBO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46316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46316</v>
      </c>
      <c r="F170" t="inlineStr">
        <is>
          <t>GÄVLEBORGS LÄN</t>
        </is>
      </c>
      <c r="G170" t="inlineStr">
        <is>
          <t>OCKELBO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46316</v>
      </c>
      <c r="F171" t="inlineStr">
        <is>
          <t>GÄVLEBORGS LÄN</t>
        </is>
      </c>
      <c r="G171" t="inlineStr">
        <is>
          <t>OCKELBO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46316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46316</v>
      </c>
      <c r="F173" t="inlineStr">
        <is>
          <t>GÄVLEBORGS LÄN</t>
        </is>
      </c>
      <c r="G173" t="inlineStr">
        <is>
          <t>OCKELBO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46316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46316</v>
      </c>
      <c r="F175" t="inlineStr">
        <is>
          <t>GÄVLEBORGS LÄN</t>
        </is>
      </c>
      <c r="G175" t="inlineStr">
        <is>
          <t>OCKELBO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46316</v>
      </c>
      <c r="F176" t="inlineStr">
        <is>
          <t>GÄVLEBORGS LÄN</t>
        </is>
      </c>
      <c r="G176" t="inlineStr">
        <is>
          <t>OCKELBO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46316</v>
      </c>
      <c r="F177" t="inlineStr">
        <is>
          <t>GÄVLEBORGS LÄN</t>
        </is>
      </c>
      <c r="G177" t="inlineStr">
        <is>
          <t>OCKELBO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46316</v>
      </c>
      <c r="F178" t="inlineStr">
        <is>
          <t>GÄVLEBORGS LÄN</t>
        </is>
      </c>
      <c r="G178" t="inlineStr">
        <is>
          <t>OCKELBO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46316</v>
      </c>
      <c r="F179" t="inlineStr">
        <is>
          <t>GÄVLEBORGS LÄN</t>
        </is>
      </c>
      <c r="G179" t="inlineStr">
        <is>
          <t>OCKELBO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46316</v>
      </c>
      <c r="F180" t="inlineStr">
        <is>
          <t>GÄVLEBORGS LÄN</t>
        </is>
      </c>
      <c r="G180" t="inlineStr">
        <is>
          <t>OCKELBO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46316</v>
      </c>
      <c r="F181" t="inlineStr">
        <is>
          <t>GÄVLEBORGS LÄN</t>
        </is>
      </c>
      <c r="G181" t="inlineStr">
        <is>
          <t>OCKELBO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46316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46316</v>
      </c>
      <c r="F183" t="inlineStr">
        <is>
          <t>GÄVLEBORGS LÄN</t>
        </is>
      </c>
      <c r="G183" t="inlineStr">
        <is>
          <t>OCKELBO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46316</v>
      </c>
      <c r="F184" t="inlineStr">
        <is>
          <t>GÄVLEBORGS LÄN</t>
        </is>
      </c>
      <c r="G184" t="inlineStr">
        <is>
          <t>OCKELBO</t>
        </is>
      </c>
      <c r="I184" t="n">
        <v>16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46316</v>
      </c>
      <c r="F185" t="inlineStr">
        <is>
          <t>GÄVLEBORGS LÄN</t>
        </is>
      </c>
      <c r="G185" t="inlineStr">
        <is>
          <t>OCKELBO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46316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45777</v>
      </c>
      <c r="E187" s="1" t="n">
        <v>46316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46041</v>
      </c>
      <c r="E188" s="1" t="n">
        <v>46316</v>
      </c>
      <c r="F188" t="inlineStr">
        <is>
          <t>GÄVLEBORGS LÄN</t>
        </is>
      </c>
      <c r="G188" t="inlineStr">
        <is>
          <t>OCKELBO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46316</v>
      </c>
      <c r="F189" t="inlineStr">
        <is>
          <t>GÄVLEBORGS LÄN</t>
        </is>
      </c>
      <c r="G189" t="inlineStr">
        <is>
          <t>OCKELBO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46316</v>
      </c>
      <c r="F190" t="inlineStr">
        <is>
          <t>GÄVLEBORGS LÄN</t>
        </is>
      </c>
      <c r="G190" t="inlineStr">
        <is>
          <t>OCKELBO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46043</v>
      </c>
      <c r="E191" s="1" t="n">
        <v>46316</v>
      </c>
      <c r="F191" t="inlineStr">
        <is>
          <t>GÄVLEBORGS LÄN</t>
        </is>
      </c>
      <c r="G191" t="inlineStr">
        <is>
          <t>OCKELBO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46316</v>
      </c>
      <c r="F192" t="inlineStr">
        <is>
          <t>GÄVLEBORGS LÄN</t>
        </is>
      </c>
      <c r="G192" t="inlineStr">
        <is>
          <t>OCKELBO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46316</v>
      </c>
      <c r="F193" t="inlineStr">
        <is>
          <t>GÄVLEBORGS LÄN</t>
        </is>
      </c>
      <c r="G193" t="inlineStr">
        <is>
          <t>OCKELBO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20231-2024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45434</v>
      </c>
      <c r="E194" s="1" t="n">
        <v>46316</v>
      </c>
      <c r="F194" t="inlineStr">
        <is>
          <t>GÄVLEBORGS LÄN</t>
        </is>
      </c>
      <c r="G194" t="inlineStr">
        <is>
          <t>OCKELBO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46316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44797</v>
      </c>
      <c r="E196" s="1" t="n">
        <v>46316</v>
      </c>
      <c r="F196" t="inlineStr">
        <is>
          <t>GÄVLEBORGS LÄN</t>
        </is>
      </c>
      <c r="G196" t="inlineStr">
        <is>
          <t>OCKELBO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46316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46316</v>
      </c>
      <c r="F198" t="inlineStr">
        <is>
          <t>GÄVLEBORGS LÄN</t>
        </is>
      </c>
      <c r="G198" t="inlineStr">
        <is>
          <t>OCKELBO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46316</v>
      </c>
      <c r="F199" t="inlineStr">
        <is>
          <t>GÄVLEBORGS LÄN</t>
        </is>
      </c>
      <c r="G199" t="inlineStr">
        <is>
          <t>OCKELBO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46316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46316</v>
      </c>
      <c r="F201" t="inlineStr">
        <is>
          <t>GÄVLEBORGS LÄN</t>
        </is>
      </c>
      <c r="G201" t="inlineStr">
        <is>
          <t>OCKELBO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46044</v>
      </c>
      <c r="E202" s="1" t="n">
        <v>46316</v>
      </c>
      <c r="F202" t="inlineStr">
        <is>
          <t>GÄVLEBORGS LÄN</t>
        </is>
      </c>
      <c r="G202" t="inlineStr">
        <is>
          <t>OCKELBO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46316</v>
      </c>
      <c r="F203" t="inlineStr">
        <is>
          <t>GÄVLEBORGS LÄN</t>
        </is>
      </c>
      <c r="G203" t="inlineStr">
        <is>
          <t>OCKELBO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46316</v>
      </c>
      <c r="F204" t="inlineStr">
        <is>
          <t>GÄVLEBORGS LÄN</t>
        </is>
      </c>
      <c r="G204" t="inlineStr">
        <is>
          <t>OCKELBO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46316</v>
      </c>
      <c r="F205" t="inlineStr">
        <is>
          <t>GÄVLEBORGS LÄN</t>
        </is>
      </c>
      <c r="G205" t="inlineStr">
        <is>
          <t>OCKELBO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44986</v>
      </c>
      <c r="E206" s="1" t="n">
        <v>46316</v>
      </c>
      <c r="F206" t="inlineStr">
        <is>
          <t>GÄVLEBORGS LÄN</t>
        </is>
      </c>
      <c r="G206" t="inlineStr">
        <is>
          <t>OCKELBO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46316</v>
      </c>
      <c r="F207" t="inlineStr">
        <is>
          <t>GÄVLEBORGS LÄN</t>
        </is>
      </c>
      <c r="G207" t="inlineStr">
        <is>
          <t>OCKELBO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46316</v>
      </c>
      <c r="F208" t="inlineStr">
        <is>
          <t>GÄVLEBORGS LÄN</t>
        </is>
      </c>
      <c r="G208" t="inlineStr">
        <is>
          <t>OCKELBO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46316</v>
      </c>
      <c r="F209" t="inlineStr">
        <is>
          <t>GÄVLEBORGS LÄN</t>
        </is>
      </c>
      <c r="G209" t="inlineStr">
        <is>
          <t>OCKELBO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46316</v>
      </c>
      <c r="F210" t="inlineStr">
        <is>
          <t>GÄVLEBORGS LÄN</t>
        </is>
      </c>
      <c r="G210" t="inlineStr">
        <is>
          <t>OCKELBO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46316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46051</v>
      </c>
      <c r="E212" s="1" t="n">
        <v>46316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46050</v>
      </c>
      <c r="E213" s="1" t="n">
        <v>46316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46316</v>
      </c>
      <c r="F214" t="inlineStr">
        <is>
          <t>GÄVLEBORGS LÄN</t>
        </is>
      </c>
      <c r="G214" t="inlineStr">
        <is>
          <t>OCKELBO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46316</v>
      </c>
      <c r="F215" t="inlineStr">
        <is>
          <t>GÄVLEBORGS LÄN</t>
        </is>
      </c>
      <c r="G215" t="inlineStr">
        <is>
          <t>OCKELBO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46053</v>
      </c>
      <c r="E216" s="1" t="n">
        <v>46316</v>
      </c>
      <c r="F216" t="inlineStr">
        <is>
          <t>GÄVLEBORGS LÄN</t>
        </is>
      </c>
      <c r="G216" t="inlineStr">
        <is>
          <t>OCKELBO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46316</v>
      </c>
      <c r="F217" t="inlineStr">
        <is>
          <t>GÄVLEBORGS LÄN</t>
        </is>
      </c>
      <c r="G217" t="inlineStr">
        <is>
          <t>OCKELBO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46316</v>
      </c>
      <c r="F218" t="inlineStr">
        <is>
          <t>GÄVLEBORGS LÄN</t>
        </is>
      </c>
      <c r="G218" t="inlineStr">
        <is>
          <t>OCKELBO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46316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46316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46316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45132</v>
      </c>
      <c r="E222" s="1" t="n">
        <v>46316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46316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46316</v>
      </c>
      <c r="F224" t="inlineStr">
        <is>
          <t>GÄVLEBORGS LÄN</t>
        </is>
      </c>
      <c r="G224" t="inlineStr">
        <is>
          <t>OCKELBO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46316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46316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46056</v>
      </c>
      <c r="E227" s="1" t="n">
        <v>46316</v>
      </c>
      <c r="F227" t="inlineStr">
        <is>
          <t>GÄVLEBORGS LÄN</t>
        </is>
      </c>
      <c r="G227" t="inlineStr">
        <is>
          <t>OCKELBO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46316</v>
      </c>
      <c r="F228" t="inlineStr">
        <is>
          <t>GÄVLEBORGS LÄN</t>
        </is>
      </c>
      <c r="G228" t="inlineStr">
        <is>
          <t>OCKELBO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46056</v>
      </c>
      <c r="E229" s="1" t="n">
        <v>46316</v>
      </c>
      <c r="F229" t="inlineStr">
        <is>
          <t>GÄVLEBORGS LÄN</t>
        </is>
      </c>
      <c r="G229" t="inlineStr">
        <is>
          <t>OCKELBO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46316</v>
      </c>
      <c r="F230" t="inlineStr">
        <is>
          <t>GÄVLEBORGS LÄN</t>
        </is>
      </c>
      <c r="G230" t="inlineStr">
        <is>
          <t>OCKELBO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46316</v>
      </c>
      <c r="F231" t="inlineStr">
        <is>
          <t>GÄVLEBORGS LÄN</t>
        </is>
      </c>
      <c r="G231" t="inlineStr">
        <is>
          <t>OCKELBO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46316</v>
      </c>
      <c r="F232" t="inlineStr">
        <is>
          <t>GÄVLEBORGS LÄN</t>
        </is>
      </c>
      <c r="G232" t="inlineStr">
        <is>
          <t>OCKELBO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45644</v>
      </c>
      <c r="E233" s="1" t="n">
        <v>46316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45602</v>
      </c>
      <c r="E234" s="1" t="n">
        <v>46316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46316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50689-2024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45602</v>
      </c>
      <c r="E236" s="1" t="n">
        <v>46316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45602</v>
      </c>
      <c r="E237" s="1" t="n">
        <v>46316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46316</v>
      </c>
      <c r="F238" t="inlineStr">
        <is>
          <t>GÄVLEBORGS LÄN</t>
        </is>
      </c>
      <c r="G238" t="inlineStr">
        <is>
          <t>OCKELBO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46316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9.800000000000001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46316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66825-2021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44522</v>
      </c>
      <c r="E241" s="1" t="n">
        <v>46316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46316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45554</v>
      </c>
      <c r="E243" s="1" t="n">
        <v>46316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45216</v>
      </c>
      <c r="E244" s="1" t="n">
        <v>46316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46316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44816</v>
      </c>
      <c r="E246" s="1" t="n">
        <v>46316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46316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46316</v>
      </c>
      <c r="F248" t="inlineStr">
        <is>
          <t>GÄVLEBORGS LÄN</t>
        </is>
      </c>
      <c r="G248" t="inlineStr">
        <is>
          <t>OCKELBO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46316</v>
      </c>
      <c r="F249" t="inlineStr">
        <is>
          <t>GÄVLEBORGS LÄN</t>
        </is>
      </c>
      <c r="G249" t="inlineStr">
        <is>
          <t>OCKELBO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61622-2021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46316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46316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44845</v>
      </c>
      <c r="E252" s="1" t="n">
        <v>46316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67768-2021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44525</v>
      </c>
      <c r="E253" s="1" t="n">
        <v>46316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46316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46316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46316</v>
      </c>
      <c r="F256" t="inlineStr">
        <is>
          <t>GÄVLEBORGS LÄN</t>
        </is>
      </c>
      <c r="G256" t="inlineStr">
        <is>
          <t>OCKELBO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46316</v>
      </c>
      <c r="F257" t="inlineStr">
        <is>
          <t>GÄVLEBORGS LÄN</t>
        </is>
      </c>
      <c r="G257" t="inlineStr">
        <is>
          <t>OCKELBO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46316</v>
      </c>
      <c r="F258" t="inlineStr">
        <is>
          <t>GÄVLEBORGS LÄN</t>
        </is>
      </c>
      <c r="G258" t="inlineStr">
        <is>
          <t>OCKELBO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46316</v>
      </c>
      <c r="F259" t="inlineStr">
        <is>
          <t>GÄVLEBORGS LÄN</t>
        </is>
      </c>
      <c r="G259" t="inlineStr">
        <is>
          <t>OCKELBO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46316</v>
      </c>
      <c r="F260" t="inlineStr">
        <is>
          <t>GÄVLEBORGS LÄN</t>
        </is>
      </c>
      <c r="G260" t="inlineStr">
        <is>
          <t>OCKELBO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46065</v>
      </c>
      <c r="E261" s="1" t="n">
        <v>46316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46316</v>
      </c>
      <c r="F262" t="inlineStr">
        <is>
          <t>GÄVLEBORGS LÄN</t>
        </is>
      </c>
      <c r="G262" t="inlineStr">
        <is>
          <t>OCKELBO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46316</v>
      </c>
      <c r="F263" t="inlineStr">
        <is>
          <t>GÄVLEBORGS LÄN</t>
        </is>
      </c>
      <c r="G263" t="inlineStr">
        <is>
          <t>OCKELBO</t>
        </is>
      </c>
      <c r="I263" t="n">
        <v>17.4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46316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46316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46316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46316</v>
      </c>
      <c r="F267" t="inlineStr">
        <is>
          <t>GÄVLEBORGS LÄN</t>
        </is>
      </c>
      <c r="G267" t="inlineStr">
        <is>
          <t>OCKELBO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46316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46316</v>
      </c>
      <c r="F269" t="inlineStr">
        <is>
          <t>GÄVLEBORGS LÄN</t>
        </is>
      </c>
      <c r="G269" t="inlineStr">
        <is>
          <t>OCKELBO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46316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46316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46316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46316</v>
      </c>
      <c r="F273" t="inlineStr">
        <is>
          <t>GÄVLEBORGS LÄN</t>
        </is>
      </c>
      <c r="G273" t="inlineStr">
        <is>
          <t>OCKELBO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46316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46316</v>
      </c>
      <c r="F275" t="inlineStr">
        <is>
          <t>GÄVLEBORGS LÄN</t>
        </is>
      </c>
      <c r="G275" t="inlineStr">
        <is>
          <t>OCKELBO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46316</v>
      </c>
      <c r="F276" t="inlineStr">
        <is>
          <t>GÄVLEBORGS LÄN</t>
        </is>
      </c>
      <c r="G276" t="inlineStr">
        <is>
          <t>OCKELBO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46316</v>
      </c>
      <c r="F277" t="inlineStr">
        <is>
          <t>GÄVLEBORGS LÄN</t>
        </is>
      </c>
      <c r="G277" t="inlineStr">
        <is>
          <t>OCKELBO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9505-2026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46316</v>
      </c>
      <c r="F278" t="inlineStr">
        <is>
          <t>GÄVLEBORGS LÄN</t>
        </is>
      </c>
      <c r="G278" t="inlineStr">
        <is>
          <t>OCKELBO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46316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46316</v>
      </c>
      <c r="F280" t="inlineStr">
        <is>
          <t>GÄVLEBORGS LÄN</t>
        </is>
      </c>
      <c r="G280" t="inlineStr">
        <is>
          <t>OCKELBO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46072</v>
      </c>
      <c r="E281" s="1" t="n">
        <v>46316</v>
      </c>
      <c r="F281" t="inlineStr">
        <is>
          <t>GÄVLEBORGS LÄN</t>
        </is>
      </c>
      <c r="G281" t="inlineStr">
        <is>
          <t>OCKELBO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46316</v>
      </c>
      <c r="F282" t="inlineStr">
        <is>
          <t>GÄVLEBORGS LÄN</t>
        </is>
      </c>
      <c r="G282" t="inlineStr">
        <is>
          <t>OCKELBO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46316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46316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46316</v>
      </c>
      <c r="F285" t="inlineStr">
        <is>
          <t>GÄVLEBORGS LÄN</t>
        </is>
      </c>
      <c r="G285" t="inlineStr">
        <is>
          <t>OCKELBO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46316</v>
      </c>
      <c r="F286" t="inlineStr">
        <is>
          <t>GÄVLEBORGS LÄN</t>
        </is>
      </c>
      <c r="G286" t="inlineStr">
        <is>
          <t>OCKELBO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46316</v>
      </c>
      <c r="F287" t="inlineStr">
        <is>
          <t>GÄVLEBORGS LÄN</t>
        </is>
      </c>
      <c r="G287" t="inlineStr">
        <is>
          <t>OCKELBO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46316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46316</v>
      </c>
      <c r="F289" t="inlineStr">
        <is>
          <t>GÄVLEBORGS LÄN</t>
        </is>
      </c>
      <c r="G289" t="inlineStr">
        <is>
          <t>OCKELBO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46078</v>
      </c>
      <c r="E290" s="1" t="n">
        <v>46316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46316</v>
      </c>
      <c r="F291" t="inlineStr">
        <is>
          <t>GÄVLEBORGS LÄN</t>
        </is>
      </c>
      <c r="G291" t="inlineStr">
        <is>
          <t>OCKELBO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46316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46316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46316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öst AB</t>
        </is>
      </c>
      <c r="I294" t="n">
        <v>45.7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46316</v>
      </c>
      <c r="F295" t="inlineStr">
        <is>
          <t>GÄVLEBORGS LÄN</t>
        </is>
      </c>
      <c r="G295" t="inlineStr">
        <is>
          <t>OCKELBO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46316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46316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46077</v>
      </c>
      <c r="E298" s="1" t="n">
        <v>46316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öst AB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46316</v>
      </c>
      <c r="F299" t="inlineStr">
        <is>
          <t>GÄVLEBORGS LÄN</t>
        </is>
      </c>
      <c r="G299" t="inlineStr">
        <is>
          <t>OCKELBO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46316</v>
      </c>
      <c r="F300" t="inlineStr">
        <is>
          <t>GÄVLEBORGS LÄN</t>
        </is>
      </c>
      <c r="G300" t="inlineStr">
        <is>
          <t>OCKELBO</t>
        </is>
      </c>
      <c r="I300" t="n">
        <v>11.1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46316</v>
      </c>
      <c r="F301" t="inlineStr">
        <is>
          <t>GÄVLEBORGS LÄN</t>
        </is>
      </c>
      <c r="G301" t="inlineStr">
        <is>
          <t>OCKELBO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46316</v>
      </c>
      <c r="F302" t="inlineStr">
        <is>
          <t>GÄVLEBORGS LÄN</t>
        </is>
      </c>
      <c r="G302" t="inlineStr">
        <is>
          <t>OCKELBO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46316</v>
      </c>
      <c r="F303" t="inlineStr">
        <is>
          <t>GÄVLEBORGS LÄN</t>
        </is>
      </c>
      <c r="G303" t="inlineStr">
        <is>
          <t>OCKELBO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46316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46316</v>
      </c>
      <c r="F305" t="inlineStr">
        <is>
          <t>GÄVLEBORGS LÄN</t>
        </is>
      </c>
      <c r="G305" t="inlineStr">
        <is>
          <t>OCKELBO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46316</v>
      </c>
      <c r="F306" t="inlineStr">
        <is>
          <t>GÄVLEBORGS LÄN</t>
        </is>
      </c>
      <c r="G306" t="inlineStr">
        <is>
          <t>OCKELBO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46316</v>
      </c>
      <c r="F307" t="inlineStr">
        <is>
          <t>GÄVLEBORGS LÄN</t>
        </is>
      </c>
      <c r="G307" t="inlineStr">
        <is>
          <t>OCKELBO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31822-2025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46316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46316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46083</v>
      </c>
      <c r="E310" s="1" t="n">
        <v>46316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öst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46316</v>
      </c>
      <c r="F311" t="inlineStr">
        <is>
          <t>GÄVLEBORGS LÄN</t>
        </is>
      </c>
      <c r="G311" t="inlineStr">
        <is>
          <t>OCKELBO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46316</v>
      </c>
      <c r="F312" t="inlineStr">
        <is>
          <t>GÄVLEBORGS LÄN</t>
        </is>
      </c>
      <c r="G312" t="inlineStr">
        <is>
          <t>OCKELBO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46316</v>
      </c>
      <c r="F313" t="inlineStr">
        <is>
          <t>GÄVLEBORGS LÄN</t>
        </is>
      </c>
      <c r="G313" t="inlineStr">
        <is>
          <t>OCKELBO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46089</v>
      </c>
      <c r="E314" s="1" t="n">
        <v>46316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29.9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45169</v>
      </c>
      <c r="E315" s="1" t="n">
        <v>46316</v>
      </c>
      <c r="F315" t="inlineStr">
        <is>
          <t>GÄVLEBORGS LÄN</t>
        </is>
      </c>
      <c r="G315" t="inlineStr">
        <is>
          <t>OCKELBO</t>
        </is>
      </c>
      <c r="I315" t="n">
        <v>13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46316</v>
      </c>
      <c r="F316" t="inlineStr">
        <is>
          <t>GÄVLEBORGS LÄN</t>
        </is>
      </c>
      <c r="G316" t="inlineStr">
        <is>
          <t>OCKELBO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46316</v>
      </c>
      <c r="F317" t="inlineStr">
        <is>
          <t>GÄVLEBORGS LÄN</t>
        </is>
      </c>
      <c r="G317" t="inlineStr">
        <is>
          <t>OCKELBO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46316</v>
      </c>
      <c r="F318" t="inlineStr">
        <is>
          <t>GÄVLEBORGS LÄN</t>
        </is>
      </c>
      <c r="G318" t="inlineStr">
        <is>
          <t>OCKELBO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46316</v>
      </c>
      <c r="F319" t="inlineStr">
        <is>
          <t>GÄVLEBORGS LÄN</t>
        </is>
      </c>
      <c r="G319" t="inlineStr">
        <is>
          <t>OCKELBO</t>
        </is>
      </c>
      <c r="H319" t="inlineStr">
        <is>
          <t>Naturvårdsverket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46316</v>
      </c>
      <c r="F320" t="inlineStr">
        <is>
          <t>GÄVLEBORGS LÄN</t>
        </is>
      </c>
      <c r="G320" t="inlineStr">
        <is>
          <t>OCKELBO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46316</v>
      </c>
      <c r="F321" t="inlineStr">
        <is>
          <t>GÄVLEBORGS LÄN</t>
        </is>
      </c>
      <c r="G321" t="inlineStr">
        <is>
          <t>OCKELBO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46316</v>
      </c>
      <c r="F322" t="inlineStr">
        <is>
          <t>GÄVLEBORGS LÄN</t>
        </is>
      </c>
      <c r="G322" t="inlineStr">
        <is>
          <t>OCKELBO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46316</v>
      </c>
      <c r="F323" t="inlineStr">
        <is>
          <t>GÄVLEBORGS LÄN</t>
        </is>
      </c>
      <c r="G323" t="inlineStr">
        <is>
          <t>OCKELBO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55422-2022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44887</v>
      </c>
      <c r="E324" s="1" t="n">
        <v>46316</v>
      </c>
      <c r="F324" t="inlineStr">
        <is>
          <t>GÄVLEBORGS LÄN</t>
        </is>
      </c>
      <c r="G324" t="inlineStr">
        <is>
          <t>OCKELBO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46316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46316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46316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46316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46316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36.6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46316</v>
      </c>
      <c r="F330" t="inlineStr">
        <is>
          <t>GÄVLEBORGS LÄN</t>
        </is>
      </c>
      <c r="G330" t="inlineStr">
        <is>
          <t>OCKELBO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46316</v>
      </c>
      <c r="F331" t="inlineStr">
        <is>
          <t>GÄVLEBORGS LÄN</t>
        </is>
      </c>
      <c r="G331" t="inlineStr">
        <is>
          <t>OCKELBO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46098</v>
      </c>
      <c r="E332" s="1" t="n">
        <v>46316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46097</v>
      </c>
      <c r="E333" s="1" t="n">
        <v>46316</v>
      </c>
      <c r="F333" t="inlineStr">
        <is>
          <t>GÄVLEBORGS LÄN</t>
        </is>
      </c>
      <c r="G333" t="inlineStr">
        <is>
          <t>OCKELBO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46316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46316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46316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52880-2025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46316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45954</v>
      </c>
      <c r="E338" s="1" t="n">
        <v>46316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46316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46098</v>
      </c>
      <c r="E340" s="1" t="n">
        <v>46316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46316</v>
      </c>
      <c r="F341" t="inlineStr">
        <is>
          <t>GÄVLEBORGS LÄN</t>
        </is>
      </c>
      <c r="G341" t="inlineStr">
        <is>
          <t>OCKELBO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46316</v>
      </c>
      <c r="F342" t="inlineStr">
        <is>
          <t>GÄVLEBORGS LÄN</t>
        </is>
      </c>
      <c r="G342" t="inlineStr">
        <is>
          <t>OCKELBO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14100-2026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46316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46316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46316</v>
      </c>
      <c r="F345" t="inlineStr">
        <is>
          <t>GÄVLEBORGS LÄN</t>
        </is>
      </c>
      <c r="G345" t="inlineStr">
        <is>
          <t>OCKELBO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46316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46316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15029-2026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46104</v>
      </c>
      <c r="E348" s="1" t="n">
        <v>46316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53391-2025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46316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46316</v>
      </c>
      <c r="F350" t="inlineStr">
        <is>
          <t>GÄVLEBORGS LÄN</t>
        </is>
      </c>
      <c r="G350" t="inlineStr">
        <is>
          <t>OCKELBO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46316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46316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46316</v>
      </c>
      <c r="F353" t="inlineStr">
        <is>
          <t>GÄVLEBORGS LÄN</t>
        </is>
      </c>
      <c r="G353" t="inlineStr">
        <is>
          <t>OCKELBO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46316</v>
      </c>
      <c r="F354" t="inlineStr">
        <is>
          <t>GÄVLEBORGS LÄN</t>
        </is>
      </c>
      <c r="G354" t="inlineStr">
        <is>
          <t>OCKELBO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46316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öst AB</t>
        </is>
      </c>
      <c r="I355" t="n">
        <v>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19178-2023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45048</v>
      </c>
      <c r="E356" s="1" t="n">
        <v>46316</v>
      </c>
      <c r="F356" t="inlineStr">
        <is>
          <t>GÄVLEBORGS LÄN</t>
        </is>
      </c>
      <c r="G356" t="inlineStr">
        <is>
          <t>OCKELBO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29954-2024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45488</v>
      </c>
      <c r="E357" s="1" t="n">
        <v>46316</v>
      </c>
      <c r="F357" t="inlineStr">
        <is>
          <t>GÄVLEBORGS LÄN</t>
        </is>
      </c>
      <c r="G357" t="inlineStr">
        <is>
          <t>OCKELBO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45581</v>
      </c>
      <c r="E358" s="1" t="n">
        <v>46316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46316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46316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46316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46316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46316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46316</v>
      </c>
      <c r="F364" t="inlineStr">
        <is>
          <t>GÄVLEBORGS LÄN</t>
        </is>
      </c>
      <c r="G364" t="inlineStr">
        <is>
          <t>OCKELBO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16535-2026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46316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46316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46316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46316</v>
      </c>
      <c r="F368" t="inlineStr">
        <is>
          <t>GÄVLEBORGS LÄN</t>
        </is>
      </c>
      <c r="G368" t="inlineStr">
        <is>
          <t>OCKELBO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46111</v>
      </c>
      <c r="E369" s="1" t="n">
        <v>46316</v>
      </c>
      <c r="F369" t="inlineStr">
        <is>
          <t>GÄVLEBORGS LÄN</t>
        </is>
      </c>
      <c r="G369" t="inlineStr">
        <is>
          <t>OCKELBO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45967</v>
      </c>
      <c r="E370" s="1" t="n">
        <v>46316</v>
      </c>
      <c r="F370" t="inlineStr">
        <is>
          <t>GÄVLEBORGS LÄN</t>
        </is>
      </c>
      <c r="G370" t="inlineStr">
        <is>
          <t>OCKELBO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45967</v>
      </c>
      <c r="E371" s="1" t="n">
        <v>46316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32011-2024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45510</v>
      </c>
      <c r="E372" s="1" t="n">
        <v>46316</v>
      </c>
      <c r="F372" t="inlineStr">
        <is>
          <t>GÄVLEBORGS LÄN</t>
        </is>
      </c>
      <c r="G372" t="inlineStr">
        <is>
          <t>OCKELBO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46114</v>
      </c>
      <c r="E373" s="1" t="n">
        <v>46316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9.4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16991-2026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46114</v>
      </c>
      <c r="E374" s="1" t="n">
        <v>46316</v>
      </c>
      <c r="F374" t="inlineStr">
        <is>
          <t>GÄVLEBORGS LÄN</t>
        </is>
      </c>
      <c r="G374" t="inlineStr">
        <is>
          <t>OCKELBO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46316</v>
      </c>
      <c r="F375" t="inlineStr">
        <is>
          <t>GÄVLEBORGS LÄN</t>
        </is>
      </c>
      <c r="G375" t="inlineStr">
        <is>
          <t>OCKELBO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17115-2026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46316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46316</v>
      </c>
      <c r="F377" t="inlineStr">
        <is>
          <t>GÄVLEBORGS LÄN</t>
        </is>
      </c>
      <c r="G377" t="inlineStr">
        <is>
          <t>OCKELBO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46076</v>
      </c>
      <c r="E378" s="1" t="n">
        <v>46316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öst AB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46316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öst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46316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öst AB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46316</v>
      </c>
      <c r="F381" t="inlineStr">
        <is>
          <t>GÄVLEBORGS LÄN</t>
        </is>
      </c>
      <c r="G381" t="inlineStr">
        <is>
          <t>OCKELBO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55726-2025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45972</v>
      </c>
      <c r="E382" s="1" t="n">
        <v>46316</v>
      </c>
      <c r="F382" t="inlineStr">
        <is>
          <t>GÄVLEBORGS LÄN</t>
        </is>
      </c>
      <c r="G382" t="inlineStr">
        <is>
          <t>OCKELBO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46076</v>
      </c>
      <c r="E383" s="1" t="n">
        <v>46316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öst AB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46119</v>
      </c>
      <c r="E384" s="1" t="n">
        <v>46316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46118</v>
      </c>
      <c r="E385" s="1" t="n">
        <v>46316</v>
      </c>
      <c r="F385" t="inlineStr">
        <is>
          <t>GÄVLEBORGS LÄN</t>
        </is>
      </c>
      <c r="G385" t="inlineStr">
        <is>
          <t>OCKELBO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45973</v>
      </c>
      <c r="E386" s="1" t="n">
        <v>46316</v>
      </c>
      <c r="F386" t="inlineStr">
        <is>
          <t>GÄVLEBORGS LÄN</t>
        </is>
      </c>
      <c r="G386" t="inlineStr">
        <is>
          <t>OCKELBO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45973</v>
      </c>
      <c r="E387" s="1" t="n">
        <v>46316</v>
      </c>
      <c r="F387" t="inlineStr">
        <is>
          <t>GÄVLEBORGS LÄN</t>
        </is>
      </c>
      <c r="G387" t="inlineStr">
        <is>
          <t>OCKELBO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45972</v>
      </c>
      <c r="E388" s="1" t="n">
        <v>46316</v>
      </c>
      <c r="F388" t="inlineStr">
        <is>
          <t>GÄVLEBORGS LÄN</t>
        </is>
      </c>
      <c r="G388" t="inlineStr">
        <is>
          <t>OCKELBO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46316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46316</v>
      </c>
      <c r="F390" t="inlineStr">
        <is>
          <t>GÄVLEBORGS LÄN</t>
        </is>
      </c>
      <c r="G390" t="inlineStr">
        <is>
          <t>OCKELBO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46316</v>
      </c>
      <c r="F391" t="inlineStr">
        <is>
          <t>GÄVLEBORGS LÄN</t>
        </is>
      </c>
      <c r="G391" t="inlineStr">
        <is>
          <t>OCKELBO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46316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45972</v>
      </c>
      <c r="E393" s="1" t="n">
        <v>46316</v>
      </c>
      <c r="F393" t="inlineStr">
        <is>
          <t>GÄVLEBORGS LÄN</t>
        </is>
      </c>
      <c r="G393" t="inlineStr">
        <is>
          <t>OCKELBO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55911-2025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45973</v>
      </c>
      <c r="E394" s="1" t="n">
        <v>46316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46316</v>
      </c>
      <c r="F395" t="inlineStr">
        <is>
          <t>GÄVLEBORGS LÄN</t>
        </is>
      </c>
      <c r="G395" t="inlineStr">
        <is>
          <t>OCKELBO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46316</v>
      </c>
      <c r="F396" t="inlineStr">
        <is>
          <t>GÄVLEBORGS LÄN</t>
        </is>
      </c>
      <c r="G396" t="inlineStr">
        <is>
          <t>OCKELBO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46316</v>
      </c>
      <c r="F397" t="inlineStr">
        <is>
          <t>GÄVLEBORGS LÄN</t>
        </is>
      </c>
      <c r="G397" t="inlineStr">
        <is>
          <t>OCKELBO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46316</v>
      </c>
      <c r="F398" t="inlineStr">
        <is>
          <t>GÄVLEBORGS LÄN</t>
        </is>
      </c>
      <c r="G398" t="inlineStr">
        <is>
          <t>OCKELBO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46316</v>
      </c>
      <c r="F399" t="inlineStr">
        <is>
          <t>GÄVLEBORGS LÄN</t>
        </is>
      </c>
      <c r="G399" t="inlineStr">
        <is>
          <t>OCKELBO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18133-2026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46125</v>
      </c>
      <c r="E400" s="1" t="n">
        <v>46316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18234-2026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46316</v>
      </c>
      <c r="F401" t="inlineStr">
        <is>
          <t>GÄVLEBORGS LÄN</t>
        </is>
      </c>
      <c r="G401" t="inlineStr">
        <is>
          <t>OCKELBO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18248-2026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46316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46316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46316</v>
      </c>
      <c r="F404" t="inlineStr">
        <is>
          <t>GÄVLEBORGS LÄN</t>
        </is>
      </c>
      <c r="G404" t="inlineStr">
        <is>
          <t>OCKELBO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46316</v>
      </c>
      <c r="F405" t="inlineStr">
        <is>
          <t>GÄVLEBORGS LÄN</t>
        </is>
      </c>
      <c r="G405" t="inlineStr">
        <is>
          <t>OCKELBO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56888-2025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46316</v>
      </c>
      <c r="F406" t="inlineStr">
        <is>
          <t>GÄVLEBORGS LÄN</t>
        </is>
      </c>
      <c r="G406" t="inlineStr">
        <is>
          <t>OCKELBO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46316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46316</v>
      </c>
      <c r="F408" t="inlineStr">
        <is>
          <t>GÄVLEBORGS LÄN</t>
        </is>
      </c>
      <c r="G408" t="inlineStr">
        <is>
          <t>OCKELBO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46316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46316</v>
      </c>
      <c r="F410" t="inlineStr">
        <is>
          <t>GÄVLEBORGS LÄN</t>
        </is>
      </c>
      <c r="G410" t="inlineStr">
        <is>
          <t>OCKELBO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46316</v>
      </c>
      <c r="F411" t="inlineStr">
        <is>
          <t>GÄVLEBORGS LÄN</t>
        </is>
      </c>
      <c r="G411" t="inlineStr">
        <is>
          <t>OCKELBO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46316</v>
      </c>
      <c r="F412" t="inlineStr">
        <is>
          <t>GÄVLEBORGS LÄN</t>
        </is>
      </c>
      <c r="G412" t="inlineStr">
        <is>
          <t>OCKELBO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16572-2026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46112</v>
      </c>
      <c r="E413" s="1" t="n">
        <v>46316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46316</v>
      </c>
      <c r="F414" t="inlineStr">
        <is>
          <t>GÄVLEBORGS LÄN</t>
        </is>
      </c>
      <c r="G414" t="inlineStr">
        <is>
          <t>OCKELBO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46316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46316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45223</v>
      </c>
      <c r="E417" s="1" t="n">
        <v>46316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56876-2025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46316</v>
      </c>
      <c r="F418" t="inlineStr">
        <is>
          <t>GÄVLEBORGS LÄN</t>
        </is>
      </c>
      <c r="G418" t="inlineStr">
        <is>
          <t>OCKELBO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56803-2025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46316</v>
      </c>
      <c r="F419" t="inlineStr">
        <is>
          <t>GÄVLEBORGS LÄN</t>
        </is>
      </c>
      <c r="G419" t="inlineStr">
        <is>
          <t>OCKELBO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46316</v>
      </c>
      <c r="F420" t="inlineStr">
        <is>
          <t>GÄVLEBORGS LÄN</t>
        </is>
      </c>
      <c r="G420" t="inlineStr">
        <is>
          <t>OCKELBO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46316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öst AB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46127</v>
      </c>
      <c r="E422" s="1" t="n">
        <v>46316</v>
      </c>
      <c r="F422" t="inlineStr">
        <is>
          <t>GÄVLEBORGS LÄN</t>
        </is>
      </c>
      <c r="G422" t="inlineStr">
        <is>
          <t>OCKELBO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46316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19271-2026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46316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46316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19277-2026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46316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46316</v>
      </c>
      <c r="F427" t="inlineStr">
        <is>
          <t>GÄVLEBORGS LÄN</t>
        </is>
      </c>
      <c r="G427" t="inlineStr">
        <is>
          <t>OCKELBO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46316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46316</v>
      </c>
      <c r="F429" t="inlineStr">
        <is>
          <t>GÄVLEBORGS LÄN</t>
        </is>
      </c>
      <c r="G429" t="inlineStr">
        <is>
          <t>OCKELBO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46316</v>
      </c>
      <c r="F430" t="inlineStr">
        <is>
          <t>GÄVLEBORGS LÄN</t>
        </is>
      </c>
      <c r="G430" t="inlineStr">
        <is>
          <t>OCKELBO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46316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46316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46316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46316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58295-2025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46316</v>
      </c>
      <c r="F435" t="inlineStr">
        <is>
          <t>GÄVLEBORGS LÄN</t>
        </is>
      </c>
      <c r="G435" t="inlineStr">
        <is>
          <t>OCKELBO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46316</v>
      </c>
      <c r="F436" t="inlineStr">
        <is>
          <t>GÄVLEBORGS LÄN</t>
        </is>
      </c>
      <c r="G436" t="inlineStr">
        <is>
          <t>OCKELBO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46134</v>
      </c>
      <c r="E437" s="1" t="n">
        <v>46316</v>
      </c>
      <c r="F437" t="inlineStr">
        <is>
          <t>GÄVLEBORGS LÄN</t>
        </is>
      </c>
      <c r="G437" t="inlineStr">
        <is>
          <t>OCKELBO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46316</v>
      </c>
      <c r="F438" t="inlineStr">
        <is>
          <t>GÄVLEBORGS LÄN</t>
        </is>
      </c>
      <c r="G438" t="inlineStr">
        <is>
          <t>OCKELBO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46316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17208-2026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46316</v>
      </c>
      <c r="F440" t="inlineStr">
        <is>
          <t>GÄVLEBORGS LÄN</t>
        </is>
      </c>
      <c r="G440" t="inlineStr">
        <is>
          <t>OCKELBO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19431-2026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46316</v>
      </c>
      <c r="F441" t="inlineStr">
        <is>
          <t>GÄVLEBORGS LÄN</t>
        </is>
      </c>
      <c r="G441" t="inlineStr">
        <is>
          <t>OCKELBO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46134</v>
      </c>
      <c r="E442" s="1" t="n">
        <v>46316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58770-2025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46316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45109</v>
      </c>
      <c r="E444" s="1" t="n">
        <v>46316</v>
      </c>
      <c r="F444" t="inlineStr">
        <is>
          <t>GÄVLEBORGS LÄN</t>
        </is>
      </c>
      <c r="G444" t="inlineStr">
        <is>
          <t>OCKELBO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46316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45073</v>
      </c>
      <c r="E446" s="1" t="n">
        <v>46316</v>
      </c>
      <c r="F446" t="inlineStr">
        <is>
          <t>GÄVLEBORGS LÄN</t>
        </is>
      </c>
      <c r="G446" t="inlineStr">
        <is>
          <t>OCKELBO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46316</v>
      </c>
      <c r="F447" t="inlineStr">
        <is>
          <t>GÄVLEBORGS LÄN</t>
        </is>
      </c>
      <c r="G447" t="inlineStr">
        <is>
          <t>OCKELBO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46316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46064</v>
      </c>
      <c r="E449" s="1" t="n">
        <v>46316</v>
      </c>
      <c r="F449" t="inlineStr">
        <is>
          <t>GÄVLEBORGS LÄN</t>
        </is>
      </c>
      <c r="G449" t="inlineStr">
        <is>
          <t>OCKELBO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45184</v>
      </c>
      <c r="E450" s="1" t="n">
        <v>46316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46137</v>
      </c>
      <c r="E451" s="1" t="n">
        <v>46316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45800</v>
      </c>
      <c r="E452" s="1" t="n">
        <v>46316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46316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46316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45946</v>
      </c>
      <c r="E455" s="1" t="n">
        <v>46316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30242-2024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45490</v>
      </c>
      <c r="E456" s="1" t="n">
        <v>46316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46316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35017-2025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45851</v>
      </c>
      <c r="E458" s="1" t="n">
        <v>46316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15694-2022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44663</v>
      </c>
      <c r="E459" s="1" t="n">
        <v>46316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45995</v>
      </c>
      <c r="E460" s="1" t="n">
        <v>46316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60183-2025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45994</v>
      </c>
      <c r="E461" s="1" t="n">
        <v>46316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46316-2025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46316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46316</v>
      </c>
      <c r="F463" t="inlineStr">
        <is>
          <t>GÄVLEBORGS LÄN</t>
        </is>
      </c>
      <c r="G463" t="inlineStr">
        <is>
          <t>OCKELBO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46316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46316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46316</v>
      </c>
      <c r="F466" t="inlineStr">
        <is>
          <t>GÄVLEBORGS LÄN</t>
        </is>
      </c>
      <c r="G466" t="inlineStr">
        <is>
          <t>OCKELBO</t>
        </is>
      </c>
      <c r="I466" t="n">
        <v>6.6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36604-2025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45870</v>
      </c>
      <c r="E467" s="1" t="n">
        <v>46316</v>
      </c>
      <c r="F467" t="inlineStr">
        <is>
          <t>GÄVLEBORGS LÄN</t>
        </is>
      </c>
      <c r="G467" t="inlineStr">
        <is>
          <t>OCKELBO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46316</v>
      </c>
      <c r="F468" t="inlineStr">
        <is>
          <t>GÄVLEBORGS LÄN</t>
        </is>
      </c>
      <c r="G468" t="inlineStr">
        <is>
          <t>OCKELBO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60616-2025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45996</v>
      </c>
      <c r="E469" s="1" t="n">
        <v>46316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42585-2023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45181</v>
      </c>
      <c r="E470" s="1" t="n">
        <v>46316</v>
      </c>
      <c r="F470" t="inlineStr">
        <is>
          <t>GÄVLEBORGS LÄN</t>
        </is>
      </c>
      <c r="G470" t="inlineStr">
        <is>
          <t>OCKELBO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46316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46316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45608</v>
      </c>
      <c r="E473" s="1" t="n">
        <v>46316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52243-2024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45608</v>
      </c>
      <c r="E474" s="1" t="n">
        <v>46316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45656</v>
      </c>
      <c r="E475" s="1" t="n">
        <v>46316</v>
      </c>
      <c r="F475" t="inlineStr">
        <is>
          <t>GÄVLEBORGS LÄN</t>
        </is>
      </c>
      <c r="G475" t="inlineStr">
        <is>
          <t>OCKELBO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44700</v>
      </c>
      <c r="E476" s="1" t="n">
        <v>46316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46137</v>
      </c>
      <c r="E477" s="1" t="n">
        <v>46316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20150-2026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46137</v>
      </c>
      <c r="E478" s="1" t="n">
        <v>46316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46316</v>
      </c>
      <c r="F479" t="inlineStr">
        <is>
          <t>GÄVLEBORGS LÄN</t>
        </is>
      </c>
      <c r="G479" t="inlineStr">
        <is>
          <t>OCKELBO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45803</v>
      </c>
      <c r="E480" s="1" t="n">
        <v>46316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45800</v>
      </c>
      <c r="E481" s="1" t="n">
        <v>46316</v>
      </c>
      <c r="F481" t="inlineStr">
        <is>
          <t>GÄVLEBORGS LÄN</t>
        </is>
      </c>
      <c r="G481" t="inlineStr">
        <is>
          <t>OCKELBO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46316</v>
      </c>
      <c r="F482" t="inlineStr">
        <is>
          <t>GÄVLEBORGS LÄN</t>
        </is>
      </c>
      <c r="G482" t="inlineStr">
        <is>
          <t>OCKELBO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46316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61335-2022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44915</v>
      </c>
      <c r="E484" s="1" t="n">
        <v>46316</v>
      </c>
      <c r="F484" t="inlineStr">
        <is>
          <t>GÄVLEBORGS LÄN</t>
        </is>
      </c>
      <c r="G484" t="inlineStr">
        <is>
          <t>OCKELBO</t>
        </is>
      </c>
      <c r="I484" t="n">
        <v>8.5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28966-2025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45821</v>
      </c>
      <c r="E485" s="1" t="n">
        <v>46316</v>
      </c>
      <c r="F485" t="inlineStr">
        <is>
          <t>GÄVLEBORGS LÄN</t>
        </is>
      </c>
      <c r="G485" t="inlineStr">
        <is>
          <t>OCKELBO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47841-2023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46316</v>
      </c>
      <c r="F486" t="inlineStr">
        <is>
          <t>GÄVLEBORGS LÄN</t>
        </is>
      </c>
      <c r="G486" t="inlineStr">
        <is>
          <t>OCKELBO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46316</v>
      </c>
      <c r="F487" t="inlineStr">
        <is>
          <t>GÄVLEBORGS LÄN</t>
        </is>
      </c>
      <c r="G487" t="inlineStr">
        <is>
          <t>OCKELBO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5571-2024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45334</v>
      </c>
      <c r="E488" s="1" t="n">
        <v>46316</v>
      </c>
      <c r="F488" t="inlineStr">
        <is>
          <t>GÄVLEBORGS LÄN</t>
        </is>
      </c>
      <c r="G488" t="inlineStr">
        <is>
          <t>OCKELBO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46316</v>
      </c>
      <c r="F489" t="inlineStr">
        <is>
          <t>GÄVLEBORGS LÄN</t>
        </is>
      </c>
      <c r="G489" t="inlineStr">
        <is>
          <t>OCKELBO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60915-2024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46316</v>
      </c>
      <c r="F490" t="inlineStr">
        <is>
          <t>GÄVLEBORGS LÄN</t>
        </is>
      </c>
      <c r="G490" t="inlineStr">
        <is>
          <t>OCKELBO</t>
        </is>
      </c>
      <c r="H490" t="inlineStr">
        <is>
          <t>Kyrkan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20251-2026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46139</v>
      </c>
      <c r="E491" s="1" t="n">
        <v>46316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45478</v>
      </c>
      <c r="E492" s="1" t="n">
        <v>46316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45441</v>
      </c>
      <c r="E493" s="1" t="n">
        <v>46316</v>
      </c>
      <c r="F493" t="inlineStr">
        <is>
          <t>GÄVLEBORGS LÄN</t>
        </is>
      </c>
      <c r="G493" t="inlineStr">
        <is>
          <t>OCKELBO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46107</v>
      </c>
      <c r="E494" s="1" t="n">
        <v>46316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46316</v>
      </c>
      <c r="F495" t="inlineStr">
        <is>
          <t>GÄVLEBORGS LÄN</t>
        </is>
      </c>
      <c r="G495" t="inlineStr">
        <is>
          <t>OCKELBO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19924-2026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46136</v>
      </c>
      <c r="E496" s="1" t="n">
        <v>46316</v>
      </c>
      <c r="F496" t="inlineStr">
        <is>
          <t>GÄVLEBORGS LÄN</t>
        </is>
      </c>
      <c r="G496" t="inlineStr">
        <is>
          <t>OCKELBO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19945-2026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46136</v>
      </c>
      <c r="E497" s="1" t="n">
        <v>46316</v>
      </c>
      <c r="F497" t="inlineStr">
        <is>
          <t>GÄVLEBORGS LÄN</t>
        </is>
      </c>
      <c r="G497" t="inlineStr">
        <is>
          <t>OCKELBO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46316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46138</v>
      </c>
      <c r="E499" s="1" t="n">
        <v>46316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46316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46316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46316</v>
      </c>
      <c r="F502" t="inlineStr">
        <is>
          <t>GÄVLEBORGS LÄN</t>
        </is>
      </c>
      <c r="G502" t="inlineStr">
        <is>
          <t>OCKELBO</t>
        </is>
      </c>
      <c r="I502" t="n">
        <v>14.7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45450</v>
      </c>
      <c r="E503" s="1" t="n">
        <v>46316</v>
      </c>
      <c r="F503" t="inlineStr">
        <is>
          <t>GÄVLEBORGS LÄN</t>
        </is>
      </c>
      <c r="G503" t="inlineStr">
        <is>
          <t>OCKELBO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46316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46034</v>
      </c>
      <c r="E505" s="1" t="n">
        <v>46316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33079-2025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45840</v>
      </c>
      <c r="E506" s="1" t="n">
        <v>46316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46316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46316</v>
      </c>
      <c r="F508" t="inlineStr">
        <is>
          <t>GÄVLEBORGS LÄN</t>
        </is>
      </c>
      <c r="G508" t="inlineStr">
        <is>
          <t>OCKELBO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46316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46064</v>
      </c>
      <c r="E510" s="1" t="n">
        <v>46316</v>
      </c>
      <c r="F510" t="inlineStr">
        <is>
          <t>GÄVLEBORGS LÄN</t>
        </is>
      </c>
      <c r="G510" t="inlineStr">
        <is>
          <t>OCKELBO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46035</v>
      </c>
      <c r="E511" s="1" t="n">
        <v>46316</v>
      </c>
      <c r="F511" t="inlineStr">
        <is>
          <t>GÄVLEBORGS LÄN</t>
        </is>
      </c>
      <c r="G511" t="inlineStr">
        <is>
          <t>OCKELBO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46316</v>
      </c>
      <c r="F512" t="inlineStr">
        <is>
          <t>GÄVLEBORGS LÄN</t>
        </is>
      </c>
      <c r="G512" t="inlineStr">
        <is>
          <t>OCKELBO</t>
        </is>
      </c>
      <c r="I512" t="n">
        <v>11.9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29963-2024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45488</v>
      </c>
      <c r="E513" s="1" t="n">
        <v>46316</v>
      </c>
      <c r="F513" t="inlineStr">
        <is>
          <t>GÄVLEBORGS LÄN</t>
        </is>
      </c>
      <c r="G513" t="inlineStr">
        <is>
          <t>OCKELBO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22151-2022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44712</v>
      </c>
      <c r="E514" s="1" t="n">
        <v>46316</v>
      </c>
      <c r="F514" t="inlineStr">
        <is>
          <t>GÄVLEBORGS LÄN</t>
        </is>
      </c>
      <c r="G514" t="inlineStr">
        <is>
          <t>OCKELBO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46316</v>
      </c>
      <c r="F515" t="inlineStr">
        <is>
          <t>GÄVLEBORGS LÄN</t>
        </is>
      </c>
      <c r="G515" t="inlineStr">
        <is>
          <t>OCKELBO</t>
        </is>
      </c>
      <c r="I515" t="n">
        <v>36.1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46316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46316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46316</v>
      </c>
      <c r="F518" t="inlineStr">
        <is>
          <t>GÄVLEBORGS LÄN</t>
        </is>
      </c>
      <c r="G518" t="inlineStr">
        <is>
          <t>OCKELBO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45111</v>
      </c>
      <c r="E519" s="1" t="n">
        <v>46316</v>
      </c>
      <c r="F519" t="inlineStr">
        <is>
          <t>GÄVLEBORGS LÄN</t>
        </is>
      </c>
      <c r="G519" t="inlineStr">
        <is>
          <t>OCKELBO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30422-2023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46316</v>
      </c>
      <c r="F520" t="inlineStr">
        <is>
          <t>GÄVLEBORGS LÄN</t>
        </is>
      </c>
      <c r="G520" t="inlineStr">
        <is>
          <t>OCKELBO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46316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46316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55112-2023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45237</v>
      </c>
      <c r="E523" s="1" t="n">
        <v>46316</v>
      </c>
      <c r="F523" t="inlineStr">
        <is>
          <t>GÄVLEBORGS LÄN</t>
        </is>
      </c>
      <c r="G523" t="inlineStr">
        <is>
          <t>OCKELBO</t>
        </is>
      </c>
      <c r="I523" t="n">
        <v>14.6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46316</v>
      </c>
      <c r="F524" t="inlineStr">
        <is>
          <t>GÄVLEBORGS LÄN</t>
        </is>
      </c>
      <c r="G524" t="inlineStr">
        <is>
          <t>OCKELBO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46063</v>
      </c>
      <c r="E525" s="1" t="n">
        <v>46316</v>
      </c>
      <c r="F525" t="inlineStr">
        <is>
          <t>GÄVLEBORGS LÄN</t>
        </is>
      </c>
      <c r="G525" t="inlineStr">
        <is>
          <t>OCKELBO</t>
        </is>
      </c>
      <c r="I525" t="n">
        <v>11.5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20641-2026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46141</v>
      </c>
      <c r="E526" s="1" t="n">
        <v>46316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45747</v>
      </c>
      <c r="E527" s="1" t="n">
        <v>46316</v>
      </c>
      <c r="F527" t="inlineStr">
        <is>
          <t>GÄVLEBORGS LÄN</t>
        </is>
      </c>
      <c r="G527" t="inlineStr">
        <is>
          <t>OCKELBO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46316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29953-2024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45488</v>
      </c>
      <c r="E529" s="1" t="n">
        <v>46316</v>
      </c>
      <c r="F529" t="inlineStr">
        <is>
          <t>GÄVLEBORGS LÄN</t>
        </is>
      </c>
      <c r="G529" t="inlineStr">
        <is>
          <t>OCKELBO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46316</v>
      </c>
      <c r="F530" t="inlineStr">
        <is>
          <t>GÄVLEBORGS LÄN</t>
        </is>
      </c>
      <c r="G530" t="inlineStr">
        <is>
          <t>OCKELBO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34792-2024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45526</v>
      </c>
      <c r="E531" s="1" t="n">
        <v>46316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46316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29968-2024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45488</v>
      </c>
      <c r="E533" s="1" t="n">
        <v>46316</v>
      </c>
      <c r="F533" t="inlineStr">
        <is>
          <t>GÄVLEBORGS LÄN</t>
        </is>
      </c>
      <c r="G533" t="inlineStr">
        <is>
          <t>OCKELBO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46316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46091</v>
      </c>
      <c r="E535" s="1" t="n">
        <v>46316</v>
      </c>
      <c r="F535" t="inlineStr">
        <is>
          <t>GÄVLEBORGS LÄN</t>
        </is>
      </c>
      <c r="G535" t="inlineStr">
        <is>
          <t>OCKELBO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9964-2025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46316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46316</v>
      </c>
      <c r="F537" t="inlineStr">
        <is>
          <t>GÄVLEBORGS LÄN</t>
        </is>
      </c>
      <c r="G537" t="inlineStr">
        <is>
          <t>OCKELBO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46316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46316</v>
      </c>
      <c r="F539" t="inlineStr">
        <is>
          <t>GÄVLEBORGS LÄN</t>
        </is>
      </c>
      <c r="G539" t="inlineStr">
        <is>
          <t>OCKELBO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46316</v>
      </c>
      <c r="F540" t="inlineStr">
        <is>
          <t>GÄVLEBORGS LÄN</t>
        </is>
      </c>
      <c r="G540" t="inlineStr">
        <is>
          <t>OCKELBO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46316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46316</v>
      </c>
      <c r="F542" t="inlineStr">
        <is>
          <t>GÄVLEBORGS LÄN</t>
        </is>
      </c>
      <c r="G542" t="inlineStr">
        <is>
          <t>OCKELBO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46316</v>
      </c>
      <c r="F543" t="inlineStr">
        <is>
          <t>GÄVLEBORGS LÄN</t>
        </is>
      </c>
      <c r="G543" t="inlineStr">
        <is>
          <t>OCKELBO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45551</v>
      </c>
      <c r="E544" s="1" t="n">
        <v>46316</v>
      </c>
      <c r="F544" t="inlineStr">
        <is>
          <t>GÄVLEBORGS LÄN</t>
        </is>
      </c>
      <c r="G544" t="inlineStr">
        <is>
          <t>OCKELBO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46316</v>
      </c>
      <c r="F545" t="inlineStr">
        <is>
          <t>GÄVLEBORGS LÄN</t>
        </is>
      </c>
      <c r="G545" t="inlineStr">
        <is>
          <t>OCKELBO</t>
        </is>
      </c>
      <c r="I545" t="n">
        <v>9.300000000000001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46077</v>
      </c>
      <c r="E546" s="1" t="n">
        <v>46316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46316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46316</v>
      </c>
      <c r="F548" t="inlineStr">
        <is>
          <t>GÄVLEBORGS LÄN</t>
        </is>
      </c>
      <c r="G548" t="inlineStr">
        <is>
          <t>OCKELBO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47100-2024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45586</v>
      </c>
      <c r="E549" s="1" t="n">
        <v>46316</v>
      </c>
      <c r="F549" t="inlineStr">
        <is>
          <t>GÄVLEBORGS LÄN</t>
        </is>
      </c>
      <c r="G549" t="inlineStr">
        <is>
          <t>OCKELBO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14905-2026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46316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45994</v>
      </c>
      <c r="E551" s="1" t="n">
        <v>46316</v>
      </c>
      <c r="F551" t="inlineStr">
        <is>
          <t>GÄVLEBORGS LÄN</t>
        </is>
      </c>
      <c r="G551" t="inlineStr">
        <is>
          <t>OCKELBO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46316</v>
      </c>
      <c r="F552" t="inlineStr">
        <is>
          <t>GÄVLEBORGS LÄN</t>
        </is>
      </c>
      <c r="G552" t="inlineStr">
        <is>
          <t>OCKELBO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46316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46316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17951-2026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46122</v>
      </c>
      <c r="E555" s="1" t="n">
        <v>46316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45884</v>
      </c>
      <c r="E556" s="1" t="n">
        <v>46316</v>
      </c>
      <c r="F556" t="inlineStr">
        <is>
          <t>GÄVLEBORGS LÄN</t>
        </is>
      </c>
      <c r="G556" t="inlineStr">
        <is>
          <t>OCKELBO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45342</v>
      </c>
      <c r="E557" s="1" t="n">
        <v>46316</v>
      </c>
      <c r="F557" t="inlineStr">
        <is>
          <t>GÄVLEBORGS LÄN</t>
        </is>
      </c>
      <c r="G557" t="inlineStr">
        <is>
          <t>OCKELBO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18097-2026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46125</v>
      </c>
      <c r="E558" s="1" t="n">
        <v>46316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46316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öst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46147</v>
      </c>
      <c r="E560" s="1" t="n">
        <v>46316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öst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44970</v>
      </c>
      <c r="E561" s="1" t="n">
        <v>46316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21461-2026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46148</v>
      </c>
      <c r="E562" s="1" t="n">
        <v>46316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46316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46316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21640-2026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46149</v>
      </c>
      <c r="E565" s="1" t="n">
        <v>46316</v>
      </c>
      <c r="F565" t="inlineStr">
        <is>
          <t>GÄVLEBORGS LÄN</t>
        </is>
      </c>
      <c r="G565" t="inlineStr">
        <is>
          <t>OCKELBO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21459-2026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46316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46316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45754</v>
      </c>
      <c r="E568" s="1" t="n">
        <v>46316</v>
      </c>
      <c r="F568" t="inlineStr">
        <is>
          <t>GÄVLEBORGS LÄN</t>
        </is>
      </c>
      <c r="G568" t="inlineStr">
        <is>
          <t>OCKELBO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46316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46316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45330</v>
      </c>
      <c r="E571" s="1" t="n">
        <v>46316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22426-2026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46316</v>
      </c>
      <c r="F572" t="inlineStr">
        <is>
          <t>GÄVLEBORGS LÄN</t>
        </is>
      </c>
      <c r="G572" t="inlineStr">
        <is>
          <t>OCKELBO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9413-2026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46071</v>
      </c>
      <c r="E573" s="1" t="n">
        <v>46316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46316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46316</v>
      </c>
      <c r="F575" t="inlineStr">
        <is>
          <t>GÄVLEBORGS LÄN</t>
        </is>
      </c>
      <c r="G575" t="inlineStr">
        <is>
          <t>OCKELBO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58718-2025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46316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46316</v>
      </c>
      <c r="F577" t="inlineStr">
        <is>
          <t>GÄVLEBORGS LÄN</t>
        </is>
      </c>
      <c r="G577" t="inlineStr">
        <is>
          <t>OCKELBO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46609-2025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45926</v>
      </c>
      <c r="E578" s="1" t="n">
        <v>46316</v>
      </c>
      <c r="F578" t="inlineStr">
        <is>
          <t>GÄVLEBORGS LÄN</t>
        </is>
      </c>
      <c r="G578" t="inlineStr">
        <is>
          <t>OCKELBO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46155</v>
      </c>
      <c r="E579" s="1" t="n">
        <v>46316</v>
      </c>
      <c r="F579" t="inlineStr">
        <is>
          <t>GÄVLEBORGS LÄN</t>
        </is>
      </c>
      <c r="G579" t="inlineStr">
        <is>
          <t>OCKELBO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29534-2023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45106</v>
      </c>
      <c r="E580" s="1" t="n">
        <v>46316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46316</v>
      </c>
      <c r="F581" t="inlineStr">
        <is>
          <t>GÄVLEBORGS LÄN</t>
        </is>
      </c>
      <c r="G581" t="inlineStr">
        <is>
          <t>OCKELBO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22460-2026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46316</v>
      </c>
      <c r="F582" t="inlineStr">
        <is>
          <t>GÄVLEBORGS LÄN</t>
        </is>
      </c>
      <c r="G582" t="inlineStr">
        <is>
          <t>OCKELBO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46316</v>
      </c>
      <c r="F583" t="inlineStr">
        <is>
          <t>GÄVLEBORGS LÄN</t>
        </is>
      </c>
      <c r="G583" t="inlineStr">
        <is>
          <t>OCKELBO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46316</v>
      </c>
      <c r="F584" t="inlineStr">
        <is>
          <t>GÄVLEBORGS LÄN</t>
        </is>
      </c>
      <c r="G584" t="inlineStr">
        <is>
          <t>OCKELBO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6654-2026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46316</v>
      </c>
      <c r="F585" t="inlineStr">
        <is>
          <t>GÄVLEBORGS LÄN</t>
        </is>
      </c>
      <c r="G585" t="inlineStr">
        <is>
          <t>OCKELBO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43071-2025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45909</v>
      </c>
      <c r="E586" s="1" t="n">
        <v>46316</v>
      </c>
      <c r="F586" t="inlineStr">
        <is>
          <t>GÄVLEBORGS LÄN</t>
        </is>
      </c>
      <c r="G586" t="inlineStr">
        <is>
          <t>OCKELBO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46316</v>
      </c>
      <c r="F587" t="inlineStr">
        <is>
          <t>GÄVLEBORGS LÄN</t>
        </is>
      </c>
      <c r="G587" t="inlineStr">
        <is>
          <t>OCKELBO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46316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46088</v>
      </c>
      <c r="E589" s="1" t="n">
        <v>46316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46044</v>
      </c>
      <c r="E590" s="1" t="n">
        <v>46316</v>
      </c>
      <c r="F590" t="inlineStr">
        <is>
          <t>GÄVLEBORGS LÄN</t>
        </is>
      </c>
      <c r="G590" t="inlineStr">
        <is>
          <t>OCKELBO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46316</v>
      </c>
      <c r="F591" t="inlineStr">
        <is>
          <t>GÄVLEBORGS LÄN</t>
        </is>
      </c>
      <c r="G591" t="inlineStr">
        <is>
          <t>OCKELBO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46093</v>
      </c>
      <c r="E592" s="1" t="n">
        <v>46316</v>
      </c>
      <c r="F592" t="inlineStr">
        <is>
          <t>GÄVLEBORGS LÄN</t>
        </is>
      </c>
      <c r="G592" t="inlineStr">
        <is>
          <t>OCKELBO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46316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60122-2025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46316</v>
      </c>
      <c r="F594" t="inlineStr">
        <is>
          <t>GÄVLEBORGS LÄN</t>
        </is>
      </c>
      <c r="G594" t="inlineStr">
        <is>
          <t>OCKELBO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60120-2025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45994</v>
      </c>
      <c r="E595" s="1" t="n">
        <v>46316</v>
      </c>
      <c r="F595" t="inlineStr">
        <is>
          <t>GÄVLEBORGS LÄN</t>
        </is>
      </c>
      <c r="G595" t="inlineStr">
        <is>
          <t>OCKELBO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46156</v>
      </c>
      <c r="E596" s="1" t="n">
        <v>46316</v>
      </c>
      <c r="F596" t="inlineStr">
        <is>
          <t>GÄVLEBORGS LÄN</t>
        </is>
      </c>
      <c r="G596" t="inlineStr">
        <is>
          <t>OCKELBO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46316</v>
      </c>
      <c r="F597" t="inlineStr">
        <is>
          <t>GÄVLEBORGS LÄN</t>
        </is>
      </c>
      <c r="G597" t="inlineStr">
        <is>
          <t>OCKELBO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46316</v>
      </c>
      <c r="F598" t="inlineStr">
        <is>
          <t>GÄVLEBORGS LÄN</t>
        </is>
      </c>
      <c r="G598" t="inlineStr">
        <is>
          <t>OCKELBO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23040-2026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46161</v>
      </c>
      <c r="E599" s="1" t="n">
        <v>46316</v>
      </c>
      <c r="F599" t="inlineStr">
        <is>
          <t>GÄVLEBORGS LÄN</t>
        </is>
      </c>
      <c r="G599" t="inlineStr">
        <is>
          <t>OCKELBO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46316</v>
      </c>
      <c r="F600" t="inlineStr">
        <is>
          <t>GÄVLEBORGS LÄN</t>
        </is>
      </c>
      <c r="G600" t="inlineStr">
        <is>
          <t>OCKELBO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46316</v>
      </c>
      <c r="F601" t="inlineStr">
        <is>
          <t>GÄVLEBORGS LÄN</t>
        </is>
      </c>
      <c r="G601" t="inlineStr">
        <is>
          <t>OCKELBO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23149-2026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46316</v>
      </c>
      <c r="F602" t="inlineStr">
        <is>
          <t>GÄVLEBORGS LÄN</t>
        </is>
      </c>
      <c r="G602" t="inlineStr">
        <is>
          <t>OCKELBO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60148-2023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46316</v>
      </c>
      <c r="F603" t="inlineStr">
        <is>
          <t>GÄVLEBORGS LÄN</t>
        </is>
      </c>
      <c r="G603" t="inlineStr">
        <is>
          <t>OCKELBO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23513-2026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46163</v>
      </c>
      <c r="E604" s="1" t="n">
        <v>46316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14.7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9859-2025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45716</v>
      </c>
      <c r="E605" s="1" t="n">
        <v>46316</v>
      </c>
      <c r="F605" t="inlineStr">
        <is>
          <t>GÄVLEBORGS LÄN</t>
        </is>
      </c>
      <c r="G605" t="inlineStr">
        <is>
          <t>OCKELBO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65259-2023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45291</v>
      </c>
      <c r="E606" s="1" t="n">
        <v>46316</v>
      </c>
      <c r="F606" t="inlineStr">
        <is>
          <t>GÄVLEBORGS LÄN</t>
        </is>
      </c>
      <c r="G606" t="inlineStr">
        <is>
          <t>OCKELBO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45624</v>
      </c>
      <c r="E607" s="1" t="n">
        <v>46316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46164</v>
      </c>
      <c r="E608" s="1" t="n">
        <v>46316</v>
      </c>
      <c r="F608" t="inlineStr">
        <is>
          <t>GÄVLEBORGS LÄN</t>
        </is>
      </c>
      <c r="G608" t="inlineStr">
        <is>
          <t>OCKELBO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46164</v>
      </c>
      <c r="E609" s="1" t="n">
        <v>46316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39430-2024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45551</v>
      </c>
      <c r="E610" s="1" t="n">
        <v>46316</v>
      </c>
      <c r="F610" t="inlineStr">
        <is>
          <t>GÄVLEBORGS LÄN</t>
        </is>
      </c>
      <c r="G610" t="inlineStr">
        <is>
          <t>OCKELBO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46316</v>
      </c>
      <c r="F611" t="inlineStr">
        <is>
          <t>GÄVLEBORGS LÄN</t>
        </is>
      </c>
      <c r="G611" t="inlineStr">
        <is>
          <t>OCKELBO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24409-2026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46169</v>
      </c>
      <c r="E612" s="1" t="n">
        <v>46316</v>
      </c>
      <c r="F612" t="inlineStr">
        <is>
          <t>GÄVLEBORGS LÄN</t>
        </is>
      </c>
      <c r="G612" t="inlineStr">
        <is>
          <t>OCKELBO</t>
        </is>
      </c>
      <c r="I612" t="n">
        <v>8.1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24267-2026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46169</v>
      </c>
      <c r="E613" s="1" t="n">
        <v>46316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24333-2026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46169</v>
      </c>
      <c r="E614" s="1" t="n">
        <v>46316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46316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46169</v>
      </c>
      <c r="E616" s="1" t="n">
        <v>46316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24185-2026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46168</v>
      </c>
      <c r="E617" s="1" t="n">
        <v>46316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24408-2026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46316</v>
      </c>
      <c r="F618" t="inlineStr">
        <is>
          <t>GÄVLEBORGS LÄN</t>
        </is>
      </c>
      <c r="G618" t="inlineStr">
        <is>
          <t>OCKELBO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46316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24569-2026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46316</v>
      </c>
      <c r="F620" t="inlineStr">
        <is>
          <t>GÄVLEBORGS LÄN</t>
        </is>
      </c>
      <c r="G620" t="inlineStr">
        <is>
          <t>OCKELBO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46316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24567-2026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46316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24451-2026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46316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46316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46170</v>
      </c>
      <c r="E625" s="1" t="n">
        <v>46316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46316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46316</v>
      </c>
      <c r="F627" t="inlineStr">
        <is>
          <t>GÄVLEBORGS LÄN</t>
        </is>
      </c>
      <c r="G627" t="inlineStr">
        <is>
          <t>OCKELBO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46023</v>
      </c>
      <c r="E628" s="1" t="n">
        <v>46316</v>
      </c>
      <c r="F628" t="inlineStr">
        <is>
          <t>GÄVLEBORGS LÄN</t>
        </is>
      </c>
      <c r="G628" t="inlineStr">
        <is>
          <t>OCKELBO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46316</v>
      </c>
      <c r="F629" t="inlineStr">
        <is>
          <t>GÄVLEBORGS LÄN</t>
        </is>
      </c>
      <c r="G629" t="inlineStr">
        <is>
          <t>OCKELBO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54944-2025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45967</v>
      </c>
      <c r="E630" s="1" t="n">
        <v>46316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46316</v>
      </c>
      <c r="F631" t="inlineStr">
        <is>
          <t>GÄVLEBORGS LÄN</t>
        </is>
      </c>
      <c r="G631" t="inlineStr">
        <is>
          <t>OCKELBO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46174</v>
      </c>
      <c r="E632" s="1" t="n">
        <v>46316</v>
      </c>
      <c r="F632" t="inlineStr">
        <is>
          <t>GÄVLEBORGS LÄN</t>
        </is>
      </c>
      <c r="G632" t="inlineStr">
        <is>
          <t>OCKELBO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46316</v>
      </c>
      <c r="F633" t="inlineStr">
        <is>
          <t>GÄVLEBORGS LÄN</t>
        </is>
      </c>
      <c r="G633" t="inlineStr">
        <is>
          <t>OCKELBO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61732-2024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45649</v>
      </c>
      <c r="E634" s="1" t="n">
        <v>46316</v>
      </c>
      <c r="F634" t="inlineStr">
        <is>
          <t>GÄVLEBORGS LÄN</t>
        </is>
      </c>
      <c r="G634" t="inlineStr">
        <is>
          <t>OCKELBO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25128-2026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46175</v>
      </c>
      <c r="E635" s="1" t="n">
        <v>46316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46175</v>
      </c>
      <c r="E636" s="1" t="n">
        <v>46316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50968-2024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45603</v>
      </c>
      <c r="E637" s="1" t="n">
        <v>46316</v>
      </c>
      <c r="F637" t="inlineStr">
        <is>
          <t>GÄVLEBORGS LÄN</t>
        </is>
      </c>
      <c r="G637" t="inlineStr">
        <is>
          <t>OCKELBO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50197-2024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45600</v>
      </c>
      <c r="E638" s="1" t="n">
        <v>46316</v>
      </c>
      <c r="F638" t="inlineStr">
        <is>
          <t>GÄVLEBORGS LÄN</t>
        </is>
      </c>
      <c r="G638" t="inlineStr">
        <is>
          <t>OCKELBO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46177</v>
      </c>
      <c r="E639" s="1" t="n">
        <v>46316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9.4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46316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26131-2026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46181</v>
      </c>
      <c r="E641" s="1" t="n">
        <v>46316</v>
      </c>
      <c r="F641" t="inlineStr">
        <is>
          <t>GÄVLEBORGS LÄN</t>
        </is>
      </c>
      <c r="G641" t="inlineStr">
        <is>
          <t>OCKELBO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23772-2024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45455</v>
      </c>
      <c r="E642" s="1" t="n">
        <v>46316</v>
      </c>
      <c r="F642" t="inlineStr">
        <is>
          <t>GÄVLEBORGS LÄN</t>
        </is>
      </c>
      <c r="G642" t="inlineStr">
        <is>
          <t>OCKELBO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46316</v>
      </c>
      <c r="F643" t="inlineStr">
        <is>
          <t>GÄVLEBORGS LÄN</t>
        </is>
      </c>
      <c r="G643" t="inlineStr">
        <is>
          <t>OCKELBO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46316</v>
      </c>
      <c r="F644" t="inlineStr">
        <is>
          <t>GÄVLEBORGS LÄN</t>
        </is>
      </c>
      <c r="G644" t="inlineStr">
        <is>
          <t>OCKELBO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27231-2026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46316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46316</v>
      </c>
      <c r="F646" t="inlineStr">
        <is>
          <t>GÄVLEBORGS LÄN</t>
        </is>
      </c>
      <c r="G646" t="inlineStr">
        <is>
          <t>OCKELBO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54817-2022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44883</v>
      </c>
      <c r="E647" s="1" t="n">
        <v>46316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46316</v>
      </c>
      <c r="F648" t="inlineStr">
        <is>
          <t>GÄVLEBORGS LÄN</t>
        </is>
      </c>
      <c r="G648" t="inlineStr">
        <is>
          <t>OCKELBO</t>
        </is>
      </c>
      <c r="I648" t="n">
        <v>14.6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46316</v>
      </c>
      <c r="F649" t="inlineStr">
        <is>
          <t>GÄVLEBORGS LÄN</t>
        </is>
      </c>
      <c r="G649" t="inlineStr">
        <is>
          <t>OCKELBO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27562-2026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46316</v>
      </c>
      <c r="F650" t="inlineStr">
        <is>
          <t>GÄVLEBORGS LÄN</t>
        </is>
      </c>
      <c r="G650" t="inlineStr">
        <is>
          <t>OCKELBO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57614-2025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45981</v>
      </c>
      <c r="E651" s="1" t="n">
        <v>46316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10184-2026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46316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46316</v>
      </c>
      <c r="F653" t="inlineStr">
        <is>
          <t>GÄVLEBORGS LÄN</t>
        </is>
      </c>
      <c r="G653" t="inlineStr">
        <is>
          <t>OCKELBO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27623-2026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46316</v>
      </c>
      <c r="F654" t="inlineStr">
        <is>
          <t>GÄVLEBORGS LÄN</t>
        </is>
      </c>
      <c r="G654" t="inlineStr">
        <is>
          <t>OCKELBO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53702-2024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45615</v>
      </c>
      <c r="E655" s="1" t="n">
        <v>46316</v>
      </c>
      <c r="F655" t="inlineStr">
        <is>
          <t>GÄVLEBORGS LÄN</t>
        </is>
      </c>
      <c r="G655" t="inlineStr">
        <is>
          <t>OCKELBO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27381-2026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46189</v>
      </c>
      <c r="E656" s="1" t="n">
        <v>46316</v>
      </c>
      <c r="F656" t="inlineStr">
        <is>
          <t>GÄVLEBORGS LÄN</t>
        </is>
      </c>
      <c r="G656" t="inlineStr">
        <is>
          <t>OCKELBO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46189</v>
      </c>
      <c r="E657" s="1" t="n">
        <v>46316</v>
      </c>
      <c r="F657" t="inlineStr">
        <is>
          <t>GÄVLEBORGS LÄN</t>
        </is>
      </c>
      <c r="G657" t="inlineStr">
        <is>
          <t>OCKELBO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46189</v>
      </c>
      <c r="E658" s="1" t="n">
        <v>46316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27379-2026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46189</v>
      </c>
      <c r="E659" s="1" t="n">
        <v>46316</v>
      </c>
      <c r="F659" t="inlineStr">
        <is>
          <t>GÄVLEBORGS LÄN</t>
        </is>
      </c>
      <c r="G659" t="inlineStr">
        <is>
          <t>OCKELBO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46189</v>
      </c>
      <c r="E660" s="1" t="n">
        <v>46316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46316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45554</v>
      </c>
      <c r="E662" s="1" t="n">
        <v>46316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46055</v>
      </c>
      <c r="E663" s="1" t="n">
        <v>46316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46316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28289-2026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46196</v>
      </c>
      <c r="E665" s="1" t="n">
        <v>46316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46196</v>
      </c>
      <c r="E666" s="1" t="n">
        <v>46316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54977-2024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45620</v>
      </c>
      <c r="E667" s="1" t="n">
        <v>46316</v>
      </c>
      <c r="F667" t="inlineStr">
        <is>
          <t>GÄVLEBORGS LÄN</t>
        </is>
      </c>
      <c r="G667" t="inlineStr">
        <is>
          <t>OCKELBO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47674-2023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45203</v>
      </c>
      <c r="E668" s="1" t="n">
        <v>46316</v>
      </c>
      <c r="F668" t="inlineStr">
        <is>
          <t>GÄVLEBORGS LÄN</t>
        </is>
      </c>
      <c r="G668" t="inlineStr">
        <is>
          <t>OCKELBO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46316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46316</v>
      </c>
      <c r="F670" t="inlineStr">
        <is>
          <t>GÄVLEBORGS LÄN</t>
        </is>
      </c>
      <c r="G670" t="inlineStr">
        <is>
          <t>OCKELBO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28725-2026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46316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28681-2026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46316</v>
      </c>
      <c r="F672" t="inlineStr">
        <is>
          <t>GÄVLEBORGS LÄN</t>
        </is>
      </c>
      <c r="G672" t="inlineStr">
        <is>
          <t>OCKELBO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46316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47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45398</v>
      </c>
      <c r="E674" s="1" t="n">
        <v>46316</v>
      </c>
      <c r="F674" t="inlineStr">
        <is>
          <t>GÄVLEBORGS LÄN</t>
        </is>
      </c>
      <c r="G674" t="inlineStr">
        <is>
          <t>OCKELBO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33880-2023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45134</v>
      </c>
      <c r="E675" s="1" t="n">
        <v>46316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33881-2023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45134</v>
      </c>
      <c r="E676" s="1" t="n">
        <v>46316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29001-2026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46199</v>
      </c>
      <c r="E677" s="1" t="n">
        <v>46316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61456-2024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45646</v>
      </c>
      <c r="E678" s="1" t="n">
        <v>46316</v>
      </c>
      <c r="F678" t="inlineStr">
        <is>
          <t>GÄVLEBORGS LÄN</t>
        </is>
      </c>
      <c r="G678" t="inlineStr">
        <is>
          <t>OCKELBO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26481-2026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46183</v>
      </c>
      <c r="E679" s="1" t="n">
        <v>46316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14827-2026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46316</v>
      </c>
      <c r="F680" t="inlineStr">
        <is>
          <t>GÄVLEBORGS LÄN</t>
        </is>
      </c>
      <c r="G680" t="inlineStr">
        <is>
          <t>OCKELBO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29611-2026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46316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44281-2022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44839</v>
      </c>
      <c r="E682" s="1" t="n">
        <v>46316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46203</v>
      </c>
      <c r="E683" s="1" t="n">
        <v>46316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46316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46316</v>
      </c>
      <c r="F685" t="inlineStr">
        <is>
          <t>GÄVLEBORGS LÄN</t>
        </is>
      </c>
      <c r="G685" t="inlineStr">
        <is>
          <t>OCKELBO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46316</v>
      </c>
      <c r="F686" t="inlineStr">
        <is>
          <t>GÄVLEBORGS LÄN</t>
        </is>
      </c>
      <c r="G686" t="inlineStr">
        <is>
          <t>OCKELBO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60497-2021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44496</v>
      </c>
      <c r="E687" s="1" t="n">
        <v>46316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30031-2026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46316</v>
      </c>
      <c r="F688" t="inlineStr">
        <is>
          <t>GÄVLEBORGS LÄN</t>
        </is>
      </c>
      <c r="G688" t="inlineStr">
        <is>
          <t>OCKELBO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29789-2026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46316</v>
      </c>
      <c r="F689" t="inlineStr">
        <is>
          <t>GÄVLEBORGS LÄN</t>
        </is>
      </c>
      <c r="G689" t="inlineStr">
        <is>
          <t>OCKELBO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29835-2026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46205</v>
      </c>
      <c r="E690" s="1" t="n">
        <v>46316</v>
      </c>
      <c r="F690" t="inlineStr">
        <is>
          <t>GÄVLEBORGS LÄN</t>
        </is>
      </c>
      <c r="G690" t="inlineStr">
        <is>
          <t>OCKELBO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6396-2025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45699</v>
      </c>
      <c r="E691" s="1" t="n">
        <v>46316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43550-2023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45184</v>
      </c>
      <c r="E692" s="1" t="n">
        <v>46316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46216</v>
      </c>
      <c r="E693" s="1" t="n">
        <v>46316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46218</v>
      </c>
      <c r="E694" s="1" t="n">
        <v>46316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46316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46098</v>
      </c>
      <c r="E696" s="1" t="n">
        <v>46316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32123-2024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45511</v>
      </c>
      <c r="E697" s="1" t="n">
        <v>46316</v>
      </c>
      <c r="F697" t="inlineStr">
        <is>
          <t>GÄVLEBORGS LÄN</t>
        </is>
      </c>
      <c r="G697" t="inlineStr">
        <is>
          <t>OCKELBO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40140-2022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44820</v>
      </c>
      <c r="E698" s="1" t="n">
        <v>46316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58156-2025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46316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36343-2023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45152</v>
      </c>
      <c r="E700" s="1" t="n">
        <v>46316</v>
      </c>
      <c r="F700" t="inlineStr">
        <is>
          <t>GÄVLEBORGS LÄN</t>
        </is>
      </c>
      <c r="G700" t="inlineStr">
        <is>
          <t>OCKELBO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44643</v>
      </c>
      <c r="E701" s="1" t="n">
        <v>46316</v>
      </c>
      <c r="F701" t="inlineStr">
        <is>
          <t>GÄVLEBORGS LÄN</t>
        </is>
      </c>
      <c r="G701" t="inlineStr">
        <is>
          <t>OCKELBO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56631-2022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44893</v>
      </c>
      <c r="E702" s="1" t="n">
        <v>46316</v>
      </c>
      <c r="F702" t="inlineStr">
        <is>
          <t>GÄVLEBORGS LÄN</t>
        </is>
      </c>
      <c r="G702" t="inlineStr">
        <is>
          <t>OCKELBO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29687-2023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45107</v>
      </c>
      <c r="E703" s="1" t="n">
        <v>46316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46230</v>
      </c>
      <c r="E704" s="1" t="n">
        <v>46316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56634-2023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45243</v>
      </c>
      <c r="E705" s="1" t="n">
        <v>46316</v>
      </c>
      <c r="F705" t="inlineStr">
        <is>
          <t>GÄVLEBORGS LÄN</t>
        </is>
      </c>
      <c r="G705" t="inlineStr">
        <is>
          <t>OCKELBO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37321-2026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46275</v>
      </c>
      <c r="E706" s="1" t="n">
        <v>46316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45671</v>
      </c>
      <c r="E707" s="1" t="n">
        <v>46316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46274</v>
      </c>
      <c r="E708" s="1" t="n">
        <v>46316</v>
      </c>
      <c r="F708" t="inlineStr">
        <is>
          <t>GÄVLEBORGS LÄN</t>
        </is>
      </c>
      <c r="G708" t="inlineStr">
        <is>
          <t>OCKELBO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49207-2023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45210</v>
      </c>
      <c r="E709" s="1" t="n">
        <v>46316</v>
      </c>
      <c r="F709" t="inlineStr">
        <is>
          <t>GÄVLEBORGS LÄN</t>
        </is>
      </c>
      <c r="G709" t="inlineStr">
        <is>
          <t>OCKELBO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46275</v>
      </c>
      <c r="E710" s="1" t="n">
        <v>46316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46140</v>
      </c>
      <c r="E711" s="1" t="n">
        <v>46316</v>
      </c>
      <c r="F711" t="inlineStr">
        <is>
          <t>GÄVLEBORGS LÄN</t>
        </is>
      </c>
      <c r="G711" t="inlineStr">
        <is>
          <t>OCKELBO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37841-2026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46279</v>
      </c>
      <c r="E712" s="1" t="n">
        <v>46316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20408-2026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46140</v>
      </c>
      <c r="E713" s="1" t="n">
        <v>46316</v>
      </c>
      <c r="F713" t="inlineStr">
        <is>
          <t>GÄVLEBORGS LÄN</t>
        </is>
      </c>
      <c r="G713" t="inlineStr">
        <is>
          <t>OCKELBO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48804-2024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45593</v>
      </c>
      <c r="E714" s="1" t="n">
        <v>46316</v>
      </c>
      <c r="F714" t="inlineStr">
        <is>
          <t>GÄVLEBORGS LÄN</t>
        </is>
      </c>
      <c r="G714" t="inlineStr">
        <is>
          <t>OCKELBO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45678</v>
      </c>
      <c r="E715" s="1" t="n">
        <v>46316</v>
      </c>
      <c r="F715" t="inlineStr">
        <is>
          <t>GÄVLEBORGS LÄN</t>
        </is>
      </c>
      <c r="G715" t="inlineStr">
        <is>
          <t>OCKELBO</t>
        </is>
      </c>
      <c r="I715" t="n">
        <v>8.1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46283</v>
      </c>
      <c r="E716" s="1" t="n">
        <v>46316</v>
      </c>
      <c r="F716" t="inlineStr">
        <is>
          <t>GÄVLEBORGS LÄN</t>
        </is>
      </c>
      <c r="G716" t="inlineStr">
        <is>
          <t>OCKELBO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46283</v>
      </c>
      <c r="E717" s="1" t="n">
        <v>46316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37438-2023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45156</v>
      </c>
      <c r="E718" s="1" t="n">
        <v>46316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45674</v>
      </c>
      <c r="E719" s="1" t="n">
        <v>46316</v>
      </c>
      <c r="F719" t="inlineStr">
        <is>
          <t>GÄVLEBORGS LÄN</t>
        </is>
      </c>
      <c r="G719" t="inlineStr">
        <is>
          <t>OCKELBO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46052</v>
      </c>
      <c r="E720" s="1" t="n">
        <v>46316</v>
      </c>
      <c r="F720" t="inlineStr">
        <is>
          <t>GÄVLEBORGS LÄN</t>
        </is>
      </c>
      <c r="G720" t="inlineStr">
        <is>
          <t>OCKELBO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34944-2024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45527</v>
      </c>
      <c r="E721" s="1" t="n">
        <v>46316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39681-2026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46316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32301-2022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44781</v>
      </c>
      <c r="E723" s="1" t="n">
        <v>46316</v>
      </c>
      <c r="F723" t="inlineStr">
        <is>
          <t>GÄVLEBORGS LÄN</t>
        </is>
      </c>
      <c r="G723" t="inlineStr">
        <is>
          <t>OCKELBO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61116-2023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45261</v>
      </c>
      <c r="E724" s="1" t="n">
        <v>46316</v>
      </c>
      <c r="F724" t="inlineStr">
        <is>
          <t>GÄVLEBORGS LÄN</t>
        </is>
      </c>
      <c r="G724" t="inlineStr">
        <is>
          <t>OCKELBO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46245</v>
      </c>
      <c r="E725" s="1" t="n">
        <v>46316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14071-2026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46316</v>
      </c>
      <c r="F726" t="inlineStr">
        <is>
          <t>GÄVLEBORGS LÄN</t>
        </is>
      </c>
      <c r="G726" t="inlineStr">
        <is>
          <t>OCKELBO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40117-2026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46293</v>
      </c>
      <c r="E727" s="1" t="n">
        <v>46316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46316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40104-2026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46293</v>
      </c>
      <c r="E729" s="1" t="n">
        <v>46316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15042-2026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46316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40149-2026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46293</v>
      </c>
      <c r="E731" s="1" t="n">
        <v>46316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5898-2026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46316</v>
      </c>
      <c r="F732" t="inlineStr">
        <is>
          <t>GÄVLEBORGS LÄN</t>
        </is>
      </c>
      <c r="G732" t="inlineStr">
        <is>
          <t>OCKELBO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17730-2025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46316</v>
      </c>
      <c r="F733" t="inlineStr">
        <is>
          <t>GÄVLEBORGS LÄN</t>
        </is>
      </c>
      <c r="G733" t="inlineStr">
        <is>
          <t>OCKELBO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36362-2024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45534</v>
      </c>
      <c r="E734" s="1" t="n">
        <v>46316</v>
      </c>
      <c r="F734" t="inlineStr">
        <is>
          <t>GÄVLEBORGS LÄN</t>
        </is>
      </c>
      <c r="G734" t="inlineStr">
        <is>
          <t>OCKELBO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45334</v>
      </c>
      <c r="E735" s="1" t="n">
        <v>46316</v>
      </c>
      <c r="F735" t="inlineStr">
        <is>
          <t>GÄVLEBORGS LÄN</t>
        </is>
      </c>
      <c r="G735" t="inlineStr">
        <is>
          <t>OCKELBO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46316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46071</v>
      </c>
      <c r="E737" s="1" t="n">
        <v>46316</v>
      </c>
      <c r="F737" t="inlineStr">
        <is>
          <t>GÄVLEBORGS LÄN</t>
        </is>
      </c>
      <c r="G737" t="inlineStr">
        <is>
          <t>OCKELBO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52335-2024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45609</v>
      </c>
      <c r="E738" s="1" t="n">
        <v>46316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8683-2026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46066</v>
      </c>
      <c r="E739" s="1" t="n">
        <v>46316</v>
      </c>
      <c r="F739" t="inlineStr">
        <is>
          <t>GÄVLEBORGS LÄN</t>
        </is>
      </c>
      <c r="G739" t="inlineStr">
        <is>
          <t>OCKELBO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46038</v>
      </c>
      <c r="E740" s="1" t="n">
        <v>46316</v>
      </c>
      <c r="F740" t="inlineStr">
        <is>
          <t>GÄVLEBORGS LÄN</t>
        </is>
      </c>
      <c r="G740" t="inlineStr">
        <is>
          <t>OCKELBO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15966-2023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45022</v>
      </c>
      <c r="E741" s="1" t="n">
        <v>46316</v>
      </c>
      <c r="F741" t="inlineStr">
        <is>
          <t>GÄVLEBORGS LÄN</t>
        </is>
      </c>
      <c r="G741" t="inlineStr">
        <is>
          <t>OCKELBO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45139</v>
      </c>
      <c r="E742" s="1" t="n">
        <v>46316</v>
      </c>
      <c r="F742" t="inlineStr">
        <is>
          <t>GÄVLEBORGS LÄN</t>
        </is>
      </c>
      <c r="G742" t="inlineStr">
        <is>
          <t>OCKELBO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14756-2026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46316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46297</v>
      </c>
      <c r="E744" s="1" t="n">
        <v>46316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34391-2026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46254</v>
      </c>
      <c r="E745" s="1" t="n">
        <v>46316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46036</v>
      </c>
      <c r="E746" s="1" t="n">
        <v>46316</v>
      </c>
      <c r="F746" t="inlineStr">
        <is>
          <t>GÄVLEBORGS LÄN</t>
        </is>
      </c>
      <c r="G746" t="inlineStr">
        <is>
          <t>OCKELBO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55070-2023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45237</v>
      </c>
      <c r="E747" s="1" t="n">
        <v>46316</v>
      </c>
      <c r="F747" t="inlineStr">
        <is>
          <t>GÄVLEBORGS LÄN</t>
        </is>
      </c>
      <c r="G747" t="inlineStr">
        <is>
          <t>OCKELBO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45698</v>
      </c>
      <c r="E748" s="1" t="n">
        <v>46316</v>
      </c>
      <c r="F748" t="inlineStr">
        <is>
          <t>GÄVLEBORGS LÄN</t>
        </is>
      </c>
      <c r="G748" t="inlineStr">
        <is>
          <t>OCKELBO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11734-2025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45727</v>
      </c>
      <c r="E749" s="1" t="n">
        <v>46316</v>
      </c>
      <c r="F749" t="inlineStr">
        <is>
          <t>GÄVLEBORGS LÄN</t>
        </is>
      </c>
      <c r="G749" t="inlineStr">
        <is>
          <t>OCKELBO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20984-2026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46142</v>
      </c>
      <c r="E750" s="1" t="n">
        <v>46316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17709-2026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46316</v>
      </c>
      <c r="F751" t="inlineStr">
        <is>
          <t>GÄVLEBORGS LÄN</t>
        </is>
      </c>
      <c r="G751" t="inlineStr">
        <is>
          <t>OCKELBO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46156</v>
      </c>
      <c r="E752" s="1" t="n">
        <v>46316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12947-2026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46092</v>
      </c>
      <c r="E753" s="1" t="n">
        <v>46316</v>
      </c>
      <c r="F753" t="inlineStr">
        <is>
          <t>GÄVLEBORGS LÄN</t>
        </is>
      </c>
      <c r="G753" t="inlineStr">
        <is>
          <t>OCKELBO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14410-2026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46316</v>
      </c>
      <c r="F754" t="inlineStr">
        <is>
          <t>GÄVLEBORGS LÄN</t>
        </is>
      </c>
      <c r="G754" t="inlineStr">
        <is>
          <t>OCKELBO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30798-2024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45497</v>
      </c>
      <c r="E755" s="1" t="n">
        <v>46316</v>
      </c>
      <c r="F755" t="inlineStr">
        <is>
          <t>GÄVLEBORGS LÄN</t>
        </is>
      </c>
      <c r="G755" t="inlineStr">
        <is>
          <t>OCKELBO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58727-2025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45986</v>
      </c>
      <c r="E756" s="1" t="n">
        <v>46316</v>
      </c>
      <c r="F756" t="inlineStr">
        <is>
          <t>GÄVLEBORGS LÄN</t>
        </is>
      </c>
      <c r="G756" t="inlineStr">
        <is>
          <t>OCKELBO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18326-2026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46126</v>
      </c>
      <c r="E757" s="1" t="n">
        <v>46316</v>
      </c>
      <c r="F757" t="inlineStr">
        <is>
          <t>GÄVLEBORGS LÄN</t>
        </is>
      </c>
      <c r="G757" t="inlineStr">
        <is>
          <t>OCKELBO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46316</v>
      </c>
      <c r="F758" t="inlineStr">
        <is>
          <t>GÄVLEBORGS LÄN</t>
        </is>
      </c>
      <c r="G758" t="inlineStr">
        <is>
          <t>OCKELBO</t>
        </is>
      </c>
      <c r="I758" t="n">
        <v>10.1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43799-2022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44838</v>
      </c>
      <c r="E759" s="1" t="n">
        <v>46316</v>
      </c>
      <c r="F759" t="inlineStr">
        <is>
          <t>GÄVLEBORGS LÄN</t>
        </is>
      </c>
      <c r="G759" t="inlineStr">
        <is>
          <t>OCKELBO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37391-2023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46316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46079</v>
      </c>
      <c r="E761" s="1" t="n">
        <v>46316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33987-2023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45134</v>
      </c>
      <c r="E762" s="1" t="n">
        <v>46316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31571-2026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46224</v>
      </c>
      <c r="E763" s="1" t="n">
        <v>46316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33879-2023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45134</v>
      </c>
      <c r="E764" s="1" t="n">
        <v>46316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46316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34765-2026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46316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49529-2024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45596</v>
      </c>
      <c r="E767" s="1" t="n">
        <v>46316</v>
      </c>
      <c r="F767" t="inlineStr">
        <is>
          <t>GÄVLEBORGS LÄN</t>
        </is>
      </c>
      <c r="G767" t="inlineStr">
        <is>
          <t>OCKELBO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35155-2026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46260</v>
      </c>
      <c r="E768" s="1" t="n">
        <v>46316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46232</v>
      </c>
      <c r="E769" s="1" t="n">
        <v>46316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27272-2026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46188</v>
      </c>
      <c r="E770" s="1" t="n">
        <v>46316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30990-2026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46213</v>
      </c>
      <c r="E771" s="1" t="n">
        <v>46316</v>
      </c>
      <c r="F771" t="inlineStr">
        <is>
          <t>GÄVLEBORGS LÄN</t>
        </is>
      </c>
      <c r="G771" t="inlineStr">
        <is>
          <t>OCKELBO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56034-2023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45240</v>
      </c>
      <c r="E772" s="1" t="n">
        <v>46316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52330-2024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45609</v>
      </c>
      <c r="E773" s="1" t="n">
        <v>46316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45139</v>
      </c>
      <c r="E774" s="1" t="n">
        <v>46316</v>
      </c>
      <c r="F774" t="inlineStr">
        <is>
          <t>GÄVLEBORGS LÄN</t>
        </is>
      </c>
      <c r="G774" t="inlineStr">
        <is>
          <t>OCKELBO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31530-2026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46223</v>
      </c>
      <c r="E775" s="1" t="n">
        <v>46316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46316</v>
      </c>
      <c r="F776" t="inlineStr">
        <is>
          <t>GÄVLEBORGS LÄN</t>
        </is>
      </c>
      <c r="G776" t="inlineStr">
        <is>
          <t>OCKELBO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17682-2026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46316</v>
      </c>
      <c r="F777" t="inlineStr">
        <is>
          <t>GÄVLEBORGS LÄN</t>
        </is>
      </c>
      <c r="G777" t="inlineStr">
        <is>
          <t>OCKELBO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37845-2024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45544</v>
      </c>
      <c r="E778" s="1" t="n">
        <v>46316</v>
      </c>
      <c r="F778" t="inlineStr">
        <is>
          <t>GÄVLEBORGS LÄN</t>
        </is>
      </c>
      <c r="G778" t="inlineStr">
        <is>
          <t>OCKELBO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28965-2024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45481</v>
      </c>
      <c r="E779" s="1" t="n">
        <v>46316</v>
      </c>
      <c r="F779" t="inlineStr">
        <is>
          <t>GÄVLEBORGS LÄN</t>
        </is>
      </c>
      <c r="G779" t="inlineStr">
        <is>
          <t>OCKELBO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55906-2024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46316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24228-2022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44725</v>
      </c>
      <c r="E781" s="1" t="n">
        <v>46316</v>
      </c>
      <c r="F781" t="inlineStr">
        <is>
          <t>GÄVLEBORGS LÄN</t>
        </is>
      </c>
      <c r="G781" t="inlineStr">
        <is>
          <t>OCKELBO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64609-2023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45281</v>
      </c>
      <c r="E782" s="1" t="n">
        <v>46316</v>
      </c>
      <c r="F782" t="inlineStr">
        <is>
          <t>GÄVLEBORGS LÄN</t>
        </is>
      </c>
      <c r="G782" t="inlineStr">
        <is>
          <t>OCKELBO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36280-2026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46268</v>
      </c>
      <c r="E783" s="1" t="n">
        <v>46316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3626-2023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44950</v>
      </c>
      <c r="E784" s="1" t="n">
        <v>46316</v>
      </c>
      <c r="F784" t="inlineStr">
        <is>
          <t>GÄVLEBORGS LÄN</t>
        </is>
      </c>
      <c r="G784" t="inlineStr">
        <is>
          <t>OCKELBO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45068</v>
      </c>
      <c r="E785" s="1" t="n">
        <v>46316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36097-2026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46316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19774-2025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45771</v>
      </c>
      <c r="E787" s="1" t="n">
        <v>46316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21878-2023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45068</v>
      </c>
      <c r="E788" s="1" t="n">
        <v>46316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45534</v>
      </c>
      <c r="E789" s="1" t="n">
        <v>46316</v>
      </c>
      <c r="F789" t="inlineStr">
        <is>
          <t>GÄVLEBORGS LÄN</t>
        </is>
      </c>
      <c r="G789" t="inlineStr">
        <is>
          <t>OCKELBO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43135-2026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46311</v>
      </c>
      <c r="E790" s="1" t="n">
        <v>46316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46316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31591-2026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46224</v>
      </c>
      <c r="E792" s="1" t="n">
        <v>46316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36380-2026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46268</v>
      </c>
      <c r="E793" s="1" t="n">
        <v>46316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53488-2023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45230</v>
      </c>
      <c r="E794" s="1" t="n">
        <v>46316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36562-2026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46269</v>
      </c>
      <c r="E795" s="1" t="n">
        <v>46316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37442-2023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45156</v>
      </c>
      <c r="E796" s="1" t="n">
        <v>46316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36467-2026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43604-2026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46315</v>
      </c>
      <c r="E798" s="1" t="n">
        <v>46316</v>
      </c>
      <c r="F798" t="inlineStr">
        <is>
          <t>GÄVLEBORGS LÄN</t>
        </is>
      </c>
      <c r="G798" t="inlineStr">
        <is>
          <t>OCKELBO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31517-2026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46223</v>
      </c>
      <c r="E799" s="1" t="n">
        <v>46316</v>
      </c>
      <c r="F799" t="inlineStr">
        <is>
          <t>GÄVLEBORGS LÄN</t>
        </is>
      </c>
      <c r="G799" t="inlineStr">
        <is>
          <t>OCKELBO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31519-2026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46223</v>
      </c>
      <c r="E800" s="1" t="n">
        <v>46316</v>
      </c>
      <c r="F800" t="inlineStr">
        <is>
          <t>GÄVLEBORGS LÄN</t>
        </is>
      </c>
      <c r="G800" t="inlineStr">
        <is>
          <t>OCKELBO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22385-2023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45070</v>
      </c>
      <c r="E801" s="1" t="n">
        <v>46316</v>
      </c>
      <c r="F801" t="inlineStr">
        <is>
          <t>GÄVLEBORGS LÄN</t>
        </is>
      </c>
      <c r="G801" t="inlineStr">
        <is>
          <t>OCKELBO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56741-2024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45628</v>
      </c>
      <c r="E802" s="1" t="n">
        <v>46316</v>
      </c>
      <c r="F802" t="inlineStr">
        <is>
          <t>GÄVLEBORGS LÄN</t>
        </is>
      </c>
      <c r="G802" t="inlineStr">
        <is>
          <t>OCKELBO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19772-2025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46316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29567-2024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45484</v>
      </c>
      <c r="E804" s="1" t="n">
        <v>46316</v>
      </c>
      <c r="F804" t="inlineStr">
        <is>
          <t>GÄVLEBORGS LÄN</t>
        </is>
      </c>
      <c r="G804" t="inlineStr">
        <is>
          <t>OCKELBO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64367-2023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45280</v>
      </c>
      <c r="E805" s="1" t="n">
        <v>46316</v>
      </c>
      <c r="F805" t="inlineStr">
        <is>
          <t>GÄVLEBORGS LÄN</t>
        </is>
      </c>
      <c r="G805" t="inlineStr">
        <is>
          <t>OCKELBO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55715-2023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45239</v>
      </c>
      <c r="E806" s="1" t="n">
        <v>46316</v>
      </c>
      <c r="F806" t="inlineStr">
        <is>
          <t>GÄVLEBORGS LÄN</t>
        </is>
      </c>
      <c r="G806" t="inlineStr">
        <is>
          <t>OCKELBO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50194-2024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45600</v>
      </c>
      <c r="E807" s="1" t="n">
        <v>46316</v>
      </c>
      <c r="F807" t="inlineStr">
        <is>
          <t>GÄVLEBORGS LÄN</t>
        </is>
      </c>
      <c r="G807" t="inlineStr">
        <is>
          <t>OCKELBO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15247-2025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45744</v>
      </c>
      <c r="E808" s="1" t="n">
        <v>46316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22952-2023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45072</v>
      </c>
      <c r="E809" s="1" t="n">
        <v>46316</v>
      </c>
      <c r="F809" t="inlineStr">
        <is>
          <t>GÄVLEBORGS LÄN</t>
        </is>
      </c>
      <c r="G809" t="inlineStr">
        <is>
          <t>OCKELBO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22824-2024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45448</v>
      </c>
      <c r="E810" s="1" t="n">
        <v>46316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1143-2025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45666</v>
      </c>
      <c r="E811" s="1" t="n">
        <v>46316</v>
      </c>
      <c r="F811" t="inlineStr">
        <is>
          <t>GÄVLEBORGS LÄN</t>
        </is>
      </c>
      <c r="G811" t="inlineStr">
        <is>
          <t>OCKELBO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61750-2023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46316</v>
      </c>
      <c r="F812" t="inlineStr">
        <is>
          <t>GÄVLEBORGS LÄN</t>
        </is>
      </c>
      <c r="G812" t="inlineStr">
        <is>
          <t>OCKELBO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33985-2023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45134</v>
      </c>
      <c r="E813" s="1" t="n">
        <v>46316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3628-2023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44950</v>
      </c>
      <c r="E814" s="1" t="n">
        <v>46316</v>
      </c>
      <c r="F814" t="inlineStr">
        <is>
          <t>GÄVLEBORGS LÄN</t>
        </is>
      </c>
      <c r="G814" t="inlineStr">
        <is>
          <t>OCKELBO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20775-2025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45776</v>
      </c>
      <c r="E815" s="1" t="n">
        <v>46316</v>
      </c>
      <c r="F815" t="inlineStr">
        <is>
          <t>GÄVLEBORGS LÄN</t>
        </is>
      </c>
      <c r="G815" t="inlineStr">
        <is>
          <t>OCKELBO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23780-2024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45455</v>
      </c>
      <c r="E816" s="1" t="n">
        <v>46316</v>
      </c>
      <c r="F816" t="inlineStr">
        <is>
          <t>GÄVLEBORGS LÄN</t>
        </is>
      </c>
      <c r="G816" t="inlineStr">
        <is>
          <t>OCKELBO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52273-2024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45608</v>
      </c>
      <c r="E817" s="1" t="n">
        <v>46316</v>
      </c>
      <c r="F817" t="inlineStr">
        <is>
          <t>GÄVLEBORGS LÄN</t>
        </is>
      </c>
      <c r="G817" t="inlineStr">
        <is>
          <t>OCKELBO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46316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60253-2023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45258</v>
      </c>
      <c r="E819" s="1" t="n">
        <v>46316</v>
      </c>
      <c r="F819" t="inlineStr">
        <is>
          <t>GÄVLEBORGS LÄN</t>
        </is>
      </c>
      <c r="G819" t="inlineStr">
        <is>
          <t>OCKELBO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22385-2025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45786</v>
      </c>
      <c r="E820" s="1" t="n">
        <v>46316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46316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46316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54323-2024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45617</v>
      </c>
      <c r="E823" s="1" t="n">
        <v>46316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28181-2022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44746</v>
      </c>
      <c r="E824" s="1" t="n">
        <v>46316</v>
      </c>
      <c r="F824" t="inlineStr">
        <is>
          <t>GÄVLEBORGS LÄN</t>
        </is>
      </c>
      <c r="G824" t="inlineStr">
        <is>
          <t>OCKELBO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46316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46316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46316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46316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46316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46316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46316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46316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46316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46316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46316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46316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46316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46316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2026-10-21T02:00:09Z</dcterms:created>
  <dcterms:modified xmlns:dcterms="http://purl.org/dc/terms/" xmlns:xsi="http://www.w3.org/2001/XMLSchema-instance" xsi:type="dcterms:W3CDTF">2026-10-21T02:00:09Z</dcterms:modified>
</cp:coreProperties>
</file>