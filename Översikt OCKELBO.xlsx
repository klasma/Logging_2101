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46263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46263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46263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46263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46263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46263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46263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46263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46263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46263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46263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46263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46263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46263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46263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46263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46263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46263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46263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46263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46263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46263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46263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46263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46263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46263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46263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46263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46263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46263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46263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46263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46263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46263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33384-2024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45519</v>
      </c>
      <c r="E36" s="1" t="n">
        <v>46263</v>
      </c>
      <c r="F36" t="inlineStr">
        <is>
          <t>GÄVLEBORGS LÄN</t>
        </is>
      </c>
      <c r="G36" t="inlineStr">
        <is>
          <t>OCKELBO</t>
        </is>
      </c>
      <c r="I36" t="n">
        <v>3.8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Plattlummer</t>
        </is>
      </c>
      <c r="W36">
        <f>HYPERLINK("https://klasma.github.io/Logging_2101/artfynd/A 33384-2024 artfynd.xlsx", "A 33384-2024")</f>
        <v/>
      </c>
      <c r="X36">
        <f>HYPERLINK("https://klasma.github.io/Logging_2101/kartor/A 33384-2024 karta.png", "A 33384-2024")</f>
        <v/>
      </c>
      <c r="Y36">
        <f>HYPERLINK("https://klasma.github.io/Logging_2101/kartor_geotiff/A 33384-2024 georefererad karta.tif", "A 33384-2024")</f>
        <v/>
      </c>
      <c r="AA36">
        <f>HYPERLINK("https://klasma.github.io/Logging_2101/klagomål/A 33384-2024 FSC-klagomål.docx", "A 33384-2024")</f>
        <v/>
      </c>
      <c r="AB36">
        <f>HYPERLINK("https://klasma.github.io/Logging_2101/klagomålsmail/A 33384-2024 FSC-klagomål mail.docx", "A 33384-2024")</f>
        <v/>
      </c>
      <c r="AC36">
        <f>HYPERLINK("https://klasma.github.io/Logging_2101/tillsyn/A 33384-2024 tillsynsbegäran.docx", "A 33384-2024")</f>
        <v/>
      </c>
      <c r="AD36">
        <f>HYPERLINK("https://klasma.github.io/Logging_2101/tillsynsmail/A 33384-2024 tillsynsbegäran mail.docx", "A 33384-2024")</f>
        <v/>
      </c>
    </row>
    <row r="37" ht="15" customHeight="1">
      <c r="A37" t="inlineStr">
        <is>
          <t>A 55778-2025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45972</v>
      </c>
      <c r="E37" s="1" t="n">
        <v>46263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12.3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HYPERLINK("https://klasma.github.io/Logging_2101/artfynd/A 55778-2025 artfynd.xlsx", "A 55778-2025")</f>
        <v/>
      </c>
      <c r="X37">
        <f>HYPERLINK("https://klasma.github.io/Logging_2101/kartor/A 55778-2025 karta.png", "A 55778-2025")</f>
        <v/>
      </c>
      <c r="Y37">
        <f>HYPERLINK("https://klasma.github.io/Logging_2101/kartor_geotiff/A 55778-2025 georefererad karta.tif", "A 55778-2025")</f>
        <v/>
      </c>
      <c r="AA37">
        <f>HYPERLINK("https://klasma.github.io/Logging_2101/klagomål/A 55778-2025 FSC-klagomål.docx", "A 55778-2025")</f>
        <v/>
      </c>
      <c r="AB37">
        <f>HYPERLINK("https://klasma.github.io/Logging_2101/klagomålsmail/A 55778-2025 FSC-klagomål mail.docx", "A 55778-2025")</f>
        <v/>
      </c>
      <c r="AC37">
        <f>HYPERLINK("https://klasma.github.io/Logging_2101/tillsyn/A 55778-2025 tillsynsbegäran.docx", "A 55778-2025")</f>
        <v/>
      </c>
      <c r="AD37">
        <f>HYPERLINK("https://klasma.github.io/Logging_2101/tillsynsmail/A 55778-2025 tillsynsbegäran mail.docx", "A 55778-2025")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46263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46263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46263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64364-2023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45280</v>
      </c>
      <c r="E41" s="1" t="n">
        <v>46263</v>
      </c>
      <c r="F41" t="inlineStr">
        <is>
          <t>GÄVLEBORGS LÄN</t>
        </is>
      </c>
      <c r="G41" t="inlineStr">
        <is>
          <t>OCKELBO</t>
        </is>
      </c>
      <c r="I41" t="n">
        <v>1.8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64364-2023 artfynd.xlsx", "A 64364-2023")</f>
        <v/>
      </c>
      <c r="X41">
        <f>HYPERLINK("https://klasma.github.io/Logging_2101/kartor/A 64364-2023 karta.png", "A 64364-2023")</f>
        <v/>
      </c>
      <c r="Y41">
        <f>HYPERLINK("https://klasma.github.io/Logging_2101/kartor_geotiff/A 64364-2023 georefererad karta.tif", "A 64364-2023")</f>
        <v/>
      </c>
      <c r="AA41">
        <f>HYPERLINK("https://klasma.github.io/Logging_2101/klagomål/A 64364-2023 FSC-klagomål.docx", "A 64364-2023")</f>
        <v/>
      </c>
      <c r="AB41">
        <f>HYPERLINK("https://klasma.github.io/Logging_2101/klagomålsmail/A 64364-2023 FSC-klagomål mail.docx", "A 64364-2023")</f>
        <v/>
      </c>
      <c r="AC41">
        <f>HYPERLINK("https://klasma.github.io/Logging_2101/tillsyn/A 64364-2023 tillsynsbegäran.docx", "A 64364-2023")</f>
        <v/>
      </c>
      <c r="AD41">
        <f>HYPERLINK("https://klasma.github.io/Logging_2101/tillsynsmail/A 64364-2023 tillsynsbegäran mail.docx", "A 64364-2023")</f>
        <v/>
      </c>
    </row>
    <row r="42" ht="15" customHeight="1">
      <c r="A42" t="inlineStr">
        <is>
          <t>A 62989-2025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46263</v>
      </c>
      <c r="F42" t="inlineStr">
        <is>
          <t>GÄVLEBORGS LÄN</t>
        </is>
      </c>
      <c r="G42" t="inlineStr">
        <is>
          <t>OCKELBO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Kortskaftad ärgspik</t>
        </is>
      </c>
      <c r="W42">
        <f>HYPERLINK("https://klasma.github.io/Logging_2101/artfynd/A 62989-2025 artfynd.xlsx", "A 62989-2025")</f>
        <v/>
      </c>
      <c r="X42">
        <f>HYPERLINK("https://klasma.github.io/Logging_2101/kartor/A 62989-2025 karta.png", "A 62989-2025")</f>
        <v/>
      </c>
      <c r="Y42">
        <f>HYPERLINK("https://klasma.github.io/Logging_2101/kartor_geotiff/A 62989-2025 georefererad karta.tif", "A 62989-2025")</f>
        <v/>
      </c>
      <c r="AA42">
        <f>HYPERLINK("https://klasma.github.io/Logging_2101/klagomål/A 62989-2025 FSC-klagomål.docx", "A 62989-2025")</f>
        <v/>
      </c>
      <c r="AB42">
        <f>HYPERLINK("https://klasma.github.io/Logging_2101/klagomålsmail/A 62989-2025 FSC-klagomål mail.docx", "A 62989-2025")</f>
        <v/>
      </c>
      <c r="AC42">
        <f>HYPERLINK("https://klasma.github.io/Logging_2101/tillsyn/A 62989-2025 tillsynsbegäran.docx", "A 62989-2025")</f>
        <v/>
      </c>
      <c r="AD42">
        <f>HYPERLINK("https://klasma.github.io/Logging_2101/tillsynsmail/A 62989-2025 tillsynsbegäran mail.docx", "A 62989-2025")</f>
        <v/>
      </c>
    </row>
    <row r="43" ht="15" customHeight="1">
      <c r="A43" t="inlineStr">
        <is>
          <t>A 15841-2023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45022</v>
      </c>
      <c r="E43" s="1" t="n">
        <v>46263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Havsörn</t>
        </is>
      </c>
      <c r="W43">
        <f>HYPERLINK("https://klasma.github.io/Logging_2101/artfynd/A 15841-2023 artfynd.xlsx", "A 15841-2023")</f>
        <v/>
      </c>
      <c r="X43">
        <f>HYPERLINK("https://klasma.github.io/Logging_2101/kartor/A 15841-2023 karta.png", "A 15841-2023")</f>
        <v/>
      </c>
      <c r="Y43">
        <f>HYPERLINK("https://klasma.github.io/Logging_2101/kartor_geotiff/A 15841-2023 georefererad karta.tif", "A 15841-2023")</f>
        <v/>
      </c>
      <c r="AA43">
        <f>HYPERLINK("https://klasma.github.io/Logging_2101/klagomål/A 15841-2023 FSC-klagomål.docx", "A 15841-2023")</f>
        <v/>
      </c>
      <c r="AB43">
        <f>HYPERLINK("https://klasma.github.io/Logging_2101/klagomålsmail/A 15841-2023 FSC-klagomål mail.docx", "A 15841-2023")</f>
        <v/>
      </c>
      <c r="AC43">
        <f>HYPERLINK("https://klasma.github.io/Logging_2101/tillsyn/A 15841-2023 tillsynsbegäran.docx", "A 15841-2023")</f>
        <v/>
      </c>
      <c r="AD43">
        <f>HYPERLINK("https://klasma.github.io/Logging_2101/tillsynsmail/A 15841-2023 tillsynsbegäran mail.docx", "A 15841-2023")</f>
        <v/>
      </c>
      <c r="AE43">
        <f>HYPERLINK("https://klasma.github.io/Logging_2101/fåglar/A 15841-2023 prioriterade fågelarter.docx", "A 15841-2023")</f>
        <v/>
      </c>
    </row>
    <row r="44" ht="15" customHeight="1">
      <c r="A44" t="inlineStr">
        <is>
          <t>A 2923-2026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46038</v>
      </c>
      <c r="E44" s="1" t="n">
        <v>46263</v>
      </c>
      <c r="F44" t="inlineStr">
        <is>
          <t>GÄVLEBORGS LÄN</t>
        </is>
      </c>
      <c r="G44" t="inlineStr">
        <is>
          <t>OCKELBO</t>
        </is>
      </c>
      <c r="I44" t="n">
        <v>2.8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HYPERLINK("https://klasma.github.io/Logging_2101/artfynd/A 2923-2026 artfynd.xlsx", "A 2923-2026")</f>
        <v/>
      </c>
      <c r="X44">
        <f>HYPERLINK("https://klasma.github.io/Logging_2101/kartor/A 2923-2026 karta.png", "A 2923-2026")</f>
        <v/>
      </c>
      <c r="Y44">
        <f>HYPERLINK("https://klasma.github.io/Logging_2101/kartor_geotiff/A 2923-2026 georefererad karta.tif", "A 2923-2026")</f>
        <v/>
      </c>
      <c r="Z44">
        <f>HYPERLINK("https://klasma.github.io/Logging_2101/knärot/A 2923-2026 karta knärot.png", "A 2923-2026")</f>
        <v/>
      </c>
      <c r="AA44">
        <f>HYPERLINK("https://klasma.github.io/Logging_2101/klagomål/A 2923-2026 FSC-klagomål.docx", "A 2923-2026")</f>
        <v/>
      </c>
      <c r="AB44">
        <f>HYPERLINK("https://klasma.github.io/Logging_2101/klagomålsmail/A 2923-2026 FSC-klagomål mail.docx", "A 2923-2026")</f>
        <v/>
      </c>
      <c r="AC44">
        <f>HYPERLINK("https://klasma.github.io/Logging_2101/tillsyn/A 2923-2026 tillsynsbegäran.docx", "A 2923-2026")</f>
        <v/>
      </c>
      <c r="AD44">
        <f>HYPERLINK("https://klasma.github.io/Logging_2101/tillsynsmail/A 2923-2026 tillsynsbegäran mail.docx", "A 2923-2026")</f>
        <v/>
      </c>
    </row>
    <row r="45" ht="15" customHeight="1">
      <c r="A45" t="inlineStr">
        <is>
          <t>A 6121-2026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46053</v>
      </c>
      <c r="E45" s="1" t="n">
        <v>46263</v>
      </c>
      <c r="F45" t="inlineStr">
        <is>
          <t>GÄVLEBORGS LÄN</t>
        </is>
      </c>
      <c r="G45" t="inlineStr">
        <is>
          <t>OCKELBO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HYPERLINK("https://klasma.github.io/Logging_2101/artfynd/A 6121-2026 artfynd.xlsx", "A 6121-2026")</f>
        <v/>
      </c>
      <c r="X45">
        <f>HYPERLINK("https://klasma.github.io/Logging_2101/kartor/A 6121-2026 karta.png", "A 6121-2026")</f>
        <v/>
      </c>
      <c r="Y45">
        <f>HYPERLINK("https://klasma.github.io/Logging_2101/kartor_geotiff/A 6121-2026 georefererad karta.tif", "A 6121-2026")</f>
        <v/>
      </c>
      <c r="AA45">
        <f>HYPERLINK("https://klasma.github.io/Logging_2101/klagomål/A 6121-2026 FSC-klagomål.docx", "A 6121-2026")</f>
        <v/>
      </c>
      <c r="AB45">
        <f>HYPERLINK("https://klasma.github.io/Logging_2101/klagomålsmail/A 6121-2026 FSC-klagomål mail.docx", "A 6121-2026")</f>
        <v/>
      </c>
      <c r="AC45">
        <f>HYPERLINK("https://klasma.github.io/Logging_2101/tillsyn/A 6121-2026 tillsynsbegäran.docx", "A 6121-2026")</f>
        <v/>
      </c>
      <c r="AD45">
        <f>HYPERLINK("https://klasma.github.io/Logging_2101/tillsynsmail/A 6121-2026 tillsynsbegäran mail.docx", "A 6121-2026")</f>
        <v/>
      </c>
      <c r="AE45">
        <f>HYPERLINK("https://klasma.github.io/Logging_2101/fåglar/A 6121-2026 prioriterade fågelarter.docx", "A 6121-2026")</f>
        <v/>
      </c>
    </row>
    <row r="46" ht="15" customHeight="1">
      <c r="A46" t="inlineStr">
        <is>
          <t>A 6586-2026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46056</v>
      </c>
      <c r="E46" s="1" t="n">
        <v>46263</v>
      </c>
      <c r="F46" t="inlineStr">
        <is>
          <t>GÄVLEBORGS LÄN</t>
        </is>
      </c>
      <c r="G46" t="inlineStr">
        <is>
          <t>OCKELBO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HYPERLINK("https://klasma.github.io/Logging_2101/artfynd/A 6586-2026 artfynd.xlsx", "A 6586-2026")</f>
        <v/>
      </c>
      <c r="X46">
        <f>HYPERLINK("https://klasma.github.io/Logging_2101/kartor/A 6586-2026 karta.png", "A 6586-2026")</f>
        <v/>
      </c>
      <c r="Y46">
        <f>HYPERLINK("https://klasma.github.io/Logging_2101/kartor_geotiff/A 6586-2026 georefererad karta.tif", "A 6586-2026")</f>
        <v/>
      </c>
      <c r="AA46">
        <f>HYPERLINK("https://klasma.github.io/Logging_2101/klagomål/A 6586-2026 FSC-klagomål.docx", "A 6586-2026")</f>
        <v/>
      </c>
      <c r="AB46">
        <f>HYPERLINK("https://klasma.github.io/Logging_2101/klagomålsmail/A 6586-2026 FSC-klagomål mail.docx", "A 6586-2026")</f>
        <v/>
      </c>
      <c r="AC46">
        <f>HYPERLINK("https://klasma.github.io/Logging_2101/tillsyn/A 6586-2026 tillsynsbegäran.docx", "A 6586-2026")</f>
        <v/>
      </c>
      <c r="AD46">
        <f>HYPERLINK("https://klasma.github.io/Logging_2101/tillsynsmail/A 6586-2026 tillsynsbegäran mail.docx", "A 6586-2026")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46263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13640-2026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46263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HYPERLINK("https://klasma.github.io/Logging_2101/artfynd/A 13640-2026 artfynd.xlsx", "A 13640-2026")</f>
        <v/>
      </c>
      <c r="X48">
        <f>HYPERLINK("https://klasma.github.io/Logging_2101/kartor/A 13640-2026 karta.png", "A 13640-2026")</f>
        <v/>
      </c>
      <c r="Y48">
        <f>HYPERLINK("https://klasma.github.io/Logging_2101/kartor_geotiff/A 13640-2026 georefererad karta.tif", "A 13640-2026")</f>
        <v/>
      </c>
      <c r="AA48">
        <f>HYPERLINK("https://klasma.github.io/Logging_2101/klagomål/A 13640-2026 FSC-klagomål.docx", "A 13640-2026")</f>
        <v/>
      </c>
      <c r="AB48">
        <f>HYPERLINK("https://klasma.github.io/Logging_2101/klagomålsmail/A 13640-2026 FSC-klagomål mail.docx", "A 13640-2026")</f>
        <v/>
      </c>
      <c r="AC48">
        <f>HYPERLINK("https://klasma.github.io/Logging_2101/tillsyn/A 13640-2026 tillsynsbegäran.docx", "A 13640-2026")</f>
        <v/>
      </c>
      <c r="AD48">
        <f>HYPERLINK("https://klasma.github.io/Logging_2101/tillsynsmail/A 13640-2026 tillsynsbegäran mail.docx", "A 13640-2026")</f>
        <v/>
      </c>
    </row>
    <row r="49" ht="15" customHeight="1">
      <c r="A49" t="inlineStr">
        <is>
          <t>A 14479-2026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46263</v>
      </c>
      <c r="F49" t="inlineStr">
        <is>
          <t>GÄVLEBORGS LÄN</t>
        </is>
      </c>
      <c r="G49" t="inlineStr">
        <is>
          <t>OCKELBO</t>
        </is>
      </c>
      <c r="I49" t="n">
        <v>4.8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HYPERLINK("https://klasma.github.io/Logging_2101/artfynd/A 14479-2026 artfynd.xlsx", "A 14479-2026")</f>
        <v/>
      </c>
      <c r="X49">
        <f>HYPERLINK("https://klasma.github.io/Logging_2101/kartor/A 14479-2026 karta.png", "A 14479-2026")</f>
        <v/>
      </c>
      <c r="Y49">
        <f>HYPERLINK("https://klasma.github.io/Logging_2101/kartor_geotiff/A 14479-2026 georefererad karta.tif", "A 14479-2026")</f>
        <v/>
      </c>
      <c r="AA49">
        <f>HYPERLINK("https://klasma.github.io/Logging_2101/klagomål/A 14479-2026 FSC-klagomål.docx", "A 14479-2026")</f>
        <v/>
      </c>
      <c r="AB49">
        <f>HYPERLINK("https://klasma.github.io/Logging_2101/klagomålsmail/A 14479-2026 FSC-klagomål mail.docx", "A 14479-2026")</f>
        <v/>
      </c>
      <c r="AC49">
        <f>HYPERLINK("https://klasma.github.io/Logging_2101/tillsyn/A 14479-2026 tillsynsbegäran.docx", "A 14479-2026")</f>
        <v/>
      </c>
      <c r="AD49">
        <f>HYPERLINK("https://klasma.github.io/Logging_2101/tillsynsmail/A 14479-2026 tillsynsbegäran mail.docx", "A 14479-2026")</f>
        <v/>
      </c>
    </row>
    <row r="50" ht="15" customHeight="1">
      <c r="A50" t="inlineStr">
        <is>
          <t>A 14664-2026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46101</v>
      </c>
      <c r="E50" s="1" t="n">
        <v>46263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Tjäder</t>
        </is>
      </c>
      <c r="W50">
        <f>HYPERLINK("https://klasma.github.io/Logging_2101/artfynd/A 14664-2026 artfynd.xlsx", "A 14664-2026")</f>
        <v/>
      </c>
      <c r="X50">
        <f>HYPERLINK("https://klasma.github.io/Logging_2101/kartor/A 14664-2026 karta.png", "A 14664-2026")</f>
        <v/>
      </c>
      <c r="Y50">
        <f>HYPERLINK("https://klasma.github.io/Logging_2101/kartor_geotiff/A 14664-2026 georefererad karta.tif", "A 14664-2026")</f>
        <v/>
      </c>
      <c r="AA50">
        <f>HYPERLINK("https://klasma.github.io/Logging_2101/klagomål/A 14664-2026 FSC-klagomål.docx", "A 14664-2026")</f>
        <v/>
      </c>
      <c r="AB50">
        <f>HYPERLINK("https://klasma.github.io/Logging_2101/klagomålsmail/A 14664-2026 FSC-klagomål mail.docx", "A 14664-2026")</f>
        <v/>
      </c>
      <c r="AC50">
        <f>HYPERLINK("https://klasma.github.io/Logging_2101/tillsyn/A 14664-2026 tillsynsbegäran.docx", "A 14664-2026")</f>
        <v/>
      </c>
      <c r="AD50">
        <f>HYPERLINK("https://klasma.github.io/Logging_2101/tillsynsmail/A 14664-2026 tillsynsbegäran mail.docx", "A 14664-2026")</f>
        <v/>
      </c>
      <c r="AE50">
        <f>HYPERLINK("https://klasma.github.io/Logging_2101/fåglar/A 14664-2026 prioriterade fågelarter.docx", "A 14664-2026")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46263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HYPERLINK("https://klasma.github.io/Logging_2101/artfynd/A 18188-2026 artfynd.xlsx", "A 18188-2026")</f>
        <v/>
      </c>
      <c r="X51">
        <f>HYPERLINK("https://klasma.github.io/Logging_2101/kartor/A 18188-2026 karta.png", "A 18188-2026")</f>
        <v/>
      </c>
      <c r="Y51">
        <f>HYPERLINK("https://klasma.github.io/Logging_2101/kartor_geotiff/A 18188-2026 georefererad karta.tif", "A 18188-2026")</f>
        <v/>
      </c>
      <c r="AA51">
        <f>HYPERLINK("https://klasma.github.io/Logging_2101/klagomål/A 18188-2026 FSC-klagomål.docx", "A 18188-2026")</f>
        <v/>
      </c>
      <c r="AB51">
        <f>HYPERLINK("https://klasma.github.io/Logging_2101/klagomålsmail/A 18188-2026 FSC-klagomål mail.docx", "A 18188-2026")</f>
        <v/>
      </c>
      <c r="AC51">
        <f>HYPERLINK("https://klasma.github.io/Logging_2101/tillsyn/A 18188-2026 tillsynsbegäran.docx", "A 18188-2026")</f>
        <v/>
      </c>
      <c r="AD51">
        <f>HYPERLINK("https://klasma.github.io/Logging_2101/tillsynsmail/A 18188-2026 tillsynsbegäran mail.docx", "A 18188-2026")</f>
        <v/>
      </c>
      <c r="AE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46263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HYPERLINK("https://klasma.github.io/Logging_2101/artfynd/A 12777-2026 artfynd.xlsx", "A 12777-2026")</f>
        <v/>
      </c>
      <c r="X52">
        <f>HYPERLINK("https://klasma.github.io/Logging_2101/kartor/A 12777-2026 karta.png", "A 12777-2026")</f>
        <v/>
      </c>
      <c r="Y52">
        <f>HYPERLINK("https://klasma.github.io/Logging_2101/kartor_geotiff/A 12777-2026 georefererad karta.tif", "A 12777-2026")</f>
        <v/>
      </c>
      <c r="AA52">
        <f>HYPERLINK("https://klasma.github.io/Logging_2101/klagomål/A 12777-2026 FSC-klagomål.docx", "A 12777-2026")</f>
        <v/>
      </c>
      <c r="AB52">
        <f>HYPERLINK("https://klasma.github.io/Logging_2101/klagomålsmail/A 12777-2026 FSC-klagomål mail.docx", "A 12777-2026")</f>
        <v/>
      </c>
      <c r="AC52">
        <f>HYPERLINK("https://klasma.github.io/Logging_2101/tillsyn/A 12777-2026 tillsynsbegäran.docx", "A 12777-2026")</f>
        <v/>
      </c>
      <c r="AD52">
        <f>HYPERLINK("https://klasma.github.io/Logging_2101/tillsynsmail/A 12777-2026 tillsynsbegäran mail.docx", "A 12777-2026")</f>
        <v/>
      </c>
      <c r="AE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46263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Fläcknycklar</t>
        </is>
      </c>
      <c r="W53">
        <f>HYPERLINK("https://klasma.github.io/Logging_2101/artfynd/A 10145-2026 artfynd.xlsx", "A 10145-2026")</f>
        <v/>
      </c>
      <c r="X53">
        <f>HYPERLINK("https://klasma.github.io/Logging_2101/kartor/A 10145-2026 karta.png", "A 10145-2026")</f>
        <v/>
      </c>
      <c r="Y53">
        <f>HYPERLINK("https://klasma.github.io/Logging_2101/kartor_geotiff/A 10145-2026 georefererad karta.tif", "A 10145-2026")</f>
        <v/>
      </c>
      <c r="Z53">
        <f>HYPERLINK("https://klasma.github.io/Logging_2101/knärot/A 10145-2026 karta knärot.png", "A 10145-2026")</f>
        <v/>
      </c>
      <c r="AA53">
        <f>HYPERLINK("https://klasma.github.io/Logging_2101/klagomål/A 10145-2026 FSC-klagomål.docx", "A 10145-2026")</f>
        <v/>
      </c>
      <c r="AB53">
        <f>HYPERLINK("https://klasma.github.io/Logging_2101/klagomålsmail/A 10145-2026 FSC-klagomål mail.docx", "A 10145-2026")</f>
        <v/>
      </c>
      <c r="AC53">
        <f>HYPERLINK("https://klasma.github.io/Logging_2101/tillsyn/A 10145-2026 tillsynsbegäran.docx", "A 10145-2026")</f>
        <v/>
      </c>
      <c r="AD53">
        <f>HYPERLINK("https://klasma.github.io/Logging_2101/tillsynsmail/A 10145-2026 tillsynsbegäran mail.docx", "A 10145-2026")</f>
        <v/>
      </c>
    </row>
    <row r="54" ht="15" customHeight="1">
      <c r="A54" t="inlineStr">
        <is>
          <t>A 9155-2026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46263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Kolflarnlav</t>
        </is>
      </c>
      <c r="W54">
        <f>HYPERLINK("https://klasma.github.io/Logging_2101/artfynd/A 9155-2026 artfynd.xlsx", "A 9155-2026")</f>
        <v/>
      </c>
      <c r="X54">
        <f>HYPERLINK("https://klasma.github.io/Logging_2101/kartor/A 9155-2026 karta.png", "A 9155-2026")</f>
        <v/>
      </c>
      <c r="Y54">
        <f>HYPERLINK("https://klasma.github.io/Logging_2101/kartor_geotiff/A 9155-2026 georefererad karta.tif", "A 9155-2026")</f>
        <v/>
      </c>
      <c r="AA54">
        <f>HYPERLINK("https://klasma.github.io/Logging_2101/klagomål/A 9155-2026 FSC-klagomål.docx", "A 9155-2026")</f>
        <v/>
      </c>
      <c r="AB54">
        <f>HYPERLINK("https://klasma.github.io/Logging_2101/klagomålsmail/A 9155-2026 FSC-klagomål mail.docx", "A 9155-2026")</f>
        <v/>
      </c>
      <c r="AC54">
        <f>HYPERLINK("https://klasma.github.io/Logging_2101/tillsyn/A 9155-2026 tillsynsbegäran.docx", "A 9155-2026")</f>
        <v/>
      </c>
      <c r="AD54">
        <f>HYPERLINK("https://klasma.github.io/Logging_2101/tillsynsmail/A 9155-2026 tillsynsbegäran mail.docx", "A 9155-2026")</f>
        <v/>
      </c>
    </row>
    <row r="55" ht="15" customHeight="1">
      <c r="A55" t="inlineStr">
        <is>
          <t>A 16738-2025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46263</v>
      </c>
      <c r="F55" t="inlineStr">
        <is>
          <t>GÄVLEBORGS LÄN</t>
        </is>
      </c>
      <c r="G55" t="inlineStr">
        <is>
          <t>OCKELBO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16738-2025 artfynd.xlsx", "A 16738-2025")</f>
        <v/>
      </c>
      <c r="X55">
        <f>HYPERLINK("https://klasma.github.io/Logging_2101/kartor/A 16738-2025 karta.png", "A 16738-2025")</f>
        <v/>
      </c>
      <c r="Y55">
        <f>HYPERLINK("https://klasma.github.io/Logging_2101/kartor_geotiff/A 16738-2025 georefererad karta.tif", "A 16738-2025")</f>
        <v/>
      </c>
      <c r="AA55">
        <f>HYPERLINK("https://klasma.github.io/Logging_2101/klagomål/A 16738-2025 FSC-klagomål.docx", "A 16738-2025")</f>
        <v/>
      </c>
      <c r="AB55">
        <f>HYPERLINK("https://klasma.github.io/Logging_2101/klagomålsmail/A 16738-2025 FSC-klagomål mail.docx", "A 16738-2025")</f>
        <v/>
      </c>
      <c r="AC55">
        <f>HYPERLINK("https://klasma.github.io/Logging_2101/tillsyn/A 16738-2025 tillsynsbegäran.docx", "A 16738-2025")</f>
        <v/>
      </c>
      <c r="AD55">
        <f>HYPERLINK("https://klasma.github.io/Logging_2101/tillsynsmail/A 16738-2025 tillsynsbegäran mail.docx", "A 16738-2025")</f>
        <v/>
      </c>
    </row>
    <row r="56" ht="15" customHeight="1">
      <c r="A56" t="inlineStr">
        <is>
          <t>A 20233-2026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46263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17.9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Tibast</t>
        </is>
      </c>
      <c r="W56">
        <f>HYPERLINK("https://klasma.github.io/Logging_2101/artfynd/A 20233-2026 artfynd.xlsx", "A 20233-2026")</f>
        <v/>
      </c>
      <c r="X56">
        <f>HYPERLINK("https://klasma.github.io/Logging_2101/kartor/A 20233-2026 karta.png", "A 20233-2026")</f>
        <v/>
      </c>
      <c r="Y56">
        <f>HYPERLINK("https://klasma.github.io/Logging_2101/kartor_geotiff/A 20233-2026 georefererad karta.tif", "A 20233-2026")</f>
        <v/>
      </c>
      <c r="AA56">
        <f>HYPERLINK("https://klasma.github.io/Logging_2101/klagomål/A 20233-2026 FSC-klagomål.docx", "A 20233-2026")</f>
        <v/>
      </c>
      <c r="AB56">
        <f>HYPERLINK("https://klasma.github.io/Logging_2101/klagomålsmail/A 20233-2026 FSC-klagomål mail.docx", "A 20233-2026")</f>
        <v/>
      </c>
      <c r="AC56">
        <f>HYPERLINK("https://klasma.github.io/Logging_2101/tillsyn/A 20233-2026 tillsynsbegäran.docx", "A 20233-2026")</f>
        <v/>
      </c>
      <c r="AD56">
        <f>HYPERLINK("https://klasma.github.io/Logging_2101/tillsynsmail/A 20233-2026 tillsynsbegäran mail.docx", "A 20233-2026")</f>
        <v/>
      </c>
    </row>
    <row r="57" ht="15" customHeight="1">
      <c r="A57" t="inlineStr">
        <is>
          <t>A 22821-2024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46263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Tibast</t>
        </is>
      </c>
      <c r="W57">
        <f>HYPERLINK("https://klasma.github.io/Logging_2101/artfynd/A 22821-2024 artfynd.xlsx", "A 22821-2024")</f>
        <v/>
      </c>
      <c r="X57">
        <f>HYPERLINK("https://klasma.github.io/Logging_2101/kartor/A 22821-2024 karta.png", "A 22821-2024")</f>
        <v/>
      </c>
      <c r="Y57">
        <f>HYPERLINK("https://klasma.github.io/Logging_2101/kartor_geotiff/A 22821-2024 georefererad karta.tif", "A 22821-2024")</f>
        <v/>
      </c>
      <c r="AA57">
        <f>HYPERLINK("https://klasma.github.io/Logging_2101/klagomål/A 22821-2024 FSC-klagomål.docx", "A 22821-2024")</f>
        <v/>
      </c>
      <c r="AB57">
        <f>HYPERLINK("https://klasma.github.io/Logging_2101/klagomålsmail/A 22821-2024 FSC-klagomål mail.docx", "A 22821-2024")</f>
        <v/>
      </c>
      <c r="AC57">
        <f>HYPERLINK("https://klasma.github.io/Logging_2101/tillsyn/A 22821-2024 tillsynsbegäran.docx", "A 22821-2024")</f>
        <v/>
      </c>
      <c r="AD57">
        <f>HYPERLINK("https://klasma.github.io/Logging_2101/tillsynsmail/A 22821-2024 tillsynsbegäran mail.docx", "A 22821-2024")</f>
        <v/>
      </c>
    </row>
    <row r="58" ht="15" customHeight="1">
      <c r="A58" t="inlineStr">
        <is>
          <t>A 26448-2024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46263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4.5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HYPERLINK("https://klasma.github.io/Logging_2101/artfynd/A 26448-2024 artfynd.xlsx", "A 26448-2024")</f>
        <v/>
      </c>
      <c r="X58">
        <f>HYPERLINK("https://klasma.github.io/Logging_2101/kartor/A 26448-2024 karta.png", "A 26448-2024")</f>
        <v/>
      </c>
      <c r="Y58">
        <f>HYPERLINK("https://klasma.github.io/Logging_2101/kartor_geotiff/A 26448-2024 georefererad karta.tif", "A 26448-2024")</f>
        <v/>
      </c>
      <c r="AA58">
        <f>HYPERLINK("https://klasma.github.io/Logging_2101/klagomål/A 26448-2024 FSC-klagomål.docx", "A 26448-2024")</f>
        <v/>
      </c>
      <c r="AB58">
        <f>HYPERLINK("https://klasma.github.io/Logging_2101/klagomålsmail/A 26448-2024 FSC-klagomål mail.docx", "A 26448-2024")</f>
        <v/>
      </c>
      <c r="AC58">
        <f>HYPERLINK("https://klasma.github.io/Logging_2101/tillsyn/A 26448-2024 tillsynsbegäran.docx", "A 26448-2024")</f>
        <v/>
      </c>
      <c r="AD58">
        <f>HYPERLINK("https://klasma.github.io/Logging_2101/tillsynsmail/A 26448-2024 tillsynsbegäran mail.docx", "A 26448-2024")</f>
        <v/>
      </c>
    </row>
    <row r="59" ht="15" customHeight="1">
      <c r="A59" t="inlineStr">
        <is>
          <t>A 4226-2023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44953</v>
      </c>
      <c r="E59" s="1" t="n">
        <v>46263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2.4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Skogsknipprot</t>
        </is>
      </c>
      <c r="W59">
        <f>HYPERLINK("https://klasma.github.io/Logging_2101/artfynd/A 4226-2023 artfynd.xlsx", "A 4226-2023")</f>
        <v/>
      </c>
      <c r="X59">
        <f>HYPERLINK("https://klasma.github.io/Logging_2101/kartor/A 4226-2023 karta.png", "A 4226-2023")</f>
        <v/>
      </c>
      <c r="Y59">
        <f>HYPERLINK("https://klasma.github.io/Logging_2101/kartor_geotiff/A 4226-2023 georefererad karta.tif", "A 4226-2023")</f>
        <v/>
      </c>
      <c r="AA59">
        <f>HYPERLINK("https://klasma.github.io/Logging_2101/klagomål/A 4226-2023 FSC-klagomål.docx", "A 4226-2023")</f>
        <v/>
      </c>
      <c r="AB59">
        <f>HYPERLINK("https://klasma.github.io/Logging_2101/klagomålsmail/A 4226-2023 FSC-klagomål mail.docx", "A 4226-2023")</f>
        <v/>
      </c>
      <c r="AC59">
        <f>HYPERLINK("https://klasma.github.io/Logging_2101/tillsyn/A 4226-2023 tillsynsbegäran.docx", "A 4226-2023")</f>
        <v/>
      </c>
      <c r="AD59">
        <f>HYPERLINK("https://klasma.github.io/Logging_2101/tillsynsmail/A 4226-2023 tillsynsbegäran mail.docx", "A 4226-2023")</f>
        <v/>
      </c>
    </row>
    <row r="60" ht="15" customHeight="1">
      <c r="A60" t="inlineStr">
        <is>
          <t>A 15039-2026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46104</v>
      </c>
      <c r="E60" s="1" t="n">
        <v>46263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18.2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HYPERLINK("https://klasma.github.io/Logging_2101/artfynd/A 15039-2026 artfynd.xlsx", "A 15039-2026")</f>
        <v/>
      </c>
      <c r="X60">
        <f>HYPERLINK("https://klasma.github.io/Logging_2101/kartor/A 15039-2026 karta.png", "A 15039-2026")</f>
        <v/>
      </c>
      <c r="Y60">
        <f>HYPERLINK("https://klasma.github.io/Logging_2101/kartor_geotiff/A 15039-2026 georefererad karta.tif", "A 15039-2026")</f>
        <v/>
      </c>
      <c r="AA60">
        <f>HYPERLINK("https://klasma.github.io/Logging_2101/klagomål/A 15039-2026 FSC-klagomål.docx", "A 15039-2026")</f>
        <v/>
      </c>
      <c r="AB60">
        <f>HYPERLINK("https://klasma.github.io/Logging_2101/klagomålsmail/A 15039-2026 FSC-klagomål mail.docx", "A 15039-2026")</f>
        <v/>
      </c>
      <c r="AC60">
        <f>HYPERLINK("https://klasma.github.io/Logging_2101/tillsyn/A 15039-2026 tillsynsbegäran.docx", "A 15039-2026")</f>
        <v/>
      </c>
      <c r="AD60">
        <f>HYPERLINK("https://klasma.github.io/Logging_2101/tillsynsmail/A 15039-2026 tillsynsbegäran mail.docx", "A 15039-2026")</f>
        <v/>
      </c>
      <c r="AE60">
        <f>HYPERLINK("https://klasma.github.io/Logging_2101/fåglar/A 15039-2026 prioriterade fågelarter.docx", "A 15039-2026")</f>
        <v/>
      </c>
    </row>
    <row r="61" ht="15" customHeight="1">
      <c r="A61" t="inlineStr">
        <is>
          <t>A 11970-2026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46263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10.9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Järpe</t>
        </is>
      </c>
      <c r="W61">
        <f>HYPERLINK("https://klasma.github.io/Logging_2101/artfynd/A 11970-2026 artfynd.xlsx", "A 11970-2026")</f>
        <v/>
      </c>
      <c r="X61">
        <f>HYPERLINK("https://klasma.github.io/Logging_2101/kartor/A 11970-2026 karta.png", "A 11970-2026")</f>
        <v/>
      </c>
      <c r="Y61">
        <f>HYPERLINK("https://klasma.github.io/Logging_2101/kartor_geotiff/A 11970-2026 georefererad karta.tif", "A 11970-2026")</f>
        <v/>
      </c>
      <c r="AA61">
        <f>HYPERLINK("https://klasma.github.io/Logging_2101/klagomål/A 11970-2026 FSC-klagomål.docx", "A 11970-2026")</f>
        <v/>
      </c>
      <c r="AB61">
        <f>HYPERLINK("https://klasma.github.io/Logging_2101/klagomålsmail/A 11970-2026 FSC-klagomål mail.docx", "A 11970-2026")</f>
        <v/>
      </c>
      <c r="AC61">
        <f>HYPERLINK("https://klasma.github.io/Logging_2101/tillsyn/A 11970-2026 tillsynsbegäran.docx", "A 11970-2026")</f>
        <v/>
      </c>
      <c r="AD61">
        <f>HYPERLINK("https://klasma.github.io/Logging_2101/tillsynsmail/A 11970-2026 tillsynsbegäran mail.docx", "A 11970-2026")</f>
        <v/>
      </c>
      <c r="AE61">
        <f>HYPERLINK("https://klasma.github.io/Logging_2101/fåglar/A 11970-2026 prioriterade fågelarter.docx", "A 11970-2026")</f>
        <v/>
      </c>
    </row>
    <row r="62" ht="15" customHeight="1">
      <c r="A62" t="inlineStr">
        <is>
          <t>A 10448-2026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46263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3.6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Plattlummer</t>
        </is>
      </c>
      <c r="W62">
        <f>HYPERLINK("https://klasma.github.io/Logging_2101/artfynd/A 10448-2026 artfynd.xlsx", "A 10448-2026")</f>
        <v/>
      </c>
      <c r="X62">
        <f>HYPERLINK("https://klasma.github.io/Logging_2101/kartor/A 10448-2026 karta.png", "A 10448-2026")</f>
        <v/>
      </c>
      <c r="Y62">
        <f>HYPERLINK("https://klasma.github.io/Logging_2101/kartor_geotiff/A 10448-2026 georefererad karta.tif", "A 10448-2026")</f>
        <v/>
      </c>
      <c r="AA62">
        <f>HYPERLINK("https://klasma.github.io/Logging_2101/klagomål/A 10448-2026 FSC-klagomål.docx", "A 10448-2026")</f>
        <v/>
      </c>
      <c r="AB62">
        <f>HYPERLINK("https://klasma.github.io/Logging_2101/klagomålsmail/A 10448-2026 FSC-klagomål mail.docx", "A 10448-2026")</f>
        <v/>
      </c>
      <c r="AC62">
        <f>HYPERLINK("https://klasma.github.io/Logging_2101/tillsyn/A 10448-2026 tillsynsbegäran.docx", "A 10448-2026")</f>
        <v/>
      </c>
      <c r="AD62">
        <f>HYPERLINK("https://klasma.github.io/Logging_2101/tillsynsmail/A 10448-2026 tillsynsbegäran mail.docx", "A 10448-2026")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46263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46263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46263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46263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46263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46263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46263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46263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46263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46263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46263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46263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46263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46263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46263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46263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46263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46263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46263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46263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46263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46263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46263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46263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46263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46263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46263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46263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46263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51565-2021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46263</v>
      </c>
      <c r="F92" t="inlineStr">
        <is>
          <t>GÄVLEBORGS LÄN</t>
        </is>
      </c>
      <c r="G92" t="inlineStr">
        <is>
          <t>OCKELBO</t>
        </is>
      </c>
      <c r="I92" t="n">
        <v>8.800000000000001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46263</v>
      </c>
      <c r="F93" t="inlineStr">
        <is>
          <t>GÄVLEBORGS LÄN</t>
        </is>
      </c>
      <c r="G93" t="inlineStr">
        <is>
          <t>OCKELBO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46263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45203</v>
      </c>
      <c r="E95" s="1" t="n">
        <v>46263</v>
      </c>
      <c r="F95" t="inlineStr">
        <is>
          <t>GÄVLEBORGS LÄN</t>
        </is>
      </c>
      <c r="G95" t="inlineStr">
        <is>
          <t>OCKELBO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5558-2024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46263</v>
      </c>
      <c r="F96" t="inlineStr">
        <is>
          <t>GÄVLEBORGS LÄN</t>
        </is>
      </c>
      <c r="G96" t="inlineStr">
        <is>
          <t>OCKELBO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45184</v>
      </c>
      <c r="E97" s="1" t="n">
        <v>46263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45527</v>
      </c>
      <c r="E98" s="1" t="n">
        <v>46263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45330</v>
      </c>
      <c r="E99" s="1" t="n">
        <v>46263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46263</v>
      </c>
      <c r="F100" t="inlineStr">
        <is>
          <t>GÄVLEBORGS LÄN</t>
        </is>
      </c>
      <c r="G100" t="inlineStr">
        <is>
          <t>OCKELBO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44838</v>
      </c>
      <c r="E101" s="1" t="n">
        <v>46263</v>
      </c>
      <c r="F101" t="inlineStr">
        <is>
          <t>GÄVLEBORGS LÄN</t>
        </is>
      </c>
      <c r="G101" t="inlineStr">
        <is>
          <t>OCKELBO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44893</v>
      </c>
      <c r="E102" s="1" t="n">
        <v>46263</v>
      </c>
      <c r="F102" t="inlineStr">
        <is>
          <t>GÄVLEBORGS LÄN</t>
        </is>
      </c>
      <c r="G102" t="inlineStr">
        <is>
          <t>OCKELBO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40140-2022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44820</v>
      </c>
      <c r="E103" s="1" t="n">
        <v>46263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55422-2022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44887</v>
      </c>
      <c r="E104" s="1" t="n">
        <v>46263</v>
      </c>
      <c r="F104" t="inlineStr">
        <is>
          <t>GÄVLEBORGS LÄN</t>
        </is>
      </c>
      <c r="G104" t="inlineStr">
        <is>
          <t>OCKELBO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20231-2024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45434</v>
      </c>
      <c r="E105" s="1" t="n">
        <v>46263</v>
      </c>
      <c r="F105" t="inlineStr">
        <is>
          <t>GÄVLEBORGS LÄN</t>
        </is>
      </c>
      <c r="G105" t="inlineStr">
        <is>
          <t>OCKELBO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52635-2025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46263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52259-2025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45953</v>
      </c>
      <c r="E107" s="1" t="n">
        <v>46263</v>
      </c>
      <c r="F107" t="inlineStr">
        <is>
          <t>GÄVLEBORGS LÄN</t>
        </is>
      </c>
      <c r="G107" t="inlineStr">
        <is>
          <t>OCKELBO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52461-2025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46263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52241-2025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45953</v>
      </c>
      <c r="E109" s="1" t="n">
        <v>46263</v>
      </c>
      <c r="F109" t="inlineStr">
        <is>
          <t>GÄVLEBORGS LÄN</t>
        </is>
      </c>
      <c r="G109" t="inlineStr">
        <is>
          <t>OCKELBO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46263</v>
      </c>
      <c r="F110" t="inlineStr">
        <is>
          <t>GÄVLEBORGS LÄN</t>
        </is>
      </c>
      <c r="G110" t="inlineStr">
        <is>
          <t>OCKELBO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45957</v>
      </c>
      <c r="E111" s="1" t="n">
        <v>46263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46263</v>
      </c>
      <c r="F112" t="inlineStr">
        <is>
          <t>GÄVLEBORGS LÄN</t>
        </is>
      </c>
      <c r="G112" t="inlineStr">
        <is>
          <t>OCKELBO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46263</v>
      </c>
      <c r="F113" t="inlineStr">
        <is>
          <t>GÄVLEBORGS LÄN</t>
        </is>
      </c>
      <c r="G113" t="inlineStr">
        <is>
          <t>OCKELBO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54323-2024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46263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45443</v>
      </c>
      <c r="E115" s="1" t="n">
        <v>46263</v>
      </c>
      <c r="F115" t="inlineStr">
        <is>
          <t>GÄVLEBORGS LÄN</t>
        </is>
      </c>
      <c r="G115" t="inlineStr">
        <is>
          <t>OCKELBO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45959</v>
      </c>
      <c r="E116" s="1" t="n">
        <v>46263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11.3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60253-2023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45258</v>
      </c>
      <c r="E117" s="1" t="n">
        <v>46263</v>
      </c>
      <c r="F117" t="inlineStr">
        <is>
          <t>GÄVLEBORGS LÄN</t>
        </is>
      </c>
      <c r="G117" t="inlineStr">
        <is>
          <t>OCKELBO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37848-2024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46263</v>
      </c>
      <c r="F118" t="inlineStr">
        <is>
          <t>GÄVLEBORGS LÄN</t>
        </is>
      </c>
      <c r="G118" t="inlineStr">
        <is>
          <t>OCKELBO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22387-2025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45786</v>
      </c>
      <c r="E119" s="1" t="n">
        <v>46263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23780-2024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45455</v>
      </c>
      <c r="E120" s="1" t="n">
        <v>46263</v>
      </c>
      <c r="F120" t="inlineStr">
        <is>
          <t>GÄVLEBORGS LÄN</t>
        </is>
      </c>
      <c r="G120" t="inlineStr">
        <is>
          <t>OCKELBO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22385-2025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45786</v>
      </c>
      <c r="E121" s="1" t="n">
        <v>46263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45478</v>
      </c>
      <c r="E122" s="1" t="n">
        <v>46263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54655-2025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46263</v>
      </c>
      <c r="F123" t="inlineStr">
        <is>
          <t>GÄVLEBORGS LÄN</t>
        </is>
      </c>
      <c r="G123" t="inlineStr">
        <is>
          <t>OCKELBO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5571-2024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45334</v>
      </c>
      <c r="E124" s="1" t="n">
        <v>46263</v>
      </c>
      <c r="F124" t="inlineStr">
        <is>
          <t>GÄVLEBORGS LÄN</t>
        </is>
      </c>
      <c r="G124" t="inlineStr">
        <is>
          <t>OCKELBO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46263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45888</v>
      </c>
      <c r="E126" s="1" t="n">
        <v>46263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28181-2022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44746</v>
      </c>
      <c r="E127" s="1" t="n">
        <v>46263</v>
      </c>
      <c r="F127" t="inlineStr">
        <is>
          <t>GÄVLEBORGS LÄN</t>
        </is>
      </c>
      <c r="G127" t="inlineStr">
        <is>
          <t>OCKELBO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46263</v>
      </c>
      <c r="F128" t="inlineStr">
        <is>
          <t>GÄVLEBORGS LÄN</t>
        </is>
      </c>
      <c r="G128" t="inlineStr">
        <is>
          <t>OCKELBO</t>
        </is>
      </c>
      <c r="H128" t="inlineStr">
        <is>
          <t>Kyrkan</t>
        </is>
      </c>
      <c r="I128" t="n">
        <v>12.5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23772-2024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45455</v>
      </c>
      <c r="E129" s="1" t="n">
        <v>46263</v>
      </c>
      <c r="F129" t="inlineStr">
        <is>
          <t>GÄVLEBORGS LÄN</t>
        </is>
      </c>
      <c r="G129" t="inlineStr">
        <is>
          <t>OCKELBO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23004-2025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45790</v>
      </c>
      <c r="E130" s="1" t="n">
        <v>46263</v>
      </c>
      <c r="F130" t="inlineStr">
        <is>
          <t>GÄVLEBORGS LÄN</t>
        </is>
      </c>
      <c r="G130" t="inlineStr">
        <is>
          <t>OCKELBO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45366</v>
      </c>
      <c r="E131" s="1" t="n">
        <v>46263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45593</v>
      </c>
      <c r="E132" s="1" t="n">
        <v>46263</v>
      </c>
      <c r="F132" t="inlineStr">
        <is>
          <t>GÄVLEBORGS LÄN</t>
        </is>
      </c>
      <c r="G132" t="inlineStr">
        <is>
          <t>OCKELBO</t>
        </is>
      </c>
      <c r="I132" t="n">
        <v>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28965-2024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45481</v>
      </c>
      <c r="E133" s="1" t="n">
        <v>46263</v>
      </c>
      <c r="F133" t="inlineStr">
        <is>
          <t>GÄVLEBORGS LÄN</t>
        </is>
      </c>
      <c r="G133" t="inlineStr">
        <is>
          <t>OCKELBO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45490</v>
      </c>
      <c r="E134" s="1" t="n">
        <v>46263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39324-2025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46263</v>
      </c>
      <c r="F135" t="inlineStr">
        <is>
          <t>GÄVLEBORGS LÄN</t>
        </is>
      </c>
      <c r="G135" t="inlineStr">
        <is>
          <t>OCKELBO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46263</v>
      </c>
      <c r="F136" t="inlineStr">
        <is>
          <t>GÄVLEBORGS LÄN</t>
        </is>
      </c>
      <c r="G136" t="inlineStr">
        <is>
          <t>OCKELBO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46263</v>
      </c>
      <c r="F137" t="inlineStr">
        <is>
          <t>GÄVLEBORGS LÄN</t>
        </is>
      </c>
      <c r="G137" t="inlineStr">
        <is>
          <t>OCKELBO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15195-2025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45744</v>
      </c>
      <c r="E138" s="1" t="n">
        <v>46263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45478</v>
      </c>
      <c r="E139" s="1" t="n">
        <v>46263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45891</v>
      </c>
      <c r="E140" s="1" t="n">
        <v>46263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17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40148-2025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45894</v>
      </c>
      <c r="E141" s="1" t="n">
        <v>46263</v>
      </c>
      <c r="F141" t="inlineStr">
        <is>
          <t>GÄVLEBORGS LÄN</t>
        </is>
      </c>
      <c r="G141" t="inlineStr">
        <is>
          <t>OCKELBO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45967</v>
      </c>
      <c r="E142" s="1" t="n">
        <v>46263</v>
      </c>
      <c r="F142" t="inlineStr">
        <is>
          <t>GÄVLEBORGS LÄN</t>
        </is>
      </c>
      <c r="G142" t="inlineStr">
        <is>
          <t>OCKELBO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46263</v>
      </c>
      <c r="F143" t="inlineStr">
        <is>
          <t>GÄVLEBORGS LÄN</t>
        </is>
      </c>
      <c r="G143" t="inlineStr">
        <is>
          <t>OCKELBO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45896</v>
      </c>
      <c r="E144" s="1" t="n">
        <v>46263</v>
      </c>
      <c r="F144" t="inlineStr">
        <is>
          <t>GÄVLEBORGS LÄN</t>
        </is>
      </c>
      <c r="G144" t="inlineStr">
        <is>
          <t>OCKELBO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55632-2025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45972</v>
      </c>
      <c r="E145" s="1" t="n">
        <v>46263</v>
      </c>
      <c r="F145" t="inlineStr">
        <is>
          <t>GÄVLEBORGS LÄN</t>
        </is>
      </c>
      <c r="G145" t="inlineStr">
        <is>
          <t>OCKELBO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46263</v>
      </c>
      <c r="F146" t="inlineStr">
        <is>
          <t>GÄVLEBORGS LÄN</t>
        </is>
      </c>
      <c r="G146" t="inlineStr">
        <is>
          <t>OCKELBO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45972</v>
      </c>
      <c r="E147" s="1" t="n">
        <v>46263</v>
      </c>
      <c r="F147" t="inlineStr">
        <is>
          <t>GÄVLEBORGS LÄN</t>
        </is>
      </c>
      <c r="G147" t="inlineStr">
        <is>
          <t>OCKELBO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55913-2025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46263</v>
      </c>
      <c r="F148" t="inlineStr">
        <is>
          <t>GÄVLEBORGS LÄN</t>
        </is>
      </c>
      <c r="G148" t="inlineStr">
        <is>
          <t>OCKELBO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45776</v>
      </c>
      <c r="E149" s="1" t="n">
        <v>46263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16.2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46263</v>
      </c>
      <c r="F150" t="inlineStr">
        <is>
          <t>GÄVLEBORGS LÄN</t>
        </is>
      </c>
      <c r="G150" t="inlineStr">
        <is>
          <t>OCKELBO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46263</v>
      </c>
      <c r="F151" t="inlineStr">
        <is>
          <t>GÄVLEBORGS LÄN</t>
        </is>
      </c>
      <c r="G151" t="inlineStr">
        <is>
          <t>OCKELBO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46263</v>
      </c>
      <c r="F152" t="inlineStr">
        <is>
          <t>GÄVLEBORGS LÄN</t>
        </is>
      </c>
      <c r="G152" t="inlineStr">
        <is>
          <t>OCKELBO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55866-2025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46263</v>
      </c>
      <c r="F153" t="inlineStr">
        <is>
          <t>GÄVLEBORGS LÄN</t>
        </is>
      </c>
      <c r="G153" t="inlineStr">
        <is>
          <t>OCKELBO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55911-2025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45973</v>
      </c>
      <c r="E154" s="1" t="n">
        <v>46263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45134</v>
      </c>
      <c r="E155" s="1" t="n">
        <v>46263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45342</v>
      </c>
      <c r="E156" s="1" t="n">
        <v>46263</v>
      </c>
      <c r="F156" t="inlineStr">
        <is>
          <t>GÄVLEBORGS LÄN</t>
        </is>
      </c>
      <c r="G156" t="inlineStr">
        <is>
          <t>OCKELBO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45903</v>
      </c>
      <c r="E157" s="1" t="n">
        <v>46263</v>
      </c>
      <c r="F157" t="inlineStr">
        <is>
          <t>GÄVLEBORGS LÄN</t>
        </is>
      </c>
      <c r="G157" t="inlineStr">
        <is>
          <t>OCKELBO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46263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41897-2025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46263</v>
      </c>
      <c r="F159" t="inlineStr">
        <is>
          <t>GÄVLEBORGS LÄN</t>
        </is>
      </c>
      <c r="G159" t="inlineStr">
        <is>
          <t>OCKELBO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64924-2023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45282</v>
      </c>
      <c r="E160" s="1" t="n">
        <v>46263</v>
      </c>
      <c r="F160" t="inlineStr">
        <is>
          <t>GÄVLEBORGS LÄN</t>
        </is>
      </c>
      <c r="G160" t="inlineStr">
        <is>
          <t>OCKELBO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55884-2025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46263</v>
      </c>
      <c r="F161" t="inlineStr">
        <is>
          <t>GÄVLEBORGS LÄN</t>
        </is>
      </c>
      <c r="G161" t="inlineStr">
        <is>
          <t>OCKELBO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36295-2024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45534</v>
      </c>
      <c r="E162" s="1" t="n">
        <v>46263</v>
      </c>
      <c r="F162" t="inlineStr">
        <is>
          <t>GÄVLEBORGS LÄN</t>
        </is>
      </c>
      <c r="G162" t="inlineStr">
        <is>
          <t>OCKELBO</t>
        </is>
      </c>
      <c r="I162" t="n">
        <v>7.9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46263</v>
      </c>
      <c r="F163" t="inlineStr">
        <is>
          <t>GÄVLEBORGS LÄN</t>
        </is>
      </c>
      <c r="G163" t="inlineStr">
        <is>
          <t>OCKELBO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42386-2025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46263</v>
      </c>
      <c r="F164" t="inlineStr">
        <is>
          <t>GÄVLEBORGS LÄN</t>
        </is>
      </c>
      <c r="G164" t="inlineStr">
        <is>
          <t>OCKELBO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45239</v>
      </c>
      <c r="E165" s="1" t="n">
        <v>46263</v>
      </c>
      <c r="F165" t="inlineStr">
        <is>
          <t>GÄVLEBORGS LÄN</t>
        </is>
      </c>
      <c r="G165" t="inlineStr">
        <is>
          <t>OCKELBO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20207-2024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45434</v>
      </c>
      <c r="E166" s="1" t="n">
        <v>46263</v>
      </c>
      <c r="F166" t="inlineStr">
        <is>
          <t>GÄVLEBORGS LÄN</t>
        </is>
      </c>
      <c r="G166" t="inlineStr">
        <is>
          <t>OCKELBO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60497-2021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44496</v>
      </c>
      <c r="E167" s="1" t="n">
        <v>46263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45777</v>
      </c>
      <c r="E168" s="1" t="n">
        <v>46263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45621</v>
      </c>
      <c r="E169" s="1" t="n">
        <v>46263</v>
      </c>
      <c r="F169" t="inlineStr">
        <is>
          <t>GÄVLEBORGS LÄN</t>
        </is>
      </c>
      <c r="G169" t="inlineStr">
        <is>
          <t>OCKELBO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46263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24.8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46263</v>
      </c>
      <c r="F171" t="inlineStr">
        <is>
          <t>GÄVLEBORGS LÄN</t>
        </is>
      </c>
      <c r="G171" t="inlineStr">
        <is>
          <t>OCKELBO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46263</v>
      </c>
      <c r="F172" t="inlineStr">
        <is>
          <t>GÄVLEBORGS LÄN</t>
        </is>
      </c>
      <c r="G172" t="inlineStr">
        <is>
          <t>OCKELBO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44659</v>
      </c>
      <c r="E173" s="1" t="n">
        <v>46263</v>
      </c>
      <c r="F173" t="inlineStr">
        <is>
          <t>GÄVLEBORGS LÄN</t>
        </is>
      </c>
      <c r="G173" t="inlineStr">
        <is>
          <t>OCKELBO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26085-2024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45468</v>
      </c>
      <c r="E174" s="1" t="n">
        <v>46263</v>
      </c>
      <c r="F174" t="inlineStr">
        <is>
          <t>GÄVLEBORGS LÄN</t>
        </is>
      </c>
      <c r="G174" t="inlineStr">
        <is>
          <t>OCKELBO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45754</v>
      </c>
      <c r="E175" s="1" t="n">
        <v>46263</v>
      </c>
      <c r="F175" t="inlineStr">
        <is>
          <t>GÄVLEBORGS LÄN</t>
        </is>
      </c>
      <c r="G175" t="inlineStr">
        <is>
          <t>OCKELBO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46263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56921-2025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46263</v>
      </c>
      <c r="F177" t="inlineStr">
        <is>
          <t>GÄVLEBORGS LÄN</t>
        </is>
      </c>
      <c r="G177" t="inlineStr">
        <is>
          <t>OCKELBO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46263</v>
      </c>
      <c r="F178" t="inlineStr">
        <is>
          <t>GÄVLEBORGS LÄN</t>
        </is>
      </c>
      <c r="G178" t="inlineStr">
        <is>
          <t>OCKELBO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56919-2025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46263</v>
      </c>
      <c r="F179" t="inlineStr">
        <is>
          <t>GÄVLEBORGS LÄN</t>
        </is>
      </c>
      <c r="G179" t="inlineStr">
        <is>
          <t>OCKELBO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45978</v>
      </c>
      <c r="E180" s="1" t="n">
        <v>46263</v>
      </c>
      <c r="F180" t="inlineStr">
        <is>
          <t>GÄVLEBORGS LÄN</t>
        </is>
      </c>
      <c r="G180" t="inlineStr">
        <is>
          <t>OCKELBO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45488</v>
      </c>
      <c r="E181" s="1" t="n">
        <v>46263</v>
      </c>
      <c r="F181" t="inlineStr">
        <is>
          <t>GÄVLEBORGS LÄN</t>
        </is>
      </c>
      <c r="G181" t="inlineStr">
        <is>
          <t>OCKELBO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56876-2025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45978</v>
      </c>
      <c r="E182" s="1" t="n">
        <v>46263</v>
      </c>
      <c r="F182" t="inlineStr">
        <is>
          <t>GÄVLEBORGS LÄN</t>
        </is>
      </c>
      <c r="G182" t="inlineStr">
        <is>
          <t>OCKELBO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46263</v>
      </c>
      <c r="F183" t="inlineStr">
        <is>
          <t>GÄVLEBORGS LÄN</t>
        </is>
      </c>
      <c r="G183" t="inlineStr">
        <is>
          <t>OCKELBO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56877-2025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45978</v>
      </c>
      <c r="E184" s="1" t="n">
        <v>46263</v>
      </c>
      <c r="F184" t="inlineStr">
        <is>
          <t>GÄVLEBORGS LÄN</t>
        </is>
      </c>
      <c r="G184" t="inlineStr">
        <is>
          <t>OCKELBO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56454-2025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46263</v>
      </c>
      <c r="F185" t="inlineStr">
        <is>
          <t>GÄVLEBORGS LÄN</t>
        </is>
      </c>
      <c r="G185" t="inlineStr">
        <is>
          <t>OCKELBO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15502-2025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45747</v>
      </c>
      <c r="E186" s="1" t="n">
        <v>46263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45184</v>
      </c>
      <c r="E187" s="1" t="n">
        <v>46263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49470-2024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45596</v>
      </c>
      <c r="E188" s="1" t="n">
        <v>46263</v>
      </c>
      <c r="F188" t="inlineStr">
        <is>
          <t>GÄVLEBORGS LÄN</t>
        </is>
      </c>
      <c r="G188" t="inlineStr">
        <is>
          <t>OCKELBO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53393-2022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46263</v>
      </c>
      <c r="F189" t="inlineStr">
        <is>
          <t>GÄVLEBORGS LÄN</t>
        </is>
      </c>
      <c r="G189" t="inlineStr">
        <is>
          <t>OCKELBO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25246-2025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45800</v>
      </c>
      <c r="E190" s="1" t="n">
        <v>46263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25250-2025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45800</v>
      </c>
      <c r="E191" s="1" t="n">
        <v>46263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45618</v>
      </c>
      <c r="E192" s="1" t="n">
        <v>46263</v>
      </c>
      <c r="F192" t="inlineStr">
        <is>
          <t>GÄVLEBORGS LÄN</t>
        </is>
      </c>
      <c r="G192" t="inlineStr">
        <is>
          <t>OCKELBO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46263</v>
      </c>
      <c r="F193" t="inlineStr">
        <is>
          <t>GÄVLEBORGS LÄN</t>
        </is>
      </c>
      <c r="G193" t="inlineStr">
        <is>
          <t>OCKELBO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25248-2025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46263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46263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46263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25234-2025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46263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45925</v>
      </c>
      <c r="E198" s="1" t="n">
        <v>46263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45803</v>
      </c>
      <c r="E199" s="1" t="n">
        <v>46263</v>
      </c>
      <c r="F199" t="inlineStr">
        <is>
          <t>GÄVLEBORGS LÄN</t>
        </is>
      </c>
      <c r="G199" t="inlineStr">
        <is>
          <t>OCKELBO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46263</v>
      </c>
      <c r="F200" t="inlineStr">
        <is>
          <t>GÄVLEBORGS LÄN</t>
        </is>
      </c>
      <c r="G200" t="inlineStr">
        <is>
          <t>OCKELBO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34291-2025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45846</v>
      </c>
      <c r="E201" s="1" t="n">
        <v>46263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29768-2023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45107</v>
      </c>
      <c r="E202" s="1" t="n">
        <v>46263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46263</v>
      </c>
      <c r="F203" t="inlineStr">
        <is>
          <t>GÄVLEBORGS LÄN</t>
        </is>
      </c>
      <c r="G203" t="inlineStr">
        <is>
          <t>OCKELBO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45519-2022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44845</v>
      </c>
      <c r="E204" s="1" t="n">
        <v>46263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48221-2024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45590</v>
      </c>
      <c r="E205" s="1" t="n">
        <v>46263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46263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46263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61622-2021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46263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46263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58727-2025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46263</v>
      </c>
      <c r="F210" t="inlineStr">
        <is>
          <t>GÄVLEBORGS LÄN</t>
        </is>
      </c>
      <c r="G210" t="inlineStr">
        <is>
          <t>OCKELBO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38401-2023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46263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67768-2021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44525</v>
      </c>
      <c r="E212" s="1" t="n">
        <v>46263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46263</v>
      </c>
      <c r="F213" t="inlineStr">
        <is>
          <t>GÄVLEBORGS LÄN</t>
        </is>
      </c>
      <c r="G213" t="inlineStr">
        <is>
          <t>OCKELBO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46263</v>
      </c>
      <c r="F214" t="inlineStr">
        <is>
          <t>GÄVLEBORGS LÄN</t>
        </is>
      </c>
      <c r="G214" t="inlineStr">
        <is>
          <t>OCKELBO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46485-2024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45582</v>
      </c>
      <c r="E215" s="1" t="n">
        <v>46263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46263</v>
      </c>
      <c r="F216" t="inlineStr">
        <is>
          <t>GÄVLEBORGS LÄN</t>
        </is>
      </c>
      <c r="G216" t="inlineStr">
        <is>
          <t>OCKELBO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46263</v>
      </c>
      <c r="F217" t="inlineStr">
        <is>
          <t>GÄVLEBORGS LÄN</t>
        </is>
      </c>
      <c r="G217" t="inlineStr">
        <is>
          <t>OCKELBO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50689-2024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45602</v>
      </c>
      <c r="E218" s="1" t="n">
        <v>46263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50692-2024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45602</v>
      </c>
      <c r="E219" s="1" t="n">
        <v>46263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45602</v>
      </c>
      <c r="E220" s="1" t="n">
        <v>46263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38893-2022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44816</v>
      </c>
      <c r="E221" s="1" t="n">
        <v>46263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16141-2023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45027</v>
      </c>
      <c r="E222" s="1" t="n">
        <v>46263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45608</v>
      </c>
      <c r="E223" s="1" t="n">
        <v>46263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45554</v>
      </c>
      <c r="E224" s="1" t="n">
        <v>46263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45644</v>
      </c>
      <c r="E225" s="1" t="n">
        <v>46263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50235-2023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45216</v>
      </c>
      <c r="E226" s="1" t="n">
        <v>46263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66825-2021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44522</v>
      </c>
      <c r="E227" s="1" t="n">
        <v>46263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64367-2023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45280</v>
      </c>
      <c r="E228" s="1" t="n">
        <v>46263</v>
      </c>
      <c r="F228" t="inlineStr">
        <is>
          <t>GÄVLEBORGS LÄN</t>
        </is>
      </c>
      <c r="G228" t="inlineStr">
        <is>
          <t>OCKELBO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46263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45932</v>
      </c>
      <c r="E230" s="1" t="n">
        <v>46263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48855-2025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46263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27990-2025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46263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46263</v>
      </c>
      <c r="F233" t="inlineStr">
        <is>
          <t>GÄVLEBORGS LÄN</t>
        </is>
      </c>
      <c r="G233" t="inlineStr">
        <is>
          <t>OCKELBO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40196-2024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45554</v>
      </c>
      <c r="E234" s="1" t="n">
        <v>46263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46263</v>
      </c>
      <c r="F235" t="inlineStr">
        <is>
          <t>GÄVLEBORGS LÄN</t>
        </is>
      </c>
      <c r="G235" t="inlineStr">
        <is>
          <t>OCKELBO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49014-2025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46263</v>
      </c>
      <c r="F236" t="inlineStr">
        <is>
          <t>GÄVLEBORGS LÄN</t>
        </is>
      </c>
      <c r="G236" t="inlineStr">
        <is>
          <t>OCKELBO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45937</v>
      </c>
      <c r="E237" s="1" t="n">
        <v>46263</v>
      </c>
      <c r="F237" t="inlineStr">
        <is>
          <t>GÄVLEBORGS LÄN</t>
        </is>
      </c>
      <c r="G237" t="inlineStr">
        <is>
          <t>OCKELBO</t>
        </is>
      </c>
      <c r="I237" t="n">
        <v>11.1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45817</v>
      </c>
      <c r="E238" s="1" t="n">
        <v>46263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49027-2025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46263</v>
      </c>
      <c r="F239" t="inlineStr">
        <is>
          <t>GÄVLEBORGS LÄN</t>
        </is>
      </c>
      <c r="G239" t="inlineStr">
        <is>
          <t>OCKELBO</t>
        </is>
      </c>
      <c r="I239" t="n">
        <v>11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45817</v>
      </c>
      <c r="E240" s="1" t="n">
        <v>46263</v>
      </c>
      <c r="F240" t="inlineStr">
        <is>
          <t>GÄVLEBORGS LÄN</t>
        </is>
      </c>
      <c r="G240" t="inlineStr">
        <is>
          <t>OCKELBO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60183-2025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45994</v>
      </c>
      <c r="E241" s="1" t="n">
        <v>46263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46263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28669-2025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45819</v>
      </c>
      <c r="E243" s="1" t="n">
        <v>46263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45834</v>
      </c>
      <c r="E244" s="1" t="n">
        <v>46263</v>
      </c>
      <c r="F244" t="inlineStr">
        <is>
          <t>GÄVLEBORGS LÄN</t>
        </is>
      </c>
      <c r="G244" t="inlineStr">
        <is>
          <t>OCKELBO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45996</v>
      </c>
      <c r="E245" s="1" t="n">
        <v>46263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60487-2025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46263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60527-2025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45995</v>
      </c>
      <c r="E247" s="1" t="n">
        <v>46263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44950</v>
      </c>
      <c r="E248" s="1" t="n">
        <v>46263</v>
      </c>
      <c r="F248" t="inlineStr">
        <is>
          <t>GÄVLEBORGS LÄN</t>
        </is>
      </c>
      <c r="G248" t="inlineStr">
        <is>
          <t>OCKELBO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29274-2025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46263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61148-2025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46263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45821</v>
      </c>
      <c r="E251" s="1" t="n">
        <v>46263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30798-2024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45497</v>
      </c>
      <c r="E252" s="1" t="n">
        <v>46263</v>
      </c>
      <c r="F252" t="inlineStr">
        <is>
          <t>GÄVLEBORGS LÄN</t>
        </is>
      </c>
      <c r="G252" t="inlineStr">
        <is>
          <t>OCKELBO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51892-2025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46263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46263</v>
      </c>
      <c r="F254" t="inlineStr">
        <is>
          <t>GÄVLEBORGS LÄN</t>
        </is>
      </c>
      <c r="G254" t="inlineStr">
        <is>
          <t>OCKELBO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30229-2025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45827</v>
      </c>
      <c r="E255" s="1" t="n">
        <v>46263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45827</v>
      </c>
      <c r="E256" s="1" t="n">
        <v>46263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30179-2025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45827</v>
      </c>
      <c r="E257" s="1" t="n">
        <v>46263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62196-2025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46006</v>
      </c>
      <c r="E258" s="1" t="n">
        <v>46263</v>
      </c>
      <c r="F258" t="inlineStr">
        <is>
          <t>GÄVLEBORGS LÄN</t>
        </is>
      </c>
      <c r="G258" t="inlineStr">
        <is>
          <t>OCKELBO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49207-2023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45210</v>
      </c>
      <c r="E259" s="1" t="n">
        <v>46263</v>
      </c>
      <c r="F259" t="inlineStr">
        <is>
          <t>GÄVLEBORGS LÄN</t>
        </is>
      </c>
      <c r="G259" t="inlineStr">
        <is>
          <t>OCKELBO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45838</v>
      </c>
      <c r="E260" s="1" t="n">
        <v>46263</v>
      </c>
      <c r="F260" t="inlineStr">
        <is>
          <t>GÄVLEBORGS LÄN</t>
        </is>
      </c>
      <c r="G260" t="inlineStr">
        <is>
          <t>OCKELBO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45840</v>
      </c>
      <c r="E261" s="1" t="n">
        <v>46263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45840</v>
      </c>
      <c r="E262" s="1" t="n">
        <v>46263</v>
      </c>
      <c r="F262" t="inlineStr">
        <is>
          <t>GÄVLEBORGS LÄN</t>
        </is>
      </c>
      <c r="G262" t="inlineStr">
        <is>
          <t>OCKELBO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44950</v>
      </c>
      <c r="E263" s="1" t="n">
        <v>46263</v>
      </c>
      <c r="F263" t="inlineStr">
        <is>
          <t>GÄVLEBORGS LÄN</t>
        </is>
      </c>
      <c r="G263" t="inlineStr">
        <is>
          <t>OCKELBO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45398</v>
      </c>
      <c r="E264" s="1" t="n">
        <v>46263</v>
      </c>
      <c r="F264" t="inlineStr">
        <is>
          <t>GÄVLEBORGS LÄN</t>
        </is>
      </c>
      <c r="G264" t="inlineStr">
        <is>
          <t>OCKELBO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30011-2023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45109</v>
      </c>
      <c r="E265" s="1" t="n">
        <v>46263</v>
      </c>
      <c r="F265" t="inlineStr">
        <is>
          <t>GÄVLEBORGS LÄN</t>
        </is>
      </c>
      <c r="G265" t="inlineStr">
        <is>
          <t>OCKELBO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22824-2024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45448</v>
      </c>
      <c r="E266" s="1" t="n">
        <v>46263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46263</v>
      </c>
      <c r="F267" t="inlineStr">
        <is>
          <t>GÄVLEBORGS LÄN</t>
        </is>
      </c>
      <c r="G267" t="inlineStr">
        <is>
          <t>OCKELBO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23006-2023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45073</v>
      </c>
      <c r="E268" s="1" t="n">
        <v>46263</v>
      </c>
      <c r="F268" t="inlineStr">
        <is>
          <t>GÄVLEBORGS LÄN</t>
        </is>
      </c>
      <c r="G268" t="inlineStr">
        <is>
          <t>OCKELBO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35017-2025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45851</v>
      </c>
      <c r="E269" s="1" t="n">
        <v>46263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27.8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64609-2023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46263</v>
      </c>
      <c r="F270" t="inlineStr">
        <is>
          <t>GÄVLEBORGS LÄN</t>
        </is>
      </c>
      <c r="G270" t="inlineStr">
        <is>
          <t>OCKELBO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65259-2023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45291</v>
      </c>
      <c r="E271" s="1" t="n">
        <v>46263</v>
      </c>
      <c r="F271" t="inlineStr">
        <is>
          <t>GÄVLEBORGS LÄN</t>
        </is>
      </c>
      <c r="G271" t="inlineStr">
        <is>
          <t>OCKELBO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59383-2025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45989</v>
      </c>
      <c r="E272" s="1" t="n">
        <v>46263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46263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52335-2024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45609</v>
      </c>
      <c r="E274" s="1" t="n">
        <v>46263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53139-2024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45611</v>
      </c>
      <c r="E275" s="1" t="n">
        <v>46263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45674</v>
      </c>
      <c r="E276" s="1" t="n">
        <v>46263</v>
      </c>
      <c r="F276" t="inlineStr">
        <is>
          <t>GÄVLEBORGS LÄN</t>
        </is>
      </c>
      <c r="G276" t="inlineStr">
        <is>
          <t>OCKELBO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45719</v>
      </c>
      <c r="E277" s="1" t="n">
        <v>46263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öst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47100-2024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45586</v>
      </c>
      <c r="E278" s="1" t="n">
        <v>46263</v>
      </c>
      <c r="F278" t="inlineStr">
        <is>
          <t>GÄVLEBORGS LÄN</t>
        </is>
      </c>
      <c r="G278" t="inlineStr">
        <is>
          <t>OCKELBO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45551</v>
      </c>
      <c r="E279" s="1" t="n">
        <v>46263</v>
      </c>
      <c r="F279" t="inlineStr">
        <is>
          <t>GÄVLEBORGS LÄN</t>
        </is>
      </c>
      <c r="G279" t="inlineStr">
        <is>
          <t>OCKELBO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45666</v>
      </c>
      <c r="E280" s="1" t="n">
        <v>46263</v>
      </c>
      <c r="F280" t="inlineStr">
        <is>
          <t>GÄVLEBORGS LÄN</t>
        </is>
      </c>
      <c r="G280" t="inlineStr">
        <is>
          <t>OCKELBO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32011-2024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45510</v>
      </c>
      <c r="E281" s="1" t="n">
        <v>46263</v>
      </c>
      <c r="F281" t="inlineStr">
        <is>
          <t>GÄVLEBORGS LÄN</t>
        </is>
      </c>
      <c r="G281" t="inlineStr">
        <is>
          <t>OCKELBO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32123-2024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45511</v>
      </c>
      <c r="E282" s="1" t="n">
        <v>46263</v>
      </c>
      <c r="F282" t="inlineStr">
        <is>
          <t>GÄVLEBORGS LÄN</t>
        </is>
      </c>
      <c r="G282" t="inlineStr">
        <is>
          <t>OCKELBO</t>
        </is>
      </c>
      <c r="I282" t="n">
        <v>11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22385-2023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45070</v>
      </c>
      <c r="E283" s="1" t="n">
        <v>46263</v>
      </c>
      <c r="F283" t="inlineStr">
        <is>
          <t>GÄVLEBORGS LÄN</t>
        </is>
      </c>
      <c r="G283" t="inlineStr">
        <is>
          <t>OCKELBO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61456-2024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45646</v>
      </c>
      <c r="E284" s="1" t="n">
        <v>46263</v>
      </c>
      <c r="F284" t="inlineStr">
        <is>
          <t>GÄVLEBORGS LÄN</t>
        </is>
      </c>
      <c r="G284" t="inlineStr">
        <is>
          <t>OCKELBO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60962-2024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45645</v>
      </c>
      <c r="E285" s="1" t="n">
        <v>46263</v>
      </c>
      <c r="F285" t="inlineStr">
        <is>
          <t>GÄVLEBORGS LÄN</t>
        </is>
      </c>
      <c r="G285" t="inlineStr">
        <is>
          <t>OCKELBO</t>
        </is>
      </c>
      <c r="H285" t="inlineStr">
        <is>
          <t>Kyrkan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11734-2025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45727</v>
      </c>
      <c r="E286" s="1" t="n">
        <v>46263</v>
      </c>
      <c r="F286" t="inlineStr">
        <is>
          <t>GÄVLEBORGS LÄN</t>
        </is>
      </c>
      <c r="G286" t="inlineStr">
        <is>
          <t>OCKELBO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45699</v>
      </c>
      <c r="E287" s="1" t="n">
        <v>46263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63061-2025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46263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29567-2024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45484</v>
      </c>
      <c r="E289" s="1" t="n">
        <v>46263</v>
      </c>
      <c r="F289" t="inlineStr">
        <is>
          <t>GÄVLEBORGS LÄN</t>
        </is>
      </c>
      <c r="G289" t="inlineStr">
        <is>
          <t>OCKELBO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36210-2024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45534</v>
      </c>
      <c r="E290" s="1" t="n">
        <v>46263</v>
      </c>
      <c r="F290" t="inlineStr">
        <is>
          <t>GÄVLEBORGS LÄN</t>
        </is>
      </c>
      <c r="G290" t="inlineStr">
        <is>
          <t>OCKELBO</t>
        </is>
      </c>
      <c r="H290" t="inlineStr">
        <is>
          <t>Kyrkan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62914-2025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46009</v>
      </c>
      <c r="E291" s="1" t="n">
        <v>46263</v>
      </c>
      <c r="F291" t="inlineStr">
        <is>
          <t>GÄVLEBORGS LÄN</t>
        </is>
      </c>
      <c r="G291" t="inlineStr">
        <is>
          <t>OCKELBO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46263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63616-2025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46014</v>
      </c>
      <c r="E293" s="1" t="n">
        <v>46263</v>
      </c>
      <c r="F293" t="inlineStr">
        <is>
          <t>GÄVLEBORGS LÄN</t>
        </is>
      </c>
      <c r="G293" t="inlineStr">
        <is>
          <t>OCKELBO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63224-2025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46010</v>
      </c>
      <c r="E294" s="1" t="n">
        <v>46263</v>
      </c>
      <c r="F294" t="inlineStr">
        <is>
          <t>GÄVLEBORGS LÄN</t>
        </is>
      </c>
      <c r="G294" t="inlineStr">
        <is>
          <t>OCKELBO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63464-2025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46013</v>
      </c>
      <c r="E295" s="1" t="n">
        <v>46263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45698</v>
      </c>
      <c r="E296" s="1" t="n">
        <v>46263</v>
      </c>
      <c r="F296" t="inlineStr">
        <is>
          <t>GÄVLEBORGS LÄN</t>
        </is>
      </c>
      <c r="G296" t="inlineStr">
        <is>
          <t>OCKELBO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63017-2025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46263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64006-2025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46021</v>
      </c>
      <c r="E298" s="1" t="n">
        <v>46263</v>
      </c>
      <c r="F298" t="inlineStr">
        <is>
          <t>GÄVLEBORGS LÄN</t>
        </is>
      </c>
      <c r="G298" t="inlineStr">
        <is>
          <t>OCKELBO</t>
        </is>
      </c>
      <c r="I298" t="n">
        <v>13.6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46024</v>
      </c>
      <c r="E299" s="1" t="n">
        <v>46263</v>
      </c>
      <c r="F299" t="inlineStr">
        <is>
          <t>GÄVLEBORGS LÄN</t>
        </is>
      </c>
      <c r="G299" t="inlineStr">
        <is>
          <t>OCKELBO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30349-2023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45111</v>
      </c>
      <c r="E300" s="1" t="n">
        <v>46263</v>
      </c>
      <c r="F300" t="inlineStr">
        <is>
          <t>GÄVLEBORGS LÄN</t>
        </is>
      </c>
      <c r="G300" t="inlineStr">
        <is>
          <t>OCKELBO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15966-2023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45022</v>
      </c>
      <c r="E301" s="1" t="n">
        <v>46263</v>
      </c>
      <c r="F301" t="inlineStr">
        <is>
          <t>GÄVLEBORGS LÄN</t>
        </is>
      </c>
      <c r="G301" t="inlineStr">
        <is>
          <t>OCKELBO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56232-2022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44890</v>
      </c>
      <c r="E302" s="1" t="n">
        <v>46263</v>
      </c>
      <c r="F302" t="inlineStr">
        <is>
          <t>GÄVLEBORGS LÄN</t>
        </is>
      </c>
      <c r="G302" t="inlineStr">
        <is>
          <t>OCKELBO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46027</v>
      </c>
      <c r="E303" s="1" t="n">
        <v>46263</v>
      </c>
      <c r="F303" t="inlineStr">
        <is>
          <t>GÄVLEBORGS LÄN</t>
        </is>
      </c>
      <c r="G303" t="inlineStr">
        <is>
          <t>OCKELBO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47849-2021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44448</v>
      </c>
      <c r="E304" s="1" t="n">
        <v>46263</v>
      </c>
      <c r="F304" t="inlineStr">
        <is>
          <t>GÄVLEBORGS LÄN</t>
        </is>
      </c>
      <c r="G304" t="inlineStr">
        <is>
          <t>OCKELBO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46027</v>
      </c>
      <c r="E305" s="1" t="n">
        <v>46263</v>
      </c>
      <c r="F305" t="inlineStr">
        <is>
          <t>GÄVLEBORGS LÄN</t>
        </is>
      </c>
      <c r="G305" t="inlineStr">
        <is>
          <t>OCKELBO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46027</v>
      </c>
      <c r="E306" s="1" t="n">
        <v>46263</v>
      </c>
      <c r="F306" t="inlineStr">
        <is>
          <t>GÄVLEBORGS LÄN</t>
        </is>
      </c>
      <c r="G306" t="inlineStr">
        <is>
          <t>OCKELBO</t>
        </is>
      </c>
      <c r="I306" t="n">
        <v>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46027</v>
      </c>
      <c r="E307" s="1" t="n">
        <v>46263</v>
      </c>
      <c r="F307" t="inlineStr">
        <is>
          <t>GÄVLEBORGS LÄN</t>
        </is>
      </c>
      <c r="G307" t="inlineStr">
        <is>
          <t>OCKELBO</t>
        </is>
      </c>
      <c r="I307" t="n">
        <v>16.2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46027</v>
      </c>
      <c r="E308" s="1" t="n">
        <v>46263</v>
      </c>
      <c r="F308" t="inlineStr">
        <is>
          <t>GÄVLEBORGS LÄN</t>
        </is>
      </c>
      <c r="G308" t="inlineStr">
        <is>
          <t>OCKELBO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54817-2022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44883</v>
      </c>
      <c r="E309" s="1" t="n">
        <v>46263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46027</v>
      </c>
      <c r="E310" s="1" t="n">
        <v>46263</v>
      </c>
      <c r="F310" t="inlineStr">
        <is>
          <t>GÄVLEBORGS LÄN</t>
        </is>
      </c>
      <c r="G310" t="inlineStr">
        <is>
          <t>OCKELBO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22151-2022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44712</v>
      </c>
      <c r="E311" s="1" t="n">
        <v>46263</v>
      </c>
      <c r="F311" t="inlineStr">
        <is>
          <t>GÄVLEBORGS LÄN</t>
        </is>
      </c>
      <c r="G311" t="inlineStr">
        <is>
          <t>OCKELBO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33881-2023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45134</v>
      </c>
      <c r="E312" s="1" t="n">
        <v>46263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väst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36362-2024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45534</v>
      </c>
      <c r="E313" s="1" t="n">
        <v>46263</v>
      </c>
      <c r="F313" t="inlineStr">
        <is>
          <t>GÄVLEBORGS LÄN</t>
        </is>
      </c>
      <c r="G313" t="inlineStr">
        <is>
          <t>OCKELBO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46263</v>
      </c>
      <c r="F314" t="inlineStr">
        <is>
          <t>GÄVLEBORGS LÄN</t>
        </is>
      </c>
      <c r="G314" t="inlineStr">
        <is>
          <t>OCKELBO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46028</v>
      </c>
      <c r="E315" s="1" t="n">
        <v>46263</v>
      </c>
      <c r="F315" t="inlineStr">
        <is>
          <t>GÄVLEBORGS LÄN</t>
        </is>
      </c>
      <c r="G315" t="inlineStr">
        <is>
          <t>OCKELBO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46029</v>
      </c>
      <c r="E316" s="1" t="n">
        <v>46263</v>
      </c>
      <c r="F316" t="inlineStr">
        <is>
          <t>GÄVLEBORGS LÄN</t>
        </is>
      </c>
      <c r="G316" t="inlineStr">
        <is>
          <t>OCKELBO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46028</v>
      </c>
      <c r="E317" s="1" t="n">
        <v>46263</v>
      </c>
      <c r="F317" t="inlineStr">
        <is>
          <t>GÄVLEBORGS LÄN</t>
        </is>
      </c>
      <c r="G317" t="inlineStr">
        <is>
          <t>OCKELBO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46263</v>
      </c>
      <c r="F318" t="inlineStr">
        <is>
          <t>GÄVLEBORGS LÄN</t>
        </is>
      </c>
      <c r="G318" t="inlineStr">
        <is>
          <t>OCKELBO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46263</v>
      </c>
      <c r="F319" t="inlineStr">
        <is>
          <t>GÄVLEBORGS LÄN</t>
        </is>
      </c>
      <c r="G319" t="inlineStr">
        <is>
          <t>OCKELBO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46024</v>
      </c>
      <c r="E320" s="1" t="n">
        <v>46263</v>
      </c>
      <c r="F320" t="inlineStr">
        <is>
          <t>GÄVLEBORGS LÄN</t>
        </is>
      </c>
      <c r="G320" t="inlineStr">
        <is>
          <t>OCKELBO</t>
        </is>
      </c>
      <c r="I320" t="n">
        <v>12.9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46263</v>
      </c>
      <c r="F321" t="inlineStr">
        <is>
          <t>GÄVLEBORGS LÄN</t>
        </is>
      </c>
      <c r="G321" t="inlineStr">
        <is>
          <t>OCKELBO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46263</v>
      </c>
      <c r="F322" t="inlineStr">
        <is>
          <t>GÄVLEBORGS LÄN</t>
        </is>
      </c>
      <c r="G322" t="inlineStr">
        <is>
          <t>OCKELBO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46033</v>
      </c>
      <c r="E323" s="1" t="n">
        <v>46263</v>
      </c>
      <c r="F323" t="inlineStr">
        <is>
          <t>GÄVLEBORGS LÄN</t>
        </is>
      </c>
      <c r="G323" t="inlineStr">
        <is>
          <t>OCKELBO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46263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46263</v>
      </c>
      <c r="F325" t="inlineStr">
        <is>
          <t>GÄVLEBORGS LÄN</t>
        </is>
      </c>
      <c r="G325" t="inlineStr">
        <is>
          <t>OCKELBO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46036</v>
      </c>
      <c r="E326" s="1" t="n">
        <v>46263</v>
      </c>
      <c r="F326" t="inlineStr">
        <is>
          <t>GÄVLEBORGS LÄN</t>
        </is>
      </c>
      <c r="G326" t="inlineStr">
        <is>
          <t>OCKELBO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46036</v>
      </c>
      <c r="E327" s="1" t="n">
        <v>46263</v>
      </c>
      <c r="F327" t="inlineStr">
        <is>
          <t>GÄVLEBORGS LÄN</t>
        </is>
      </c>
      <c r="G327" t="inlineStr">
        <is>
          <t>OCKELBO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46263</v>
      </c>
      <c r="F328" t="inlineStr">
        <is>
          <t>GÄVLEBORGS LÄN</t>
        </is>
      </c>
      <c r="G328" t="inlineStr">
        <is>
          <t>OCKELBO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2178-2026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46263</v>
      </c>
      <c r="F329" t="inlineStr">
        <is>
          <t>GÄVLEBORGS LÄN</t>
        </is>
      </c>
      <c r="G329" t="inlineStr">
        <is>
          <t>OCKELBO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46035</v>
      </c>
      <c r="E330" s="1" t="n">
        <v>46263</v>
      </c>
      <c r="F330" t="inlineStr">
        <is>
          <t>GÄVLEBORGS LÄN</t>
        </is>
      </c>
      <c r="G330" t="inlineStr">
        <is>
          <t>OCKELBO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2304-2026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46036</v>
      </c>
      <c r="E331" s="1" t="n">
        <v>46263</v>
      </c>
      <c r="F331" t="inlineStr">
        <is>
          <t>GÄVLEBORGS LÄN</t>
        </is>
      </c>
      <c r="G331" t="inlineStr">
        <is>
          <t>OCKELBO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2319-2026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46036</v>
      </c>
      <c r="E332" s="1" t="n">
        <v>46263</v>
      </c>
      <c r="F332" t="inlineStr">
        <is>
          <t>GÄVLEBORGS LÄN</t>
        </is>
      </c>
      <c r="G332" t="inlineStr">
        <is>
          <t>OCKELBO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46263</v>
      </c>
      <c r="F333" t="inlineStr">
        <is>
          <t>GÄVLEBORGS LÄN</t>
        </is>
      </c>
      <c r="G333" t="inlineStr">
        <is>
          <t>OCKELBO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46263</v>
      </c>
      <c r="F334" t="inlineStr">
        <is>
          <t>GÄVLEBORGS LÄN</t>
        </is>
      </c>
      <c r="G334" t="inlineStr">
        <is>
          <t>OCKELBO</t>
        </is>
      </c>
      <c r="I334" t="n">
        <v>16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46038</v>
      </c>
      <c r="E335" s="1" t="n">
        <v>46263</v>
      </c>
      <c r="F335" t="inlineStr">
        <is>
          <t>GÄVLEBORGS LÄN</t>
        </is>
      </c>
      <c r="G335" t="inlineStr">
        <is>
          <t>OCKELBO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2858-2026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46038</v>
      </c>
      <c r="E336" s="1" t="n">
        <v>46263</v>
      </c>
      <c r="F336" t="inlineStr">
        <is>
          <t>GÄVLEBORGS LÄN</t>
        </is>
      </c>
      <c r="G336" t="inlineStr">
        <is>
          <t>OCKELBO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2550-2026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46037</v>
      </c>
      <c r="E337" s="1" t="n">
        <v>46263</v>
      </c>
      <c r="F337" t="inlineStr">
        <is>
          <t>GÄVLEBORGS LÄN</t>
        </is>
      </c>
      <c r="G337" t="inlineStr">
        <is>
          <t>OCKELBO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46041</v>
      </c>
      <c r="E338" s="1" t="n">
        <v>46263</v>
      </c>
      <c r="F338" t="inlineStr">
        <is>
          <t>GÄVLEBORGS LÄN</t>
        </is>
      </c>
      <c r="G338" t="inlineStr">
        <is>
          <t>OCKELBO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46036</v>
      </c>
      <c r="E339" s="1" t="n">
        <v>46263</v>
      </c>
      <c r="F339" t="inlineStr">
        <is>
          <t>GÄVLEBORGS LÄN</t>
        </is>
      </c>
      <c r="G339" t="inlineStr">
        <is>
          <t>OCKELBO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46263</v>
      </c>
      <c r="F340" t="inlineStr">
        <is>
          <t>GÄVLEBORGS LÄN</t>
        </is>
      </c>
      <c r="G340" t="inlineStr">
        <is>
          <t>OCKELBO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3999-2026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46263</v>
      </c>
      <c r="F341" t="inlineStr">
        <is>
          <t>GÄVLEBORGS LÄN</t>
        </is>
      </c>
      <c r="G341" t="inlineStr">
        <is>
          <t>OCKELBO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46263</v>
      </c>
      <c r="F342" t="inlineStr">
        <is>
          <t>GÄVLEBORGS LÄN</t>
        </is>
      </c>
      <c r="G342" t="inlineStr">
        <is>
          <t>OCKELBO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16629-2025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45754</v>
      </c>
      <c r="E343" s="1" t="n">
        <v>46263</v>
      </c>
      <c r="F343" t="inlineStr">
        <is>
          <t>GÄVLEBORGS LÄN</t>
        </is>
      </c>
      <c r="G343" t="inlineStr">
        <is>
          <t>OCKELBO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3653-2026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46043</v>
      </c>
      <c r="E344" s="1" t="n">
        <v>46263</v>
      </c>
      <c r="F344" t="inlineStr">
        <is>
          <t>GÄVLEBORGS LÄN</t>
        </is>
      </c>
      <c r="G344" t="inlineStr">
        <is>
          <t>OCKELBO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46263</v>
      </c>
      <c r="F345" t="inlineStr">
        <is>
          <t>GÄVLEBORGS LÄN</t>
        </is>
      </c>
      <c r="G345" t="inlineStr">
        <is>
          <t>OCKELBO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46038</v>
      </c>
      <c r="E346" s="1" t="n">
        <v>46263</v>
      </c>
      <c r="F346" t="inlineStr">
        <is>
          <t>GÄVLEBORGS LÄN</t>
        </is>
      </c>
      <c r="G346" t="inlineStr">
        <is>
          <t>OCKELBO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46036</v>
      </c>
      <c r="E347" s="1" t="n">
        <v>46263</v>
      </c>
      <c r="F347" t="inlineStr">
        <is>
          <t>GÄVLEBORGS LÄN</t>
        </is>
      </c>
      <c r="G347" t="inlineStr">
        <is>
          <t>OCKELBO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46263</v>
      </c>
      <c r="F348" t="inlineStr">
        <is>
          <t>GÄVLEBORGS LÄN</t>
        </is>
      </c>
      <c r="G348" t="inlineStr">
        <is>
          <t>OCKELBO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46048</v>
      </c>
      <c r="E349" s="1" t="n">
        <v>46263</v>
      </c>
      <c r="F349" t="inlineStr">
        <is>
          <t>GÄVLEBORGS LÄN</t>
        </is>
      </c>
      <c r="G349" t="inlineStr">
        <is>
          <t>OCKELBO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2325-2026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46263</v>
      </c>
      <c r="F350" t="inlineStr">
        <is>
          <t>GÄVLEBORGS LÄN</t>
        </is>
      </c>
      <c r="G350" t="inlineStr">
        <is>
          <t>OCKELBO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4234-2026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46044</v>
      </c>
      <c r="E351" s="1" t="n">
        <v>46263</v>
      </c>
      <c r="F351" t="inlineStr">
        <is>
          <t>GÄVLEBORGS LÄN</t>
        </is>
      </c>
      <c r="G351" t="inlineStr">
        <is>
          <t>OCKELBO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46045</v>
      </c>
      <c r="E352" s="1" t="n">
        <v>46263</v>
      </c>
      <c r="F352" t="inlineStr">
        <is>
          <t>GÄVLEBORGS LÄN</t>
        </is>
      </c>
      <c r="G352" t="inlineStr">
        <is>
          <t>OCKELBO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46263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46049</v>
      </c>
      <c r="E354" s="1" t="n">
        <v>46263</v>
      </c>
      <c r="F354" t="inlineStr">
        <is>
          <t>GÄVLEBORGS LÄN</t>
        </is>
      </c>
      <c r="G354" t="inlineStr">
        <is>
          <t>OCKELBO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46263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46263</v>
      </c>
      <c r="F356" t="inlineStr">
        <is>
          <t>GÄVLEBORGS LÄN</t>
        </is>
      </c>
      <c r="G356" t="inlineStr">
        <is>
          <t>OCKELBO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5337-2026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46050</v>
      </c>
      <c r="E357" s="1" t="n">
        <v>46263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17730-2025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45758</v>
      </c>
      <c r="E358" s="1" t="n">
        <v>46263</v>
      </c>
      <c r="F358" t="inlineStr">
        <is>
          <t>GÄVLEBORGS LÄN</t>
        </is>
      </c>
      <c r="G358" t="inlineStr">
        <is>
          <t>OCKELBO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5596-2026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46051</v>
      </c>
      <c r="E359" s="1" t="n">
        <v>46263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5887-2026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46263</v>
      </c>
      <c r="F360" t="inlineStr">
        <is>
          <t>GÄVLEBORGS LÄN</t>
        </is>
      </c>
      <c r="G360" t="inlineStr">
        <is>
          <t>OCKELBO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46263</v>
      </c>
      <c r="F361" t="inlineStr">
        <is>
          <t>GÄVLEBORGS LÄN</t>
        </is>
      </c>
      <c r="G361" t="inlineStr">
        <is>
          <t>OCKELBO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46263</v>
      </c>
      <c r="F362" t="inlineStr">
        <is>
          <t>GÄVLEBORGS LÄN</t>
        </is>
      </c>
      <c r="G362" t="inlineStr">
        <is>
          <t>OCKELBO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46263</v>
      </c>
      <c r="F363" t="inlineStr">
        <is>
          <t>GÄVLEBORGS LÄN</t>
        </is>
      </c>
      <c r="G363" t="inlineStr">
        <is>
          <t>OCKELBO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46051</v>
      </c>
      <c r="E364" s="1" t="n">
        <v>46263</v>
      </c>
      <c r="F364" t="inlineStr">
        <is>
          <t>GÄVLEBORGS LÄN</t>
        </is>
      </c>
      <c r="G364" t="inlineStr">
        <is>
          <t>OCKELBO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6698-2026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46263</v>
      </c>
      <c r="F365" t="inlineStr">
        <is>
          <t>GÄVLEBORGS LÄN</t>
        </is>
      </c>
      <c r="G365" t="inlineStr">
        <is>
          <t>OCKELBO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6710-2026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46263</v>
      </c>
      <c r="F366" t="inlineStr">
        <is>
          <t>GÄVLEBORGS LÄN</t>
        </is>
      </c>
      <c r="G366" t="inlineStr">
        <is>
          <t>OCKELBO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46053</v>
      </c>
      <c r="E367" s="1" t="n">
        <v>46263</v>
      </c>
      <c r="F367" t="inlineStr">
        <is>
          <t>GÄVLEBORGS LÄN</t>
        </is>
      </c>
      <c r="G367" t="inlineStr">
        <is>
          <t>OCKELBO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46263</v>
      </c>
      <c r="F368" t="inlineStr">
        <is>
          <t>GÄVLEBORGS LÄN</t>
        </is>
      </c>
      <c r="G368" t="inlineStr">
        <is>
          <t>OCKELBO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46056</v>
      </c>
      <c r="E369" s="1" t="n">
        <v>46263</v>
      </c>
      <c r="F369" t="inlineStr">
        <is>
          <t>GÄVLEBORGS LÄN</t>
        </is>
      </c>
      <c r="G369" t="inlineStr">
        <is>
          <t>OCKELBO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46056</v>
      </c>
      <c r="E370" s="1" t="n">
        <v>46263</v>
      </c>
      <c r="F370" t="inlineStr">
        <is>
          <t>GÄVLEBORGS LÄN</t>
        </is>
      </c>
      <c r="G370" t="inlineStr">
        <is>
          <t>OCKELBO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46263</v>
      </c>
      <c r="F371" t="inlineStr">
        <is>
          <t>GÄVLEBORGS LÄN</t>
        </is>
      </c>
      <c r="G371" t="inlineStr">
        <is>
          <t>OCKELBO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46055</v>
      </c>
      <c r="E372" s="1" t="n">
        <v>46263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6665-2026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46263</v>
      </c>
      <c r="F373" t="inlineStr">
        <is>
          <t>GÄVLEBORGS LÄN</t>
        </is>
      </c>
      <c r="G373" t="inlineStr">
        <is>
          <t>OCKELBO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46263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9.4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6862-2026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46057</v>
      </c>
      <c r="E375" s="1" t="n">
        <v>46263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7765-2026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46062</v>
      </c>
      <c r="E376" s="1" t="n">
        <v>46263</v>
      </c>
      <c r="F376" t="inlineStr">
        <is>
          <t>GÄVLEBORGS LÄN</t>
        </is>
      </c>
      <c r="G376" t="inlineStr">
        <is>
          <t>OCKELBO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46263</v>
      </c>
      <c r="F377" t="inlineStr">
        <is>
          <t>GÄVLEBORGS LÄN</t>
        </is>
      </c>
      <c r="G377" t="inlineStr">
        <is>
          <t>OCKELBO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7639-2026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46062</v>
      </c>
      <c r="E378" s="1" t="n">
        <v>46263</v>
      </c>
      <c r="F378" t="inlineStr">
        <is>
          <t>GÄVLEBORGS LÄN</t>
        </is>
      </c>
      <c r="G378" t="inlineStr">
        <is>
          <t>OCKELBO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7681-2026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46062</v>
      </c>
      <c r="E379" s="1" t="n">
        <v>46263</v>
      </c>
      <c r="F379" t="inlineStr">
        <is>
          <t>GÄVLEBORGS LÄN</t>
        </is>
      </c>
      <c r="G379" t="inlineStr">
        <is>
          <t>OCKELBO</t>
        </is>
      </c>
      <c r="H379" t="inlineStr">
        <is>
          <t>Kyrkan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7769-2026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46062</v>
      </c>
      <c r="E380" s="1" t="n">
        <v>46263</v>
      </c>
      <c r="F380" t="inlineStr">
        <is>
          <t>GÄVLEBORGS LÄN</t>
        </is>
      </c>
      <c r="G380" t="inlineStr">
        <is>
          <t>OCKELBO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37438-2023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45156</v>
      </c>
      <c r="E381" s="1" t="n">
        <v>46263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46064</v>
      </c>
      <c r="E382" s="1" t="n">
        <v>46263</v>
      </c>
      <c r="F382" t="inlineStr">
        <is>
          <t>GÄVLEBORGS LÄN</t>
        </is>
      </c>
      <c r="G382" t="inlineStr">
        <is>
          <t>OCKELBO</t>
        </is>
      </c>
      <c r="I382" t="n">
        <v>17.4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8274-2026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46064</v>
      </c>
      <c r="E383" s="1" t="n">
        <v>46263</v>
      </c>
      <c r="F383" t="inlineStr">
        <is>
          <t>GÄVLEBORGS LÄN</t>
        </is>
      </c>
      <c r="G383" t="inlineStr">
        <is>
          <t>OCKELBO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8354-2026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46064</v>
      </c>
      <c r="E384" s="1" t="n">
        <v>46263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8402-2026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46065</v>
      </c>
      <c r="E385" s="1" t="n">
        <v>46263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8429-2026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46065</v>
      </c>
      <c r="E386" s="1" t="n">
        <v>46263</v>
      </c>
      <c r="F386" t="inlineStr">
        <is>
          <t>GÄVLEBORGS LÄN</t>
        </is>
      </c>
      <c r="G386" t="inlineStr">
        <is>
          <t>OCKELBO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48804-2024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45593</v>
      </c>
      <c r="E387" s="1" t="n">
        <v>46263</v>
      </c>
      <c r="F387" t="inlineStr">
        <is>
          <t>GÄVLEBORGS LÄN</t>
        </is>
      </c>
      <c r="G387" t="inlineStr">
        <is>
          <t>OCKELBO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18291-2023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45041</v>
      </c>
      <c r="E388" s="1" t="n">
        <v>46263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46263</v>
      </c>
      <c r="F389" t="inlineStr">
        <is>
          <t>GÄVLEBORGS LÄN</t>
        </is>
      </c>
      <c r="G389" t="inlineStr">
        <is>
          <t>OCKELBO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46056</v>
      </c>
      <c r="E390" s="1" t="n">
        <v>46263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9505-2026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46071</v>
      </c>
      <c r="E391" s="1" t="n">
        <v>46263</v>
      </c>
      <c r="F391" t="inlineStr">
        <is>
          <t>GÄVLEBORGS LÄN</t>
        </is>
      </c>
      <c r="G391" t="inlineStr">
        <is>
          <t>OCKELBO</t>
        </is>
      </c>
      <c r="I391" t="n">
        <v>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9414-2026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46071</v>
      </c>
      <c r="E392" s="1" t="n">
        <v>46263</v>
      </c>
      <c r="F392" t="inlineStr">
        <is>
          <t>GÄVLEBORGS LÄN</t>
        </is>
      </c>
      <c r="G392" t="inlineStr">
        <is>
          <t>OCKELBO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9416-2026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46263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9464-2026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46071</v>
      </c>
      <c r="E394" s="1" t="n">
        <v>46263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9507-2026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46071</v>
      </c>
      <c r="E395" s="1" t="n">
        <v>46263</v>
      </c>
      <c r="F395" t="inlineStr">
        <is>
          <t>GÄVLEBORGS LÄN</t>
        </is>
      </c>
      <c r="G395" t="inlineStr">
        <is>
          <t>OCKELBO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46072</v>
      </c>
      <c r="E396" s="1" t="n">
        <v>46263</v>
      </c>
      <c r="F396" t="inlineStr">
        <is>
          <t>GÄVLEBORGS LÄN</t>
        </is>
      </c>
      <c r="G396" t="inlineStr">
        <is>
          <t>OCKELBO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9681-2026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46072</v>
      </c>
      <c r="E397" s="1" t="n">
        <v>46263</v>
      </c>
      <c r="F397" t="inlineStr">
        <is>
          <t>GÄVLEBORGS LÄN</t>
        </is>
      </c>
      <c r="G397" t="inlineStr">
        <is>
          <t>OCKELBO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9727-2026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46072</v>
      </c>
      <c r="E398" s="1" t="n">
        <v>46263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9732-2026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46072</v>
      </c>
      <c r="E399" s="1" t="n">
        <v>46263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9554-2026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46263</v>
      </c>
      <c r="F400" t="inlineStr">
        <is>
          <t>GÄVLEBORGS LÄN</t>
        </is>
      </c>
      <c r="G400" t="inlineStr">
        <is>
          <t>OCKELBO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46071</v>
      </c>
      <c r="E401" s="1" t="n">
        <v>46263</v>
      </c>
      <c r="F401" t="inlineStr">
        <is>
          <t>GÄVLEBORGS LÄN</t>
        </is>
      </c>
      <c r="G401" t="inlineStr">
        <is>
          <t>OCKELBO</t>
        </is>
      </c>
      <c r="I401" t="n">
        <v>10.4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46031</v>
      </c>
      <c r="E402" s="1" t="n">
        <v>46263</v>
      </c>
      <c r="F402" t="inlineStr">
        <is>
          <t>GÄVLEBORGS LÄN</t>
        </is>
      </c>
      <c r="G402" t="inlineStr">
        <is>
          <t>OCKELBO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9470-2026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46071</v>
      </c>
      <c r="E403" s="1" t="n">
        <v>46263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10159-2026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46076</v>
      </c>
      <c r="E404" s="1" t="n">
        <v>46263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10437-2026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46077</v>
      </c>
      <c r="E405" s="1" t="n">
        <v>46263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10418-2026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46077</v>
      </c>
      <c r="E406" s="1" t="n">
        <v>46263</v>
      </c>
      <c r="F406" t="inlineStr">
        <is>
          <t>GÄVLEBORGS LÄN</t>
        </is>
      </c>
      <c r="G406" t="inlineStr">
        <is>
          <t>OCKELBO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10501-2026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46077</v>
      </c>
      <c r="E407" s="1" t="n">
        <v>46263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10454-2026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46077</v>
      </c>
      <c r="E408" s="1" t="n">
        <v>46263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10.1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9997-2026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46073</v>
      </c>
      <c r="E409" s="1" t="n">
        <v>46263</v>
      </c>
      <c r="F409" t="inlineStr">
        <is>
          <t>GÄVLEBORGS LÄN</t>
        </is>
      </c>
      <c r="G409" t="inlineStr">
        <is>
          <t>OCKELBO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53137-2024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45611</v>
      </c>
      <c r="E410" s="1" t="n">
        <v>46263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10529-2026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46077</v>
      </c>
      <c r="E411" s="1" t="n">
        <v>46263</v>
      </c>
      <c r="F411" t="inlineStr">
        <is>
          <t>GÄVLEBORGS LÄN</t>
        </is>
      </c>
      <c r="G411" t="inlineStr">
        <is>
          <t>OCKELBO</t>
        </is>
      </c>
      <c r="H411" t="inlineStr">
        <is>
          <t>Bergvik skog öst AB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10535-2026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46077</v>
      </c>
      <c r="E412" s="1" t="n">
        <v>46263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öst AB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1293-2026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46031</v>
      </c>
      <c r="E413" s="1" t="n">
        <v>46263</v>
      </c>
      <c r="F413" t="inlineStr">
        <is>
          <t>GÄVLEBORGS LÄN</t>
        </is>
      </c>
      <c r="G413" t="inlineStr">
        <is>
          <t>OCKELBO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46077</v>
      </c>
      <c r="E414" s="1" t="n">
        <v>46263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öst AB</t>
        </is>
      </c>
      <c r="I414" t="n">
        <v>45.7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46078</v>
      </c>
      <c r="E415" s="1" t="n">
        <v>46263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11078-2026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46079</v>
      </c>
      <c r="E416" s="1" t="n">
        <v>46263</v>
      </c>
      <c r="F416" t="inlineStr">
        <is>
          <t>GÄVLEBORGS LÄN</t>
        </is>
      </c>
      <c r="G416" t="inlineStr">
        <is>
          <t>OCKELBO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46079</v>
      </c>
      <c r="E417" s="1" t="n">
        <v>46263</v>
      </c>
      <c r="F417" t="inlineStr">
        <is>
          <t>GÄVLEBORGS LÄN</t>
        </is>
      </c>
      <c r="G417" t="inlineStr">
        <is>
          <t>OCKELBO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11234-2026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46080</v>
      </c>
      <c r="E418" s="1" t="n">
        <v>46263</v>
      </c>
      <c r="F418" t="inlineStr">
        <is>
          <t>GÄVLEBORGS LÄN</t>
        </is>
      </c>
      <c r="G418" t="inlineStr">
        <is>
          <t>OCKELBO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46263</v>
      </c>
      <c r="F419" t="inlineStr">
        <is>
          <t>GÄVLEBORGS LÄN</t>
        </is>
      </c>
      <c r="G419" t="inlineStr">
        <is>
          <t>OCKELBO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11423-2026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46083</v>
      </c>
      <c r="E420" s="1" t="n">
        <v>46263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öst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11496-2026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46083</v>
      </c>
      <c r="E421" s="1" t="n">
        <v>46263</v>
      </c>
      <c r="F421" t="inlineStr">
        <is>
          <t>GÄVLEBORGS LÄN</t>
        </is>
      </c>
      <c r="G421" t="inlineStr">
        <is>
          <t>OCKELBO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11432-2026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46083</v>
      </c>
      <c r="E422" s="1" t="n">
        <v>46263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11237-2026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46080</v>
      </c>
      <c r="E423" s="1" t="n">
        <v>46263</v>
      </c>
      <c r="F423" t="inlineStr">
        <is>
          <t>GÄVLEBORGS LÄN</t>
        </is>
      </c>
      <c r="G423" t="inlineStr">
        <is>
          <t>OCKELBO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18326-2026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46126</v>
      </c>
      <c r="E424" s="1" t="n">
        <v>46263</v>
      </c>
      <c r="F424" t="inlineStr">
        <is>
          <t>GÄVLEBORGS LÄN</t>
        </is>
      </c>
      <c r="G424" t="inlineStr">
        <is>
          <t>OCKELBO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11810-2026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46263</v>
      </c>
      <c r="F425" t="inlineStr">
        <is>
          <t>GÄVLEBORGS LÄN</t>
        </is>
      </c>
      <c r="G425" t="inlineStr">
        <is>
          <t>OCKELBO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7276-2023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44970</v>
      </c>
      <c r="E426" s="1" t="n">
        <v>46263</v>
      </c>
      <c r="F426" t="inlineStr">
        <is>
          <t>GÄVLEBORGS LÄN</t>
        </is>
      </c>
      <c r="G426" t="inlineStr">
        <is>
          <t>OCKELBO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61732-2024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45649</v>
      </c>
      <c r="E427" s="1" t="n">
        <v>46263</v>
      </c>
      <c r="F427" t="inlineStr">
        <is>
          <t>GÄVLEBORGS LÄN</t>
        </is>
      </c>
      <c r="G427" t="inlineStr">
        <is>
          <t>OCKELBO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22952-2023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45072</v>
      </c>
      <c r="E428" s="1" t="n">
        <v>46263</v>
      </c>
      <c r="F428" t="inlineStr">
        <is>
          <t>GÄVLEBORGS LÄN</t>
        </is>
      </c>
      <c r="G428" t="inlineStr">
        <is>
          <t>OCKELBO</t>
        </is>
      </c>
      <c r="I428" t="n">
        <v>5.6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12341-2026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46087</v>
      </c>
      <c r="E429" s="1" t="n">
        <v>46263</v>
      </c>
      <c r="F429" t="inlineStr">
        <is>
          <t>GÄVLEBORGS LÄN</t>
        </is>
      </c>
      <c r="G429" t="inlineStr">
        <is>
          <t>OCKELBO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54977-2024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45620</v>
      </c>
      <c r="E430" s="1" t="n">
        <v>46263</v>
      </c>
      <c r="F430" t="inlineStr">
        <is>
          <t>GÄVLEBORGS LÄN</t>
        </is>
      </c>
      <c r="G430" t="inlineStr">
        <is>
          <t>OCKELBO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49529-2024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45596</v>
      </c>
      <c r="E431" s="1" t="n">
        <v>46263</v>
      </c>
      <c r="F431" t="inlineStr">
        <is>
          <t>GÄVLEBORGS LÄN</t>
        </is>
      </c>
      <c r="G431" t="inlineStr">
        <is>
          <t>OCKELBO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6568-2024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45341</v>
      </c>
      <c r="E432" s="1" t="n">
        <v>46263</v>
      </c>
      <c r="F432" t="inlineStr">
        <is>
          <t>GÄVLEBORGS LÄN</t>
        </is>
      </c>
      <c r="G432" t="inlineStr">
        <is>
          <t>OCKELBO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46089</v>
      </c>
      <c r="E433" s="1" t="n">
        <v>46263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29.9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50194-2024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45600</v>
      </c>
      <c r="E434" s="1" t="n">
        <v>46263</v>
      </c>
      <c r="F434" t="inlineStr">
        <is>
          <t>GÄVLEBORGS LÄN</t>
        </is>
      </c>
      <c r="G434" t="inlineStr">
        <is>
          <t>OCKELBO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12716-2026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46091</v>
      </c>
      <c r="E435" s="1" t="n">
        <v>46263</v>
      </c>
      <c r="F435" t="inlineStr">
        <is>
          <t>GÄVLEBORGS LÄN</t>
        </is>
      </c>
      <c r="G435" t="inlineStr">
        <is>
          <t>OCKELBO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46093</v>
      </c>
      <c r="E436" s="1" t="n">
        <v>46263</v>
      </c>
      <c r="F436" t="inlineStr">
        <is>
          <t>GÄVLEBORGS LÄN</t>
        </is>
      </c>
      <c r="G436" t="inlineStr">
        <is>
          <t>OCKELBO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13162-2026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46093</v>
      </c>
      <c r="E437" s="1" t="n">
        <v>46263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12807-2026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46092</v>
      </c>
      <c r="E438" s="1" t="n">
        <v>46263</v>
      </c>
      <c r="F438" t="inlineStr">
        <is>
          <t>GÄVLEBORGS LÄN</t>
        </is>
      </c>
      <c r="G438" t="inlineStr">
        <is>
          <t>OCKELBO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13216-2026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46093</v>
      </c>
      <c r="E439" s="1" t="n">
        <v>46263</v>
      </c>
      <c r="F439" t="inlineStr">
        <is>
          <t>GÄVLEBORGS LÄN</t>
        </is>
      </c>
      <c r="G439" t="inlineStr">
        <is>
          <t>OCKELBO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13481-2026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46263</v>
      </c>
      <c r="F440" t="inlineStr">
        <is>
          <t>GÄVLEBORGS LÄN</t>
        </is>
      </c>
      <c r="G440" t="inlineStr">
        <is>
          <t>OCKELBO</t>
        </is>
      </c>
      <c r="H440" t="inlineStr">
        <is>
          <t>Naturvårdsverket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13621-2026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46097</v>
      </c>
      <c r="E441" s="1" t="n">
        <v>46263</v>
      </c>
      <c r="F441" t="inlineStr">
        <is>
          <t>GÄVLEBORGS LÄN</t>
        </is>
      </c>
      <c r="G441" t="inlineStr">
        <is>
          <t>OCKELBO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13321-2026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46094</v>
      </c>
      <c r="E442" s="1" t="n">
        <v>46263</v>
      </c>
      <c r="F442" t="inlineStr">
        <is>
          <t>GÄVLEBORGS LÄN</t>
        </is>
      </c>
      <c r="G442" t="inlineStr">
        <is>
          <t>OCKELBO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13441-2026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46094</v>
      </c>
      <c r="E443" s="1" t="n">
        <v>46263</v>
      </c>
      <c r="F443" t="inlineStr">
        <is>
          <t>GÄVLEBORGS LÄN</t>
        </is>
      </c>
      <c r="G443" t="inlineStr">
        <is>
          <t>OCKELBO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12947-2026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46092</v>
      </c>
      <c r="E444" s="1" t="n">
        <v>46263</v>
      </c>
      <c r="F444" t="inlineStr">
        <is>
          <t>GÄVLEBORGS LÄN</t>
        </is>
      </c>
      <c r="G444" t="inlineStr">
        <is>
          <t>OCKELBO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13882-2026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46098</v>
      </c>
      <c r="E445" s="1" t="n">
        <v>46263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13856-2026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46098</v>
      </c>
      <c r="E446" s="1" t="n">
        <v>46263</v>
      </c>
      <c r="F446" t="inlineStr">
        <is>
          <t>GÄVLEBORGS LÄN</t>
        </is>
      </c>
      <c r="G446" t="inlineStr">
        <is>
          <t>OCKELBO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46263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46263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13972-2026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46098</v>
      </c>
      <c r="E449" s="1" t="n">
        <v>46263</v>
      </c>
      <c r="F449" t="inlineStr">
        <is>
          <t>GÄVLEBORGS LÄN</t>
        </is>
      </c>
      <c r="G449" t="inlineStr">
        <is>
          <t>OCKELBO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13825-2026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46263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36.6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46098</v>
      </c>
      <c r="E451" s="1" t="n">
        <v>46263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54309-2024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45617</v>
      </c>
      <c r="E452" s="1" t="n">
        <v>46263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46098</v>
      </c>
      <c r="E453" s="1" t="n">
        <v>46263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14038-2026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46098</v>
      </c>
      <c r="E454" s="1" t="n">
        <v>46263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14100-2026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46099</v>
      </c>
      <c r="E455" s="1" t="n">
        <v>46263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14439-2026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46100</v>
      </c>
      <c r="E456" s="1" t="n">
        <v>46263</v>
      </c>
      <c r="F456" t="inlineStr">
        <is>
          <t>GÄVLEBORGS LÄN</t>
        </is>
      </c>
      <c r="G456" t="inlineStr">
        <is>
          <t>OCKELBO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14441-2026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46263</v>
      </c>
      <c r="F457" t="inlineStr">
        <is>
          <t>GÄVLEBORGS LÄN</t>
        </is>
      </c>
      <c r="G457" t="inlineStr">
        <is>
          <t>OCKELBO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14684-2026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46101</v>
      </c>
      <c r="E458" s="1" t="n">
        <v>46263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45181</v>
      </c>
      <c r="E459" s="1" t="n">
        <v>46263</v>
      </c>
      <c r="F459" t="inlineStr">
        <is>
          <t>GÄVLEBORGS LÄN</t>
        </is>
      </c>
      <c r="G459" t="inlineStr">
        <is>
          <t>OCKELBO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14756-2026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46101</v>
      </c>
      <c r="E460" s="1" t="n">
        <v>46263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56352-2024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45624</v>
      </c>
      <c r="E461" s="1" t="n">
        <v>46263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15018-2026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46104</v>
      </c>
      <c r="E462" s="1" t="n">
        <v>46263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42313-2023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45180</v>
      </c>
      <c r="E463" s="1" t="n">
        <v>46263</v>
      </c>
      <c r="F463" t="inlineStr">
        <is>
          <t>GÄVLEBORGS LÄN</t>
        </is>
      </c>
      <c r="G463" t="inlineStr">
        <is>
          <t>OCKELBO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15151-2026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46105</v>
      </c>
      <c r="E464" s="1" t="n">
        <v>46263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öst AB</t>
        </is>
      </c>
      <c r="I464" t="n">
        <v>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15067-2026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46104</v>
      </c>
      <c r="E465" s="1" t="n">
        <v>46263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14972-2026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46104</v>
      </c>
      <c r="E466" s="1" t="n">
        <v>46263</v>
      </c>
      <c r="F466" t="inlineStr">
        <is>
          <t>GÄVLEBORGS LÄN</t>
        </is>
      </c>
      <c r="G466" t="inlineStr">
        <is>
          <t>OCKELBO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15029-2026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46104</v>
      </c>
      <c r="E467" s="1" t="n">
        <v>46263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34.1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15052-2026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46104</v>
      </c>
      <c r="E468" s="1" t="n">
        <v>46263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15042-2026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46104</v>
      </c>
      <c r="E469" s="1" t="n">
        <v>46263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15043-2026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46104</v>
      </c>
      <c r="E470" s="1" t="n">
        <v>46263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14973-2026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46104</v>
      </c>
      <c r="E471" s="1" t="n">
        <v>46263</v>
      </c>
      <c r="F471" t="inlineStr">
        <is>
          <t>GÄVLEBORGS LÄN</t>
        </is>
      </c>
      <c r="G471" t="inlineStr">
        <is>
          <t>OCKELBO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14169-2026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46099</v>
      </c>
      <c r="E472" s="1" t="n">
        <v>46263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15679-2026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46106</v>
      </c>
      <c r="E473" s="1" t="n">
        <v>46263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6.2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15572-2026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46106</v>
      </c>
      <c r="E474" s="1" t="n">
        <v>46263</v>
      </c>
      <c r="F474" t="inlineStr">
        <is>
          <t>GÄVLEBORGS LÄN</t>
        </is>
      </c>
      <c r="G474" t="inlineStr">
        <is>
          <t>OCKELBO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46099</v>
      </c>
      <c r="E475" s="1" t="n">
        <v>46263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15678-2026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46106</v>
      </c>
      <c r="E476" s="1" t="n">
        <v>46263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15.4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46263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15575-2026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46263</v>
      </c>
      <c r="F478" t="inlineStr">
        <is>
          <t>GÄVLEBORGS LÄN</t>
        </is>
      </c>
      <c r="G478" t="inlineStr">
        <is>
          <t>OCKELBO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16296-2026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46111</v>
      </c>
      <c r="E479" s="1" t="n">
        <v>46263</v>
      </c>
      <c r="F479" t="inlineStr">
        <is>
          <t>GÄVLEBORGS LÄN</t>
        </is>
      </c>
      <c r="G479" t="inlineStr">
        <is>
          <t>OCKELBO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16054-2026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46263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12.3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16006-2026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46108</v>
      </c>
      <c r="E481" s="1" t="n">
        <v>46263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60915-2024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45645</v>
      </c>
      <c r="E482" s="1" t="n">
        <v>46263</v>
      </c>
      <c r="F482" t="inlineStr">
        <is>
          <t>GÄVLEBORGS LÄN</t>
        </is>
      </c>
      <c r="G482" t="inlineStr">
        <is>
          <t>OCKELBO</t>
        </is>
      </c>
      <c r="H482" t="inlineStr">
        <is>
          <t>Kyrkan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16388-2026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46111</v>
      </c>
      <c r="E483" s="1" t="n">
        <v>46263</v>
      </c>
      <c r="F483" t="inlineStr">
        <is>
          <t>GÄVLEBORGS LÄN</t>
        </is>
      </c>
      <c r="G483" t="inlineStr">
        <is>
          <t>OCKELBO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16667-2026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46112</v>
      </c>
      <c r="E484" s="1" t="n">
        <v>46263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16481-2026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46263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16535-2026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46112</v>
      </c>
      <c r="E486" s="1" t="n">
        <v>46263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16981-2026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46114</v>
      </c>
      <c r="E487" s="1" t="n">
        <v>46263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9.4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16989-2026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46114</v>
      </c>
      <c r="E488" s="1" t="n">
        <v>46263</v>
      </c>
      <c r="F488" t="inlineStr">
        <is>
          <t>GÄVLEBORGS LÄN</t>
        </is>
      </c>
      <c r="G488" t="inlineStr">
        <is>
          <t>OCKELBO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16991-2026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46114</v>
      </c>
      <c r="E489" s="1" t="n">
        <v>46263</v>
      </c>
      <c r="F489" t="inlineStr">
        <is>
          <t>GÄVLEBORGS LÄN</t>
        </is>
      </c>
      <c r="G489" t="inlineStr">
        <is>
          <t>OCKELBO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13428-2026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46094</v>
      </c>
      <c r="E490" s="1" t="n">
        <v>46263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17115-2026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46263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17224-2026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46119</v>
      </c>
      <c r="E492" s="1" t="n">
        <v>46263</v>
      </c>
      <c r="F492" t="inlineStr">
        <is>
          <t>GÄVLEBORGS LÄN</t>
        </is>
      </c>
      <c r="G492" t="inlineStr">
        <is>
          <t>OCKELBO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46263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17202-2026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46118</v>
      </c>
      <c r="E494" s="1" t="n">
        <v>46263</v>
      </c>
      <c r="F494" t="inlineStr">
        <is>
          <t>GÄVLEBORGS LÄN</t>
        </is>
      </c>
      <c r="G494" t="inlineStr">
        <is>
          <t>OCKELBO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17709-2026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46121</v>
      </c>
      <c r="E495" s="1" t="n">
        <v>46263</v>
      </c>
      <c r="F495" t="inlineStr">
        <is>
          <t>GÄVLEBORGS LÄN</t>
        </is>
      </c>
      <c r="G495" t="inlineStr">
        <is>
          <t>OCKELBO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36343-2023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45152</v>
      </c>
      <c r="E496" s="1" t="n">
        <v>46263</v>
      </c>
      <c r="F496" t="inlineStr">
        <is>
          <t>GÄVLEBORGS LÄN</t>
        </is>
      </c>
      <c r="G496" t="inlineStr">
        <is>
          <t>OCKELBO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46076</v>
      </c>
      <c r="E497" s="1" t="n">
        <v>46263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öst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10326-2026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46263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öst AB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10457-2026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46077</v>
      </c>
      <c r="E499" s="1" t="n">
        <v>46263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öst AB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19762-2024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45432</v>
      </c>
      <c r="E500" s="1" t="n">
        <v>46263</v>
      </c>
      <c r="F500" t="inlineStr">
        <is>
          <t>GÄVLEBORGS LÄN</t>
        </is>
      </c>
      <c r="G500" t="inlineStr">
        <is>
          <t>OCKELBO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10268-2026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46076</v>
      </c>
      <c r="E501" s="1" t="n">
        <v>46263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öst AB</t>
        </is>
      </c>
      <c r="I501" t="n">
        <v>7.7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17589-2026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46121</v>
      </c>
      <c r="E502" s="1" t="n">
        <v>46263</v>
      </c>
      <c r="F502" t="inlineStr">
        <is>
          <t>GÄVLEBORGS LÄN</t>
        </is>
      </c>
      <c r="G502" t="inlineStr">
        <is>
          <t>OCKELBO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21582-2024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45441</v>
      </c>
      <c r="E503" s="1" t="n">
        <v>46263</v>
      </c>
      <c r="F503" t="inlineStr">
        <is>
          <t>GÄVLEBORGS LÄN</t>
        </is>
      </c>
      <c r="G503" t="inlineStr">
        <is>
          <t>OCKELBO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17600-2026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46121</v>
      </c>
      <c r="E504" s="1" t="n">
        <v>46263</v>
      </c>
      <c r="F504" t="inlineStr">
        <is>
          <t>GÄVLEBORGS LÄN</t>
        </is>
      </c>
      <c r="G504" t="inlineStr">
        <is>
          <t>OCKELBO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5240-2026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46049</v>
      </c>
      <c r="E505" s="1" t="n">
        <v>46263</v>
      </c>
      <c r="F505" t="inlineStr">
        <is>
          <t>GÄVLEBORGS LÄN</t>
        </is>
      </c>
      <c r="G505" t="inlineStr">
        <is>
          <t>OCKELBO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10309-2026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46076</v>
      </c>
      <c r="E506" s="1" t="n">
        <v>46263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öst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18133-2026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46125</v>
      </c>
      <c r="E507" s="1" t="n">
        <v>46263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15581-2026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46106</v>
      </c>
      <c r="E508" s="1" t="n">
        <v>46263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öst AB</t>
        </is>
      </c>
      <c r="I508" t="n">
        <v>7.6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45671</v>
      </c>
      <c r="E509" s="1" t="n">
        <v>46263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18248-2026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46126</v>
      </c>
      <c r="E510" s="1" t="n">
        <v>46263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15255-2026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46263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18234-2026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46126</v>
      </c>
      <c r="E512" s="1" t="n">
        <v>46263</v>
      </c>
      <c r="F512" t="inlineStr">
        <is>
          <t>GÄVLEBORGS LÄN</t>
        </is>
      </c>
      <c r="G512" t="inlineStr">
        <is>
          <t>OCKELBO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18457-2026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46127</v>
      </c>
      <c r="E513" s="1" t="n">
        <v>46263</v>
      </c>
      <c r="F513" t="inlineStr">
        <is>
          <t>GÄVLEBORGS LÄN</t>
        </is>
      </c>
      <c r="G513" t="inlineStr">
        <is>
          <t>OCKELBO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18513-2026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46127</v>
      </c>
      <c r="E514" s="1" t="n">
        <v>46263</v>
      </c>
      <c r="F514" t="inlineStr">
        <is>
          <t>GÄVLEBORGS LÄN</t>
        </is>
      </c>
      <c r="G514" t="inlineStr">
        <is>
          <t>OCKELBO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18426-2026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46127</v>
      </c>
      <c r="E515" s="1" t="n">
        <v>46263</v>
      </c>
      <c r="F515" t="inlineStr">
        <is>
          <t>GÄVLEBORGS LÄN</t>
        </is>
      </c>
      <c r="G515" t="inlineStr">
        <is>
          <t>OCKELBO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13855-2026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46098</v>
      </c>
      <c r="E516" s="1" t="n">
        <v>46263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17548-2025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45757</v>
      </c>
      <c r="E517" s="1" t="n">
        <v>46263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19038-2026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46132</v>
      </c>
      <c r="E518" s="1" t="n">
        <v>46263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17.7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7478-2025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45705</v>
      </c>
      <c r="E519" s="1" t="n">
        <v>46263</v>
      </c>
      <c r="F519" t="inlineStr">
        <is>
          <t>GÄVLEBORGS LÄN</t>
        </is>
      </c>
      <c r="G519" t="inlineStr">
        <is>
          <t>OCKELBO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19068-2026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46132</v>
      </c>
      <c r="E520" s="1" t="n">
        <v>46263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19138-2026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46132</v>
      </c>
      <c r="E521" s="1" t="n">
        <v>46263</v>
      </c>
      <c r="F521" t="inlineStr">
        <is>
          <t>GÄVLEBORGS LÄN</t>
        </is>
      </c>
      <c r="G521" t="inlineStr">
        <is>
          <t>OCKELBO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19213-2026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46132</v>
      </c>
      <c r="E522" s="1" t="n">
        <v>46263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18705-2026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46128</v>
      </c>
      <c r="E523" s="1" t="n">
        <v>46263</v>
      </c>
      <c r="F523" t="inlineStr">
        <is>
          <t>GÄVLEBORGS LÄN</t>
        </is>
      </c>
      <c r="G523" t="inlineStr">
        <is>
          <t>OCKELBO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16572-2026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46112</v>
      </c>
      <c r="E524" s="1" t="n">
        <v>46263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16530-2026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46112</v>
      </c>
      <c r="E525" s="1" t="n">
        <v>46263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19142-2026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46132</v>
      </c>
      <c r="E526" s="1" t="n">
        <v>46263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19139-2026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46132</v>
      </c>
      <c r="E527" s="1" t="n">
        <v>46263</v>
      </c>
      <c r="F527" t="inlineStr">
        <is>
          <t>GÄVLEBORGS LÄN</t>
        </is>
      </c>
      <c r="G527" t="inlineStr">
        <is>
          <t>OCKELBO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18669-2026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46128</v>
      </c>
      <c r="E528" s="1" t="n">
        <v>46263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19040-2026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46132</v>
      </c>
      <c r="E529" s="1" t="n">
        <v>46263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46132</v>
      </c>
      <c r="E530" s="1" t="n">
        <v>46263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19491-2026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46134</v>
      </c>
      <c r="E531" s="1" t="n">
        <v>46263</v>
      </c>
      <c r="F531" t="inlineStr">
        <is>
          <t>GÄVLEBORGS LÄN</t>
        </is>
      </c>
      <c r="G531" t="inlineStr">
        <is>
          <t>OCKELBO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19603-2026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46134</v>
      </c>
      <c r="E532" s="1" t="n">
        <v>46263</v>
      </c>
      <c r="F532" t="inlineStr">
        <is>
          <t>GÄVLEBORGS LÄN</t>
        </is>
      </c>
      <c r="G532" t="inlineStr">
        <is>
          <t>OCKELBO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19531-2026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46134</v>
      </c>
      <c r="E533" s="1" t="n">
        <v>46263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19431-2026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46133</v>
      </c>
      <c r="E534" s="1" t="n">
        <v>46263</v>
      </c>
      <c r="F534" t="inlineStr">
        <is>
          <t>GÄVLEBORGS LÄN</t>
        </is>
      </c>
      <c r="G534" t="inlineStr">
        <is>
          <t>OCKELBO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46133</v>
      </c>
      <c r="E535" s="1" t="n">
        <v>46263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12983-2022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44643</v>
      </c>
      <c r="E536" s="1" t="n">
        <v>46263</v>
      </c>
      <c r="F536" t="inlineStr">
        <is>
          <t>GÄVLEBORGS LÄN</t>
        </is>
      </c>
      <c r="G536" t="inlineStr">
        <is>
          <t>OCKELBO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19277-2026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46133</v>
      </c>
      <c r="E537" s="1" t="n">
        <v>46263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37391-2023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45156</v>
      </c>
      <c r="E538" s="1" t="n">
        <v>46263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19424-2026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46263</v>
      </c>
      <c r="F539" t="inlineStr">
        <is>
          <t>GÄVLEBORGS LÄN</t>
        </is>
      </c>
      <c r="G539" t="inlineStr">
        <is>
          <t>OCKELBO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19924-2026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46136</v>
      </c>
      <c r="E540" s="1" t="n">
        <v>46263</v>
      </c>
      <c r="F540" t="inlineStr">
        <is>
          <t>GÄVLEBORGS LÄN</t>
        </is>
      </c>
      <c r="G540" t="inlineStr">
        <is>
          <t>OCKELBO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56634-2023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45243</v>
      </c>
      <c r="E541" s="1" t="n">
        <v>46263</v>
      </c>
      <c r="F541" t="inlineStr">
        <is>
          <t>GÄVLEBORGS LÄN</t>
        </is>
      </c>
      <c r="G541" t="inlineStr">
        <is>
          <t>OCKELBO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59533-2023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45254</v>
      </c>
      <c r="E542" s="1" t="n">
        <v>46263</v>
      </c>
      <c r="F542" t="inlineStr">
        <is>
          <t>GÄVLEBORGS LÄN</t>
        </is>
      </c>
      <c r="G542" t="inlineStr">
        <is>
          <t>OCKELBO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62096-2024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45656</v>
      </c>
      <c r="E543" s="1" t="n">
        <v>46263</v>
      </c>
      <c r="F543" t="inlineStr">
        <is>
          <t>GÄVLEBORGS LÄN</t>
        </is>
      </c>
      <c r="G543" t="inlineStr">
        <is>
          <t>OCKELBO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36521-2022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44804</v>
      </c>
      <c r="E544" s="1" t="n">
        <v>46263</v>
      </c>
      <c r="F544" t="inlineStr">
        <is>
          <t>GÄVLEBORGS LÄN</t>
        </is>
      </c>
      <c r="G544" t="inlineStr">
        <is>
          <t>OCKELBO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24228-2022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44725</v>
      </c>
      <c r="E545" s="1" t="n">
        <v>46263</v>
      </c>
      <c r="F545" t="inlineStr">
        <is>
          <t>GÄVLEBORGS LÄN</t>
        </is>
      </c>
      <c r="G545" t="inlineStr">
        <is>
          <t>OCKELBO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19945-2026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46136</v>
      </c>
      <c r="E546" s="1" t="n">
        <v>46263</v>
      </c>
      <c r="F546" t="inlineStr">
        <is>
          <t>GÄVLEBORGS LÄN</t>
        </is>
      </c>
      <c r="G546" t="inlineStr">
        <is>
          <t>OCKELBO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17682-2026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46121</v>
      </c>
      <c r="E547" s="1" t="n">
        <v>46263</v>
      </c>
      <c r="F547" t="inlineStr">
        <is>
          <t>GÄVLEBORGS LÄN</t>
        </is>
      </c>
      <c r="G547" t="inlineStr">
        <is>
          <t>OCKELBO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32301-2022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44781</v>
      </c>
      <c r="E548" s="1" t="n">
        <v>46263</v>
      </c>
      <c r="F548" t="inlineStr">
        <is>
          <t>GÄVLEBORGS LÄN</t>
        </is>
      </c>
      <c r="G548" t="inlineStr">
        <is>
          <t>OCKELBO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17208-2026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46119</v>
      </c>
      <c r="E549" s="1" t="n">
        <v>46263</v>
      </c>
      <c r="F549" t="inlineStr">
        <is>
          <t>GÄVLEBORGS LÄN</t>
        </is>
      </c>
      <c r="G549" t="inlineStr">
        <is>
          <t>OCKELBO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17117-2026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46114</v>
      </c>
      <c r="E550" s="1" t="n">
        <v>46263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8662-2025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45712</v>
      </c>
      <c r="E551" s="1" t="n">
        <v>46263</v>
      </c>
      <c r="F551" t="inlineStr">
        <is>
          <t>GÄVLEBORGS LÄN</t>
        </is>
      </c>
      <c r="G551" t="inlineStr">
        <is>
          <t>OCKELBO</t>
        </is>
      </c>
      <c r="I551" t="n">
        <v>14.7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20481-2026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46140</v>
      </c>
      <c r="E552" s="1" t="n">
        <v>46263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47841-2023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45204</v>
      </c>
      <c r="E553" s="1" t="n">
        <v>46263</v>
      </c>
      <c r="F553" t="inlineStr">
        <is>
          <t>GÄVLEBORGS LÄN</t>
        </is>
      </c>
      <c r="G553" t="inlineStr">
        <is>
          <t>OCKELBO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9556-2026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46071</v>
      </c>
      <c r="E554" s="1" t="n">
        <v>46263</v>
      </c>
      <c r="F554" t="inlineStr">
        <is>
          <t>GÄVLEBORGS LÄN</t>
        </is>
      </c>
      <c r="G554" t="inlineStr">
        <is>
          <t>OCKELBO</t>
        </is>
      </c>
      <c r="I554" t="n">
        <v>11.9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33079-2025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45840</v>
      </c>
      <c r="E555" s="1" t="n">
        <v>46263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33985-2023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45134</v>
      </c>
      <c r="E556" s="1" t="n">
        <v>46263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46048</v>
      </c>
      <c r="E557" s="1" t="n">
        <v>46263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9.1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46042</v>
      </c>
      <c r="E558" s="1" t="n">
        <v>46263</v>
      </c>
      <c r="F558" t="inlineStr">
        <is>
          <t>GÄVLEBORGS LÄN</t>
        </is>
      </c>
      <c r="G558" t="inlineStr">
        <is>
          <t>OCKELBO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8343-2026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46064</v>
      </c>
      <c r="E559" s="1" t="n">
        <v>46263</v>
      </c>
      <c r="F559" t="inlineStr">
        <is>
          <t>GÄVLEBORGS LÄN</t>
        </is>
      </c>
      <c r="G559" t="inlineStr">
        <is>
          <t>OCKELBO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20660-2022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44700</v>
      </c>
      <c r="E560" s="1" t="n">
        <v>46263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61750-2023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45265</v>
      </c>
      <c r="E561" s="1" t="n">
        <v>46263</v>
      </c>
      <c r="F561" t="inlineStr">
        <is>
          <t>GÄVLEBORGS LÄN</t>
        </is>
      </c>
      <c r="G561" t="inlineStr">
        <is>
          <t>OCKELBO</t>
        </is>
      </c>
      <c r="I561" t="n">
        <v>11.2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15247-2025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45744</v>
      </c>
      <c r="E562" s="1" t="n">
        <v>46263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20467-2026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46140</v>
      </c>
      <c r="E563" s="1" t="n">
        <v>46263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35054-2022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44797</v>
      </c>
      <c r="E564" s="1" t="n">
        <v>46263</v>
      </c>
      <c r="F564" t="inlineStr">
        <is>
          <t>GÄVLEBORGS LÄN</t>
        </is>
      </c>
      <c r="G564" t="inlineStr">
        <is>
          <t>OCKELBO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20059-2025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45772</v>
      </c>
      <c r="E565" s="1" t="n">
        <v>46263</v>
      </c>
      <c r="F565" t="inlineStr">
        <is>
          <t>GÄVLEBORGS LÄN</t>
        </is>
      </c>
      <c r="G565" t="inlineStr">
        <is>
          <t>OCKELBO</t>
        </is>
      </c>
      <c r="I565" t="n">
        <v>14.8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55112-2023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45237</v>
      </c>
      <c r="E566" s="1" t="n">
        <v>46263</v>
      </c>
      <c r="F566" t="inlineStr">
        <is>
          <t>GÄVLEBORGS LÄN</t>
        </is>
      </c>
      <c r="G566" t="inlineStr">
        <is>
          <t>OCKELBO</t>
        </is>
      </c>
      <c r="I566" t="n">
        <v>14.6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20149-2026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46137</v>
      </c>
      <c r="E567" s="1" t="n">
        <v>46263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7.3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20150-2026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46137</v>
      </c>
      <c r="E568" s="1" t="n">
        <v>46263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59978-2023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45254</v>
      </c>
      <c r="E569" s="1" t="n">
        <v>46263</v>
      </c>
      <c r="F569" t="inlineStr">
        <is>
          <t>GÄVLEBORGS LÄN</t>
        </is>
      </c>
      <c r="G569" t="inlineStr">
        <is>
          <t>OCKELBO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53488-2023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45230</v>
      </c>
      <c r="E570" s="1" t="n">
        <v>46263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56034-2023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45240</v>
      </c>
      <c r="E571" s="1" t="n">
        <v>46263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20502-2026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46140</v>
      </c>
      <c r="E572" s="1" t="n">
        <v>46263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11.2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30422-2023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45111</v>
      </c>
      <c r="E573" s="1" t="n">
        <v>46263</v>
      </c>
      <c r="F573" t="inlineStr">
        <is>
          <t>GÄVLEBORGS LÄN</t>
        </is>
      </c>
      <c r="G573" t="inlineStr">
        <is>
          <t>OCKELBO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20251-2026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46263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46036</v>
      </c>
      <c r="E575" s="1" t="n">
        <v>46263</v>
      </c>
      <c r="F575" t="inlineStr">
        <is>
          <t>GÄVLEBORGS LÄN</t>
        </is>
      </c>
      <c r="G575" t="inlineStr">
        <is>
          <t>OCKELBO</t>
        </is>
      </c>
      <c r="I575" t="n">
        <v>5.4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28966-2025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45821</v>
      </c>
      <c r="E576" s="1" t="n">
        <v>46263</v>
      </c>
      <c r="F576" t="inlineStr">
        <is>
          <t>GÄVLEBORGS LÄN</t>
        </is>
      </c>
      <c r="G576" t="inlineStr">
        <is>
          <t>OCKELBO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50742-2025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45946</v>
      </c>
      <c r="E577" s="1" t="n">
        <v>46263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46043</v>
      </c>
      <c r="E578" s="1" t="n">
        <v>46263</v>
      </c>
      <c r="F578" t="inlineStr">
        <is>
          <t>GÄVLEBORGS LÄN</t>
        </is>
      </c>
      <c r="G578" t="inlineStr">
        <is>
          <t>OCKELBO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3720-2026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46263</v>
      </c>
      <c r="F579" t="inlineStr">
        <is>
          <t>GÄVLEBORGS LÄN</t>
        </is>
      </c>
      <c r="G579" t="inlineStr">
        <is>
          <t>OCKELBO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29953-2024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45488</v>
      </c>
      <c r="E580" s="1" t="n">
        <v>46263</v>
      </c>
      <c r="F580" t="inlineStr">
        <is>
          <t>GÄVLEBORGS LÄN</t>
        </is>
      </c>
      <c r="G580" t="inlineStr">
        <is>
          <t>OCKELBO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7907-2026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46063</v>
      </c>
      <c r="E581" s="1" t="n">
        <v>46263</v>
      </c>
      <c r="F581" t="inlineStr">
        <is>
          <t>GÄVLEBORGS LÄN</t>
        </is>
      </c>
      <c r="G581" t="inlineStr">
        <is>
          <t>OCKELBO</t>
        </is>
      </c>
      <c r="I581" t="n">
        <v>11.5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3484-2026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46042</v>
      </c>
      <c r="E582" s="1" t="n">
        <v>46263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921-2024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45301</v>
      </c>
      <c r="E583" s="1" t="n">
        <v>46263</v>
      </c>
      <c r="F583" t="inlineStr">
        <is>
          <t>GÄVLEBORGS LÄN</t>
        </is>
      </c>
      <c r="G583" t="inlineStr">
        <is>
          <t>OCKELBO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46049</v>
      </c>
      <c r="E584" s="1" t="n">
        <v>46263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17.1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39710-2023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45167</v>
      </c>
      <c r="E585" s="1" t="n">
        <v>46263</v>
      </c>
      <c r="F585" t="inlineStr">
        <is>
          <t>GÄVLEBORGS LÄN</t>
        </is>
      </c>
      <c r="G585" t="inlineStr">
        <is>
          <t>OCKELBO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55906-2024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45623</v>
      </c>
      <c r="E586" s="1" t="n">
        <v>46263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34449-2023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45139</v>
      </c>
      <c r="E587" s="1" t="n">
        <v>46263</v>
      </c>
      <c r="F587" t="inlineStr">
        <is>
          <t>GÄVLEBORGS LÄN</t>
        </is>
      </c>
      <c r="G587" t="inlineStr">
        <is>
          <t>OCKELBO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7949-2026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46263</v>
      </c>
      <c r="F588" t="inlineStr">
        <is>
          <t>GÄVLEBORGS LÄN</t>
        </is>
      </c>
      <c r="G588" t="inlineStr">
        <is>
          <t>OCKELBO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39062-2024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45548</v>
      </c>
      <c r="E589" s="1" t="n">
        <v>46263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15542-2026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46106</v>
      </c>
      <c r="E590" s="1" t="n">
        <v>46263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20155-2026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46138</v>
      </c>
      <c r="E591" s="1" t="n">
        <v>46263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12.7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5974-2026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46052</v>
      </c>
      <c r="E592" s="1" t="n">
        <v>46263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4729-2026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46263</v>
      </c>
      <c r="F593" t="inlineStr">
        <is>
          <t>GÄVLEBORGS LÄN</t>
        </is>
      </c>
      <c r="G593" t="inlineStr">
        <is>
          <t>OCKELBO</t>
        </is>
      </c>
      <c r="I593" t="n">
        <v>36.1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34792-2024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45526</v>
      </c>
      <c r="E594" s="1" t="n">
        <v>46263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13857-2026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46098</v>
      </c>
      <c r="E595" s="1" t="n">
        <v>46263</v>
      </c>
      <c r="F595" t="inlineStr">
        <is>
          <t>GÄVLEBORGS LÄN</t>
        </is>
      </c>
      <c r="G595" t="inlineStr">
        <is>
          <t>OCKELBO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11116-2026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46263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6386-2026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46055</v>
      </c>
      <c r="E597" s="1" t="n">
        <v>46263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7.8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15739-2026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46107</v>
      </c>
      <c r="E598" s="1" t="n">
        <v>46263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20.4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27997-2025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45817</v>
      </c>
      <c r="E599" s="1" t="n">
        <v>46263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25564-2025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45803</v>
      </c>
      <c r="E600" s="1" t="n">
        <v>46263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11.7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33617-2023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45132</v>
      </c>
      <c r="E601" s="1" t="n">
        <v>46263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5325-2026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46050</v>
      </c>
      <c r="E602" s="1" t="n">
        <v>46263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45139</v>
      </c>
      <c r="E603" s="1" t="n">
        <v>46263</v>
      </c>
      <c r="F603" t="inlineStr">
        <is>
          <t>GÄVLEBORGS LÄN</t>
        </is>
      </c>
      <c r="G603" t="inlineStr">
        <is>
          <t>OCKELBO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63977-2025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46021</v>
      </c>
      <c r="E604" s="1" t="n">
        <v>46263</v>
      </c>
      <c r="F604" t="inlineStr">
        <is>
          <t>GÄVLEBORGS LÄN</t>
        </is>
      </c>
      <c r="G604" t="inlineStr">
        <is>
          <t>OCKELBO</t>
        </is>
      </c>
      <c r="I604" t="n">
        <v>18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3626-2023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44950</v>
      </c>
      <c r="E605" s="1" t="n">
        <v>46263</v>
      </c>
      <c r="F605" t="inlineStr">
        <is>
          <t>GÄVLEBORGS LÄN</t>
        </is>
      </c>
      <c r="G605" t="inlineStr">
        <is>
          <t>OCKELBO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50197-2024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45600</v>
      </c>
      <c r="E606" s="1" t="n">
        <v>46263</v>
      </c>
      <c r="F606" t="inlineStr">
        <is>
          <t>GÄVLEBORGS LÄN</t>
        </is>
      </c>
      <c r="G606" t="inlineStr">
        <is>
          <t>OCKELBO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52330-2024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45609</v>
      </c>
      <c r="E607" s="1" t="n">
        <v>46263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20469-2026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46140</v>
      </c>
      <c r="E608" s="1" t="n">
        <v>46263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6499-2026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46056</v>
      </c>
      <c r="E609" s="1" t="n">
        <v>46263</v>
      </c>
      <c r="F609" t="inlineStr">
        <is>
          <t>GÄVLEBORGS LÄN</t>
        </is>
      </c>
      <c r="G609" t="inlineStr">
        <is>
          <t>OCKELBO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6518-2026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46263</v>
      </c>
      <c r="F610" t="inlineStr">
        <is>
          <t>GÄVLEBORGS LÄN</t>
        </is>
      </c>
      <c r="G610" t="inlineStr">
        <is>
          <t>OCKELBO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36604-2025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45870</v>
      </c>
      <c r="E611" s="1" t="n">
        <v>46263</v>
      </c>
      <c r="F611" t="inlineStr">
        <is>
          <t>GÄVLEBORGS LÄN</t>
        </is>
      </c>
      <c r="G611" t="inlineStr">
        <is>
          <t>OCKELBO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25404-2025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45800</v>
      </c>
      <c r="E612" s="1" t="n">
        <v>46263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60148-2023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45258</v>
      </c>
      <c r="E613" s="1" t="n">
        <v>46263</v>
      </c>
      <c r="F613" t="inlineStr">
        <is>
          <t>GÄVLEBORGS LÄN</t>
        </is>
      </c>
      <c r="G613" t="inlineStr">
        <is>
          <t>OCKELBO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61116-2023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45261</v>
      </c>
      <c r="E614" s="1" t="n">
        <v>46263</v>
      </c>
      <c r="F614" t="inlineStr">
        <is>
          <t>GÄVLEBORGS LÄN</t>
        </is>
      </c>
      <c r="G614" t="inlineStr">
        <is>
          <t>OCKELBO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44281-2022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44839</v>
      </c>
      <c r="E615" s="1" t="n">
        <v>46263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15325-2025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45747</v>
      </c>
      <c r="E616" s="1" t="n">
        <v>46263</v>
      </c>
      <c r="F616" t="inlineStr">
        <is>
          <t>GÄVLEBORGS LÄN</t>
        </is>
      </c>
      <c r="G616" t="inlineStr">
        <is>
          <t>OCKELBO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29687-2023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45107</v>
      </c>
      <c r="E617" s="1" t="n">
        <v>46263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37442-2023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45156</v>
      </c>
      <c r="E618" s="1" t="n">
        <v>46263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3620-2023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44950</v>
      </c>
      <c r="E619" s="1" t="n">
        <v>46263</v>
      </c>
      <c r="F619" t="inlineStr">
        <is>
          <t>GÄVLEBORGS LÄN</t>
        </is>
      </c>
      <c r="G619" t="inlineStr">
        <is>
          <t>OCKELBO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33879-2023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45134</v>
      </c>
      <c r="E620" s="1" t="n">
        <v>46263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33987-2023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45134</v>
      </c>
      <c r="E621" s="1" t="n">
        <v>46263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46052</v>
      </c>
      <c r="E622" s="1" t="n">
        <v>46263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25168-2025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45800</v>
      </c>
      <c r="E623" s="1" t="n">
        <v>46263</v>
      </c>
      <c r="F623" t="inlineStr">
        <is>
          <t>GÄVLEBORGS LÄN</t>
        </is>
      </c>
      <c r="G623" t="inlineStr">
        <is>
          <t>OCKELBO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20604-2026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46140</v>
      </c>
      <c r="E624" s="1" t="n">
        <v>46263</v>
      </c>
      <c r="F624" t="inlineStr">
        <is>
          <t>GÄVLEBORGS LÄN</t>
        </is>
      </c>
      <c r="G624" t="inlineStr">
        <is>
          <t>OCKELBO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20571-2026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46140</v>
      </c>
      <c r="E625" s="1" t="n">
        <v>46263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29963-2024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45488</v>
      </c>
      <c r="E626" s="1" t="n">
        <v>46263</v>
      </c>
      <c r="F626" t="inlineStr">
        <is>
          <t>GÄVLEBORGS LÄN</t>
        </is>
      </c>
      <c r="G626" t="inlineStr">
        <is>
          <t>OCKELBO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20151-2026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46137</v>
      </c>
      <c r="E627" s="1" t="n">
        <v>46263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46316-2025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45925</v>
      </c>
      <c r="E628" s="1" t="n">
        <v>46263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46034</v>
      </c>
      <c r="E629" s="1" t="n">
        <v>46263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8253-2026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46064</v>
      </c>
      <c r="E630" s="1" t="n">
        <v>46263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15694-2022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44663</v>
      </c>
      <c r="E631" s="1" t="n">
        <v>46263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8521-2026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46065</v>
      </c>
      <c r="E632" s="1" t="n">
        <v>46263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5950-2026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46052</v>
      </c>
      <c r="E633" s="1" t="n">
        <v>46263</v>
      </c>
      <c r="F633" t="inlineStr">
        <is>
          <t>GÄVLEBORGS LÄN</t>
        </is>
      </c>
      <c r="G633" t="inlineStr">
        <is>
          <t>OCKELBO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61335-2022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44915</v>
      </c>
      <c r="E634" s="1" t="n">
        <v>46263</v>
      </c>
      <c r="F634" t="inlineStr">
        <is>
          <t>GÄVLEBORGS LÄN</t>
        </is>
      </c>
      <c r="G634" t="inlineStr">
        <is>
          <t>OCKELBO</t>
        </is>
      </c>
      <c r="I634" t="n">
        <v>8.5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46029</v>
      </c>
      <c r="E635" s="1" t="n">
        <v>46263</v>
      </c>
      <c r="F635" t="inlineStr">
        <is>
          <t>GÄVLEBORGS LÄN</t>
        </is>
      </c>
      <c r="G635" t="inlineStr">
        <is>
          <t>OCKELBO</t>
        </is>
      </c>
      <c r="I635" t="n">
        <v>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3650-2026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46043</v>
      </c>
      <c r="E636" s="1" t="n">
        <v>46263</v>
      </c>
      <c r="F636" t="inlineStr">
        <is>
          <t>GÄVLEBORGS LÄN</t>
        </is>
      </c>
      <c r="G636" t="inlineStr">
        <is>
          <t>OCKELBO</t>
        </is>
      </c>
      <c r="I636" t="n">
        <v>10.3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52241-2024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45608</v>
      </c>
      <c r="E637" s="1" t="n">
        <v>46263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7.7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52243-2024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45608</v>
      </c>
      <c r="E638" s="1" t="n">
        <v>46263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34440-2023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45139</v>
      </c>
      <c r="E639" s="1" t="n">
        <v>46263</v>
      </c>
      <c r="F639" t="inlineStr">
        <is>
          <t>GÄVLEBORGS LÄN</t>
        </is>
      </c>
      <c r="G639" t="inlineStr">
        <is>
          <t>OCKELBO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29968-2024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45488</v>
      </c>
      <c r="E640" s="1" t="n">
        <v>46263</v>
      </c>
      <c r="F640" t="inlineStr">
        <is>
          <t>GÄVLEBORGS LÄN</t>
        </is>
      </c>
      <c r="G640" t="inlineStr">
        <is>
          <t>OCKELBO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46263</v>
      </c>
      <c r="F641" t="inlineStr">
        <is>
          <t>GÄVLEBORGS LÄN</t>
        </is>
      </c>
      <c r="G641" t="inlineStr">
        <is>
          <t>OCKELBO</t>
        </is>
      </c>
      <c r="I641" t="n">
        <v>9.300000000000001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1865-2026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46035</v>
      </c>
      <c r="E642" s="1" t="n">
        <v>46263</v>
      </c>
      <c r="F642" t="inlineStr">
        <is>
          <t>GÄVLEBORGS LÄN</t>
        </is>
      </c>
      <c r="G642" t="inlineStr">
        <is>
          <t>OCKELBO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12708-2026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46091</v>
      </c>
      <c r="E643" s="1" t="n">
        <v>46263</v>
      </c>
      <c r="F643" t="inlineStr">
        <is>
          <t>GÄVLEBORGS LÄN</t>
        </is>
      </c>
      <c r="G643" t="inlineStr">
        <is>
          <t>OCKELBO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8683-2026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46066</v>
      </c>
      <c r="E644" s="1" t="n">
        <v>46263</v>
      </c>
      <c r="F644" t="inlineStr">
        <is>
          <t>GÄVLEBORGS LÄN</t>
        </is>
      </c>
      <c r="G644" t="inlineStr">
        <is>
          <t>OCKELBO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15484-2026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46106</v>
      </c>
      <c r="E645" s="1" t="n">
        <v>46263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10489-2026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46077</v>
      </c>
      <c r="E646" s="1" t="n">
        <v>46263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30418-2023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45111</v>
      </c>
      <c r="E647" s="1" t="n">
        <v>46263</v>
      </c>
      <c r="F647" t="inlineStr">
        <is>
          <t>GÄVLEBORGS LÄN</t>
        </is>
      </c>
      <c r="G647" t="inlineStr">
        <is>
          <t>OCKELBO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7955-2026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46063</v>
      </c>
      <c r="E648" s="1" t="n">
        <v>46263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23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710-2026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46029</v>
      </c>
      <c r="E649" s="1" t="n">
        <v>46263</v>
      </c>
      <c r="F649" t="inlineStr">
        <is>
          <t>GÄVLEBORGS LÄN</t>
        </is>
      </c>
      <c r="G649" t="inlineStr">
        <is>
          <t>OCKELBO</t>
        </is>
      </c>
      <c r="I649" t="n">
        <v>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51989-2023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45223</v>
      </c>
      <c r="E650" s="1" t="n">
        <v>46263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21900-2023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45068</v>
      </c>
      <c r="E651" s="1" t="n">
        <v>46263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3034-2025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45678</v>
      </c>
      <c r="E652" s="1" t="n">
        <v>46263</v>
      </c>
      <c r="F652" t="inlineStr">
        <is>
          <t>GÄVLEBORGS LÄN</t>
        </is>
      </c>
      <c r="G652" t="inlineStr">
        <is>
          <t>OCKELBO</t>
        </is>
      </c>
      <c r="I652" t="n">
        <v>8.1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56741-2024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45628</v>
      </c>
      <c r="E653" s="1" t="n">
        <v>46263</v>
      </c>
      <c r="F653" t="inlineStr">
        <is>
          <t>GÄVLEBORGS LÄN</t>
        </is>
      </c>
      <c r="G653" t="inlineStr">
        <is>
          <t>OCKELBO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49448-2023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45211</v>
      </c>
      <c r="E654" s="1" t="n">
        <v>46263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19772-2025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45771</v>
      </c>
      <c r="E655" s="1" t="n">
        <v>46263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19774-2025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45771</v>
      </c>
      <c r="E656" s="1" t="n">
        <v>46263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46074-2024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45581</v>
      </c>
      <c r="E657" s="1" t="n">
        <v>46263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21878-2023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45068</v>
      </c>
      <c r="E658" s="1" t="n">
        <v>46263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60117-2025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45994</v>
      </c>
      <c r="E659" s="1" t="n">
        <v>46263</v>
      </c>
      <c r="F659" t="inlineStr">
        <is>
          <t>GÄVLEBORGS LÄN</t>
        </is>
      </c>
      <c r="G659" t="inlineStr">
        <is>
          <t>OCKELBO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8348-2026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46064</v>
      </c>
      <c r="E660" s="1" t="n">
        <v>46263</v>
      </c>
      <c r="F660" t="inlineStr">
        <is>
          <t>GÄVLEBORGS LÄN</t>
        </is>
      </c>
      <c r="G660" t="inlineStr">
        <is>
          <t>OCKELBO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39430-2024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45551</v>
      </c>
      <c r="E661" s="1" t="n">
        <v>46263</v>
      </c>
      <c r="F661" t="inlineStr">
        <is>
          <t>GÄVLEBORGS LÄN</t>
        </is>
      </c>
      <c r="G661" t="inlineStr">
        <is>
          <t>OCKELBO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55070-2023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45237</v>
      </c>
      <c r="E662" s="1" t="n">
        <v>46263</v>
      </c>
      <c r="F662" t="inlineStr">
        <is>
          <t>GÄVLEBORGS LÄN</t>
        </is>
      </c>
      <c r="G662" t="inlineStr">
        <is>
          <t>OCKELBO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46037</v>
      </c>
      <c r="E663" s="1" t="n">
        <v>46263</v>
      </c>
      <c r="F663" t="inlineStr">
        <is>
          <t>GÄVLEBORGS LÄN</t>
        </is>
      </c>
      <c r="G663" t="inlineStr">
        <is>
          <t>OCKELBO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20641-2026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46141</v>
      </c>
      <c r="E664" s="1" t="n">
        <v>46263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18191-2026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46125</v>
      </c>
      <c r="E665" s="1" t="n">
        <v>46263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40218-2023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45169</v>
      </c>
      <c r="E666" s="1" t="n">
        <v>46263</v>
      </c>
      <c r="F666" t="inlineStr">
        <is>
          <t>GÄVLEBORGS LÄN</t>
        </is>
      </c>
      <c r="G666" t="inlineStr">
        <is>
          <t>OCKELBO</t>
        </is>
      </c>
      <c r="I666" t="n">
        <v>13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6561-2026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46056</v>
      </c>
      <c r="E667" s="1" t="n">
        <v>46263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46027</v>
      </c>
      <c r="E668" s="1" t="n">
        <v>46263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9401-2026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46071</v>
      </c>
      <c r="E669" s="1" t="n">
        <v>46263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8.300000000000001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10083-2026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46073</v>
      </c>
      <c r="E670" s="1" t="n">
        <v>46263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20984-2026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46142</v>
      </c>
      <c r="E671" s="1" t="n">
        <v>46263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19178-2023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45048</v>
      </c>
      <c r="E672" s="1" t="n">
        <v>46263</v>
      </c>
      <c r="F672" t="inlineStr">
        <is>
          <t>GÄVLEBORGS LÄN</t>
        </is>
      </c>
      <c r="G672" t="inlineStr">
        <is>
          <t>OCKELBO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21173-2026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46146</v>
      </c>
      <c r="E673" s="1" t="n">
        <v>46263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14905-2026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46104</v>
      </c>
      <c r="E674" s="1" t="n">
        <v>46263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17951-2026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46122</v>
      </c>
      <c r="E675" s="1" t="n">
        <v>46263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18549-2026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46127</v>
      </c>
      <c r="E676" s="1" t="n">
        <v>46263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18097-2026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46125</v>
      </c>
      <c r="E677" s="1" t="n">
        <v>46263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21468-2026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46148</v>
      </c>
      <c r="E678" s="1" t="n">
        <v>46263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21577-2026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46148</v>
      </c>
      <c r="E679" s="1" t="n">
        <v>46263</v>
      </c>
      <c r="F679" t="inlineStr">
        <is>
          <t>GÄVLEBORGS LÄN</t>
        </is>
      </c>
      <c r="G679" t="inlineStr">
        <is>
          <t>OCKELBO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15908-2026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46107</v>
      </c>
      <c r="E680" s="1" t="n">
        <v>46263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öst AB</t>
        </is>
      </c>
      <c r="I680" t="n">
        <v>6.8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21500-2026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46148</v>
      </c>
      <c r="E681" s="1" t="n">
        <v>46263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19537-2026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46134</v>
      </c>
      <c r="E682" s="1" t="n">
        <v>46263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37386-2023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45156</v>
      </c>
      <c r="E683" s="1" t="n">
        <v>46263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21280-2026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46147</v>
      </c>
      <c r="E684" s="1" t="n">
        <v>46263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öst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17233-2026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46119</v>
      </c>
      <c r="E685" s="1" t="n">
        <v>46263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21277-2026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46147</v>
      </c>
      <c r="E686" s="1" t="n">
        <v>46263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öst AB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21461-2026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46148</v>
      </c>
      <c r="E687" s="1" t="n">
        <v>46263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21459-2026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46148</v>
      </c>
      <c r="E688" s="1" t="n">
        <v>46263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14410-2026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46100</v>
      </c>
      <c r="E689" s="1" t="n">
        <v>46263</v>
      </c>
      <c r="F689" t="inlineStr">
        <is>
          <t>GÄVLEBORGS LÄN</t>
        </is>
      </c>
      <c r="G689" t="inlineStr">
        <is>
          <t>OCKELBO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2556-2025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45674</v>
      </c>
      <c r="E690" s="1" t="n">
        <v>46263</v>
      </c>
      <c r="F690" t="inlineStr">
        <is>
          <t>GÄVLEBORGS LÄN</t>
        </is>
      </c>
      <c r="G690" t="inlineStr">
        <is>
          <t>OCKELBO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21640-2026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46149</v>
      </c>
      <c r="E691" s="1" t="n">
        <v>46263</v>
      </c>
      <c r="F691" t="inlineStr">
        <is>
          <t>GÄVLEBORGS LÄN</t>
        </is>
      </c>
      <c r="G691" t="inlineStr">
        <is>
          <t>OCKELBO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22057-2026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46153</v>
      </c>
      <c r="E692" s="1" t="n">
        <v>46263</v>
      </c>
      <c r="F692" t="inlineStr">
        <is>
          <t>GÄVLEBORGS LÄN</t>
        </is>
      </c>
      <c r="G692" t="inlineStr">
        <is>
          <t>OCKELBO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59063-2023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45252</v>
      </c>
      <c r="E693" s="1" t="n">
        <v>46263</v>
      </c>
      <c r="F693" t="inlineStr">
        <is>
          <t>GÄVLEBORGS LÄN</t>
        </is>
      </c>
      <c r="G693" t="inlineStr">
        <is>
          <t>OCKELBO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18645-2026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46128</v>
      </c>
      <c r="E694" s="1" t="n">
        <v>46263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13182-2026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46093</v>
      </c>
      <c r="E695" s="1" t="n">
        <v>46263</v>
      </c>
      <c r="F695" t="inlineStr">
        <is>
          <t>GÄVLEBORGS LÄN</t>
        </is>
      </c>
      <c r="G695" t="inlineStr">
        <is>
          <t>OCKELBO</t>
        </is>
      </c>
      <c r="I695" t="n">
        <v>8.199999999999999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13233-2026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46093</v>
      </c>
      <c r="E696" s="1" t="n">
        <v>46263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17221-2026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46119</v>
      </c>
      <c r="E697" s="1" t="n">
        <v>46263</v>
      </c>
      <c r="F697" t="inlineStr">
        <is>
          <t>GÄVLEBORGS LÄN</t>
        </is>
      </c>
      <c r="G697" t="inlineStr">
        <is>
          <t>OCKELBO</t>
        </is>
      </c>
      <c r="I697" t="n">
        <v>5.1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10150-2023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44986</v>
      </c>
      <c r="E698" s="1" t="n">
        <v>46263</v>
      </c>
      <c r="F698" t="inlineStr">
        <is>
          <t>GÄVLEBORGS LÄN</t>
        </is>
      </c>
      <c r="G698" t="inlineStr">
        <is>
          <t>OCKELBO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13210-2026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46093</v>
      </c>
      <c r="E699" s="1" t="n">
        <v>46263</v>
      </c>
      <c r="F699" t="inlineStr">
        <is>
          <t>GÄVLEBORGS LÄN</t>
        </is>
      </c>
      <c r="G699" t="inlineStr">
        <is>
          <t>OCKELBO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12352-2026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46088</v>
      </c>
      <c r="E700" s="1" t="n">
        <v>46263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9.199999999999999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9413-2026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46071</v>
      </c>
      <c r="E701" s="1" t="n">
        <v>46263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9.1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9542-2026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46071</v>
      </c>
      <c r="E702" s="1" t="n">
        <v>46263</v>
      </c>
      <c r="F702" t="inlineStr">
        <is>
          <t>GÄVLEBORGS LÄN</t>
        </is>
      </c>
      <c r="G702" t="inlineStr">
        <is>
          <t>OCKELBO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37845-2024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45544</v>
      </c>
      <c r="E703" s="1" t="n">
        <v>46263</v>
      </c>
      <c r="F703" t="inlineStr">
        <is>
          <t>GÄVLEBORGS LÄN</t>
        </is>
      </c>
      <c r="G703" t="inlineStr">
        <is>
          <t>OCKELBO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43071-2025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45909</v>
      </c>
      <c r="E704" s="1" t="n">
        <v>46263</v>
      </c>
      <c r="F704" t="inlineStr">
        <is>
          <t>GÄVLEBORGS LÄN</t>
        </is>
      </c>
      <c r="G704" t="inlineStr">
        <is>
          <t>OCKELBO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58718-2025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45986</v>
      </c>
      <c r="E705" s="1" t="n">
        <v>46263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22426-2026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46153</v>
      </c>
      <c r="E706" s="1" t="n">
        <v>46263</v>
      </c>
      <c r="F706" t="inlineStr">
        <is>
          <t>GÄVLEBORGS LÄN</t>
        </is>
      </c>
      <c r="G706" t="inlineStr">
        <is>
          <t>OCKELBO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46043</v>
      </c>
      <c r="E707" s="1" t="n">
        <v>46263</v>
      </c>
      <c r="F707" t="inlineStr">
        <is>
          <t>GÄVLEBORGS LÄN</t>
        </is>
      </c>
      <c r="G707" t="inlineStr">
        <is>
          <t>OCKELBO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15034-2026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46104</v>
      </c>
      <c r="E708" s="1" t="n">
        <v>46263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22329-2026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46154</v>
      </c>
      <c r="E709" s="1" t="n">
        <v>46263</v>
      </c>
      <c r="F709" t="inlineStr">
        <is>
          <t>GÄVLEBORGS LÄN</t>
        </is>
      </c>
      <c r="G709" t="inlineStr">
        <is>
          <t>OCKELBO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8408-2026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46065</v>
      </c>
      <c r="E710" s="1" t="n">
        <v>46263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8865-2026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46066</v>
      </c>
      <c r="E711" s="1" t="n">
        <v>46263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5164-2026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46049</v>
      </c>
      <c r="E712" s="1" t="n">
        <v>46263</v>
      </c>
      <c r="F712" t="inlineStr">
        <is>
          <t>GÄVLEBORGS LÄN</t>
        </is>
      </c>
      <c r="G712" t="inlineStr">
        <is>
          <t>OCKELBO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6654-2026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46056</v>
      </c>
      <c r="E713" s="1" t="n">
        <v>46263</v>
      </c>
      <c r="F713" t="inlineStr">
        <is>
          <t>GÄVLEBORGS LÄN</t>
        </is>
      </c>
      <c r="G713" t="inlineStr">
        <is>
          <t>OCKELBO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60122-2025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45994</v>
      </c>
      <c r="E714" s="1" t="n">
        <v>46263</v>
      </c>
      <c r="F714" t="inlineStr">
        <is>
          <t>GÄVLEBORGS LÄN</t>
        </is>
      </c>
      <c r="G714" t="inlineStr">
        <is>
          <t>OCKELBO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22569-2026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46155</v>
      </c>
      <c r="E715" s="1" t="n">
        <v>46263</v>
      </c>
      <c r="F715" t="inlineStr">
        <is>
          <t>GÄVLEBORGS LÄN</t>
        </is>
      </c>
      <c r="G715" t="inlineStr">
        <is>
          <t>OCKELBO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22712-2026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46156</v>
      </c>
      <c r="E716" s="1" t="n">
        <v>46263</v>
      </c>
      <c r="F716" t="inlineStr">
        <is>
          <t>GÄVLEBORGS LÄN</t>
        </is>
      </c>
      <c r="G716" t="inlineStr">
        <is>
          <t>OCKELBO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60120-2025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45994</v>
      </c>
      <c r="E717" s="1" t="n">
        <v>46263</v>
      </c>
      <c r="F717" t="inlineStr">
        <is>
          <t>GÄVLEBORGS LÄN</t>
        </is>
      </c>
      <c r="G717" t="inlineStr">
        <is>
          <t>OCKELBO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4179-2026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46044</v>
      </c>
      <c r="E718" s="1" t="n">
        <v>46263</v>
      </c>
      <c r="F718" t="inlineStr">
        <is>
          <t>GÄVLEBORGS LÄN</t>
        </is>
      </c>
      <c r="G718" t="inlineStr">
        <is>
          <t>OCKELBO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46609-2025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45926</v>
      </c>
      <c r="E719" s="1" t="n">
        <v>46263</v>
      </c>
      <c r="F719" t="inlineStr">
        <is>
          <t>GÄVLEBORGS LÄN</t>
        </is>
      </c>
      <c r="G719" t="inlineStr">
        <is>
          <t>OCKELBO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22460-2026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46155</v>
      </c>
      <c r="E720" s="1" t="n">
        <v>46263</v>
      </c>
      <c r="F720" t="inlineStr">
        <is>
          <t>GÄVLEBORGS LÄN</t>
        </is>
      </c>
      <c r="G720" t="inlineStr">
        <is>
          <t>OCKELBO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22594-2026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46155</v>
      </c>
      <c r="E721" s="1" t="n">
        <v>46263</v>
      </c>
      <c r="F721" t="inlineStr">
        <is>
          <t>GÄVLEBORGS LÄN</t>
        </is>
      </c>
      <c r="G721" t="inlineStr">
        <is>
          <t>OCKELBO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20775-2025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45776</v>
      </c>
      <c r="E722" s="1" t="n">
        <v>46263</v>
      </c>
      <c r="F722" t="inlineStr">
        <is>
          <t>GÄVLEBORGS LÄN</t>
        </is>
      </c>
      <c r="G722" t="inlineStr">
        <is>
          <t>OCKELBO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14474-2026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46100</v>
      </c>
      <c r="E723" s="1" t="n">
        <v>46263</v>
      </c>
      <c r="F723" t="inlineStr">
        <is>
          <t>GÄVLEBORGS LÄN</t>
        </is>
      </c>
      <c r="G723" t="inlineStr">
        <is>
          <t>OCKELBO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14071-2026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46099</v>
      </c>
      <c r="E724" s="1" t="n">
        <v>46263</v>
      </c>
      <c r="F724" t="inlineStr">
        <is>
          <t>GÄVLEBORGS LÄN</t>
        </is>
      </c>
      <c r="G724" t="inlineStr">
        <is>
          <t>OCKELBO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22843-2026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46160</v>
      </c>
      <c r="E725" s="1" t="n">
        <v>46263</v>
      </c>
      <c r="F725" t="inlineStr">
        <is>
          <t>GÄVLEBORGS LÄN</t>
        </is>
      </c>
      <c r="G725" t="inlineStr">
        <is>
          <t>OCKELBO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17862-2026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46122</v>
      </c>
      <c r="E726" s="1" t="n">
        <v>46263</v>
      </c>
      <c r="F726" t="inlineStr">
        <is>
          <t>GÄVLEBORGS LÄN</t>
        </is>
      </c>
      <c r="G726" t="inlineStr">
        <is>
          <t>OCKELBO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23040-2026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46161</v>
      </c>
      <c r="E727" s="1" t="n">
        <v>46263</v>
      </c>
      <c r="F727" t="inlineStr">
        <is>
          <t>GÄVLEBORGS LÄN</t>
        </is>
      </c>
      <c r="G727" t="inlineStr">
        <is>
          <t>OCKELBO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23149-2026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46161</v>
      </c>
      <c r="E728" s="1" t="n">
        <v>46263</v>
      </c>
      <c r="F728" t="inlineStr">
        <is>
          <t>GÄVLEBORGS LÄN</t>
        </is>
      </c>
      <c r="G728" t="inlineStr">
        <is>
          <t>OCKELBO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9859-2025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45716</v>
      </c>
      <c r="E729" s="1" t="n">
        <v>46263</v>
      </c>
      <c r="F729" t="inlineStr">
        <is>
          <t>GÄVLEBORGS LÄN</t>
        </is>
      </c>
      <c r="G729" t="inlineStr">
        <is>
          <t>OCKELBO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23060-2026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46161</v>
      </c>
      <c r="E730" s="1" t="n">
        <v>46263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17.6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23513-2026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46163</v>
      </c>
      <c r="E731" s="1" t="n">
        <v>46263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14.7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23786-2026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46164</v>
      </c>
      <c r="E732" s="1" t="n">
        <v>46263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23663-2026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46164</v>
      </c>
      <c r="E733" s="1" t="n">
        <v>46263</v>
      </c>
      <c r="F733" t="inlineStr">
        <is>
          <t>GÄVLEBORGS LÄN</t>
        </is>
      </c>
      <c r="G733" t="inlineStr">
        <is>
          <t>OCKELBO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24059-2026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46168</v>
      </c>
      <c r="E734" s="1" t="n">
        <v>46263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24185-2026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46168</v>
      </c>
      <c r="E735" s="1" t="n">
        <v>46263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4001-2026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46044</v>
      </c>
      <c r="E736" s="1" t="n">
        <v>46263</v>
      </c>
      <c r="F736" t="inlineStr">
        <is>
          <t>GÄVLEBORGS LÄN</t>
        </is>
      </c>
      <c r="G736" t="inlineStr">
        <is>
          <t>OCKELBO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24063-2026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46168</v>
      </c>
      <c r="E737" s="1" t="n">
        <v>46263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24408-2026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46169</v>
      </c>
      <c r="E738" s="1" t="n">
        <v>46263</v>
      </c>
      <c r="F738" t="inlineStr">
        <is>
          <t>GÄVLEBORGS LÄN</t>
        </is>
      </c>
      <c r="G738" t="inlineStr">
        <is>
          <t>OCKELBO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24267-2026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46169</v>
      </c>
      <c r="E739" s="1" t="n">
        <v>46263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24335-2026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46169</v>
      </c>
      <c r="E740" s="1" t="n">
        <v>46263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24333-2026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46169</v>
      </c>
      <c r="E741" s="1" t="n">
        <v>46263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24409-2026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46169</v>
      </c>
      <c r="E742" s="1" t="n">
        <v>46263</v>
      </c>
      <c r="F742" t="inlineStr">
        <is>
          <t>GÄVLEBORGS LÄN</t>
        </is>
      </c>
      <c r="G742" t="inlineStr">
        <is>
          <t>OCKELBO</t>
        </is>
      </c>
      <c r="I742" t="n">
        <v>8.1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11974-2026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46085</v>
      </c>
      <c r="E743" s="1" t="n">
        <v>46263</v>
      </c>
      <c r="F743" t="inlineStr">
        <is>
          <t>GÄVLEBORGS LÄN</t>
        </is>
      </c>
      <c r="G743" t="inlineStr">
        <is>
          <t>OCKELBO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46023</v>
      </c>
      <c r="E744" s="1" t="n">
        <v>46263</v>
      </c>
      <c r="F744" t="inlineStr">
        <is>
          <t>GÄVLEBORGS LÄN</t>
        </is>
      </c>
      <c r="G744" t="inlineStr">
        <is>
          <t>OCKELBO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24567-2026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46170</v>
      </c>
      <c r="E745" s="1" t="n">
        <v>46263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0.3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24578-2026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46170</v>
      </c>
      <c r="E746" s="1" t="n">
        <v>46263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54944-2025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45967</v>
      </c>
      <c r="E747" s="1" t="n">
        <v>46263</v>
      </c>
      <c r="F747" t="inlineStr">
        <is>
          <t>GÄVLEBORGS LÄN</t>
        </is>
      </c>
      <c r="G747" t="inlineStr">
        <is>
          <t>OCKELBO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24451-2026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46170</v>
      </c>
      <c r="E748" s="1" t="n">
        <v>46263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24569-2026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46170</v>
      </c>
      <c r="E749" s="1" t="n">
        <v>46263</v>
      </c>
      <c r="F749" t="inlineStr">
        <is>
          <t>GÄVLEBORGS LÄN</t>
        </is>
      </c>
      <c r="G749" t="inlineStr">
        <is>
          <t>OCKELBO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24449-2026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46170</v>
      </c>
      <c r="E750" s="1" t="n">
        <v>46263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4.1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46170</v>
      </c>
      <c r="E751" s="1" t="n">
        <v>46263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24624-2026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46171</v>
      </c>
      <c r="E752" s="1" t="n">
        <v>46263</v>
      </c>
      <c r="F752" t="inlineStr">
        <is>
          <t>GÄVLEBORGS LÄN</t>
        </is>
      </c>
      <c r="G752" t="inlineStr">
        <is>
          <t>OCKELBO</t>
        </is>
      </c>
      <c r="I752" t="n">
        <v>3.6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24598-2026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46170</v>
      </c>
      <c r="E753" s="1" t="n">
        <v>46263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25128-2026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46175</v>
      </c>
      <c r="E754" s="1" t="n">
        <v>46263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25133-2026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46175</v>
      </c>
      <c r="E755" s="1" t="n">
        <v>46263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24974-2026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46174</v>
      </c>
      <c r="E756" s="1" t="n">
        <v>46263</v>
      </c>
      <c r="F756" t="inlineStr">
        <is>
          <t>GÄVLEBORGS LÄN</t>
        </is>
      </c>
      <c r="G756" t="inlineStr">
        <is>
          <t>OCKELBO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24952-2026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46174</v>
      </c>
      <c r="E757" s="1" t="n">
        <v>46263</v>
      </c>
      <c r="F757" t="inlineStr">
        <is>
          <t>GÄVLEBORGS LÄN</t>
        </is>
      </c>
      <c r="G757" t="inlineStr">
        <is>
          <t>OCKELBO</t>
        </is>
      </c>
      <c r="I757" t="n">
        <v>7.9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24968-2026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46174</v>
      </c>
      <c r="E758" s="1" t="n">
        <v>46263</v>
      </c>
      <c r="F758" t="inlineStr">
        <is>
          <t>GÄVLEBORGS LÄN</t>
        </is>
      </c>
      <c r="G758" t="inlineStr">
        <is>
          <t>OCKELBO</t>
        </is>
      </c>
      <c r="I758" t="n">
        <v>6.2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50968-2024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45603</v>
      </c>
      <c r="E759" s="1" t="n">
        <v>46263</v>
      </c>
      <c r="F759" t="inlineStr">
        <is>
          <t>GÄVLEBORGS LÄN</t>
        </is>
      </c>
      <c r="G759" t="inlineStr">
        <is>
          <t>OCKELBO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25525-2026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46177</v>
      </c>
      <c r="E760" s="1" t="n">
        <v>46263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9.4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31443-2026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46220</v>
      </c>
      <c r="E761" s="1" t="n">
        <v>46263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25599-2026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46177</v>
      </c>
      <c r="E762" s="1" t="n">
        <v>46263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31591-2026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46224</v>
      </c>
      <c r="E763" s="1" t="n">
        <v>46263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31530-2026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46223</v>
      </c>
      <c r="E764" s="1" t="n">
        <v>46263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26131-2026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46181</v>
      </c>
      <c r="E765" s="1" t="n">
        <v>46263</v>
      </c>
      <c r="F765" t="inlineStr">
        <is>
          <t>GÄVLEBORGS LÄN</t>
        </is>
      </c>
      <c r="G765" t="inlineStr">
        <is>
          <t>OCKELBO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31571-2026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46224</v>
      </c>
      <c r="E766" s="1" t="n">
        <v>46263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22692-2026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46156</v>
      </c>
      <c r="E767" s="1" t="n">
        <v>46263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26808-2026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46185</v>
      </c>
      <c r="E768" s="1" t="n">
        <v>46263</v>
      </c>
      <c r="F768" t="inlineStr">
        <is>
          <t>GÄVLEBORGS LÄN</t>
        </is>
      </c>
      <c r="G768" t="inlineStr">
        <is>
          <t>OCKELBO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26861-2026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46185</v>
      </c>
      <c r="E769" s="1" t="n">
        <v>46263</v>
      </c>
      <c r="F769" t="inlineStr">
        <is>
          <t>GÄVLEBORGS LÄN</t>
        </is>
      </c>
      <c r="G769" t="inlineStr">
        <is>
          <t>OCKELBO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26843-2026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46185</v>
      </c>
      <c r="E770" s="1" t="n">
        <v>46263</v>
      </c>
      <c r="F770" t="inlineStr">
        <is>
          <t>GÄVLEBORGS LÄN</t>
        </is>
      </c>
      <c r="G770" t="inlineStr">
        <is>
          <t>OCKELBO</t>
        </is>
      </c>
      <c r="I770" t="n">
        <v>14.6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26845-2026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46185</v>
      </c>
      <c r="E771" s="1" t="n">
        <v>46263</v>
      </c>
      <c r="F771" t="inlineStr">
        <is>
          <t>GÄVLEBORGS LÄN</t>
        </is>
      </c>
      <c r="G771" t="inlineStr">
        <is>
          <t>OCKELBO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26924-2026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46263</v>
      </c>
      <c r="F772" t="inlineStr">
        <is>
          <t>GÄVLEBORGS LÄN</t>
        </is>
      </c>
      <c r="G772" t="inlineStr">
        <is>
          <t>OCKELBO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31804-2026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46230</v>
      </c>
      <c r="E773" s="1" t="n">
        <v>46263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4.6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27416-2026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46189</v>
      </c>
      <c r="E774" s="1" t="n">
        <v>46263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27381-2026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46189</v>
      </c>
      <c r="E775" s="1" t="n">
        <v>46263</v>
      </c>
      <c r="F775" t="inlineStr">
        <is>
          <t>GÄVLEBORGS LÄN</t>
        </is>
      </c>
      <c r="G775" t="inlineStr">
        <is>
          <t>OCKELBO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27383-2026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46189</v>
      </c>
      <c r="E776" s="1" t="n">
        <v>46263</v>
      </c>
      <c r="F776" t="inlineStr">
        <is>
          <t>GÄVLEBORGS LÄN</t>
        </is>
      </c>
      <c r="G776" t="inlineStr">
        <is>
          <t>OCKELBO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10184-2026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46076</v>
      </c>
      <c r="E777" s="1" t="n">
        <v>46263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53702-2024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45615</v>
      </c>
      <c r="E778" s="1" t="n">
        <v>46263</v>
      </c>
      <c r="F778" t="inlineStr">
        <is>
          <t>GÄVLEBORGS LÄN</t>
        </is>
      </c>
      <c r="G778" t="inlineStr">
        <is>
          <t>OCKELBO</t>
        </is>
      </c>
      <c r="I778" t="n">
        <v>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27272-2026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46263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27379-2026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46189</v>
      </c>
      <c r="E780" s="1" t="n">
        <v>46263</v>
      </c>
      <c r="F780" t="inlineStr">
        <is>
          <t>GÄVLEBORGS LÄN</t>
        </is>
      </c>
      <c r="G780" t="inlineStr">
        <is>
          <t>OCKELBO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27382-2026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46189</v>
      </c>
      <c r="E781" s="1" t="n">
        <v>46263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57614-2025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45981</v>
      </c>
      <c r="E782" s="1" t="n">
        <v>46263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27231-2026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46188</v>
      </c>
      <c r="E783" s="1" t="n">
        <v>46263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31971-2026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46232</v>
      </c>
      <c r="E784" s="1" t="n">
        <v>46263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6377-2026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46055</v>
      </c>
      <c r="E785" s="1" t="n">
        <v>46263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27620-2026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46190</v>
      </c>
      <c r="E786" s="1" t="n">
        <v>46263</v>
      </c>
      <c r="F786" t="inlineStr">
        <is>
          <t>GÄVLEBORGS LÄN</t>
        </is>
      </c>
      <c r="G786" t="inlineStr">
        <is>
          <t>OCKELBO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27623-2026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46190</v>
      </c>
      <c r="E787" s="1" t="n">
        <v>46263</v>
      </c>
      <c r="F787" t="inlineStr">
        <is>
          <t>GÄVLEBORGS LÄN</t>
        </is>
      </c>
      <c r="G787" t="inlineStr">
        <is>
          <t>OCKELBO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27630-2026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46190</v>
      </c>
      <c r="E788" s="1" t="n">
        <v>46263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27562-2026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46190</v>
      </c>
      <c r="E789" s="1" t="n">
        <v>46263</v>
      </c>
      <c r="F789" t="inlineStr">
        <is>
          <t>GÄVLEBORGS LÄN</t>
        </is>
      </c>
      <c r="G789" t="inlineStr">
        <is>
          <t>OCKELBO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27889-2026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46191</v>
      </c>
      <c r="E790" s="1" t="n">
        <v>46263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27995-2026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46195</v>
      </c>
      <c r="E791" s="1" t="n">
        <v>46263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28289-2026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46196</v>
      </c>
      <c r="E792" s="1" t="n">
        <v>46263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28318-2026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46196</v>
      </c>
      <c r="E793" s="1" t="n">
        <v>46263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28317-2026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46196</v>
      </c>
      <c r="E794" s="1" t="n">
        <v>46263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28681-2026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46198</v>
      </c>
      <c r="E795" s="1" t="n">
        <v>46263</v>
      </c>
      <c r="F795" t="inlineStr">
        <is>
          <t>GÄVLEBORGS LÄN</t>
        </is>
      </c>
      <c r="G795" t="inlineStr">
        <is>
          <t>OCKELBO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46045</v>
      </c>
      <c r="E796" s="1" t="n">
        <v>46263</v>
      </c>
      <c r="F796" t="inlineStr">
        <is>
          <t>GÄVLEBORGS LÄN</t>
        </is>
      </c>
      <c r="G796" t="inlineStr">
        <is>
          <t>OCKELBO</t>
        </is>
      </c>
      <c r="I796" t="n">
        <v>6.8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26481-2026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46263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29078-2026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46199</v>
      </c>
      <c r="E798" s="1" t="n">
        <v>46263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47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28725-2026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46198</v>
      </c>
      <c r="E799" s="1" t="n">
        <v>46263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29001-2026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46199</v>
      </c>
      <c r="E800" s="1" t="n">
        <v>46263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28672-2026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46198</v>
      </c>
      <c r="E801" s="1" t="n">
        <v>46263</v>
      </c>
      <c r="F801" t="inlineStr">
        <is>
          <t>GÄVLEBORGS LÄN</t>
        </is>
      </c>
      <c r="G801" t="inlineStr">
        <is>
          <t>OCKELBO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33176-2026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46245</v>
      </c>
      <c r="E802" s="1" t="n">
        <v>46263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31517-2026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46223</v>
      </c>
      <c r="E803" s="1" t="n">
        <v>46263</v>
      </c>
      <c r="F803" t="inlineStr">
        <is>
          <t>GÄVLEBORGS LÄN</t>
        </is>
      </c>
      <c r="G803" t="inlineStr">
        <is>
          <t>OCKELBO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31519-2026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46223</v>
      </c>
      <c r="E804" s="1" t="n">
        <v>46263</v>
      </c>
      <c r="F804" t="inlineStr">
        <is>
          <t>GÄVLEBORGS LÄN</t>
        </is>
      </c>
      <c r="G804" t="inlineStr">
        <is>
          <t>OCKELBO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29386-2026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46203</v>
      </c>
      <c r="E805" s="1" t="n">
        <v>46263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29437-2026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46203</v>
      </c>
      <c r="E806" s="1" t="n">
        <v>46263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29415-2026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46203</v>
      </c>
      <c r="E807" s="1" t="n">
        <v>46263</v>
      </c>
      <c r="F807" t="inlineStr">
        <is>
          <t>GÄVLEBORGS LÄN</t>
        </is>
      </c>
      <c r="G807" t="inlineStr">
        <is>
          <t>OCKELBO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29835-2026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46205</v>
      </c>
      <c r="E808" s="1" t="n">
        <v>46263</v>
      </c>
      <c r="F808" t="inlineStr">
        <is>
          <t>GÄVLEBORGS LÄN</t>
        </is>
      </c>
      <c r="G808" t="inlineStr">
        <is>
          <t>OCKELBO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29849-2026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46205</v>
      </c>
      <c r="E809" s="1" t="n">
        <v>46263</v>
      </c>
      <c r="F809" t="inlineStr">
        <is>
          <t>GÄVLEBORGS LÄN</t>
        </is>
      </c>
      <c r="G809" t="inlineStr">
        <is>
          <t>OCKELBO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29611-2026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46204</v>
      </c>
      <c r="E810" s="1" t="n">
        <v>46263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29789-2026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46205</v>
      </c>
      <c r="E811" s="1" t="n">
        <v>46263</v>
      </c>
      <c r="F811" t="inlineStr">
        <is>
          <t>GÄVLEBORGS LÄN</t>
        </is>
      </c>
      <c r="G811" t="inlineStr">
        <is>
          <t>OCKELBO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14827-2026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46104</v>
      </c>
      <c r="E812" s="1" t="n">
        <v>46263</v>
      </c>
      <c r="F812" t="inlineStr">
        <is>
          <t>GÄVLEBORGS LÄN</t>
        </is>
      </c>
      <c r="G812" t="inlineStr">
        <is>
          <t>OCKELBO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30031-2026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46206</v>
      </c>
      <c r="E813" s="1" t="n">
        <v>46263</v>
      </c>
      <c r="F813" t="inlineStr">
        <is>
          <t>GÄVLEBORGS LÄN</t>
        </is>
      </c>
      <c r="G813" t="inlineStr">
        <is>
          <t>OCKELBO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34391-2026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46254</v>
      </c>
      <c r="E814" s="1" t="n">
        <v>46263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34765-2026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46258</v>
      </c>
      <c r="E815" s="1" t="n">
        <v>46263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30990-2026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46213</v>
      </c>
      <c r="E816" s="1" t="n">
        <v>46263</v>
      </c>
      <c r="F816" t="inlineStr">
        <is>
          <t>GÄVLEBORGS LÄN</t>
        </is>
      </c>
      <c r="G816" t="inlineStr">
        <is>
          <t>OCKELBO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5898-2026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46052</v>
      </c>
      <c r="E817" s="1" t="n">
        <v>46263</v>
      </c>
      <c r="F817" t="inlineStr">
        <is>
          <t>GÄVLEBORGS LÄN</t>
        </is>
      </c>
      <c r="G817" t="inlineStr">
        <is>
          <t>OCKELBO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35155-2026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46260</v>
      </c>
      <c r="E818" s="1" t="n">
        <v>46263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31083-2026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46216</v>
      </c>
      <c r="E819" s="1" t="n">
        <v>46263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31277-2026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46218</v>
      </c>
      <c r="E820" s="1" t="n">
        <v>46263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9927-2026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46073</v>
      </c>
      <c r="E821" s="1" t="n">
        <v>46263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58156-2025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45982</v>
      </c>
      <c r="E822" s="1" t="n">
        <v>46263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9461-2026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46071</v>
      </c>
      <c r="E823" s="1" t="n">
        <v>46263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282-2024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45323</v>
      </c>
      <c r="E824" s="1" t="n">
        <v>46263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5063-2024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45638</v>
      </c>
      <c r="E825" s="1" t="n">
        <v>46263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154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195-2024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45315</v>
      </c>
      <c r="E826" s="1" t="n">
        <v>46263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46.4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411-2025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45699</v>
      </c>
      <c r="E827" s="1" t="n">
        <v>46263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24.3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7041-2022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44904</v>
      </c>
      <c r="E828" s="1" t="n">
        <v>46263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22.8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297-2026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46058</v>
      </c>
      <c r="E829" s="1" t="n">
        <v>46263</v>
      </c>
      <c r="F829" t="inlineStr">
        <is>
          <t>GÄVLEBORGS LÄN</t>
        </is>
      </c>
      <c r="G829" t="inlineStr">
        <is>
          <t>OCKELBO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657-2026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46089</v>
      </c>
      <c r="E830" s="1" t="n">
        <v>46263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131.3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190-2026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46048</v>
      </c>
      <c r="E831" s="1" t="n">
        <v>46263</v>
      </c>
      <c r="F831" t="inlineStr">
        <is>
          <t>GÄVLEBORGS LÄN</t>
        </is>
      </c>
      <c r="G831" t="inlineStr">
        <is>
          <t>OCKELBO</t>
        </is>
      </c>
      <c r="I831" t="n">
        <v>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1344-2026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46263</v>
      </c>
      <c r="F832" t="inlineStr">
        <is>
          <t>GÄVLEBORGS LÄN</t>
        </is>
      </c>
      <c r="G832" t="inlineStr">
        <is>
          <t>OCKELBO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1345-2026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46263</v>
      </c>
      <c r="F833" t="inlineStr">
        <is>
          <t>GÄVLEBORGS LÄN</t>
        </is>
      </c>
      <c r="G833" t="inlineStr">
        <is>
          <t>OCKELBO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2026-08-29T01:56:34Z</dcterms:created>
  <dcterms:modified xmlns:dcterms="http://purl.org/dc/terms/" xmlns:xsi="http://www.w3.org/2001/XMLSchema-instance" xsi:type="dcterms:W3CDTF">2026-08-29T01:56:35Z</dcterms:modified>
</cp:coreProperties>
</file>