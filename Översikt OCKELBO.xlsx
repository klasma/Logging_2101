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46251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46251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46251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46251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46251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46251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46251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46251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46251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46251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46251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46251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46251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46251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46251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46251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46251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57946-2023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46251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57946-2023 artfynd.xlsx", "A 57946-2023")</f>
        <v/>
      </c>
      <c r="X36">
        <f>HYPERLINK("https://klasma.github.io/Logging_2101/kartor/A 57946-2023 karta.png", "A 57946-2023")</f>
        <v/>
      </c>
      <c r="Y36">
        <f>HYPERLINK("https://klasma.github.io/Logging_2101/kartor_geotiff/A 57946-2023 georefererad karta.tif", "A 57946-2023")</f>
        <v/>
      </c>
      <c r="AA36">
        <f>HYPERLINK("https://klasma.github.io/Logging_2101/klagomål/A 57946-2023 FSC-klagomål.docx", "A 57946-2023")</f>
        <v/>
      </c>
      <c r="AB36">
        <f>HYPERLINK("https://klasma.github.io/Logging_2101/klagomålsmail/A 57946-2023 FSC-klagomål mail.docx", "A 57946-2023")</f>
        <v/>
      </c>
      <c r="AC36">
        <f>HYPERLINK("https://klasma.github.io/Logging_2101/tillsyn/A 57946-2023 tillsynsbegäran.docx", "A 57946-2023")</f>
        <v/>
      </c>
      <c r="AD36">
        <f>HYPERLINK("https://klasma.github.io/Logging_2101/tillsynsmail/A 57946-2023 tillsynsbegäran mail.docx", "A 57946-2023")</f>
        <v/>
      </c>
    </row>
    <row r="37" ht="15" customHeight="1">
      <c r="A37" t="inlineStr">
        <is>
          <t>A 46481-2024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46251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HYPERLINK("https://klasma.github.io/Logging_2101/artfynd/A 46481-2024 artfynd.xlsx", "A 46481-2024")</f>
        <v/>
      </c>
      <c r="X37">
        <f>HYPERLINK("https://klasma.github.io/Logging_2101/kartor/A 46481-2024 karta.png", "A 46481-2024")</f>
        <v/>
      </c>
      <c r="Y37">
        <f>HYPERLINK("https://klasma.github.io/Logging_2101/kartor_geotiff/A 46481-2024 georefererad karta.tif", "A 46481-2024")</f>
        <v/>
      </c>
      <c r="AA37">
        <f>HYPERLINK("https://klasma.github.io/Logging_2101/klagomål/A 46481-2024 FSC-klagomål.docx", "A 46481-2024")</f>
        <v/>
      </c>
      <c r="AB37">
        <f>HYPERLINK("https://klasma.github.io/Logging_2101/klagomålsmail/A 46481-2024 FSC-klagomål mail.docx", "A 46481-2024")</f>
        <v/>
      </c>
      <c r="AC37">
        <f>HYPERLINK("https://klasma.github.io/Logging_2101/tillsyn/A 46481-2024 tillsynsbegäran.docx", "A 46481-2024")</f>
        <v/>
      </c>
      <c r="AD37">
        <f>HYPERLINK("https://klasma.github.io/Logging_2101/tillsynsmail/A 46481-2024 tillsynsbegäran mail.docx", "A 46481-2024")</f>
        <v/>
      </c>
    </row>
    <row r="38" ht="15" customHeight="1">
      <c r="A38" t="inlineStr">
        <is>
          <t>A 60615-2021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46251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Vanlig padda</t>
        </is>
      </c>
      <c r="W38">
        <f>HYPERLINK("https://klasma.github.io/Logging_2101/artfynd/A 60615-2021 artfynd.xlsx", "A 60615-2021")</f>
        <v/>
      </c>
      <c r="X38">
        <f>HYPERLINK("https://klasma.github.io/Logging_2101/kartor/A 60615-2021 karta.png", "A 60615-2021")</f>
        <v/>
      </c>
      <c r="Y38">
        <f>HYPERLINK("https://klasma.github.io/Logging_2101/kartor_geotiff/A 60615-2021 georefererad karta.tif", "A 60615-2021")</f>
        <v/>
      </c>
      <c r="AA38">
        <f>HYPERLINK("https://klasma.github.io/Logging_2101/klagomål/A 60615-2021 FSC-klagomål.docx", "A 60615-2021")</f>
        <v/>
      </c>
      <c r="AB38">
        <f>HYPERLINK("https://klasma.github.io/Logging_2101/klagomålsmail/A 60615-2021 FSC-klagomål mail.docx", "A 60615-2021")</f>
        <v/>
      </c>
      <c r="AC38">
        <f>HYPERLINK("https://klasma.github.io/Logging_2101/tillsyn/A 60615-2021 tillsynsbegäran.docx", "A 60615-2021")</f>
        <v/>
      </c>
      <c r="AD38">
        <f>HYPERLINK("https://klasma.github.io/Logging_2101/tillsynsmail/A 60615-2021 tillsynsbegäran mail.docx", "A 60615-2021")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46251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64364-2023 artfynd.xlsx", "A 64364-2023")</f>
        <v/>
      </c>
      <c r="X39">
        <f>HYPERLINK("https://klasma.github.io/Logging_2101/kartor/A 64364-2023 karta.png", "A 64364-2023")</f>
        <v/>
      </c>
      <c r="Y39">
        <f>HYPERLINK("https://klasma.github.io/Logging_2101/kartor_geotiff/A 64364-2023 georefererad karta.tif", "A 64364-2023")</f>
        <v/>
      </c>
      <c r="AA39">
        <f>HYPERLINK("https://klasma.github.io/Logging_2101/klagomål/A 64364-2023 FSC-klagomål.docx", "A 64364-2023")</f>
        <v/>
      </c>
      <c r="AB39">
        <f>HYPERLINK("https://klasma.github.io/Logging_2101/klagomålsmail/A 64364-2023 FSC-klagomål mail.docx", "A 64364-2023")</f>
        <v/>
      </c>
      <c r="AC39">
        <f>HYPERLINK("https://klasma.github.io/Logging_2101/tillsyn/A 64364-2023 tillsynsbegäran.docx", "A 64364-2023")</f>
        <v/>
      </c>
      <c r="AD39">
        <f>HYPERLINK("https://klasma.github.io/Logging_2101/tillsynsmail/A 64364-2023 tillsynsbegäran mail.docx", "A 64364-2023")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46251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13640-2026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46251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HYPERLINK("https://klasma.github.io/Logging_2101/artfynd/A 13640-2026 artfynd.xlsx", "A 13640-2026")</f>
        <v/>
      </c>
      <c r="X41">
        <f>HYPERLINK("https://klasma.github.io/Logging_2101/kartor/A 13640-2026 karta.png", "A 13640-2026")</f>
        <v/>
      </c>
      <c r="Y41">
        <f>HYPERLINK("https://klasma.github.io/Logging_2101/kartor_geotiff/A 13640-2026 georefererad karta.tif", "A 13640-2026")</f>
        <v/>
      </c>
      <c r="AA41">
        <f>HYPERLINK("https://klasma.github.io/Logging_2101/klagomål/A 13640-2026 FSC-klagomål.docx", "A 13640-2026")</f>
        <v/>
      </c>
      <c r="AB41">
        <f>HYPERLINK("https://klasma.github.io/Logging_2101/klagomålsmail/A 13640-2026 FSC-klagomål mail.docx", "A 13640-2026")</f>
        <v/>
      </c>
      <c r="AC41">
        <f>HYPERLINK("https://klasma.github.io/Logging_2101/tillsyn/A 13640-2026 tillsynsbegäran.docx", "A 13640-2026")</f>
        <v/>
      </c>
      <c r="AD41">
        <f>HYPERLINK("https://klasma.github.io/Logging_2101/tillsynsmail/A 13640-2026 tillsynsbegäran mail.docx", "A 13640-2026")</f>
        <v/>
      </c>
    </row>
    <row r="42" ht="15" customHeight="1">
      <c r="A42" t="inlineStr">
        <is>
          <t>A 14479-2026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46251</v>
      </c>
      <c r="F42" t="inlineStr">
        <is>
          <t>GÄVLEBORGS LÄN</t>
        </is>
      </c>
      <c r="G42" t="inlineStr">
        <is>
          <t>OCKELBO</t>
        </is>
      </c>
      <c r="I42" t="n">
        <v>4.8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HYPERLINK("https://klasma.github.io/Logging_2101/artfynd/A 14479-2026 artfynd.xlsx", "A 14479-2026")</f>
        <v/>
      </c>
      <c r="X42">
        <f>HYPERLINK("https://klasma.github.io/Logging_2101/kartor/A 14479-2026 karta.png", "A 14479-2026")</f>
        <v/>
      </c>
      <c r="Y42">
        <f>HYPERLINK("https://klasma.github.io/Logging_2101/kartor_geotiff/A 14479-2026 georefererad karta.tif", "A 14479-2026")</f>
        <v/>
      </c>
      <c r="AA42">
        <f>HYPERLINK("https://klasma.github.io/Logging_2101/klagomål/A 14479-2026 FSC-klagomål.docx", "A 14479-2026")</f>
        <v/>
      </c>
      <c r="AB42">
        <f>HYPERLINK("https://klasma.github.io/Logging_2101/klagomålsmail/A 14479-2026 FSC-klagomål mail.docx", "A 14479-2026")</f>
        <v/>
      </c>
      <c r="AC42">
        <f>HYPERLINK("https://klasma.github.io/Logging_2101/tillsyn/A 14479-2026 tillsynsbegäran.docx", "A 14479-2026")</f>
        <v/>
      </c>
      <c r="AD42">
        <f>HYPERLINK("https://klasma.github.io/Logging_2101/tillsynsmail/A 14479-2026 tillsynsbegäran mail.docx", "A 14479-2026")</f>
        <v/>
      </c>
    </row>
    <row r="43" ht="15" customHeight="1">
      <c r="A43" t="inlineStr">
        <is>
          <t>A 14664-2026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46101</v>
      </c>
      <c r="E43" s="1" t="n">
        <v>46251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Tjäder</t>
        </is>
      </c>
      <c r="W43">
        <f>HYPERLINK("https://klasma.github.io/Logging_2101/artfynd/A 14664-2026 artfynd.xlsx", "A 14664-2026")</f>
        <v/>
      </c>
      <c r="X43">
        <f>HYPERLINK("https://klasma.github.io/Logging_2101/kartor/A 14664-2026 karta.png", "A 14664-2026")</f>
        <v/>
      </c>
      <c r="Y43">
        <f>HYPERLINK("https://klasma.github.io/Logging_2101/kartor_geotiff/A 14664-2026 georefererad karta.tif", "A 14664-2026")</f>
        <v/>
      </c>
      <c r="AA43">
        <f>HYPERLINK("https://klasma.github.io/Logging_2101/klagomål/A 14664-2026 FSC-klagomål.docx", "A 14664-2026")</f>
        <v/>
      </c>
      <c r="AB43">
        <f>HYPERLINK("https://klasma.github.io/Logging_2101/klagomålsmail/A 14664-2026 FSC-klagomål mail.docx", "A 14664-2026")</f>
        <v/>
      </c>
      <c r="AC43">
        <f>HYPERLINK("https://klasma.github.io/Logging_2101/tillsyn/A 14664-2026 tillsynsbegäran.docx", "A 14664-2026")</f>
        <v/>
      </c>
      <c r="AD43">
        <f>HYPERLINK("https://klasma.github.io/Logging_2101/tillsynsmail/A 14664-2026 tillsynsbegäran mail.docx", "A 14664-2026")</f>
        <v/>
      </c>
      <c r="AE43">
        <f>HYPERLINK("https://klasma.github.io/Logging_2101/fåglar/A 14664-2026 prioriterade fågelarter.docx", "A 14664-2026")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46251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18188-2026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46125</v>
      </c>
      <c r="E45" s="1" t="n">
        <v>46251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18188-2026 artfynd.xlsx", "A 18188-2026")</f>
        <v/>
      </c>
      <c r="X45">
        <f>HYPERLINK("https://klasma.github.io/Logging_2101/kartor/A 18188-2026 karta.png", "A 18188-2026")</f>
        <v/>
      </c>
      <c r="Y45">
        <f>HYPERLINK("https://klasma.github.io/Logging_2101/kartor_geotiff/A 18188-2026 georefererad karta.tif", "A 18188-2026")</f>
        <v/>
      </c>
      <c r="AA45">
        <f>HYPERLINK("https://klasma.github.io/Logging_2101/klagomål/A 18188-2026 FSC-klagomål.docx", "A 18188-2026")</f>
        <v/>
      </c>
      <c r="AB45">
        <f>HYPERLINK("https://klasma.github.io/Logging_2101/klagomålsmail/A 18188-2026 FSC-klagomål mail.docx", "A 18188-2026")</f>
        <v/>
      </c>
      <c r="AC45">
        <f>HYPERLINK("https://klasma.github.io/Logging_2101/tillsyn/A 18188-2026 tillsynsbegäran.docx", "A 18188-2026")</f>
        <v/>
      </c>
      <c r="AD45">
        <f>HYPERLINK("https://klasma.github.io/Logging_2101/tillsynsmail/A 18188-2026 tillsynsbegäran mail.docx", "A 18188-2026")</f>
        <v/>
      </c>
      <c r="AE45">
        <f>HYPERLINK("https://klasma.github.io/Logging_2101/fåglar/A 18188-2026 prioriterade fågelarter.docx", "A 18188-2026")</f>
        <v/>
      </c>
    </row>
    <row r="46" ht="15" customHeight="1">
      <c r="A46" t="inlineStr">
        <is>
          <t>A 4226-2023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46251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Skogsknipprot</t>
        </is>
      </c>
      <c r="W46">
        <f>HYPERLINK("https://klasma.github.io/Logging_2101/artfynd/A 4226-2023 artfynd.xlsx", "A 4226-2023")</f>
        <v/>
      </c>
      <c r="X46">
        <f>HYPERLINK("https://klasma.github.io/Logging_2101/kartor/A 4226-2023 karta.png", "A 4226-2023")</f>
        <v/>
      </c>
      <c r="Y46">
        <f>HYPERLINK("https://klasma.github.io/Logging_2101/kartor_geotiff/A 4226-2023 georefererad karta.tif", "A 4226-2023")</f>
        <v/>
      </c>
      <c r="AA46">
        <f>HYPERLINK("https://klasma.github.io/Logging_2101/klagomål/A 4226-2023 FSC-klagomål.docx", "A 4226-2023")</f>
        <v/>
      </c>
      <c r="AB46">
        <f>HYPERLINK("https://klasma.github.io/Logging_2101/klagomålsmail/A 4226-2023 FSC-klagomål mail.docx", "A 4226-2023")</f>
        <v/>
      </c>
      <c r="AC46">
        <f>HYPERLINK("https://klasma.github.io/Logging_2101/tillsyn/A 4226-2023 tillsynsbegäran.docx", "A 4226-2023")</f>
        <v/>
      </c>
      <c r="AD46">
        <f>HYPERLINK("https://klasma.github.io/Logging_2101/tillsynsmail/A 4226-2023 tillsynsbegäran mail.docx", "A 4226-2023")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46251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46251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62989-2025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46251</v>
      </c>
      <c r="F49" t="inlineStr">
        <is>
          <t>GÄVLEBORGS LÄN</t>
        </is>
      </c>
      <c r="G49" t="inlineStr">
        <is>
          <t>OCKELBO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HYPERLINK("https://klasma.github.io/Logging_2101/artfynd/A 62989-2025 artfynd.xlsx", "A 62989-2025")</f>
        <v/>
      </c>
      <c r="X49">
        <f>HYPERLINK("https://klasma.github.io/Logging_2101/kartor/A 62989-2025 karta.png", "A 62989-2025")</f>
        <v/>
      </c>
      <c r="Y49">
        <f>HYPERLINK("https://klasma.github.io/Logging_2101/kartor_geotiff/A 62989-2025 georefererad karta.tif", "A 62989-2025")</f>
        <v/>
      </c>
      <c r="AA49">
        <f>HYPERLINK("https://klasma.github.io/Logging_2101/klagomål/A 62989-2025 FSC-klagomål.docx", "A 62989-2025")</f>
        <v/>
      </c>
      <c r="AB49">
        <f>HYPERLINK("https://klasma.github.io/Logging_2101/klagomålsmail/A 62989-2025 FSC-klagomål mail.docx", "A 62989-2025")</f>
        <v/>
      </c>
      <c r="AC49">
        <f>HYPERLINK("https://klasma.github.io/Logging_2101/tillsyn/A 62989-2025 tillsynsbegäran.docx", "A 62989-2025")</f>
        <v/>
      </c>
      <c r="AD49">
        <f>HYPERLINK("https://klasma.github.io/Logging_2101/tillsynsmail/A 62989-2025 tillsynsbegäran mail.docx", "A 62989-2025")</f>
        <v/>
      </c>
    </row>
    <row r="50" ht="15" customHeight="1">
      <c r="A50" t="inlineStr">
        <is>
          <t>A 9155-2026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46251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HYPERLINK("https://klasma.github.io/Logging_2101/artfynd/A 9155-2026 artfynd.xlsx", "A 9155-2026")</f>
        <v/>
      </c>
      <c r="X50">
        <f>HYPERLINK("https://klasma.github.io/Logging_2101/kartor/A 9155-2026 karta.png", "A 9155-2026")</f>
        <v/>
      </c>
      <c r="Y50">
        <f>HYPERLINK("https://klasma.github.io/Logging_2101/kartor_geotiff/A 9155-2026 georefererad karta.tif", "A 9155-2026")</f>
        <v/>
      </c>
      <c r="AA50">
        <f>HYPERLINK("https://klasma.github.io/Logging_2101/klagomål/A 9155-2026 FSC-klagomål.docx", "A 9155-2026")</f>
        <v/>
      </c>
      <c r="AB50">
        <f>HYPERLINK("https://klasma.github.io/Logging_2101/klagomålsmail/A 9155-2026 FSC-klagomål mail.docx", "A 9155-2026")</f>
        <v/>
      </c>
      <c r="AC50">
        <f>HYPERLINK("https://klasma.github.io/Logging_2101/tillsyn/A 9155-2026 tillsynsbegäran.docx", "A 9155-2026")</f>
        <v/>
      </c>
      <c r="AD50">
        <f>HYPERLINK("https://klasma.github.io/Logging_2101/tillsynsmail/A 9155-2026 tillsynsbegäran mail.docx", "A 9155-2026")</f>
        <v/>
      </c>
    </row>
    <row r="51" ht="15" customHeight="1">
      <c r="A51" t="inlineStr">
        <is>
          <t>A 20233-2026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46251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17.9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Tibast</t>
        </is>
      </c>
      <c r="W51">
        <f>HYPERLINK("https://klasma.github.io/Logging_2101/artfynd/A 20233-2026 artfynd.xlsx", "A 20233-2026")</f>
        <v/>
      </c>
      <c r="X51">
        <f>HYPERLINK("https://klasma.github.io/Logging_2101/kartor/A 20233-2026 karta.png", "A 20233-2026")</f>
        <v/>
      </c>
      <c r="Y51">
        <f>HYPERLINK("https://klasma.github.io/Logging_2101/kartor_geotiff/A 20233-2026 georefererad karta.tif", "A 20233-2026")</f>
        <v/>
      </c>
      <c r="AA51">
        <f>HYPERLINK("https://klasma.github.io/Logging_2101/klagomål/A 20233-2026 FSC-klagomål.docx", "A 20233-2026")</f>
        <v/>
      </c>
      <c r="AB51">
        <f>HYPERLINK("https://klasma.github.io/Logging_2101/klagomålsmail/A 20233-2026 FSC-klagomål mail.docx", "A 20233-2026")</f>
        <v/>
      </c>
      <c r="AC51">
        <f>HYPERLINK("https://klasma.github.io/Logging_2101/tillsyn/A 20233-2026 tillsynsbegäran.docx", "A 20233-2026")</f>
        <v/>
      </c>
      <c r="AD51">
        <f>HYPERLINK("https://klasma.github.io/Logging_2101/tillsynsmail/A 20233-2026 tillsynsbegäran mail.docx", "A 20233-2026")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46251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46251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6121-2026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46053</v>
      </c>
      <c r="E55" s="1" t="n">
        <v>46251</v>
      </c>
      <c r="F55" t="inlineStr">
        <is>
          <t>GÄVLEBORGS LÄN</t>
        </is>
      </c>
      <c r="G55" t="inlineStr">
        <is>
          <t>OCKELBO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6121-2026 artfynd.xlsx", "A 6121-2026")</f>
        <v/>
      </c>
      <c r="X55">
        <f>HYPERLINK("https://klasma.github.io/Logging_2101/kartor/A 6121-2026 karta.png", "A 6121-2026")</f>
        <v/>
      </c>
      <c r="Y55">
        <f>HYPERLINK("https://klasma.github.io/Logging_2101/kartor_geotiff/A 6121-2026 georefererad karta.tif", "A 6121-2026")</f>
        <v/>
      </c>
      <c r="AA55">
        <f>HYPERLINK("https://klasma.github.io/Logging_2101/klagomål/A 6121-2026 FSC-klagomål.docx", "A 6121-2026")</f>
        <v/>
      </c>
      <c r="AB55">
        <f>HYPERLINK("https://klasma.github.io/Logging_2101/klagomålsmail/A 6121-2026 FSC-klagomål mail.docx", "A 6121-2026")</f>
        <v/>
      </c>
      <c r="AC55">
        <f>HYPERLINK("https://klasma.github.io/Logging_2101/tillsyn/A 6121-2026 tillsynsbegäran.docx", "A 6121-2026")</f>
        <v/>
      </c>
      <c r="AD55">
        <f>HYPERLINK("https://klasma.github.io/Logging_2101/tillsynsmail/A 6121-2026 tillsynsbegäran mail.docx", "A 6121-2026")</f>
        <v/>
      </c>
      <c r="AE55">
        <f>HYPERLINK("https://klasma.github.io/Logging_2101/fåglar/A 6121-2026 prioriterade fågelarter.docx", "A 6121-2026")</f>
        <v/>
      </c>
    </row>
    <row r="56" ht="15" customHeight="1">
      <c r="A56" t="inlineStr">
        <is>
          <t>A 6586-2026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46056</v>
      </c>
      <c r="E56" s="1" t="n">
        <v>46251</v>
      </c>
      <c r="F56" t="inlineStr">
        <is>
          <t>GÄVLEBORGS LÄN</t>
        </is>
      </c>
      <c r="G56" t="inlineStr">
        <is>
          <t>OCKELBO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6586-2026 artfynd.xlsx", "A 6586-2026")</f>
        <v/>
      </c>
      <c r="X56">
        <f>HYPERLINK("https://klasma.github.io/Logging_2101/kartor/A 6586-2026 karta.png", "A 6586-2026")</f>
        <v/>
      </c>
      <c r="Y56">
        <f>HYPERLINK("https://klasma.github.io/Logging_2101/kartor_geotiff/A 6586-2026 georefererad karta.tif", "A 6586-2026")</f>
        <v/>
      </c>
      <c r="AA56">
        <f>HYPERLINK("https://klasma.github.io/Logging_2101/klagomål/A 6586-2026 FSC-klagomål.docx", "A 6586-2026")</f>
        <v/>
      </c>
      <c r="AB56">
        <f>HYPERLINK("https://klasma.github.io/Logging_2101/klagomålsmail/A 6586-2026 FSC-klagomål mail.docx", "A 6586-2026")</f>
        <v/>
      </c>
      <c r="AC56">
        <f>HYPERLINK("https://klasma.github.io/Logging_2101/tillsyn/A 6586-2026 tillsynsbegäran.docx", "A 6586-2026")</f>
        <v/>
      </c>
      <c r="AD56">
        <f>HYPERLINK("https://klasma.github.io/Logging_2101/tillsynsmail/A 6586-2026 tillsynsbegäran mail.docx", "A 6586-2026")</f>
        <v/>
      </c>
    </row>
    <row r="57" ht="15" customHeight="1">
      <c r="A57" t="inlineStr">
        <is>
          <t>A 15841-2023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45022</v>
      </c>
      <c r="E57" s="1" t="n">
        <v>46251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HYPERLINK("https://klasma.github.io/Logging_2101/artfynd/A 15841-2023 artfynd.xlsx", "A 15841-2023")</f>
        <v/>
      </c>
      <c r="X57">
        <f>HYPERLINK("https://klasma.github.io/Logging_2101/kartor/A 15841-2023 karta.png", "A 15841-2023")</f>
        <v/>
      </c>
      <c r="Y57">
        <f>HYPERLINK("https://klasma.github.io/Logging_2101/kartor_geotiff/A 15841-2023 georefererad karta.tif", "A 15841-2023")</f>
        <v/>
      </c>
      <c r="AA57">
        <f>HYPERLINK("https://klasma.github.io/Logging_2101/klagomål/A 15841-2023 FSC-klagomål.docx", "A 15841-2023")</f>
        <v/>
      </c>
      <c r="AB57">
        <f>HYPERLINK("https://klasma.github.io/Logging_2101/klagomålsmail/A 15841-2023 FSC-klagomål mail.docx", "A 15841-2023")</f>
        <v/>
      </c>
      <c r="AC57">
        <f>HYPERLINK("https://klasma.github.io/Logging_2101/tillsyn/A 15841-2023 tillsynsbegäran.docx", "A 15841-2023")</f>
        <v/>
      </c>
      <c r="AD57">
        <f>HYPERLINK("https://klasma.github.io/Logging_2101/tillsynsmail/A 15841-2023 tillsynsbegäran mail.docx", "A 15841-2023")</f>
        <v/>
      </c>
      <c r="AE57">
        <f>HYPERLINK("https://klasma.github.io/Logging_2101/fåglar/A 15841-2023 prioriterade fågelarter.docx", "A 15841-2023")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46251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46251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46251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10484-2026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46251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Ullticka</t>
        </is>
      </c>
      <c r="W61">
        <f>HYPERLINK("https://klasma.github.io/Logging_2101/artfynd/A 10484-2026 artfynd.xlsx", "A 10484-2026")</f>
        <v/>
      </c>
      <c r="X61">
        <f>HYPERLINK("https://klasma.github.io/Logging_2101/kartor/A 10484-2026 karta.png", "A 10484-2026")</f>
        <v/>
      </c>
      <c r="Y61">
        <f>HYPERLINK("https://klasma.github.io/Logging_2101/kartor_geotiff/A 10484-2026 georefererad karta.tif", "A 10484-2026")</f>
        <v/>
      </c>
      <c r="AA61">
        <f>HYPERLINK("https://klasma.github.io/Logging_2101/klagomål/A 10484-2026 FSC-klagomål.docx", "A 10484-2026")</f>
        <v/>
      </c>
      <c r="AB61">
        <f>HYPERLINK("https://klasma.github.io/Logging_2101/klagomålsmail/A 10484-2026 FSC-klagomål mail.docx", "A 10484-2026")</f>
        <v/>
      </c>
      <c r="AC61">
        <f>HYPERLINK("https://klasma.github.io/Logging_2101/tillsyn/A 10484-2026 tillsynsbegäran.docx", "A 10484-2026")</f>
        <v/>
      </c>
      <c r="AD61">
        <f>HYPERLINK("https://klasma.github.io/Logging_2101/tillsynsmail/A 10484-2026 tillsynsbegäran mail.docx", "A 10484-2026")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46251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46251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46251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46251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46251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46251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46251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46251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46251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46251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46251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46251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46251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46251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46251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46251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46251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46251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46251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46251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46251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44425</v>
      </c>
      <c r="E84" s="1" t="n">
        <v>46251</v>
      </c>
      <c r="F84" t="inlineStr">
        <is>
          <t>GÄVLEBORGS LÄN</t>
        </is>
      </c>
      <c r="G84" t="inlineStr">
        <is>
          <t>OCKELBO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46251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46251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44881</v>
      </c>
      <c r="E87" s="1" t="n">
        <v>46251</v>
      </c>
      <c r="F87" t="inlineStr">
        <is>
          <t>GÄVLEBORGS LÄN</t>
        </is>
      </c>
      <c r="G87" t="inlineStr">
        <is>
          <t>OCKELBO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46251</v>
      </c>
      <c r="F88" t="inlineStr">
        <is>
          <t>GÄVLEBORGS LÄN</t>
        </is>
      </c>
      <c r="G88" t="inlineStr">
        <is>
          <t>OCKELBO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46251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46251</v>
      </c>
      <c r="F90" t="inlineStr">
        <is>
          <t>GÄVLEBORGS LÄN</t>
        </is>
      </c>
      <c r="G90" t="inlineStr">
        <is>
          <t>OCKELBO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46251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46251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46251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46251</v>
      </c>
      <c r="F94" t="inlineStr">
        <is>
          <t>GÄVLEBORGS LÄN</t>
        </is>
      </c>
      <c r="G94" t="inlineStr">
        <is>
          <t>OCKELBO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46251</v>
      </c>
      <c r="F95" t="inlineStr">
        <is>
          <t>GÄVLEBORGS LÄN</t>
        </is>
      </c>
      <c r="G95" t="inlineStr">
        <is>
          <t>OCKELBO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46251</v>
      </c>
      <c r="F96" t="inlineStr">
        <is>
          <t>GÄVLEBORGS LÄN</t>
        </is>
      </c>
      <c r="G96" t="inlineStr">
        <is>
          <t>OCKELBO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46251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46251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46251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46251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44804</v>
      </c>
      <c r="E101" s="1" t="n">
        <v>46251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46251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46251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46251</v>
      </c>
      <c r="F104" t="inlineStr">
        <is>
          <t>GÄVLEBORGS LÄN</t>
        </is>
      </c>
      <c r="G104" t="inlineStr">
        <is>
          <t>OCKELBO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46251</v>
      </c>
      <c r="F105" t="inlineStr">
        <is>
          <t>GÄVLEBORGS LÄN</t>
        </is>
      </c>
      <c r="G105" t="inlineStr">
        <is>
          <t>OCKELBO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46251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46251</v>
      </c>
      <c r="F107" t="inlineStr">
        <is>
          <t>GÄVLEBORGS LÄN</t>
        </is>
      </c>
      <c r="G107" t="inlineStr">
        <is>
          <t>OCKELBO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46251</v>
      </c>
      <c r="F108" t="inlineStr">
        <is>
          <t>GÄVLEBORGS LÄN</t>
        </is>
      </c>
      <c r="G108" t="inlineStr">
        <is>
          <t>OCKELBO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46251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46251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öst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46251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46251</v>
      </c>
      <c r="F112" t="inlineStr">
        <is>
          <t>GÄVLEBORGS LÄN</t>
        </is>
      </c>
      <c r="G112" t="inlineStr">
        <is>
          <t>OCKELBO</t>
        </is>
      </c>
      <c r="I112" t="n">
        <v>11.2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45334</v>
      </c>
      <c r="E113" s="1" t="n">
        <v>46251</v>
      </c>
      <c r="F113" t="inlineStr">
        <is>
          <t>GÄVLEBORGS LÄN</t>
        </is>
      </c>
      <c r="G113" t="inlineStr">
        <is>
          <t>OCKELBO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46251</v>
      </c>
      <c r="F114" t="inlineStr">
        <is>
          <t>GÄVLEBORGS LÄN</t>
        </is>
      </c>
      <c r="G114" t="inlineStr">
        <is>
          <t>OCKELBO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46251</v>
      </c>
      <c r="F115" t="inlineStr">
        <is>
          <t>GÄVLEBORGS LÄN</t>
        </is>
      </c>
      <c r="G115" t="inlineStr">
        <is>
          <t>OCKELBO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46251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46251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46251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46251</v>
      </c>
      <c r="F119" t="inlineStr">
        <is>
          <t>GÄVLEBORGS LÄN</t>
        </is>
      </c>
      <c r="G119" t="inlineStr">
        <is>
          <t>OCKELBO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45481</v>
      </c>
      <c r="E120" s="1" t="n">
        <v>46251</v>
      </c>
      <c r="F120" t="inlineStr">
        <is>
          <t>GÄVLEBORGS LÄN</t>
        </is>
      </c>
      <c r="G120" t="inlineStr">
        <is>
          <t>OCKELBO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45490</v>
      </c>
      <c r="E121" s="1" t="n">
        <v>46251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46251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46251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46251</v>
      </c>
      <c r="F124" t="inlineStr">
        <is>
          <t>GÄVLEBORGS LÄN</t>
        </is>
      </c>
      <c r="G124" t="inlineStr">
        <is>
          <t>OCKELBO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46251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46251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46251</v>
      </c>
      <c r="F127" t="inlineStr">
        <is>
          <t>GÄVLEBORGS LÄN</t>
        </is>
      </c>
      <c r="G127" t="inlineStr">
        <is>
          <t>OCKELBO</t>
        </is>
      </c>
      <c r="H127" t="inlineStr">
        <is>
          <t>Kyrkan</t>
        </is>
      </c>
      <c r="I127" t="n">
        <v>12.5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46251</v>
      </c>
      <c r="F128" t="inlineStr">
        <is>
          <t>GÄVLEBORGS LÄN</t>
        </is>
      </c>
      <c r="G128" t="inlineStr">
        <is>
          <t>OCKELBO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45134</v>
      </c>
      <c r="E129" s="1" t="n">
        <v>46251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46251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46251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46251</v>
      </c>
      <c r="F132" t="inlineStr">
        <is>
          <t>GÄVLEBORGS LÄN</t>
        </is>
      </c>
      <c r="G132" t="inlineStr">
        <is>
          <t>OCKELBO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46251</v>
      </c>
      <c r="F133" t="inlineStr">
        <is>
          <t>GÄVLEBORGS LÄN</t>
        </is>
      </c>
      <c r="G133" t="inlineStr">
        <is>
          <t>OCKELBO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46251</v>
      </c>
      <c r="F134" t="inlineStr">
        <is>
          <t>GÄVLEBORGS LÄN</t>
        </is>
      </c>
      <c r="G134" t="inlineStr">
        <is>
          <t>OCKELBO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46251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46251</v>
      </c>
      <c r="F136" t="inlineStr">
        <is>
          <t>GÄVLEBORGS LÄN</t>
        </is>
      </c>
      <c r="G136" t="inlineStr">
        <is>
          <t>OCKELBO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46251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46251</v>
      </c>
      <c r="F138" t="inlineStr">
        <is>
          <t>GÄVLEBORGS LÄN</t>
        </is>
      </c>
      <c r="G138" t="inlineStr">
        <is>
          <t>OCKELBO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46251</v>
      </c>
      <c r="F139" t="inlineStr">
        <is>
          <t>GÄVLEBORGS LÄN</t>
        </is>
      </c>
      <c r="G139" t="inlineStr">
        <is>
          <t>OCKELBO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46251</v>
      </c>
      <c r="F140" t="inlineStr">
        <is>
          <t>GÄVLEBORGS LÄN</t>
        </is>
      </c>
      <c r="G140" t="inlineStr">
        <is>
          <t>OCKELBO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46251</v>
      </c>
      <c r="F141" t="inlineStr">
        <is>
          <t>GÄVLEBORGS LÄN</t>
        </is>
      </c>
      <c r="G141" t="inlineStr">
        <is>
          <t>OCKELBO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44496</v>
      </c>
      <c r="E142" s="1" t="n">
        <v>46251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46251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46251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46251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46251</v>
      </c>
      <c r="F146" t="inlineStr">
        <is>
          <t>GÄVLEBORGS LÄN</t>
        </is>
      </c>
      <c r="G146" t="inlineStr">
        <is>
          <t>OCKELBO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46251</v>
      </c>
      <c r="F147" t="inlineStr">
        <is>
          <t>GÄVLEBORGS LÄN</t>
        </is>
      </c>
      <c r="G147" t="inlineStr">
        <is>
          <t>OCKELBO</t>
        </is>
      </c>
      <c r="I147" t="n">
        <v>14.8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46251</v>
      </c>
      <c r="F148" t="inlineStr">
        <is>
          <t>GÄVLEBORGS LÄN</t>
        </is>
      </c>
      <c r="G148" t="inlineStr">
        <is>
          <t>OCKELBO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46251</v>
      </c>
      <c r="F149" t="inlineStr">
        <is>
          <t>GÄVLEBORGS LÄN</t>
        </is>
      </c>
      <c r="G149" t="inlineStr">
        <is>
          <t>OCKELBO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46251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46251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46251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45184</v>
      </c>
      <c r="E153" s="1" t="n">
        <v>46251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46251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46251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46251</v>
      </c>
      <c r="F156" t="inlineStr">
        <is>
          <t>GÄVLEBORGS LÄN</t>
        </is>
      </c>
      <c r="G156" t="inlineStr">
        <is>
          <t>OCKELBO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46251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46251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46251</v>
      </c>
      <c r="F159" t="inlineStr">
        <is>
          <t>GÄVLEBORGS LÄN</t>
        </is>
      </c>
      <c r="G159" t="inlineStr">
        <is>
          <t>OCKELBO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46251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öst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46251</v>
      </c>
      <c r="F161" t="inlineStr">
        <is>
          <t>GÄVLEBORGS LÄN</t>
        </is>
      </c>
      <c r="G161" t="inlineStr">
        <is>
          <t>OCKELBO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46251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46251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46083</v>
      </c>
      <c r="E164" s="1" t="n">
        <v>46251</v>
      </c>
      <c r="F164" t="inlineStr">
        <is>
          <t>GÄVLEBORGS LÄN</t>
        </is>
      </c>
      <c r="G164" t="inlineStr">
        <is>
          <t>OCKELBO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46251</v>
      </c>
      <c r="F165" t="inlineStr">
        <is>
          <t>GÄVLEBORGS LÄN</t>
        </is>
      </c>
      <c r="G165" t="inlineStr">
        <is>
          <t>OCKELBO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46251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46080</v>
      </c>
      <c r="E167" s="1" t="n">
        <v>46251</v>
      </c>
      <c r="F167" t="inlineStr">
        <is>
          <t>GÄVLEBORGS LÄN</t>
        </is>
      </c>
      <c r="G167" t="inlineStr">
        <is>
          <t>OCKELBO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46251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46251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46251</v>
      </c>
      <c r="F170" t="inlineStr">
        <is>
          <t>GÄVLEBORGS LÄN</t>
        </is>
      </c>
      <c r="G170" t="inlineStr">
        <is>
          <t>OCKELBO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46251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46251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46251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46251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46251</v>
      </c>
      <c r="F175" t="inlineStr">
        <is>
          <t>GÄVLEBORGS LÄN</t>
        </is>
      </c>
      <c r="G175" t="inlineStr">
        <is>
          <t>OCKELBO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46251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46251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67768-2021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46251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46251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46126</v>
      </c>
      <c r="E180" s="1" t="n">
        <v>46251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46251</v>
      </c>
      <c r="F181" t="inlineStr">
        <is>
          <t>GÄVLEBORGS LÄN</t>
        </is>
      </c>
      <c r="G181" t="inlineStr">
        <is>
          <t>OCKELBO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46251</v>
      </c>
      <c r="F182" t="inlineStr">
        <is>
          <t>GÄVLEBORGS LÄN</t>
        </is>
      </c>
      <c r="G182" t="inlineStr">
        <is>
          <t>OCKELBO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46251</v>
      </c>
      <c r="F183" t="inlineStr">
        <is>
          <t>GÄVLEBORGS LÄN</t>
        </is>
      </c>
      <c r="G183" t="inlineStr">
        <is>
          <t>OCKELBO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46251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46251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46251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46251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46251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46251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46251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46251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46251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66825-2021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46251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46251</v>
      </c>
      <c r="F194" t="inlineStr">
        <is>
          <t>GÄVLEBORGS LÄN</t>
        </is>
      </c>
      <c r="G194" t="inlineStr">
        <is>
          <t>OCKELBO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46251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46251</v>
      </c>
      <c r="F196" t="inlineStr">
        <is>
          <t>GÄVLEBORGS LÄN</t>
        </is>
      </c>
      <c r="G196" t="inlineStr">
        <is>
          <t>OCKELBO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46251</v>
      </c>
      <c r="F197" t="inlineStr">
        <is>
          <t>GÄVLEBORGS LÄN</t>
        </is>
      </c>
      <c r="G197" t="inlineStr">
        <is>
          <t>OCKELBO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46251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46251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46251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46251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46251</v>
      </c>
      <c r="F202" t="inlineStr">
        <is>
          <t>GÄVLEBORGS LÄN</t>
        </is>
      </c>
      <c r="G202" t="inlineStr">
        <is>
          <t>OCKELBO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46251</v>
      </c>
      <c r="F203" t="inlineStr">
        <is>
          <t>GÄVLEBORGS LÄN</t>
        </is>
      </c>
      <c r="G203" t="inlineStr">
        <is>
          <t>OCKELBO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46251</v>
      </c>
      <c r="F204" t="inlineStr">
        <is>
          <t>GÄVLEBORGS LÄN</t>
        </is>
      </c>
      <c r="G204" t="inlineStr">
        <is>
          <t>OCKELBO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46251</v>
      </c>
      <c r="F205" t="inlineStr">
        <is>
          <t>GÄVLEBORGS LÄN</t>
        </is>
      </c>
      <c r="G205" t="inlineStr">
        <is>
          <t>OCKELBO</t>
        </is>
      </c>
      <c r="I205" t="n">
        <v>11.1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46251</v>
      </c>
      <c r="F206" t="inlineStr">
        <is>
          <t>GÄVLEBORGS LÄN</t>
        </is>
      </c>
      <c r="G206" t="inlineStr">
        <is>
          <t>OCKELBO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46251</v>
      </c>
      <c r="F207" t="inlineStr">
        <is>
          <t>GÄVLEBORGS LÄN</t>
        </is>
      </c>
      <c r="G207" t="inlineStr">
        <is>
          <t>OCKELBO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46251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46251</v>
      </c>
      <c r="F209" t="inlineStr">
        <is>
          <t>GÄVLEBORGS LÄN</t>
        </is>
      </c>
      <c r="G209" t="inlineStr">
        <is>
          <t>OCKELBO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46251</v>
      </c>
      <c r="F210" t="inlineStr">
        <is>
          <t>GÄVLEBORGS LÄN</t>
        </is>
      </c>
      <c r="G210" t="inlineStr">
        <is>
          <t>OCKELBO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46251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46251</v>
      </c>
      <c r="F212" t="inlineStr">
        <is>
          <t>GÄVLEBORGS LÄN</t>
        </is>
      </c>
      <c r="G212" t="inlineStr">
        <is>
          <t>OCKELBO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46251</v>
      </c>
      <c r="F213" t="inlineStr">
        <is>
          <t>GÄVLEBORGS LÄN</t>
        </is>
      </c>
      <c r="G213" t="inlineStr">
        <is>
          <t>OCKELBO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46251</v>
      </c>
      <c r="F214" t="inlineStr">
        <is>
          <t>GÄVLEBORGS LÄN</t>
        </is>
      </c>
      <c r="G214" t="inlineStr">
        <is>
          <t>OCKELBO</t>
        </is>
      </c>
      <c r="H214" t="inlineStr">
        <is>
          <t>Naturvårdsverket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46251</v>
      </c>
      <c r="F215" t="inlineStr">
        <is>
          <t>GÄVLEBORGS LÄN</t>
        </is>
      </c>
      <c r="G215" t="inlineStr">
        <is>
          <t>OCKELBO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46251</v>
      </c>
      <c r="F216" t="inlineStr">
        <is>
          <t>GÄVLEBORGS LÄN</t>
        </is>
      </c>
      <c r="G216" t="inlineStr">
        <is>
          <t>OCKELBO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46251</v>
      </c>
      <c r="F217" t="inlineStr">
        <is>
          <t>GÄVLEBORGS LÄN</t>
        </is>
      </c>
      <c r="G217" t="inlineStr">
        <is>
          <t>OCKELBO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46251</v>
      </c>
      <c r="F218" t="inlineStr">
        <is>
          <t>GÄVLEBORGS LÄN</t>
        </is>
      </c>
      <c r="G218" t="inlineStr">
        <is>
          <t>OCKELBO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46251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46251</v>
      </c>
      <c r="F220" t="inlineStr">
        <is>
          <t>GÄVLEBORGS LÄN</t>
        </is>
      </c>
      <c r="G220" t="inlineStr">
        <is>
          <t>OCKELBO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46251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46251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46251</v>
      </c>
      <c r="F223" t="inlineStr">
        <is>
          <t>GÄVLEBORGS LÄN</t>
        </is>
      </c>
      <c r="G223" t="inlineStr">
        <is>
          <t>OCKELBO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46251</v>
      </c>
      <c r="F224" t="inlineStr">
        <is>
          <t>GÄVLEBORGS LÄN</t>
        </is>
      </c>
      <c r="G224" t="inlineStr">
        <is>
          <t>OCKELBO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46251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46251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46251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46251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46251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46251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46251</v>
      </c>
      <c r="F231" t="inlineStr">
        <is>
          <t>GÄVLEBORGS LÄN</t>
        </is>
      </c>
      <c r="G231" t="inlineStr">
        <is>
          <t>OCKELBO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46251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46251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46251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46251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46251</v>
      </c>
      <c r="F236" t="inlineStr">
        <is>
          <t>GÄVLEBORGS LÄN</t>
        </is>
      </c>
      <c r="G236" t="inlineStr">
        <is>
          <t>OCKELBO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46251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46251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46251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46251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46251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46251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öst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46251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46251</v>
      </c>
      <c r="F244" t="inlineStr">
        <is>
          <t>GÄVLEBORGS LÄN</t>
        </is>
      </c>
      <c r="G244" t="inlineStr">
        <is>
          <t>OCKELBO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14972-2026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46251</v>
      </c>
      <c r="F245" t="inlineStr">
        <is>
          <t>GÄVLEBORGS LÄN</t>
        </is>
      </c>
      <c r="G245" t="inlineStr">
        <is>
          <t>OCKELBO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46251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46251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46251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46251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46251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46251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46251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46251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46251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46251</v>
      </c>
      <c r="F255" t="inlineStr">
        <is>
          <t>GÄVLEBORGS LÄN</t>
        </is>
      </c>
      <c r="G255" t="inlineStr">
        <is>
          <t>OCKELBO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46251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49207-2023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45210</v>
      </c>
      <c r="E257" s="1" t="n">
        <v>46251</v>
      </c>
      <c r="F257" t="inlineStr">
        <is>
          <t>GÄVLEBORGS LÄN</t>
        </is>
      </c>
      <c r="G257" t="inlineStr">
        <is>
          <t>OCKELBO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46251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39710-2023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46251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46251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46251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46251</v>
      </c>
      <c r="F262" t="inlineStr">
        <is>
          <t>GÄVLEBORGS LÄN</t>
        </is>
      </c>
      <c r="G262" t="inlineStr">
        <is>
          <t>OCKELBO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46251</v>
      </c>
      <c r="F263" t="inlineStr">
        <is>
          <t>GÄVLEBORGS LÄN</t>
        </is>
      </c>
      <c r="G263" t="inlineStr">
        <is>
          <t>OCKELBO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46251</v>
      </c>
      <c r="F264" t="inlineStr">
        <is>
          <t>GÄVLEBORGS LÄN</t>
        </is>
      </c>
      <c r="G264" t="inlineStr">
        <is>
          <t>OCKELBO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46251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46251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46251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46251</v>
      </c>
      <c r="F268" t="inlineStr">
        <is>
          <t>GÄVLEBORGS LÄN</t>
        </is>
      </c>
      <c r="G268" t="inlineStr">
        <is>
          <t>OCKELBO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46251</v>
      </c>
      <c r="F269" t="inlineStr">
        <is>
          <t>GÄVLEBORGS LÄN</t>
        </is>
      </c>
      <c r="G269" t="inlineStr">
        <is>
          <t>OCKELBO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46251</v>
      </c>
      <c r="F270" t="inlineStr">
        <is>
          <t>GÄVLEBORGS LÄN</t>
        </is>
      </c>
      <c r="G270" t="inlineStr">
        <is>
          <t>OCKELBO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46251</v>
      </c>
      <c r="F271" t="inlineStr">
        <is>
          <t>GÄVLEBORGS LÄN</t>
        </is>
      </c>
      <c r="G271" t="inlineStr">
        <is>
          <t>OCKELBO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46251</v>
      </c>
      <c r="F272" t="inlineStr">
        <is>
          <t>GÄVLEBORGS LÄN</t>
        </is>
      </c>
      <c r="G272" t="inlineStr">
        <is>
          <t>OCKELBO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46251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46251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46251</v>
      </c>
      <c r="F275" t="inlineStr">
        <is>
          <t>GÄVLEBORGS LÄN</t>
        </is>
      </c>
      <c r="G275" t="inlineStr">
        <is>
          <t>OCKELBO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46251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46251</v>
      </c>
      <c r="F277" t="inlineStr">
        <is>
          <t>GÄVLEBORGS LÄN</t>
        </is>
      </c>
      <c r="G277" t="inlineStr">
        <is>
          <t>OCKELBO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45548</v>
      </c>
      <c r="E278" s="1" t="n">
        <v>46251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46251</v>
      </c>
      <c r="F279" t="inlineStr">
        <is>
          <t>GÄVLEBORGS LÄN</t>
        </is>
      </c>
      <c r="G279" t="inlineStr">
        <is>
          <t>OCKELBO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45973</v>
      </c>
      <c r="E280" s="1" t="n">
        <v>46251</v>
      </c>
      <c r="F280" t="inlineStr">
        <is>
          <t>GÄVLEBORGS LÄN</t>
        </is>
      </c>
      <c r="G280" t="inlineStr">
        <is>
          <t>OCKELBO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46251</v>
      </c>
      <c r="F281" t="inlineStr">
        <is>
          <t>GÄVLEBORGS LÄN</t>
        </is>
      </c>
      <c r="G281" t="inlineStr">
        <is>
          <t>OCKELBO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46251</v>
      </c>
      <c r="F282" t="inlineStr">
        <is>
          <t>GÄVLEBORGS LÄN</t>
        </is>
      </c>
      <c r="G282" t="inlineStr">
        <is>
          <t>OCKELBO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22824-2024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45448</v>
      </c>
      <c r="E283" s="1" t="n">
        <v>46251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46251</v>
      </c>
      <c r="F284" t="inlineStr">
        <is>
          <t>GÄVLEBORGS LÄN</t>
        </is>
      </c>
      <c r="G284" t="inlineStr">
        <is>
          <t>OCKELBO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46251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45973</v>
      </c>
      <c r="E286" s="1" t="n">
        <v>46251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46251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46251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46251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46251</v>
      </c>
      <c r="F290" t="inlineStr">
        <is>
          <t>GÄVLEBORGS LÄN</t>
        </is>
      </c>
      <c r="G290" t="inlineStr">
        <is>
          <t>OCKELBO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46251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46251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46251</v>
      </c>
      <c r="F293" t="inlineStr">
        <is>
          <t>GÄVLEBORGS LÄN</t>
        </is>
      </c>
      <c r="G293" t="inlineStr">
        <is>
          <t>OCKELBO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46251</v>
      </c>
      <c r="F294" t="inlineStr">
        <is>
          <t>GÄVLEBORGS LÄN</t>
        </is>
      </c>
      <c r="G294" t="inlineStr">
        <is>
          <t>OCKELBO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46251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46251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46251</v>
      </c>
      <c r="F297" t="inlineStr">
        <is>
          <t>GÄVLEBORGS LÄN</t>
        </is>
      </c>
      <c r="G297" t="inlineStr">
        <is>
          <t>OCKELBO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46118</v>
      </c>
      <c r="E298" s="1" t="n">
        <v>46251</v>
      </c>
      <c r="F298" t="inlineStr">
        <is>
          <t>GÄVLEBORGS LÄN</t>
        </is>
      </c>
      <c r="G298" t="inlineStr">
        <is>
          <t>OCKELBO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46251</v>
      </c>
      <c r="F299" t="inlineStr">
        <is>
          <t>GÄVLEBORGS LÄN</t>
        </is>
      </c>
      <c r="G299" t="inlineStr">
        <is>
          <t>OCKELBO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46251</v>
      </c>
      <c r="F300" t="inlineStr">
        <is>
          <t>GÄVLEBORGS LÄN</t>
        </is>
      </c>
      <c r="G300" t="inlineStr">
        <is>
          <t>OCKELBO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46251</v>
      </c>
      <c r="F301" t="inlineStr">
        <is>
          <t>GÄVLEBORGS LÄN</t>
        </is>
      </c>
      <c r="G301" t="inlineStr">
        <is>
          <t>OCKELBO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46251</v>
      </c>
      <c r="F302" t="inlineStr">
        <is>
          <t>GÄVLEBORGS LÄN</t>
        </is>
      </c>
      <c r="G302" t="inlineStr">
        <is>
          <t>OCKELBO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46251</v>
      </c>
      <c r="F303" t="inlineStr">
        <is>
          <t>GÄVLEBORGS LÄN</t>
        </is>
      </c>
      <c r="G303" t="inlineStr">
        <is>
          <t>OCKELBO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46251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46251</v>
      </c>
      <c r="F305" t="inlineStr">
        <is>
          <t>GÄVLEBORGS LÄN</t>
        </is>
      </c>
      <c r="G305" t="inlineStr">
        <is>
          <t>OCKELBO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46251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46251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46251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öst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46251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öst AB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46076</v>
      </c>
      <c r="E310" s="1" t="n">
        <v>46251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öst AB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46121</v>
      </c>
      <c r="E311" s="1" t="n">
        <v>46251</v>
      </c>
      <c r="F311" t="inlineStr">
        <is>
          <t>GÄVLEBORGS LÄN</t>
        </is>
      </c>
      <c r="G311" t="inlineStr">
        <is>
          <t>OCKELBO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64609-2023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46251</v>
      </c>
      <c r="F312" t="inlineStr">
        <is>
          <t>GÄVLEBORGS LÄN</t>
        </is>
      </c>
      <c r="G312" t="inlineStr">
        <is>
          <t>OCKELBO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46251</v>
      </c>
      <c r="F313" t="inlineStr">
        <is>
          <t>GÄVLEBORGS LÄN</t>
        </is>
      </c>
      <c r="G313" t="inlineStr">
        <is>
          <t>OCKELBO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46251</v>
      </c>
      <c r="F314" t="inlineStr">
        <is>
          <t>GÄVLEBORGS LÄN</t>
        </is>
      </c>
      <c r="G314" t="inlineStr">
        <is>
          <t>OCKELBO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46251</v>
      </c>
      <c r="F315" t="inlineStr">
        <is>
          <t>GÄVLEBORGS LÄN</t>
        </is>
      </c>
      <c r="G315" t="inlineStr">
        <is>
          <t>OCKELBO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46251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46251</v>
      </c>
      <c r="F317" t="inlineStr">
        <is>
          <t>GÄVLEBORGS LÄN</t>
        </is>
      </c>
      <c r="G317" t="inlineStr">
        <is>
          <t>OCKELBO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46251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65259-2023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45291</v>
      </c>
      <c r="E319" s="1" t="n">
        <v>46251</v>
      </c>
      <c r="F319" t="inlineStr">
        <is>
          <t>GÄVLEBORGS LÄN</t>
        </is>
      </c>
      <c r="G319" t="inlineStr">
        <is>
          <t>OCKELBO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46251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46251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46251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46251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46251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46251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46251</v>
      </c>
      <c r="F326" t="inlineStr">
        <is>
          <t>GÄVLEBORGS LÄN</t>
        </is>
      </c>
      <c r="G326" t="inlineStr">
        <is>
          <t>OCKELBO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45106</v>
      </c>
      <c r="E327" s="1" t="n">
        <v>46251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46127</v>
      </c>
      <c r="E328" s="1" t="n">
        <v>46251</v>
      </c>
      <c r="F328" t="inlineStr">
        <is>
          <t>GÄVLEBORGS LÄN</t>
        </is>
      </c>
      <c r="G328" t="inlineStr">
        <is>
          <t>OCKELBO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52335-2024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45609</v>
      </c>
      <c r="E329" s="1" t="n">
        <v>46251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46251</v>
      </c>
      <c r="F330" t="inlineStr">
        <is>
          <t>GÄVLEBORGS LÄN</t>
        </is>
      </c>
      <c r="G330" t="inlineStr">
        <is>
          <t>OCKELBO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46251</v>
      </c>
      <c r="F331" t="inlineStr">
        <is>
          <t>GÄVLEBORGS LÄN</t>
        </is>
      </c>
      <c r="G331" t="inlineStr">
        <is>
          <t>OCKELBO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60183-2025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45994</v>
      </c>
      <c r="E332" s="1" t="n">
        <v>46251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46251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46251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46251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46251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45674</v>
      </c>
      <c r="E337" s="1" t="n">
        <v>46251</v>
      </c>
      <c r="F337" t="inlineStr">
        <is>
          <t>GÄVLEBORGS LÄN</t>
        </is>
      </c>
      <c r="G337" t="inlineStr">
        <is>
          <t>OCKELBO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46251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46251</v>
      </c>
      <c r="F339" t="inlineStr">
        <is>
          <t>GÄVLEBORGS LÄN</t>
        </is>
      </c>
      <c r="G339" t="inlineStr">
        <is>
          <t>OCKELBO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46251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46251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46251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46251</v>
      </c>
      <c r="F343" t="inlineStr">
        <is>
          <t>GÄVLEBORGS LÄN</t>
        </is>
      </c>
      <c r="G343" t="inlineStr">
        <is>
          <t>OCKELBO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46251</v>
      </c>
      <c r="F344" t="inlineStr">
        <is>
          <t>GÄVLEBORGS LÄN</t>
        </is>
      </c>
      <c r="G344" t="inlineStr">
        <is>
          <t>OCKELBO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46251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46251</v>
      </c>
      <c r="F346" t="inlineStr">
        <is>
          <t>GÄVLEBORGS LÄN</t>
        </is>
      </c>
      <c r="G346" t="inlineStr">
        <is>
          <t>OCKELBO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46251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46251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46251</v>
      </c>
      <c r="F349" t="inlineStr">
        <is>
          <t>GÄVLEBORGS LÄN</t>
        </is>
      </c>
      <c r="G349" t="inlineStr">
        <is>
          <t>OCKELBO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46251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46251</v>
      </c>
      <c r="F351" t="inlineStr">
        <is>
          <t>GÄVLEBORGS LÄN</t>
        </is>
      </c>
      <c r="G351" t="inlineStr">
        <is>
          <t>OCKELBO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46251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46251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46251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46251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46251</v>
      </c>
      <c r="F356" t="inlineStr">
        <is>
          <t>GÄVLEBORGS LÄN</t>
        </is>
      </c>
      <c r="G356" t="inlineStr">
        <is>
          <t>OCKELBO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46251</v>
      </c>
      <c r="F357" t="inlineStr">
        <is>
          <t>GÄVLEBORGS LÄN</t>
        </is>
      </c>
      <c r="G357" t="inlineStr">
        <is>
          <t>OCKELBO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46251</v>
      </c>
      <c r="F358" t="inlineStr">
        <is>
          <t>GÄVLEBORGS LÄN</t>
        </is>
      </c>
      <c r="G358" t="inlineStr">
        <is>
          <t>OCKELBO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46251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46251</v>
      </c>
      <c r="F360" t="inlineStr">
        <is>
          <t>GÄVLEBORGS LÄN</t>
        </is>
      </c>
      <c r="G360" t="inlineStr">
        <is>
          <t>OCKELBO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32011-2024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45510</v>
      </c>
      <c r="E361" s="1" t="n">
        <v>46251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46251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46251</v>
      </c>
      <c r="F363" t="inlineStr">
        <is>
          <t>GÄVLEBORGS LÄN</t>
        </is>
      </c>
      <c r="G363" t="inlineStr">
        <is>
          <t>OCKELBO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46251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46251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46251</v>
      </c>
      <c r="F366" t="inlineStr">
        <is>
          <t>GÄVLEBORGS LÄN</t>
        </is>
      </c>
      <c r="G366" t="inlineStr">
        <is>
          <t>OCKELBO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46136</v>
      </c>
      <c r="E367" s="1" t="n">
        <v>46251</v>
      </c>
      <c r="F367" t="inlineStr">
        <is>
          <t>GÄVLEBORGS LÄN</t>
        </is>
      </c>
      <c r="G367" t="inlineStr">
        <is>
          <t>OCKELBO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45511</v>
      </c>
      <c r="E368" s="1" t="n">
        <v>46251</v>
      </c>
      <c r="F368" t="inlineStr">
        <is>
          <t>GÄVLEBORGS LÄN</t>
        </is>
      </c>
      <c r="G368" t="inlineStr">
        <is>
          <t>OCKELBO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46251</v>
      </c>
      <c r="F370" t="inlineStr">
        <is>
          <t>GÄVLEBORGS LÄN</t>
        </is>
      </c>
      <c r="G370" t="inlineStr">
        <is>
          <t>OCKELBO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46251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46251</v>
      </c>
      <c r="F372" t="inlineStr">
        <is>
          <t>GÄVLEBORGS LÄN</t>
        </is>
      </c>
      <c r="G372" t="inlineStr">
        <is>
          <t>OCKELBO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46251</v>
      </c>
      <c r="F373" t="inlineStr">
        <is>
          <t>GÄVLEBORGS LÄN</t>
        </is>
      </c>
      <c r="G373" t="inlineStr">
        <is>
          <t>OCKELBO</t>
        </is>
      </c>
      <c r="H373" t="inlineStr">
        <is>
          <t>Kyrkan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46251</v>
      </c>
      <c r="F374" t="inlineStr">
        <is>
          <t>GÄVLEBORGS LÄN</t>
        </is>
      </c>
      <c r="G374" t="inlineStr">
        <is>
          <t>OCKELBO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46251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46251</v>
      </c>
      <c r="F376" t="inlineStr">
        <is>
          <t>GÄVLEBORGS LÄN</t>
        </is>
      </c>
      <c r="G376" t="inlineStr">
        <is>
          <t>OCKELBO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63224-2025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46010</v>
      </c>
      <c r="E377" s="1" t="n">
        <v>46251</v>
      </c>
      <c r="F377" t="inlineStr">
        <is>
          <t>GÄVLEBORGS LÄN</t>
        </is>
      </c>
      <c r="G377" t="inlineStr">
        <is>
          <t>OCKELBO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46251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45656</v>
      </c>
      <c r="E379" s="1" t="n">
        <v>46251</v>
      </c>
      <c r="F379" t="inlineStr">
        <is>
          <t>GÄVLEBORGS LÄN</t>
        </is>
      </c>
      <c r="G379" t="inlineStr">
        <is>
          <t>OCKELBO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46251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46251</v>
      </c>
      <c r="F381" t="inlineStr">
        <is>
          <t>GÄVLEBORGS LÄN</t>
        </is>
      </c>
      <c r="G381" t="inlineStr">
        <is>
          <t>OCKELBO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46251</v>
      </c>
      <c r="F382" t="inlineStr">
        <is>
          <t>GÄVLEBORGS LÄN</t>
        </is>
      </c>
      <c r="G382" t="inlineStr">
        <is>
          <t>OCKELBO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46021</v>
      </c>
      <c r="E383" s="1" t="n">
        <v>46251</v>
      </c>
      <c r="F383" t="inlineStr">
        <is>
          <t>GÄVLEBORGS LÄN</t>
        </is>
      </c>
      <c r="G383" t="inlineStr">
        <is>
          <t>OCKELBO</t>
        </is>
      </c>
      <c r="I383" t="n">
        <v>13.6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46251</v>
      </c>
      <c r="F384" t="inlineStr">
        <is>
          <t>GÄVLEBORGS LÄN</t>
        </is>
      </c>
      <c r="G384" t="inlineStr">
        <is>
          <t>OCKELBO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46251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46027</v>
      </c>
      <c r="E386" s="1" t="n">
        <v>46251</v>
      </c>
      <c r="F386" t="inlineStr">
        <is>
          <t>GÄVLEBORGS LÄN</t>
        </is>
      </c>
      <c r="G386" t="inlineStr">
        <is>
          <t>OCKELBO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46251</v>
      </c>
      <c r="F387" t="inlineStr">
        <is>
          <t>GÄVLEBORGS LÄN</t>
        </is>
      </c>
      <c r="G387" t="inlineStr">
        <is>
          <t>OCKELBO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46251</v>
      </c>
      <c r="F388" t="inlineStr">
        <is>
          <t>GÄVLEBORGS LÄN</t>
        </is>
      </c>
      <c r="G388" t="inlineStr">
        <is>
          <t>OCKELBO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46251</v>
      </c>
      <c r="F389" t="inlineStr">
        <is>
          <t>GÄVLEBORGS LÄN</t>
        </is>
      </c>
      <c r="G389" t="inlineStr">
        <is>
          <t>OCKELBO</t>
        </is>
      </c>
      <c r="I389" t="n">
        <v>16.2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46251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46251</v>
      </c>
      <c r="F391" t="inlineStr">
        <is>
          <t>GÄVLEBORGS LÄN</t>
        </is>
      </c>
      <c r="G391" t="inlineStr">
        <is>
          <t>OCKELBO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46251</v>
      </c>
      <c r="F392" t="inlineStr">
        <is>
          <t>GÄVLEBORGS LÄN</t>
        </is>
      </c>
      <c r="G392" t="inlineStr">
        <is>
          <t>OCKELBO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46028</v>
      </c>
      <c r="E393" s="1" t="n">
        <v>46251</v>
      </c>
      <c r="F393" t="inlineStr">
        <is>
          <t>GÄVLEBORGS LÄN</t>
        </is>
      </c>
      <c r="G393" t="inlineStr">
        <is>
          <t>OCKELBO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46251</v>
      </c>
      <c r="F394" t="inlineStr">
        <is>
          <t>GÄVLEBORGS LÄN</t>
        </is>
      </c>
      <c r="G394" t="inlineStr">
        <is>
          <t>OCKELBO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46251</v>
      </c>
      <c r="F395" t="inlineStr">
        <is>
          <t>GÄVLEBORGS LÄN</t>
        </is>
      </c>
      <c r="G395" t="inlineStr">
        <is>
          <t>OCKELBO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46251</v>
      </c>
      <c r="F396" t="inlineStr">
        <is>
          <t>GÄVLEBORGS LÄN</t>
        </is>
      </c>
      <c r="G396" t="inlineStr">
        <is>
          <t>OCKELBO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46028</v>
      </c>
      <c r="E397" s="1" t="n">
        <v>46251</v>
      </c>
      <c r="F397" t="inlineStr">
        <is>
          <t>GÄVLEBORGS LÄN</t>
        </is>
      </c>
      <c r="G397" t="inlineStr">
        <is>
          <t>OCKELBO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46251</v>
      </c>
      <c r="F398" t="inlineStr">
        <is>
          <t>GÄVLEBORGS LÄN</t>
        </is>
      </c>
      <c r="G398" t="inlineStr">
        <is>
          <t>OCKELBO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46251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29567-2024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45484</v>
      </c>
      <c r="E400" s="1" t="n">
        <v>46251</v>
      </c>
      <c r="F400" t="inlineStr">
        <is>
          <t>GÄVLEBORGS LÄN</t>
        </is>
      </c>
      <c r="G400" t="inlineStr">
        <is>
          <t>OCKELBO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46251</v>
      </c>
      <c r="F401" t="inlineStr">
        <is>
          <t>GÄVLEBORGS LÄN</t>
        </is>
      </c>
      <c r="G401" t="inlineStr">
        <is>
          <t>OCKELBO</t>
        </is>
      </c>
      <c r="I401" t="n">
        <v>12.9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46251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46251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45712</v>
      </c>
      <c r="E404" s="1" t="n">
        <v>46251</v>
      </c>
      <c r="F404" t="inlineStr">
        <is>
          <t>GÄVLEBORGS LÄN</t>
        </is>
      </c>
      <c r="G404" t="inlineStr">
        <is>
          <t>OCKELBO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46251</v>
      </c>
      <c r="F405" t="inlineStr">
        <is>
          <t>GÄVLEBORGS LÄN</t>
        </is>
      </c>
      <c r="G405" t="inlineStr">
        <is>
          <t>OCKELBO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46251</v>
      </c>
      <c r="F406" t="inlineStr">
        <is>
          <t>GÄVLEBORGS LÄN</t>
        </is>
      </c>
      <c r="G406" t="inlineStr">
        <is>
          <t>OCKELBO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46251</v>
      </c>
      <c r="F407" t="inlineStr">
        <is>
          <t>GÄVLEBORGS LÄN</t>
        </is>
      </c>
      <c r="G407" t="inlineStr">
        <is>
          <t>OCKELBO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46033</v>
      </c>
      <c r="E408" s="1" t="n">
        <v>46251</v>
      </c>
      <c r="F408" t="inlineStr">
        <is>
          <t>GÄVLEBORGS LÄN</t>
        </is>
      </c>
      <c r="G408" t="inlineStr">
        <is>
          <t>OCKELBO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46251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44839</v>
      </c>
      <c r="E410" s="1" t="n">
        <v>46251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46251</v>
      </c>
      <c r="F411" t="inlineStr">
        <is>
          <t>GÄVLEBORGS LÄN</t>
        </is>
      </c>
      <c r="G411" t="inlineStr">
        <is>
          <t>OCKELBO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46251</v>
      </c>
      <c r="F412" t="inlineStr">
        <is>
          <t>GÄVLEBORGS LÄN</t>
        </is>
      </c>
      <c r="G412" t="inlineStr">
        <is>
          <t>OCKELBO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46251</v>
      </c>
      <c r="F413" t="inlineStr">
        <is>
          <t>GÄVLEBORGS LÄN</t>
        </is>
      </c>
      <c r="G413" t="inlineStr">
        <is>
          <t>OCKELBO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46251</v>
      </c>
      <c r="F414" t="inlineStr">
        <is>
          <t>GÄVLEBORGS LÄN</t>
        </is>
      </c>
      <c r="G414" t="inlineStr">
        <is>
          <t>OCKELBO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46251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46251</v>
      </c>
      <c r="F416" t="inlineStr">
        <is>
          <t>GÄVLEBORGS LÄN</t>
        </is>
      </c>
      <c r="G416" t="inlineStr">
        <is>
          <t>OCKELBO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46251</v>
      </c>
      <c r="F417" t="inlineStr">
        <is>
          <t>GÄVLEBORGS LÄN</t>
        </is>
      </c>
      <c r="G417" t="inlineStr">
        <is>
          <t>OCKELBO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46251</v>
      </c>
      <c r="F418" t="inlineStr">
        <is>
          <t>GÄVLEBORGS LÄN</t>
        </is>
      </c>
      <c r="G418" t="inlineStr">
        <is>
          <t>OCKELBO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46251</v>
      </c>
      <c r="F419" t="inlineStr">
        <is>
          <t>GÄVLEBORGS LÄN</t>
        </is>
      </c>
      <c r="G419" t="inlineStr">
        <is>
          <t>OCKELBO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46251</v>
      </c>
      <c r="F420" t="inlineStr">
        <is>
          <t>GÄVLEBORGS LÄN</t>
        </is>
      </c>
      <c r="G420" t="inlineStr">
        <is>
          <t>OCKELBO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46251</v>
      </c>
      <c r="F421" t="inlineStr">
        <is>
          <t>GÄVLEBORGS LÄN</t>
        </is>
      </c>
      <c r="G421" t="inlineStr">
        <is>
          <t>OCKELBO</t>
        </is>
      </c>
      <c r="I421" t="n">
        <v>11.9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46251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46251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46251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46251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46251</v>
      </c>
      <c r="F426" t="inlineStr">
        <is>
          <t>GÄVLEBORGS LÄN</t>
        </is>
      </c>
      <c r="G426" t="inlineStr">
        <is>
          <t>OCKELBO</t>
        </is>
      </c>
      <c r="I426" t="n">
        <v>16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46251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46251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46251</v>
      </c>
      <c r="F429" t="inlineStr">
        <is>
          <t>GÄVLEBORGS LÄN</t>
        </is>
      </c>
      <c r="G429" t="inlineStr">
        <is>
          <t>OCKELBO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44950</v>
      </c>
      <c r="E430" s="1" t="n">
        <v>46251</v>
      </c>
      <c r="F430" t="inlineStr">
        <is>
          <t>GÄVLEBORGS LÄN</t>
        </is>
      </c>
      <c r="G430" t="inlineStr">
        <is>
          <t>OCKELBO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46251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46251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46251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46251</v>
      </c>
      <c r="F434" t="inlineStr">
        <is>
          <t>GÄVLEBORGS LÄN</t>
        </is>
      </c>
      <c r="G434" t="inlineStr">
        <is>
          <t>OCKELBO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46251</v>
      </c>
      <c r="F435" t="inlineStr">
        <is>
          <t>GÄVLEBORGS LÄN</t>
        </is>
      </c>
      <c r="G435" t="inlineStr">
        <is>
          <t>OCKELBO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46251</v>
      </c>
      <c r="F436" t="inlineStr">
        <is>
          <t>GÄVLEBORGS LÄN</t>
        </is>
      </c>
      <c r="G436" t="inlineStr">
        <is>
          <t>OCKELBO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45134</v>
      </c>
      <c r="E437" s="1" t="n">
        <v>46251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45134</v>
      </c>
      <c r="E438" s="1" t="n">
        <v>46251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46251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46251</v>
      </c>
      <c r="F440" t="inlineStr">
        <is>
          <t>GÄVLEBORGS LÄN</t>
        </is>
      </c>
      <c r="G440" t="inlineStr">
        <is>
          <t>OCKELBO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46251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46251</v>
      </c>
      <c r="F442" t="inlineStr">
        <is>
          <t>GÄVLEBORGS LÄN</t>
        </is>
      </c>
      <c r="G442" t="inlineStr">
        <is>
          <t>OCKELBO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46036</v>
      </c>
      <c r="E443" s="1" t="n">
        <v>46251</v>
      </c>
      <c r="F443" t="inlineStr">
        <is>
          <t>GÄVLEBORGS LÄN</t>
        </is>
      </c>
      <c r="G443" t="inlineStr">
        <is>
          <t>OCKELBO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46251</v>
      </c>
      <c r="F444" t="inlineStr">
        <is>
          <t>GÄVLEBORGS LÄN</t>
        </is>
      </c>
      <c r="G444" t="inlineStr">
        <is>
          <t>OCKELBO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46251</v>
      </c>
      <c r="F445" t="inlineStr">
        <is>
          <t>GÄVLEBORGS LÄN</t>
        </is>
      </c>
      <c r="G445" t="inlineStr">
        <is>
          <t>OCKELBO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46251</v>
      </c>
      <c r="F446" t="inlineStr">
        <is>
          <t>GÄVLEBORGS LÄN</t>
        </is>
      </c>
      <c r="G446" t="inlineStr">
        <is>
          <t>OCKELBO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46251</v>
      </c>
      <c r="F447" t="inlineStr">
        <is>
          <t>GÄVLEBORGS LÄN</t>
        </is>
      </c>
      <c r="G447" t="inlineStr">
        <is>
          <t>OCKELBO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46251</v>
      </c>
      <c r="F448" t="inlineStr">
        <is>
          <t>GÄVLEBORGS LÄN</t>
        </is>
      </c>
      <c r="G448" t="inlineStr">
        <is>
          <t>OCKELBO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46251</v>
      </c>
      <c r="F449" t="inlineStr">
        <is>
          <t>GÄVLEBORGS LÄN</t>
        </is>
      </c>
      <c r="G449" t="inlineStr">
        <is>
          <t>OCKELBO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46251</v>
      </c>
      <c r="F450" t="inlineStr">
        <is>
          <t>GÄVLEBORGS LÄN</t>
        </is>
      </c>
      <c r="G450" t="inlineStr">
        <is>
          <t>OCKELBO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46038</v>
      </c>
      <c r="E451" s="1" t="n">
        <v>46251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46251</v>
      </c>
      <c r="F452" t="inlineStr">
        <is>
          <t>GÄVLEBORGS LÄN</t>
        </is>
      </c>
      <c r="G452" t="inlineStr">
        <is>
          <t>OCKELBO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46251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46251</v>
      </c>
      <c r="F454" t="inlineStr">
        <is>
          <t>GÄVLEBORGS LÄN</t>
        </is>
      </c>
      <c r="G454" t="inlineStr">
        <is>
          <t>OCKELBO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46251</v>
      </c>
      <c r="F455" t="inlineStr">
        <is>
          <t>GÄVLEBORGS LÄN</t>
        </is>
      </c>
      <c r="G455" t="inlineStr">
        <is>
          <t>OCKELBO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46251</v>
      </c>
      <c r="F456" t="inlineStr">
        <is>
          <t>GÄVLEBORGS LÄN</t>
        </is>
      </c>
      <c r="G456" t="inlineStr">
        <is>
          <t>OCKELBO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46251</v>
      </c>
      <c r="F457" t="inlineStr">
        <is>
          <t>GÄVLEBORGS LÄN</t>
        </is>
      </c>
      <c r="G457" t="inlineStr">
        <is>
          <t>OCKELBO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46251</v>
      </c>
      <c r="F458" t="inlineStr">
        <is>
          <t>GÄVLEBORGS LÄN</t>
        </is>
      </c>
      <c r="G458" t="inlineStr">
        <is>
          <t>OCKELBO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46251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29963-2024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45488</v>
      </c>
      <c r="E460" s="1" t="n">
        <v>46251</v>
      </c>
      <c r="F460" t="inlineStr">
        <is>
          <t>GÄVLEBORGS LÄN</t>
        </is>
      </c>
      <c r="G460" t="inlineStr">
        <is>
          <t>OCKELBO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46251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46251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46251</v>
      </c>
      <c r="F463" t="inlineStr">
        <is>
          <t>GÄVLEBORGS LÄN</t>
        </is>
      </c>
      <c r="G463" t="inlineStr">
        <is>
          <t>OCKELBO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45111</v>
      </c>
      <c r="E464" s="1" t="n">
        <v>46251</v>
      </c>
      <c r="F464" t="inlineStr">
        <is>
          <t>GÄVLEBORGS LÄN</t>
        </is>
      </c>
      <c r="G464" t="inlineStr">
        <is>
          <t>OCKELBO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46251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46251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46251</v>
      </c>
      <c r="F468" t="inlineStr">
        <is>
          <t>GÄVLEBORGS LÄN</t>
        </is>
      </c>
      <c r="G468" t="inlineStr">
        <is>
          <t>OCKELBO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46251</v>
      </c>
      <c r="F469" t="inlineStr">
        <is>
          <t>GÄVLEBORGS LÄN</t>
        </is>
      </c>
      <c r="G469" t="inlineStr">
        <is>
          <t>OCKELBO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46251</v>
      </c>
      <c r="F470" t="inlineStr">
        <is>
          <t>GÄVLEBORGS LÄN</t>
        </is>
      </c>
      <c r="G470" t="inlineStr">
        <is>
          <t>OCKELBO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46251</v>
      </c>
      <c r="F471" t="inlineStr">
        <is>
          <t>GÄVLEBORGS LÄN</t>
        </is>
      </c>
      <c r="G471" t="inlineStr">
        <is>
          <t>OCKELBO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45022</v>
      </c>
      <c r="E472" s="1" t="n">
        <v>46251</v>
      </c>
      <c r="F472" t="inlineStr">
        <is>
          <t>GÄVLEBORGS LÄN</t>
        </is>
      </c>
      <c r="G472" t="inlineStr">
        <is>
          <t>OCKELBO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46251</v>
      </c>
      <c r="F473" t="inlineStr">
        <is>
          <t>GÄVLEBORGS LÄN</t>
        </is>
      </c>
      <c r="G473" t="inlineStr">
        <is>
          <t>OCKELBO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56232-2022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44890</v>
      </c>
      <c r="E474" s="1" t="n">
        <v>46251</v>
      </c>
      <c r="F474" t="inlineStr">
        <is>
          <t>GÄVLEBORGS LÄN</t>
        </is>
      </c>
      <c r="G474" t="inlineStr">
        <is>
          <t>OCKELBO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46251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46251</v>
      </c>
      <c r="F476" t="inlineStr">
        <is>
          <t>GÄVLEBORGS LÄN</t>
        </is>
      </c>
      <c r="G476" t="inlineStr">
        <is>
          <t>OCKELBO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46251</v>
      </c>
      <c r="F477" t="inlineStr">
        <is>
          <t>GÄVLEBORGS LÄN</t>
        </is>
      </c>
      <c r="G477" t="inlineStr">
        <is>
          <t>OCKELBO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46251</v>
      </c>
      <c r="F478" t="inlineStr">
        <is>
          <t>GÄVLEBORGS LÄN</t>
        </is>
      </c>
      <c r="G478" t="inlineStr">
        <is>
          <t>OCKELBO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46251</v>
      </c>
      <c r="F479" t="inlineStr">
        <is>
          <t>GÄVLEBORGS LÄN</t>
        </is>
      </c>
      <c r="G479" t="inlineStr">
        <is>
          <t>OCKELBO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46053</v>
      </c>
      <c r="E480" s="1" t="n">
        <v>46251</v>
      </c>
      <c r="F480" t="inlineStr">
        <is>
          <t>GÄVLEBORGS LÄN</t>
        </is>
      </c>
      <c r="G480" t="inlineStr">
        <is>
          <t>OCKELBO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46251</v>
      </c>
      <c r="F481" t="inlineStr">
        <is>
          <t>GÄVLEBORGS LÄN</t>
        </is>
      </c>
      <c r="G481" t="inlineStr">
        <is>
          <t>OCKELBO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46251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46251</v>
      </c>
      <c r="F483" t="inlineStr">
        <is>
          <t>GÄVLEBORGS LÄN</t>
        </is>
      </c>
      <c r="G483" t="inlineStr">
        <is>
          <t>OCKELBO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46251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46251</v>
      </c>
      <c r="F485" t="inlineStr">
        <is>
          <t>GÄVLEBORGS LÄN</t>
        </is>
      </c>
      <c r="G485" t="inlineStr">
        <is>
          <t>OCKELBO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46251</v>
      </c>
      <c r="F486" t="inlineStr">
        <is>
          <t>GÄVLEBORGS LÄN</t>
        </is>
      </c>
      <c r="G486" t="inlineStr">
        <is>
          <t>OCKELBO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46251</v>
      </c>
      <c r="F487" t="inlineStr">
        <is>
          <t>GÄVLEBORGS LÄN</t>
        </is>
      </c>
      <c r="G487" t="inlineStr">
        <is>
          <t>OCKELBO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46251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46251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46251</v>
      </c>
      <c r="F490" t="inlineStr">
        <is>
          <t>GÄVLEBORGS LÄN</t>
        </is>
      </c>
      <c r="G490" t="inlineStr">
        <is>
          <t>OCKELBO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46251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46251</v>
      </c>
      <c r="F492" t="inlineStr">
        <is>
          <t>GÄVLEBORGS LÄN</t>
        </is>
      </c>
      <c r="G492" t="inlineStr">
        <is>
          <t>OCKELBO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46251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47849-2021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44448</v>
      </c>
      <c r="E494" s="1" t="n">
        <v>46251</v>
      </c>
      <c r="F494" t="inlineStr">
        <is>
          <t>GÄVLEBORGS LÄN</t>
        </is>
      </c>
      <c r="G494" t="inlineStr">
        <is>
          <t>OCKELBO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54817-2022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44883</v>
      </c>
      <c r="E495" s="1" t="n">
        <v>46251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46251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46251</v>
      </c>
      <c r="F497" t="inlineStr">
        <is>
          <t>GÄVLEBORGS LÄN</t>
        </is>
      </c>
      <c r="G497" t="inlineStr">
        <is>
          <t>OCKELBO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46251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46138</v>
      </c>
      <c r="E499" s="1" t="n">
        <v>46251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46251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46251</v>
      </c>
      <c r="F501" t="inlineStr">
        <is>
          <t>GÄVLEBORGS LÄN</t>
        </is>
      </c>
      <c r="G501" t="inlineStr">
        <is>
          <t>OCKELBO</t>
        </is>
      </c>
      <c r="I501" t="n">
        <v>36.1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22151-2022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46251</v>
      </c>
      <c r="F502" t="inlineStr">
        <is>
          <t>GÄVLEBORGS LÄN</t>
        </is>
      </c>
      <c r="G502" t="inlineStr">
        <is>
          <t>OCKELBO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46251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45526</v>
      </c>
      <c r="E504" s="1" t="n">
        <v>46251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45134</v>
      </c>
      <c r="E505" s="1" t="n">
        <v>46251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46251</v>
      </c>
      <c r="F506" t="inlineStr">
        <is>
          <t>GÄVLEBORGS LÄN</t>
        </is>
      </c>
      <c r="G506" t="inlineStr">
        <is>
          <t>OCKELBO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46251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46251</v>
      </c>
      <c r="F508" t="inlineStr">
        <is>
          <t>GÄVLEBORGS LÄN</t>
        </is>
      </c>
      <c r="G508" t="inlineStr">
        <is>
          <t>OCKELBO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46251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46251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46251</v>
      </c>
      <c r="F511" t="inlineStr">
        <is>
          <t>GÄVLEBORGS LÄN</t>
        </is>
      </c>
      <c r="G511" t="inlineStr">
        <is>
          <t>OCKELBO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46251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20.4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46251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25564-2025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46251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46251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46251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46251</v>
      </c>
      <c r="F517" t="inlineStr">
        <is>
          <t>GÄVLEBORGS LÄN</t>
        </is>
      </c>
      <c r="G517" t="inlineStr">
        <is>
          <t>OCKELBO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46251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46251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46251</v>
      </c>
      <c r="F520" t="inlineStr">
        <is>
          <t>GÄVLEBORGS LÄN</t>
        </is>
      </c>
      <c r="G520" t="inlineStr">
        <is>
          <t>OCKELBO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46251</v>
      </c>
      <c r="F521" t="inlineStr">
        <is>
          <t>GÄVLEBORGS LÄN</t>
        </is>
      </c>
      <c r="G521" t="inlineStr">
        <is>
          <t>OCKELBO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46251</v>
      </c>
      <c r="F522" t="inlineStr">
        <is>
          <t>GÄVLEBORGS LÄN</t>
        </is>
      </c>
      <c r="G522" t="inlineStr">
        <is>
          <t>OCKELBO</t>
        </is>
      </c>
      <c r="I522" t="n">
        <v>17.4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46140</v>
      </c>
      <c r="E523" s="1" t="n">
        <v>46251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46251</v>
      </c>
      <c r="F524" t="inlineStr">
        <is>
          <t>GÄVLEBORGS LÄN</t>
        </is>
      </c>
      <c r="G524" t="inlineStr">
        <is>
          <t>OCKELBO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46251</v>
      </c>
      <c r="F525" t="inlineStr">
        <is>
          <t>GÄVLEBORGS LÄN</t>
        </is>
      </c>
      <c r="G525" t="inlineStr">
        <is>
          <t>OCKELBO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46251</v>
      </c>
      <c r="F526" t="inlineStr">
        <is>
          <t>GÄVLEBORGS LÄN</t>
        </is>
      </c>
      <c r="G526" t="inlineStr">
        <is>
          <t>OCKELBO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36604-2025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45870</v>
      </c>
      <c r="E527" s="1" t="n">
        <v>46251</v>
      </c>
      <c r="F527" t="inlineStr">
        <is>
          <t>GÄVLEBORGS LÄN</t>
        </is>
      </c>
      <c r="G527" t="inlineStr">
        <is>
          <t>OCKELBO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45678</v>
      </c>
      <c r="E528" s="1" t="n">
        <v>46251</v>
      </c>
      <c r="F528" t="inlineStr">
        <is>
          <t>GÄVLEBORGS LÄN</t>
        </is>
      </c>
      <c r="G528" t="inlineStr">
        <is>
          <t>OCKELBO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46251</v>
      </c>
      <c r="F529" t="inlineStr">
        <is>
          <t>GÄVLEBORGS LÄN</t>
        </is>
      </c>
      <c r="G529" t="inlineStr">
        <is>
          <t>OCKELBO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25404-2025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46251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46251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46251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46251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46251</v>
      </c>
      <c r="F534" t="inlineStr">
        <is>
          <t>GÄVLEBORGS LÄN</t>
        </is>
      </c>
      <c r="G534" t="inlineStr">
        <is>
          <t>OCKELBO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46251</v>
      </c>
      <c r="F535" t="inlineStr">
        <is>
          <t>GÄVLEBORGS LÄN</t>
        </is>
      </c>
      <c r="G535" t="inlineStr">
        <is>
          <t>OCKELBO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46251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46251</v>
      </c>
      <c r="F538" t="inlineStr">
        <is>
          <t>GÄVLEBORGS LÄN</t>
        </is>
      </c>
      <c r="G538" t="inlineStr">
        <is>
          <t>OCKELBO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46137</v>
      </c>
      <c r="E539" s="1" t="n">
        <v>46251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46251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46251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46251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46074-2024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45581</v>
      </c>
      <c r="E543" s="1" t="n">
        <v>46251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46251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46251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44663</v>
      </c>
      <c r="E546" s="1" t="n">
        <v>46251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46251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46251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46251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61335-2022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44915</v>
      </c>
      <c r="E550" s="1" t="n">
        <v>46251</v>
      </c>
      <c r="F550" t="inlineStr">
        <is>
          <t>GÄVLEBORGS LÄN</t>
        </is>
      </c>
      <c r="G550" t="inlineStr">
        <is>
          <t>OCKELBO</t>
        </is>
      </c>
      <c r="I550" t="n">
        <v>8.5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46251</v>
      </c>
      <c r="F551" t="inlineStr">
        <is>
          <t>GÄVLEBORGS LÄN</t>
        </is>
      </c>
      <c r="G551" t="inlineStr">
        <is>
          <t>OCKELBO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46251</v>
      </c>
      <c r="F552" t="inlineStr">
        <is>
          <t>GÄVLEBORGS LÄN</t>
        </is>
      </c>
      <c r="G552" t="inlineStr">
        <is>
          <t>OCKELBO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8933-2026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46251</v>
      </c>
      <c r="F553" t="inlineStr">
        <is>
          <t>GÄVLEBORGS LÄN</t>
        </is>
      </c>
      <c r="G553" t="inlineStr">
        <is>
          <t>OCKELBO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46251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46251</v>
      </c>
      <c r="F555" t="inlineStr">
        <is>
          <t>GÄVLEBORGS LÄN</t>
        </is>
      </c>
      <c r="G555" t="inlineStr">
        <is>
          <t>OCKELBO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46251</v>
      </c>
      <c r="F556" t="inlineStr">
        <is>
          <t>GÄVLEBORGS LÄN</t>
        </is>
      </c>
      <c r="G556" t="inlineStr">
        <is>
          <t>OCKELBO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46251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46251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46251</v>
      </c>
      <c r="F559" t="inlineStr">
        <is>
          <t>GÄVLEBORGS LÄN</t>
        </is>
      </c>
      <c r="G559" t="inlineStr">
        <is>
          <t>OCKELBO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46251</v>
      </c>
      <c r="F560" t="inlineStr">
        <is>
          <t>GÄVLEBORGS LÄN</t>
        </is>
      </c>
      <c r="G560" t="inlineStr">
        <is>
          <t>OCKELBO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46251</v>
      </c>
      <c r="F561" t="inlineStr">
        <is>
          <t>GÄVLEBORGS LÄN</t>
        </is>
      </c>
      <c r="G561" t="inlineStr">
        <is>
          <t>OCKELBO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46251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46251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46251</v>
      </c>
      <c r="F564" t="inlineStr">
        <is>
          <t>GÄVLEBORGS LÄN</t>
        </is>
      </c>
      <c r="G564" t="inlineStr">
        <is>
          <t>OCKELBO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46251</v>
      </c>
      <c r="F565" t="inlineStr">
        <is>
          <t>GÄVLEBORGS LÄN</t>
        </is>
      </c>
      <c r="G565" t="inlineStr">
        <is>
          <t>OCKELBO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46251</v>
      </c>
      <c r="F566" t="inlineStr">
        <is>
          <t>GÄVLEBORGS LÄN</t>
        </is>
      </c>
      <c r="G566" t="inlineStr">
        <is>
          <t>OCKELBO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46251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46251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46251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9470-2026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46071</v>
      </c>
      <c r="E570" s="1" t="n">
        <v>46251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46251</v>
      </c>
      <c r="F571" t="inlineStr">
        <is>
          <t>GÄVLEBORGS LÄN</t>
        </is>
      </c>
      <c r="G571" t="inlineStr">
        <is>
          <t>OCKELBO</t>
        </is>
      </c>
      <c r="I571" t="n">
        <v>9.300000000000001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46251</v>
      </c>
      <c r="F572" t="inlineStr">
        <is>
          <t>GÄVLEBORGS LÄN</t>
        </is>
      </c>
      <c r="G572" t="inlineStr">
        <is>
          <t>OCKELBO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12708-2026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46091</v>
      </c>
      <c r="E573" s="1" t="n">
        <v>46251</v>
      </c>
      <c r="F573" t="inlineStr">
        <is>
          <t>GÄVLEBORGS LÄN</t>
        </is>
      </c>
      <c r="G573" t="inlineStr">
        <is>
          <t>OCKELBO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55070-2023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45237</v>
      </c>
      <c r="E574" s="1" t="n">
        <v>46251</v>
      </c>
      <c r="F574" t="inlineStr">
        <is>
          <t>GÄVLEBORGS LÄN</t>
        </is>
      </c>
      <c r="G574" t="inlineStr">
        <is>
          <t>OCKELBO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46251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46251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46077</v>
      </c>
      <c r="E577" s="1" t="n">
        <v>46251</v>
      </c>
      <c r="F577" t="inlineStr">
        <is>
          <t>GÄVLEBORGS LÄN</t>
        </is>
      </c>
      <c r="G577" t="inlineStr">
        <is>
          <t>OCKELBO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46251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10454-2026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46251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46066</v>
      </c>
      <c r="E580" s="1" t="n">
        <v>46251</v>
      </c>
      <c r="F580" t="inlineStr">
        <is>
          <t>GÄVLEBORGS LÄN</t>
        </is>
      </c>
      <c r="G580" t="inlineStr">
        <is>
          <t>OCKELBO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46251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46251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9997-2026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46251</v>
      </c>
      <c r="F583" t="inlineStr">
        <is>
          <t>GÄVLEBORGS LÄN</t>
        </is>
      </c>
      <c r="G583" t="inlineStr">
        <is>
          <t>OCKELBO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45111</v>
      </c>
      <c r="E584" s="1" t="n">
        <v>46251</v>
      </c>
      <c r="F584" t="inlineStr">
        <is>
          <t>GÄVLEBORGS LÄN</t>
        </is>
      </c>
      <c r="G584" t="inlineStr">
        <is>
          <t>OCKELBO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46251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46251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46251</v>
      </c>
      <c r="F587" t="inlineStr">
        <is>
          <t>GÄVLEBORGS LÄN</t>
        </is>
      </c>
      <c r="G587" t="inlineStr">
        <is>
          <t>OCKELBO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16629-2025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45754</v>
      </c>
      <c r="E588" s="1" t="n">
        <v>46251</v>
      </c>
      <c r="F588" t="inlineStr">
        <is>
          <t>GÄVLEBORGS LÄN</t>
        </is>
      </c>
      <c r="G588" t="inlineStr">
        <is>
          <t>OCKELBO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46251</v>
      </c>
      <c r="F589" t="inlineStr">
        <is>
          <t>GÄVLEBORGS LÄN</t>
        </is>
      </c>
      <c r="G589" t="inlineStr">
        <is>
          <t>OCKELBO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46251</v>
      </c>
      <c r="F590" t="inlineStr">
        <is>
          <t>GÄVLEBORGS LÄN</t>
        </is>
      </c>
      <c r="G590" t="inlineStr">
        <is>
          <t>OCKELBO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46077</v>
      </c>
      <c r="E591" s="1" t="n">
        <v>46251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öst AB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46251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öst AB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46251</v>
      </c>
      <c r="F593" t="inlineStr">
        <is>
          <t>GÄVLEBORGS LÄN</t>
        </is>
      </c>
      <c r="G593" t="inlineStr">
        <is>
          <t>OCKELBO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46031</v>
      </c>
      <c r="E594" s="1" t="n">
        <v>46251</v>
      </c>
      <c r="F594" t="inlineStr">
        <is>
          <t>GÄVLEBORGS LÄN</t>
        </is>
      </c>
      <c r="G594" t="inlineStr">
        <is>
          <t>OCKELBO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46141</v>
      </c>
      <c r="E595" s="1" t="n">
        <v>46251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46077</v>
      </c>
      <c r="E596" s="1" t="n">
        <v>46251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öst AB</t>
        </is>
      </c>
      <c r="I596" t="n">
        <v>45.7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46251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46125</v>
      </c>
      <c r="E598" s="1" t="n">
        <v>46251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46251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46027</v>
      </c>
      <c r="E600" s="1" t="n">
        <v>46251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46251</v>
      </c>
      <c r="F601" t="inlineStr">
        <is>
          <t>GÄVLEBORGS LÄN</t>
        </is>
      </c>
      <c r="G601" t="inlineStr">
        <is>
          <t>OCKELBO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40218-2023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45169</v>
      </c>
      <c r="E602" s="1" t="n">
        <v>46251</v>
      </c>
      <c r="F602" t="inlineStr">
        <is>
          <t>GÄVLEBORGS LÄN</t>
        </is>
      </c>
      <c r="G602" t="inlineStr">
        <is>
          <t>OCKELBO</t>
        </is>
      </c>
      <c r="I602" t="n">
        <v>13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46251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46251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46251</v>
      </c>
      <c r="F605" t="inlineStr">
        <is>
          <t>GÄVLEBORGS LÄN</t>
        </is>
      </c>
      <c r="G605" t="inlineStr">
        <is>
          <t>OCKELBO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46251</v>
      </c>
      <c r="F606" t="inlineStr">
        <is>
          <t>GÄVLEBORGS LÄN</t>
        </is>
      </c>
      <c r="G606" t="inlineStr">
        <is>
          <t>OCKELBO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46251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46251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46251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46251</v>
      </c>
      <c r="F610" t="inlineStr">
        <is>
          <t>GÄVLEBORGS LÄN</t>
        </is>
      </c>
      <c r="G610" t="inlineStr">
        <is>
          <t>OCKELBO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46251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45048</v>
      </c>
      <c r="E612" s="1" t="n">
        <v>46251</v>
      </c>
      <c r="F612" t="inlineStr">
        <is>
          <t>GÄVLEBORGS LÄN</t>
        </is>
      </c>
      <c r="G612" t="inlineStr">
        <is>
          <t>OCKELBO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46127</v>
      </c>
      <c r="E613" s="1" t="n">
        <v>46251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18097-2026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46125</v>
      </c>
      <c r="E614" s="1" t="n">
        <v>46251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46251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46251</v>
      </c>
      <c r="F616" t="inlineStr">
        <is>
          <t>GÄVLEBORGS LÄN</t>
        </is>
      </c>
      <c r="G616" t="inlineStr">
        <is>
          <t>OCKELBO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15908-2026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46251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öst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46251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46251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46251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46251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46251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öst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37386-2023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46251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46251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46148</v>
      </c>
      <c r="E625" s="1" t="n">
        <v>46251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46251</v>
      </c>
      <c r="F626" t="inlineStr">
        <is>
          <t>GÄVLEBORGS LÄN</t>
        </is>
      </c>
      <c r="G626" t="inlineStr">
        <is>
          <t>OCKELBO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45674</v>
      </c>
      <c r="E627" s="1" t="n">
        <v>46251</v>
      </c>
      <c r="F627" t="inlineStr">
        <is>
          <t>GÄVLEBORGS LÄN</t>
        </is>
      </c>
      <c r="G627" t="inlineStr">
        <is>
          <t>OCKELBO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46251</v>
      </c>
      <c r="F628" t="inlineStr">
        <is>
          <t>GÄVLEBORGS LÄN</t>
        </is>
      </c>
      <c r="G628" t="inlineStr">
        <is>
          <t>OCKELBO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46251</v>
      </c>
      <c r="F629" t="inlineStr">
        <is>
          <t>GÄVLEBORGS LÄN</t>
        </is>
      </c>
      <c r="G629" t="inlineStr">
        <is>
          <t>OCKELBO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45252</v>
      </c>
      <c r="E630" s="1" t="n">
        <v>46251</v>
      </c>
      <c r="F630" t="inlineStr">
        <is>
          <t>GÄVLEBORGS LÄN</t>
        </is>
      </c>
      <c r="G630" t="inlineStr">
        <is>
          <t>OCKELBO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18645-2026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46128</v>
      </c>
      <c r="E631" s="1" t="n">
        <v>46251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46251</v>
      </c>
      <c r="F632" t="inlineStr">
        <is>
          <t>GÄVLEBORGS LÄN</t>
        </is>
      </c>
      <c r="G632" t="inlineStr">
        <is>
          <t>OCKELBO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46251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46251</v>
      </c>
      <c r="F634" t="inlineStr">
        <is>
          <t>GÄVLEBORGS LÄN</t>
        </is>
      </c>
      <c r="G634" t="inlineStr">
        <is>
          <t>OCKELBO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46251</v>
      </c>
      <c r="F635" t="inlineStr">
        <is>
          <t>GÄVLEBORGS LÄN</t>
        </is>
      </c>
      <c r="G635" t="inlineStr">
        <is>
          <t>OCKELBO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46251</v>
      </c>
      <c r="F636" t="inlineStr">
        <is>
          <t>GÄVLEBORGS LÄN</t>
        </is>
      </c>
      <c r="G636" t="inlineStr">
        <is>
          <t>OCKELBO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46088</v>
      </c>
      <c r="E637" s="1" t="n">
        <v>46251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9413-2026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46251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46251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46251</v>
      </c>
      <c r="F640" t="inlineStr">
        <is>
          <t>GÄVLEBORGS LÄN</t>
        </is>
      </c>
      <c r="G640" t="inlineStr">
        <is>
          <t>OCKELBO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43071-2025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45909</v>
      </c>
      <c r="E641" s="1" t="n">
        <v>46251</v>
      </c>
      <c r="F641" t="inlineStr">
        <is>
          <t>GÄVLEBORGS LÄN</t>
        </is>
      </c>
      <c r="G641" t="inlineStr">
        <is>
          <t>OCKELBO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58718-2025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46251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46251</v>
      </c>
      <c r="F643" t="inlineStr">
        <is>
          <t>GÄVLEBORGS LÄN</t>
        </is>
      </c>
      <c r="G643" t="inlineStr">
        <is>
          <t>OCKELBO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46251</v>
      </c>
      <c r="F644" t="inlineStr">
        <is>
          <t>GÄVLEBORGS LÄN</t>
        </is>
      </c>
      <c r="G644" t="inlineStr">
        <is>
          <t>OCKELBO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46251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46251</v>
      </c>
      <c r="F646" t="inlineStr">
        <is>
          <t>GÄVLEBORGS LÄN</t>
        </is>
      </c>
      <c r="G646" t="inlineStr">
        <is>
          <t>OCKELBO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8408-2026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46251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46251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46251</v>
      </c>
      <c r="F649" t="inlineStr">
        <is>
          <t>GÄVLEBORGS LÄN</t>
        </is>
      </c>
      <c r="G649" t="inlineStr">
        <is>
          <t>OCKELBO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46251</v>
      </c>
      <c r="F650" t="inlineStr">
        <is>
          <t>GÄVLEBORGS LÄN</t>
        </is>
      </c>
      <c r="G650" t="inlineStr">
        <is>
          <t>OCKELBO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46251</v>
      </c>
      <c r="F651" t="inlineStr">
        <is>
          <t>GÄVLEBORGS LÄN</t>
        </is>
      </c>
      <c r="G651" t="inlineStr">
        <is>
          <t>OCKELBO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46251</v>
      </c>
      <c r="F652" t="inlineStr">
        <is>
          <t>GÄVLEBORGS LÄN</t>
        </is>
      </c>
      <c r="G652" t="inlineStr">
        <is>
          <t>OCKELBO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46251</v>
      </c>
      <c r="F653" t="inlineStr">
        <is>
          <t>GÄVLEBORGS LÄN</t>
        </is>
      </c>
      <c r="G653" t="inlineStr">
        <is>
          <t>OCKELBO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46251</v>
      </c>
      <c r="F654" t="inlineStr">
        <is>
          <t>GÄVLEBORGS LÄN</t>
        </is>
      </c>
      <c r="G654" t="inlineStr">
        <is>
          <t>OCKELBO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46044</v>
      </c>
      <c r="E655" s="1" t="n">
        <v>46251</v>
      </c>
      <c r="F655" t="inlineStr">
        <is>
          <t>GÄVLEBORGS LÄN</t>
        </is>
      </c>
      <c r="G655" t="inlineStr">
        <is>
          <t>OCKELBO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46251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46251</v>
      </c>
      <c r="F657" t="inlineStr">
        <is>
          <t>GÄVLEBORGS LÄN</t>
        </is>
      </c>
      <c r="G657" t="inlineStr">
        <is>
          <t>OCKELBO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46251</v>
      </c>
      <c r="F658" t="inlineStr">
        <is>
          <t>GÄVLEBORGS LÄN</t>
        </is>
      </c>
      <c r="G658" t="inlineStr">
        <is>
          <t>OCKELBO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46251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46251</v>
      </c>
      <c r="F660" t="inlineStr">
        <is>
          <t>GÄVLEBORGS LÄN</t>
        </is>
      </c>
      <c r="G660" t="inlineStr">
        <is>
          <t>OCKELBO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46251</v>
      </c>
      <c r="F661" t="inlineStr">
        <is>
          <t>GÄVLEBORGS LÄN</t>
        </is>
      </c>
      <c r="G661" t="inlineStr">
        <is>
          <t>OCKELBO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46251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23040-2026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46161</v>
      </c>
      <c r="E663" s="1" t="n">
        <v>46251</v>
      </c>
      <c r="F663" t="inlineStr">
        <is>
          <t>GÄVLEBORGS LÄN</t>
        </is>
      </c>
      <c r="G663" t="inlineStr">
        <is>
          <t>OCKELBO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46161</v>
      </c>
      <c r="E664" s="1" t="n">
        <v>46251</v>
      </c>
      <c r="F664" t="inlineStr">
        <is>
          <t>GÄVLEBORGS LÄN</t>
        </is>
      </c>
      <c r="G664" t="inlineStr">
        <is>
          <t>OCKELBO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45156</v>
      </c>
      <c r="E665" s="1" t="n">
        <v>46251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46251</v>
      </c>
      <c r="F666" t="inlineStr">
        <is>
          <t>GÄVLEBORGS LÄN</t>
        </is>
      </c>
      <c r="G666" t="inlineStr">
        <is>
          <t>OCKELBO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20775-2025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45776</v>
      </c>
      <c r="E667" s="1" t="n">
        <v>46251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46251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17.6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23513-2026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46163</v>
      </c>
      <c r="E669" s="1" t="n">
        <v>46251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46251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46251</v>
      </c>
      <c r="F671" t="inlineStr">
        <is>
          <t>GÄVLEBORGS LÄN</t>
        </is>
      </c>
      <c r="G671" t="inlineStr">
        <is>
          <t>OCKELBO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52273-2024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45608</v>
      </c>
      <c r="E673" s="1" t="n">
        <v>46251</v>
      </c>
      <c r="F673" t="inlineStr">
        <is>
          <t>GÄVLEBORGS LÄN</t>
        </is>
      </c>
      <c r="G673" t="inlineStr">
        <is>
          <t>OCKELBO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54323-2024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45617</v>
      </c>
      <c r="E674" s="1" t="n">
        <v>46251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46251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46044</v>
      </c>
      <c r="E676" s="1" t="n">
        <v>46251</v>
      </c>
      <c r="F676" t="inlineStr">
        <is>
          <t>GÄVLEBORGS LÄN</t>
        </is>
      </c>
      <c r="G676" t="inlineStr">
        <is>
          <t>OCKELBO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48804-2024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45593</v>
      </c>
      <c r="E677" s="1" t="n">
        <v>46251</v>
      </c>
      <c r="F677" t="inlineStr">
        <is>
          <t>GÄVLEBORGS LÄN</t>
        </is>
      </c>
      <c r="G677" t="inlineStr">
        <is>
          <t>OCKELBO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45041</v>
      </c>
      <c r="E678" s="1" t="n">
        <v>46251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24063-2026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46251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45258</v>
      </c>
      <c r="E680" s="1" t="n">
        <v>46251</v>
      </c>
      <c r="F680" t="inlineStr">
        <is>
          <t>GÄVLEBORGS LÄN</t>
        </is>
      </c>
      <c r="G680" t="inlineStr">
        <is>
          <t>OCKELBO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46251</v>
      </c>
      <c r="F681" t="inlineStr">
        <is>
          <t>GÄVLEBORGS LÄN</t>
        </is>
      </c>
      <c r="G681" t="inlineStr">
        <is>
          <t>OCKELBO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46251</v>
      </c>
      <c r="F682" t="inlineStr">
        <is>
          <t>GÄVLEBORGS LÄN</t>
        </is>
      </c>
      <c r="G682" t="inlineStr">
        <is>
          <t>OCKELBO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46251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22387-2025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46251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46251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23780-2024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46251</v>
      </c>
      <c r="F686" t="inlineStr">
        <is>
          <t>GÄVLEBORGS LÄN</t>
        </is>
      </c>
      <c r="G686" t="inlineStr">
        <is>
          <t>OCKELBO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46251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45478</v>
      </c>
      <c r="E688" s="1" t="n">
        <v>46251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46251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46169</v>
      </c>
      <c r="E690" s="1" t="n">
        <v>46251</v>
      </c>
      <c r="F690" t="inlineStr">
        <is>
          <t>GÄVLEBORGS LÄN</t>
        </is>
      </c>
      <c r="G690" t="inlineStr">
        <is>
          <t>OCKELBO</t>
        </is>
      </c>
      <c r="I690" t="n">
        <v>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28181-2022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44746</v>
      </c>
      <c r="E691" s="1" t="n">
        <v>46251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46085</v>
      </c>
      <c r="E692" s="1" t="n">
        <v>46251</v>
      </c>
      <c r="F692" t="inlineStr">
        <is>
          <t>GÄVLEBORGS LÄN</t>
        </is>
      </c>
      <c r="G692" t="inlineStr">
        <is>
          <t>OCKELBO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53137-2024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45611</v>
      </c>
      <c r="E693" s="1" t="n">
        <v>46251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46023</v>
      </c>
      <c r="E694" s="1" t="n">
        <v>46251</v>
      </c>
      <c r="F694" t="inlineStr">
        <is>
          <t>GÄVLEBORGS LÄN</t>
        </is>
      </c>
      <c r="G694" t="inlineStr">
        <is>
          <t>OCKELBO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24567-2026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46251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46251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54944-2025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45967</v>
      </c>
      <c r="E697" s="1" t="n">
        <v>46251</v>
      </c>
      <c r="F697" t="inlineStr">
        <is>
          <t>GÄVLEBORGS LÄN</t>
        </is>
      </c>
      <c r="G697" t="inlineStr">
        <is>
          <t>OCKELBO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23004-2025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45790</v>
      </c>
      <c r="E698" s="1" t="n">
        <v>46251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48803-2024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45593</v>
      </c>
      <c r="E699" s="1" t="n">
        <v>46251</v>
      </c>
      <c r="F699" t="inlineStr">
        <is>
          <t>GÄVLEBORGS LÄN</t>
        </is>
      </c>
      <c r="G699" t="inlineStr">
        <is>
          <t>OCKELBO</t>
        </is>
      </c>
      <c r="I699" t="n">
        <v>9.4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24451-2026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46251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46170</v>
      </c>
      <c r="E701" s="1" t="n">
        <v>46251</v>
      </c>
      <c r="F701" t="inlineStr">
        <is>
          <t>GÄVLEBORGS LÄN</t>
        </is>
      </c>
      <c r="G701" t="inlineStr">
        <is>
          <t>OCKELBO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45776</v>
      </c>
      <c r="E702" s="1" t="n">
        <v>46251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46251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46251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46251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64924-2023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45282</v>
      </c>
      <c r="E706" s="1" t="n">
        <v>46251</v>
      </c>
      <c r="F706" t="inlineStr">
        <is>
          <t>GÄVLEBORGS LÄN</t>
        </is>
      </c>
      <c r="G706" t="inlineStr">
        <is>
          <t>OCKELBO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46251</v>
      </c>
      <c r="F707" t="inlineStr">
        <is>
          <t>GÄVLEBORGS LÄN</t>
        </is>
      </c>
      <c r="G707" t="inlineStr">
        <is>
          <t>OCKELBO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46251</v>
      </c>
      <c r="F708" t="inlineStr">
        <is>
          <t>GÄVLEBORGS LÄN</t>
        </is>
      </c>
      <c r="G708" t="inlineStr">
        <is>
          <t>OCKELBO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46251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45434</v>
      </c>
      <c r="E710" s="1" t="n">
        <v>46251</v>
      </c>
      <c r="F710" t="inlineStr">
        <is>
          <t>GÄVLEBORGS LÄN</t>
        </is>
      </c>
      <c r="G710" t="inlineStr">
        <is>
          <t>OCKELBO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46251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46175</v>
      </c>
      <c r="E712" s="1" t="n">
        <v>46251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55011-2024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45621</v>
      </c>
      <c r="E713" s="1" t="n">
        <v>46251</v>
      </c>
      <c r="F713" t="inlineStr">
        <is>
          <t>GÄVLEBORGS LÄN</t>
        </is>
      </c>
      <c r="G713" t="inlineStr">
        <is>
          <t>OCKELBO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15403-2022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44659</v>
      </c>
      <c r="E714" s="1" t="n">
        <v>46251</v>
      </c>
      <c r="F714" t="inlineStr">
        <is>
          <t>GÄVLEBORGS LÄN</t>
        </is>
      </c>
      <c r="G714" t="inlineStr">
        <is>
          <t>OCKELBO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26085-2024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45468</v>
      </c>
      <c r="E715" s="1" t="n">
        <v>46251</v>
      </c>
      <c r="F715" t="inlineStr">
        <is>
          <t>GÄVLEBORGS LÄN</t>
        </is>
      </c>
      <c r="G715" t="inlineStr">
        <is>
          <t>OCKELBO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16752-2025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45754</v>
      </c>
      <c r="E716" s="1" t="n">
        <v>46251</v>
      </c>
      <c r="F716" t="inlineStr">
        <is>
          <t>GÄVLEBORGS LÄN</t>
        </is>
      </c>
      <c r="G716" t="inlineStr">
        <is>
          <t>OCKELBO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31277-2026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46218</v>
      </c>
      <c r="E717" s="1" t="n">
        <v>46251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46251</v>
      </c>
      <c r="F718" t="inlineStr">
        <is>
          <t>GÄVLEBORGS LÄN</t>
        </is>
      </c>
      <c r="G718" t="inlineStr">
        <is>
          <t>OCKELBO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15502-2025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45747</v>
      </c>
      <c r="E719" s="1" t="n">
        <v>46251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49470-2024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45596</v>
      </c>
      <c r="E720" s="1" t="n">
        <v>46251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46251</v>
      </c>
      <c r="F721" t="inlineStr">
        <is>
          <t>GÄVLEBORGS LÄN</t>
        </is>
      </c>
      <c r="G721" t="inlineStr">
        <is>
          <t>OCKELBO</t>
        </is>
      </c>
      <c r="I721" t="n">
        <v>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7276-2023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44970</v>
      </c>
      <c r="E722" s="1" t="n">
        <v>46251</v>
      </c>
      <c r="F722" t="inlineStr">
        <is>
          <t>GÄVLEBORGS LÄN</t>
        </is>
      </c>
      <c r="G722" t="inlineStr">
        <is>
          <t>OCKELBO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61732-2024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45649</v>
      </c>
      <c r="E723" s="1" t="n">
        <v>46251</v>
      </c>
      <c r="F723" t="inlineStr">
        <is>
          <t>GÄVLEBORGS LÄN</t>
        </is>
      </c>
      <c r="G723" t="inlineStr">
        <is>
          <t>OCKELBO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46251</v>
      </c>
      <c r="F724" t="inlineStr">
        <is>
          <t>GÄVLEBORGS LÄN</t>
        </is>
      </c>
      <c r="G724" t="inlineStr">
        <is>
          <t>OCKELBO</t>
        </is>
      </c>
      <c r="I724" t="n">
        <v>6.2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50968-2024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46251</v>
      </c>
      <c r="F725" t="inlineStr">
        <is>
          <t>GÄVLEBORGS LÄN</t>
        </is>
      </c>
      <c r="G725" t="inlineStr">
        <is>
          <t>OCKELBO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46251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9.4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45800</v>
      </c>
      <c r="E727" s="1" t="n">
        <v>46251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25250-2025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45800</v>
      </c>
      <c r="E728" s="1" t="n">
        <v>46251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45800</v>
      </c>
      <c r="E729" s="1" t="n">
        <v>46251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45800</v>
      </c>
      <c r="E730" s="1" t="n">
        <v>46251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25233-2025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45800</v>
      </c>
      <c r="E731" s="1" t="n">
        <v>46251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25234-2025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45800</v>
      </c>
      <c r="E732" s="1" t="n">
        <v>46251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46251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46251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22952-2023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45072</v>
      </c>
      <c r="E735" s="1" t="n">
        <v>46251</v>
      </c>
      <c r="F735" t="inlineStr">
        <is>
          <t>GÄVLEBORGS LÄN</t>
        </is>
      </c>
      <c r="G735" t="inlineStr">
        <is>
          <t>OCKELBO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25640-2025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45803</v>
      </c>
      <c r="E736" s="1" t="n">
        <v>46251</v>
      </c>
      <c r="F736" t="inlineStr">
        <is>
          <t>GÄVLEBORGS LÄN</t>
        </is>
      </c>
      <c r="G736" t="inlineStr">
        <is>
          <t>OCKELBO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45620</v>
      </c>
      <c r="E737" s="1" t="n">
        <v>46251</v>
      </c>
      <c r="F737" t="inlineStr">
        <is>
          <t>GÄVLEBORGS LÄN</t>
        </is>
      </c>
      <c r="G737" t="inlineStr">
        <is>
          <t>OCKELBO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49529-2024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45596</v>
      </c>
      <c r="E738" s="1" t="n">
        <v>46251</v>
      </c>
      <c r="F738" t="inlineStr">
        <is>
          <t>GÄVLEBORGS LÄN</t>
        </is>
      </c>
      <c r="G738" t="inlineStr">
        <is>
          <t>OCKELBO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6568-2024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45341</v>
      </c>
      <c r="E739" s="1" t="n">
        <v>46251</v>
      </c>
      <c r="F739" t="inlineStr">
        <is>
          <t>GÄVLEBORGS LÄN</t>
        </is>
      </c>
      <c r="G739" t="inlineStr">
        <is>
          <t>OCKELBO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46224</v>
      </c>
      <c r="E740" s="1" t="n">
        <v>46251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46251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26195-2025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45805</v>
      </c>
      <c r="E742" s="1" t="n">
        <v>46251</v>
      </c>
      <c r="F742" t="inlineStr">
        <is>
          <t>GÄVLEBORGS LÄN</t>
        </is>
      </c>
      <c r="G742" t="inlineStr">
        <is>
          <t>OCKELBO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46251</v>
      </c>
      <c r="F743" t="inlineStr">
        <is>
          <t>GÄVLEBORGS LÄN</t>
        </is>
      </c>
      <c r="G743" t="inlineStr">
        <is>
          <t>OCKELBO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50194-2024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45600</v>
      </c>
      <c r="E744" s="1" t="n">
        <v>46251</v>
      </c>
      <c r="F744" t="inlineStr">
        <is>
          <t>GÄVLEBORGS LÄN</t>
        </is>
      </c>
      <c r="G744" t="inlineStr">
        <is>
          <t>OCKELBO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46224</v>
      </c>
      <c r="E745" s="1" t="n">
        <v>46251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46156</v>
      </c>
      <c r="E746" s="1" t="n">
        <v>46251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54309-2024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46251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45817</v>
      </c>
      <c r="E748" s="1" t="n">
        <v>46251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42585-2023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45181</v>
      </c>
      <c r="E749" s="1" t="n">
        <v>46251</v>
      </c>
      <c r="F749" t="inlineStr">
        <is>
          <t>GÄVLEBORGS LÄN</t>
        </is>
      </c>
      <c r="G749" t="inlineStr">
        <is>
          <t>OCKELBO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56352-2024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45624</v>
      </c>
      <c r="E750" s="1" t="n">
        <v>46251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42313-2023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46251</v>
      </c>
      <c r="F751" t="inlineStr">
        <is>
          <t>GÄVLEBORGS LÄN</t>
        </is>
      </c>
      <c r="G751" t="inlineStr">
        <is>
          <t>OCKELBO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46251</v>
      </c>
      <c r="F752" t="inlineStr">
        <is>
          <t>GÄVLEBORGS LÄN</t>
        </is>
      </c>
      <c r="G752" t="inlineStr">
        <is>
          <t>OCKELBO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28006-2025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45817</v>
      </c>
      <c r="E753" s="1" t="n">
        <v>46251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46251</v>
      </c>
      <c r="F754" t="inlineStr">
        <is>
          <t>GÄVLEBORGS LÄN</t>
        </is>
      </c>
      <c r="G754" t="inlineStr">
        <is>
          <t>OCKELBO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45817</v>
      </c>
      <c r="E755" s="1" t="n">
        <v>46251</v>
      </c>
      <c r="F755" t="inlineStr">
        <is>
          <t>GÄVLEBORGS LÄN</t>
        </is>
      </c>
      <c r="G755" t="inlineStr">
        <is>
          <t>OCKELBO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28576-2025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45819</v>
      </c>
      <c r="E756" s="1" t="n">
        <v>46251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45819</v>
      </c>
      <c r="E757" s="1" t="n">
        <v>46251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46251</v>
      </c>
      <c r="F758" t="inlineStr">
        <is>
          <t>GÄVLEBORGS LÄN</t>
        </is>
      </c>
      <c r="G758" t="inlineStr">
        <is>
          <t>OCKELBO</t>
        </is>
      </c>
      <c r="I758" t="n">
        <v>14.6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46251</v>
      </c>
      <c r="F759" t="inlineStr">
        <is>
          <t>GÄVLEBORGS LÄN</t>
        </is>
      </c>
      <c r="G759" t="inlineStr">
        <is>
          <t>OCKELBO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29274-2025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45824</v>
      </c>
      <c r="E760" s="1" t="n">
        <v>46251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60915-2024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46251</v>
      </c>
      <c r="F761" t="inlineStr">
        <is>
          <t>GÄVLEBORGS LÄN</t>
        </is>
      </c>
      <c r="G761" t="inlineStr">
        <is>
          <t>OCKELBO</t>
        </is>
      </c>
      <c r="H761" t="inlineStr">
        <is>
          <t>Kyrkan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46251</v>
      </c>
      <c r="F762" t="inlineStr">
        <is>
          <t>GÄVLEBORGS LÄN</t>
        </is>
      </c>
      <c r="G762" t="inlineStr">
        <is>
          <t>OCKELBO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29158-2025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45821</v>
      </c>
      <c r="E763" s="1" t="n">
        <v>46251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46230</v>
      </c>
      <c r="E764" s="1" t="n">
        <v>46251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46189</v>
      </c>
      <c r="E765" s="1" t="n">
        <v>46251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27381-2026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46251</v>
      </c>
      <c r="F766" t="inlineStr">
        <is>
          <t>GÄVLEBORGS LÄN</t>
        </is>
      </c>
      <c r="G766" t="inlineStr">
        <is>
          <t>OCKELBO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46251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46076</v>
      </c>
      <c r="E768" s="1" t="n">
        <v>46251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30331-2025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45827</v>
      </c>
      <c r="E769" s="1" t="n">
        <v>46251</v>
      </c>
      <c r="F769" t="inlineStr">
        <is>
          <t>GÄVLEBORGS LÄN</t>
        </is>
      </c>
      <c r="G769" t="inlineStr">
        <is>
          <t>OCKELBO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30229-2025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46251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46251</v>
      </c>
      <c r="F771" t="inlineStr">
        <is>
          <t>GÄVLEBORGS LÄN</t>
        </is>
      </c>
      <c r="G771" t="inlineStr">
        <is>
          <t>OCKELBO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30152-2025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45827</v>
      </c>
      <c r="E772" s="1" t="n">
        <v>46251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30179-2025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45827</v>
      </c>
      <c r="E773" s="1" t="n">
        <v>46251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45152</v>
      </c>
      <c r="E774" s="1" t="n">
        <v>46251</v>
      </c>
      <c r="F774" t="inlineStr">
        <is>
          <t>GÄVLEBORGS LÄN</t>
        </is>
      </c>
      <c r="G774" t="inlineStr">
        <is>
          <t>OCKELBO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46251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46189</v>
      </c>
      <c r="E776" s="1" t="n">
        <v>46251</v>
      </c>
      <c r="F776" t="inlineStr">
        <is>
          <t>GÄVLEBORGS LÄN</t>
        </is>
      </c>
      <c r="G776" t="inlineStr">
        <is>
          <t>OCKELBO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46189</v>
      </c>
      <c r="E777" s="1" t="n">
        <v>46251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57614-2025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45981</v>
      </c>
      <c r="E778" s="1" t="n">
        <v>46251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19762-2024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45432</v>
      </c>
      <c r="E779" s="1" t="n">
        <v>46251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46251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46251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45441</v>
      </c>
      <c r="E782" s="1" t="n">
        <v>46251</v>
      </c>
      <c r="F782" t="inlineStr">
        <is>
          <t>GÄVLEBORGS LÄN</t>
        </is>
      </c>
      <c r="G782" t="inlineStr">
        <is>
          <t>OCKELBO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46055</v>
      </c>
      <c r="E783" s="1" t="n">
        <v>46251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46190</v>
      </c>
      <c r="E784" s="1" t="n">
        <v>46251</v>
      </c>
      <c r="F784" t="inlineStr">
        <is>
          <t>GÄVLEBORGS LÄN</t>
        </is>
      </c>
      <c r="G784" t="inlineStr">
        <is>
          <t>OCKELBO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46251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45671</v>
      </c>
      <c r="E786" s="1" t="n">
        <v>46251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32449-2025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45838</v>
      </c>
      <c r="E787" s="1" t="n">
        <v>46251</v>
      </c>
      <c r="F787" t="inlineStr">
        <is>
          <t>GÄVLEBORGS LÄN</t>
        </is>
      </c>
      <c r="G787" t="inlineStr">
        <is>
          <t>OCKELBO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46251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46251</v>
      </c>
      <c r="F789" t="inlineStr">
        <is>
          <t>GÄVLEBORGS LÄN</t>
        </is>
      </c>
      <c r="G789" t="inlineStr">
        <is>
          <t>OCKELBO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46191</v>
      </c>
      <c r="E790" s="1" t="n">
        <v>46251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17548-2025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45757</v>
      </c>
      <c r="E791" s="1" t="n">
        <v>46251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46251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45840</v>
      </c>
      <c r="E793" s="1" t="n">
        <v>46251</v>
      </c>
      <c r="F793" t="inlineStr">
        <is>
          <t>GÄVLEBORGS LÄN</t>
        </is>
      </c>
      <c r="G793" t="inlineStr">
        <is>
          <t>OCKELBO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7478-2025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45705</v>
      </c>
      <c r="E794" s="1" t="n">
        <v>46251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46251</v>
      </c>
      <c r="F795" t="inlineStr">
        <is>
          <t>GÄVLEBORGS LÄN</t>
        </is>
      </c>
      <c r="G795" t="inlineStr">
        <is>
          <t>OCKELBO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44643</v>
      </c>
      <c r="E796" s="1" t="n">
        <v>46251</v>
      </c>
      <c r="F796" t="inlineStr">
        <is>
          <t>GÄVLEBORGS LÄN</t>
        </is>
      </c>
      <c r="G796" t="inlineStr">
        <is>
          <t>OCKELBO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46195</v>
      </c>
      <c r="E797" s="1" t="n">
        <v>46251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30011-2023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45109</v>
      </c>
      <c r="E798" s="1" t="n">
        <v>46251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46251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10149-2025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45719</v>
      </c>
      <c r="E800" s="1" t="n">
        <v>46251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45073</v>
      </c>
      <c r="E801" s="1" t="n">
        <v>46251</v>
      </c>
      <c r="F801" t="inlineStr">
        <is>
          <t>GÄVLEBORGS LÄN</t>
        </is>
      </c>
      <c r="G801" t="inlineStr">
        <is>
          <t>OCKELBO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46251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46251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35017-2025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45851</v>
      </c>
      <c r="E804" s="1" t="n">
        <v>46251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27.8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46251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28681-2026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46251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46251</v>
      </c>
      <c r="F807" t="inlineStr">
        <is>
          <t>GÄVLEBORGS LÄN</t>
        </is>
      </c>
      <c r="G807" t="inlineStr">
        <is>
          <t>OCKELBO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46251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46251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46251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46251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46251</v>
      </c>
      <c r="F812" t="inlineStr">
        <is>
          <t>GÄVLEBORGS LÄN</t>
        </is>
      </c>
      <c r="G812" t="inlineStr">
        <is>
          <t>OCKELBO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33176-2026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46245</v>
      </c>
      <c r="E813" s="1" t="n">
        <v>46251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46223</v>
      </c>
      <c r="E814" s="1" t="n">
        <v>46251</v>
      </c>
      <c r="F814" t="inlineStr">
        <is>
          <t>GÄVLEBORGS LÄN</t>
        </is>
      </c>
      <c r="G814" t="inlineStr">
        <is>
          <t>OCKELBO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46223</v>
      </c>
      <c r="E815" s="1" t="n">
        <v>46251</v>
      </c>
      <c r="F815" t="inlineStr">
        <is>
          <t>GÄVLEBORGS LÄN</t>
        </is>
      </c>
      <c r="G815" t="inlineStr">
        <is>
          <t>OCKELBO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29386-2026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46203</v>
      </c>
      <c r="E816" s="1" t="n">
        <v>46251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46251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46203</v>
      </c>
      <c r="E818" s="1" t="n">
        <v>46251</v>
      </c>
      <c r="F818" t="inlineStr">
        <is>
          <t>GÄVLEBORGS LÄN</t>
        </is>
      </c>
      <c r="G818" t="inlineStr">
        <is>
          <t>OCKELBO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29835-2026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46251</v>
      </c>
      <c r="F819" t="inlineStr">
        <is>
          <t>GÄVLEBORGS LÄN</t>
        </is>
      </c>
      <c r="G819" t="inlineStr">
        <is>
          <t>OCKELBO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46251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46251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46251</v>
      </c>
      <c r="F822" t="inlineStr">
        <is>
          <t>GÄVLEBORGS LÄN</t>
        </is>
      </c>
      <c r="G822" t="inlineStr">
        <is>
          <t>OCKELBO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46251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46251</v>
      </c>
      <c r="F824" t="inlineStr">
        <is>
          <t>GÄVLEBORGS LÄN</t>
        </is>
      </c>
      <c r="G824" t="inlineStr">
        <is>
          <t>OCKELBO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46251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46251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46251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46251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46251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46251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46251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46251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46251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46251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2026-08-17T01:44:51Z</dcterms:created>
  <dcterms:modified xmlns:dcterms="http://purl.org/dc/terms/" xmlns:xsi="http://www.w3.org/2001/XMLSchema-instance" xsi:type="dcterms:W3CDTF">2026-08-17T01:44:52Z</dcterms:modified>
</cp:coreProperties>
</file>