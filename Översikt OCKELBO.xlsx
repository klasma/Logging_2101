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46142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46142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46142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46142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38086-2024</t>
        </is>
      </c>
      <c r="B6" s="1" t="n">
        <v>45545</v>
      </c>
      <c r="C6" s="1" t="n">
        <v>46142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Skrovlig taggsvamp
Svartvit taggsvamp
Tallriska
Dropptaggsvamp
Revlummer</t>
        </is>
      </c>
      <c r="S6">
        <f>HYPERLINK("https://klasma.github.io/Logging_2101/artfynd/A 38086-2024 artfynd.xlsx", "A 38086-2024")</f>
        <v/>
      </c>
      <c r="T6">
        <f>HYPERLINK("https://klasma.github.io/Logging_2101/kartor/A 38086-2024 karta.png", "A 38086-2024")</f>
        <v/>
      </c>
      <c r="V6">
        <f>HYPERLINK("https://klasma.github.io/Logging_2101/klagomål/A 38086-2024 FSC-klagomål.docx", "A 38086-2024")</f>
        <v/>
      </c>
      <c r="W6">
        <f>HYPERLINK("https://klasma.github.io/Logging_2101/klagomålsmail/A 38086-2024 FSC-klagomål mail.docx", "A 38086-2024")</f>
        <v/>
      </c>
      <c r="X6">
        <f>HYPERLINK("https://klasma.github.io/Logging_2101/tillsyn/A 38086-2024 tillsynsbegäran.docx", "A 38086-2024")</f>
        <v/>
      </c>
      <c r="Y6">
        <f>HYPERLINK("https://klasma.github.io/Logging_2101/tillsynsmail/A 38086-2024 tillsynsbegäran mail.docx", "A 38086-2024")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46142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46142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46142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46142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46142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46142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35610-2025</t>
        </is>
      </c>
      <c r="B13" s="1" t="n">
        <v>45859.35157407408</v>
      </c>
      <c r="C13" s="1" t="n">
        <v>46142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Vedskivlav
Dropptaggsvamp</t>
        </is>
      </c>
      <c r="S13">
        <f>HYPERLINK("https://klasma.github.io/Logging_2101/artfynd/A 35610-2025 artfynd.xlsx", "A 35610-2025")</f>
        <v/>
      </c>
      <c r="T13">
        <f>HYPERLINK("https://klasma.github.io/Logging_2101/kartor/A 35610-2025 karta.png", "A 35610-2025")</f>
        <v/>
      </c>
      <c r="V13">
        <f>HYPERLINK("https://klasma.github.io/Logging_2101/klagomål/A 35610-2025 FSC-klagomål.docx", "A 35610-2025")</f>
        <v/>
      </c>
      <c r="W13">
        <f>HYPERLINK("https://klasma.github.io/Logging_2101/klagomålsmail/A 35610-2025 FSC-klagomål mail.docx", "A 35610-2025")</f>
        <v/>
      </c>
      <c r="X13">
        <f>HYPERLINK("https://klasma.github.io/Logging_2101/tillsyn/A 35610-2025 tillsynsbegäran.docx", "A 35610-2025")</f>
        <v/>
      </c>
      <c r="Y13">
        <f>HYPERLINK("https://klasma.github.io/Logging_2101/tillsynsmail/A 35610-2025 tillsynsbegäran mail.docx", "A 35610-2025")</f>
        <v/>
      </c>
    </row>
    <row r="14" ht="15" customHeight="1">
      <c r="A14" t="inlineStr">
        <is>
          <t>A 18253-2026</t>
        </is>
      </c>
      <c r="B14" s="1" t="n">
        <v>46126</v>
      </c>
      <c r="C14" s="1" t="n">
        <v>46142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Vårärt
Nattviol
Blåsippa</t>
        </is>
      </c>
      <c r="S14">
        <f>HYPERLINK("https://klasma.github.io/Logging_2101/artfynd/A 18253-2026 artfynd.xlsx", "A 18253-2026")</f>
        <v/>
      </c>
      <c r="T14">
        <f>HYPERLINK("https://klasma.github.io/Logging_2101/kartor/A 18253-2026 karta.png", "A 18253-2026")</f>
        <v/>
      </c>
      <c r="V14">
        <f>HYPERLINK("https://klasma.github.io/Logging_2101/klagomål/A 18253-2026 FSC-klagomål.docx", "A 18253-2026")</f>
        <v/>
      </c>
      <c r="W14">
        <f>HYPERLINK("https://klasma.github.io/Logging_2101/klagomålsmail/A 18253-2026 FSC-klagomål mail.docx", "A 18253-2026")</f>
        <v/>
      </c>
      <c r="X14">
        <f>HYPERLINK("https://klasma.github.io/Logging_2101/tillsyn/A 18253-2026 tillsynsbegäran.docx", "A 18253-2026")</f>
        <v/>
      </c>
      <c r="Y14">
        <f>HYPERLINK("https://klasma.github.io/Logging_2101/tillsynsmail/A 18253-2026 tillsynsbegäran mail.docx", "A 18253-2026")</f>
        <v/>
      </c>
    </row>
    <row r="15" ht="15" customHeight="1">
      <c r="A15" t="inlineStr">
        <is>
          <t>A 14671-2026</t>
        </is>
      </c>
      <c r="B15" s="1" t="n">
        <v>46101</v>
      </c>
      <c r="C15" s="1" t="n">
        <v>46142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Kortskaftad ärgspik
Motaggsvamp
Tjäder</t>
        </is>
      </c>
      <c r="S15">
        <f>HYPERLINK("https://klasma.github.io/Logging_2101/artfynd/A 14671-2026 artfynd.xlsx", "A 14671-2026")</f>
        <v/>
      </c>
      <c r="T15">
        <f>HYPERLINK("https://klasma.github.io/Logging_2101/kartor/A 14671-2026 karta.png", "A 14671-2026")</f>
        <v/>
      </c>
      <c r="V15">
        <f>HYPERLINK("https://klasma.github.io/Logging_2101/klagomål/A 14671-2026 FSC-klagomål.docx", "A 14671-2026")</f>
        <v/>
      </c>
      <c r="W15">
        <f>HYPERLINK("https://klasma.github.io/Logging_2101/klagomålsmail/A 14671-2026 FSC-klagomål mail.docx", "A 14671-2026")</f>
        <v/>
      </c>
      <c r="X15">
        <f>HYPERLINK("https://klasma.github.io/Logging_2101/tillsyn/A 14671-2026 tillsynsbegäran.docx", "A 14671-2026")</f>
        <v/>
      </c>
      <c r="Y15">
        <f>HYPERLINK("https://klasma.github.io/Logging_2101/tillsynsmail/A 14671-2026 tillsynsbegäran mail.docx", "A 14671-2026")</f>
        <v/>
      </c>
      <c r="Z15">
        <f>HYPERLINK("https://klasma.github.io/Logging_2101/fåglar/A 14671-2026 prioriterade fågelarter.docx", "A 14671-2026")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46142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8591-2026</t>
        </is>
      </c>
      <c r="B17" s="1" t="n">
        <v>46065</v>
      </c>
      <c r="C17" s="1" t="n">
        <v>46142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kolflarnlav
Vedskivlav</t>
        </is>
      </c>
      <c r="S17">
        <f>HYPERLINK("https://klasma.github.io/Logging_2101/artfynd/A 8591-2026 artfynd.xlsx", "A 8591-2026")</f>
        <v/>
      </c>
      <c r="T17">
        <f>HYPERLINK("https://klasma.github.io/Logging_2101/kartor/A 8591-2026 karta.png", "A 8591-2026")</f>
        <v/>
      </c>
      <c r="V17">
        <f>HYPERLINK("https://klasma.github.io/Logging_2101/klagomål/A 8591-2026 FSC-klagomål.docx", "A 8591-2026")</f>
        <v/>
      </c>
      <c r="W17">
        <f>HYPERLINK("https://klasma.github.io/Logging_2101/klagomålsmail/A 8591-2026 FSC-klagomål mail.docx", "A 8591-2026")</f>
        <v/>
      </c>
      <c r="X17">
        <f>HYPERLINK("https://klasma.github.io/Logging_2101/tillsyn/A 8591-2026 tillsynsbegäran.docx", "A 8591-2026")</f>
        <v/>
      </c>
      <c r="Y17">
        <f>HYPERLINK("https://klasma.github.io/Logging_2101/tillsynsmail/A 8591-2026 tillsynsbegäran mail.docx", "A 8591-2026")</f>
        <v/>
      </c>
    </row>
    <row r="18" ht="15" customHeight="1">
      <c r="A18" t="inlineStr">
        <is>
          <t>A 18117-2026</t>
        </is>
      </c>
      <c r="B18" s="1" t="n">
        <v>46125.574375</v>
      </c>
      <c r="C18" s="1" t="n">
        <v>46142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groda
Fläcknycklar</t>
        </is>
      </c>
      <c r="S18">
        <f>HYPERLINK("https://klasma.github.io/Logging_2101/artfynd/A 18117-2026 artfynd.xlsx", "A 18117-2026")</f>
        <v/>
      </c>
      <c r="T18">
        <f>HYPERLINK("https://klasma.github.io/Logging_2101/kartor/A 18117-2026 karta.png", "A 18117-2026")</f>
        <v/>
      </c>
      <c r="V18">
        <f>HYPERLINK("https://klasma.github.io/Logging_2101/klagomål/A 18117-2026 FSC-klagomål.docx", "A 18117-2026")</f>
        <v/>
      </c>
      <c r="W18">
        <f>HYPERLINK("https://klasma.github.io/Logging_2101/klagomålsmail/A 18117-2026 FSC-klagomål mail.docx", "A 18117-2026")</f>
        <v/>
      </c>
      <c r="X18">
        <f>HYPERLINK("https://klasma.github.io/Logging_2101/tillsyn/A 18117-2026 tillsynsbegäran.docx", "A 18117-2026")</f>
        <v/>
      </c>
      <c r="Y18">
        <f>HYPERLINK("https://klasma.github.io/Logging_2101/tillsynsmail/A 18117-2026 tillsynsbegäran mail.docx", "A 18117-2026")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46142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38035-2025</t>
        </is>
      </c>
      <c r="B20" s="1" t="n">
        <v>45882.3721875</v>
      </c>
      <c r="C20" s="1" t="n">
        <v>46142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6.5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Blomkålssvamp
Grönpyrola</t>
        </is>
      </c>
      <c r="S20">
        <f>HYPERLINK("https://klasma.github.io/Logging_2101/artfynd/A 38035-2025 artfynd.xlsx", "A 38035-2025")</f>
        <v/>
      </c>
      <c r="T20">
        <f>HYPERLINK("https://klasma.github.io/Logging_2101/kartor/A 38035-2025 karta.png", "A 38035-2025")</f>
        <v/>
      </c>
      <c r="V20">
        <f>HYPERLINK("https://klasma.github.io/Logging_2101/klagomål/A 38035-2025 FSC-klagomål.docx", "A 38035-2025")</f>
        <v/>
      </c>
      <c r="W20">
        <f>HYPERLINK("https://klasma.github.io/Logging_2101/klagomålsmail/A 38035-2025 FSC-klagomål mail.docx", "A 38035-2025")</f>
        <v/>
      </c>
      <c r="X20">
        <f>HYPERLINK("https://klasma.github.io/Logging_2101/tillsyn/A 38035-2025 tillsynsbegäran.docx", "A 38035-2025")</f>
        <v/>
      </c>
      <c r="Y20">
        <f>HYPERLINK("https://klasma.github.io/Logging_2101/tillsynsmail/A 38035-2025 tillsynsbegäran mail.docx", "A 38035-2025")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46142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46142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31303-2023</t>
        </is>
      </c>
      <c r="B23" s="1" t="n">
        <v>45114.44133101852</v>
      </c>
      <c r="C23" s="1" t="n">
        <v>46142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9.699999999999999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HYPERLINK("https://klasma.github.io/Logging_2101/artfynd/A 31303-2023 artfynd.xlsx", "A 31303-2023")</f>
        <v/>
      </c>
      <c r="T23">
        <f>HYPERLINK("https://klasma.github.io/Logging_2101/kartor/A 31303-2023 karta.png", "A 31303-2023")</f>
        <v/>
      </c>
      <c r="V23">
        <f>HYPERLINK("https://klasma.github.io/Logging_2101/klagomål/A 31303-2023 FSC-klagomål.docx", "A 31303-2023")</f>
        <v/>
      </c>
      <c r="W23">
        <f>HYPERLINK("https://klasma.github.io/Logging_2101/klagomålsmail/A 31303-2023 FSC-klagomål mail.docx", "A 31303-2023")</f>
        <v/>
      </c>
      <c r="X23">
        <f>HYPERLINK("https://klasma.github.io/Logging_2101/tillsyn/A 31303-2023 tillsynsbegäran.docx", "A 31303-2023")</f>
        <v/>
      </c>
      <c r="Y23">
        <f>HYPERLINK("https://klasma.github.io/Logging_2101/tillsynsmail/A 31303-2023 tillsynsbegäran mail.docx", "A 31303-2023")</f>
        <v/>
      </c>
      <c r="Z23">
        <f>HYPERLINK("https://klasma.github.io/Logging_2101/fåglar/A 31303-2023 prioriterade fågelarter.docx", "A 31303-2023")</f>
        <v/>
      </c>
    </row>
    <row r="24" ht="15" customHeight="1">
      <c r="A24" t="inlineStr">
        <is>
          <t>A 3439-2026</t>
        </is>
      </c>
      <c r="B24" s="1" t="n">
        <v>46042</v>
      </c>
      <c r="C24" s="1" t="n">
        <v>46142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58.3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HYPERLINK("https://klasma.github.io/Logging_2101/artfynd/A 3439-2026 artfynd.xlsx", "A 3439-2026")</f>
        <v/>
      </c>
      <c r="T24">
        <f>HYPERLINK("https://klasma.github.io/Logging_2101/kartor/A 3439-2026 karta.png", "A 3439-2026")</f>
        <v/>
      </c>
      <c r="V24">
        <f>HYPERLINK("https://klasma.github.io/Logging_2101/klagomål/A 3439-2026 FSC-klagomål.docx", "A 3439-2026")</f>
        <v/>
      </c>
      <c r="W24">
        <f>HYPERLINK("https://klasma.github.io/Logging_2101/klagomålsmail/A 3439-2026 FSC-klagomål mail.docx", "A 3439-2026")</f>
        <v/>
      </c>
      <c r="X24">
        <f>HYPERLINK("https://klasma.github.io/Logging_2101/tillsyn/A 3439-2026 tillsynsbegäran.docx", "A 3439-2026")</f>
        <v/>
      </c>
      <c r="Y24">
        <f>HYPERLINK("https://klasma.github.io/Logging_2101/tillsynsmail/A 3439-2026 tillsynsbegäran mail.docx", "A 3439-2026")</f>
        <v/>
      </c>
      <c r="Z24">
        <f>HYPERLINK("https://klasma.github.io/Logging_2101/fåglar/A 3439-2026 prioriterade fågelarter.docx", "A 3439-2026")</f>
        <v/>
      </c>
    </row>
    <row r="25" ht="15" customHeight="1">
      <c r="A25" t="inlineStr">
        <is>
          <t>A 4180-2026</t>
        </is>
      </c>
      <c r="B25" s="1" t="n">
        <v>46044.68267361111</v>
      </c>
      <c r="C25" s="1" t="n">
        <v>46142</v>
      </c>
      <c r="D25" t="inlineStr">
        <is>
          <t>GÄVLEBORGS LÄN</t>
        </is>
      </c>
      <c r="E25" t="inlineStr">
        <is>
          <t>OCKELBO</t>
        </is>
      </c>
      <c r="G25" t="n">
        <v>15.9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4180-2026 artfynd.xlsx", "A 4180-2026")</f>
        <v/>
      </c>
      <c r="T25">
        <f>HYPERLINK("https://klasma.github.io/Logging_2101/kartor/A 4180-2026 karta.png", "A 4180-2026")</f>
        <v/>
      </c>
      <c r="V25">
        <f>HYPERLINK("https://klasma.github.io/Logging_2101/klagomål/A 4180-2026 FSC-klagomål.docx", "A 4180-2026")</f>
        <v/>
      </c>
      <c r="W25">
        <f>HYPERLINK("https://klasma.github.io/Logging_2101/klagomålsmail/A 4180-2026 FSC-klagomål mail.docx", "A 4180-2026")</f>
        <v/>
      </c>
      <c r="X25">
        <f>HYPERLINK("https://klasma.github.io/Logging_2101/tillsyn/A 4180-2026 tillsynsbegäran.docx", "A 4180-2026")</f>
        <v/>
      </c>
      <c r="Y25">
        <f>HYPERLINK("https://klasma.github.io/Logging_2101/tillsynsmail/A 4180-2026 tillsynsbegäran mail.docx", "A 4180-2026")</f>
        <v/>
      </c>
    </row>
    <row r="26" ht="15" customHeight="1">
      <c r="A26" t="inlineStr">
        <is>
          <t>A 4009-2026</t>
        </is>
      </c>
      <c r="B26" s="1" t="n">
        <v>46044.40725694445</v>
      </c>
      <c r="C26" s="1" t="n">
        <v>46142</v>
      </c>
      <c r="D26" t="inlineStr">
        <is>
          <t>GÄVLEBORGS LÄN</t>
        </is>
      </c>
      <c r="E26" t="inlineStr">
        <is>
          <t>OCKELBO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4009-2026 artfynd.xlsx", "A 4009-2026")</f>
        <v/>
      </c>
      <c r="T26">
        <f>HYPERLINK("https://klasma.github.io/Logging_2101/kartor/A 4009-2026 karta.png", "A 4009-2026")</f>
        <v/>
      </c>
      <c r="V26">
        <f>HYPERLINK("https://klasma.github.io/Logging_2101/klagomål/A 4009-2026 FSC-klagomål.docx", "A 4009-2026")</f>
        <v/>
      </c>
      <c r="W26">
        <f>HYPERLINK("https://klasma.github.io/Logging_2101/klagomålsmail/A 4009-2026 FSC-klagomål mail.docx", "A 4009-2026")</f>
        <v/>
      </c>
      <c r="X26">
        <f>HYPERLINK("https://klasma.github.io/Logging_2101/tillsyn/A 4009-2026 tillsynsbegäran.docx", "A 4009-2026")</f>
        <v/>
      </c>
      <c r="Y26">
        <f>HYPERLINK("https://klasma.github.io/Logging_2101/tillsynsmail/A 4009-2026 tillsynsbegäran mail.docx", "A 4009-2026")</f>
        <v/>
      </c>
    </row>
    <row r="27" ht="15" customHeight="1">
      <c r="A27" t="inlineStr">
        <is>
          <t>A 4661-2026</t>
        </is>
      </c>
      <c r="B27" s="1" t="n">
        <v>46048.4083912037</v>
      </c>
      <c r="C27" s="1" t="n">
        <v>46142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5.8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HYPERLINK("https://klasma.github.io/Logging_2101/artfynd/A 4661-2026 artfynd.xlsx", "A 4661-2026")</f>
        <v/>
      </c>
      <c r="T27">
        <f>HYPERLINK("https://klasma.github.io/Logging_2101/kartor/A 4661-2026 karta.png", "A 4661-2026")</f>
        <v/>
      </c>
      <c r="V27">
        <f>HYPERLINK("https://klasma.github.io/Logging_2101/klagomål/A 4661-2026 FSC-klagomål.docx", "A 4661-2026")</f>
        <v/>
      </c>
      <c r="W27">
        <f>HYPERLINK("https://klasma.github.io/Logging_2101/klagomålsmail/A 4661-2026 FSC-klagomål mail.docx", "A 4661-2026")</f>
        <v/>
      </c>
      <c r="X27">
        <f>HYPERLINK("https://klasma.github.io/Logging_2101/tillsyn/A 4661-2026 tillsynsbegäran.docx", "A 4661-2026")</f>
        <v/>
      </c>
      <c r="Y27">
        <f>HYPERLINK("https://klasma.github.io/Logging_2101/tillsynsmail/A 4661-2026 tillsynsbegäran mail.docx", "A 4661-2026")</f>
        <v/>
      </c>
    </row>
    <row r="28" ht="15" customHeight="1">
      <c r="A28" t="inlineStr">
        <is>
          <t>A 12777-2026</t>
        </is>
      </c>
      <c r="B28" s="1" t="n">
        <v>46091.7141550926</v>
      </c>
      <c r="C28" s="1" t="n">
        <v>46142</v>
      </c>
      <c r="D28" t="inlineStr">
        <is>
          <t>GÄVLEBORGS LÄN</t>
        </is>
      </c>
      <c r="E28" t="inlineStr">
        <is>
          <t>OCKELBO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HYPERLINK("https://klasma.github.io/Logging_2101/artfynd/A 12777-2026 artfynd.xlsx", "A 12777-2026")</f>
        <v/>
      </c>
      <c r="T28">
        <f>HYPERLINK("https://klasma.github.io/Logging_2101/kartor/A 12777-2026 karta.png", "A 12777-2026")</f>
        <v/>
      </c>
      <c r="V28">
        <f>HYPERLINK("https://klasma.github.io/Logging_2101/klagomål/A 12777-2026 FSC-klagomål.docx", "A 12777-2026")</f>
        <v/>
      </c>
      <c r="W28">
        <f>HYPERLINK("https://klasma.github.io/Logging_2101/klagomålsmail/A 12777-2026 FSC-klagomål mail.docx", "A 12777-2026")</f>
        <v/>
      </c>
      <c r="X28">
        <f>HYPERLINK("https://klasma.github.io/Logging_2101/tillsyn/A 12777-2026 tillsynsbegäran.docx", "A 12777-2026")</f>
        <v/>
      </c>
      <c r="Y28">
        <f>HYPERLINK("https://klasma.github.io/Logging_2101/tillsynsmail/A 12777-2026 tillsynsbegäran mail.docx", "A 12777-2026")</f>
        <v/>
      </c>
      <c r="Z28">
        <f>HYPERLINK("https://klasma.github.io/Logging_2101/fåglar/A 12777-2026 prioriterade fågelarter.docx", "A 12777-2026")</f>
        <v/>
      </c>
    </row>
    <row r="29" ht="15" customHeight="1">
      <c r="A29" t="inlineStr">
        <is>
          <t>A 6612-2026</t>
        </is>
      </c>
      <c r="B29" s="1" t="n">
        <v>46056.48991898148</v>
      </c>
      <c r="C29" s="1" t="n">
        <v>46142</v>
      </c>
      <c r="D29" t="inlineStr">
        <is>
          <t>GÄVLEBORGS LÄN</t>
        </is>
      </c>
      <c r="E29" t="inlineStr">
        <is>
          <t>OCKELBO</t>
        </is>
      </c>
      <c r="G29" t="n">
        <v>8.9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HYPERLINK("https://klasma.github.io/Logging_2101/artfynd/A 6612-2026 artfynd.xlsx", "A 6612-2026")</f>
        <v/>
      </c>
      <c r="T29">
        <f>HYPERLINK("https://klasma.github.io/Logging_2101/kartor/A 6612-2026 karta.png", "A 6612-2026")</f>
        <v/>
      </c>
      <c r="V29">
        <f>HYPERLINK("https://klasma.github.io/Logging_2101/klagomål/A 6612-2026 FSC-klagomål.docx", "A 6612-2026")</f>
        <v/>
      </c>
      <c r="W29">
        <f>HYPERLINK("https://klasma.github.io/Logging_2101/klagomålsmail/A 6612-2026 FSC-klagomål mail.docx", "A 6612-2026")</f>
        <v/>
      </c>
      <c r="X29">
        <f>HYPERLINK("https://klasma.github.io/Logging_2101/tillsyn/A 6612-2026 tillsynsbegäran.docx", "A 6612-2026")</f>
        <v/>
      </c>
      <c r="Y29">
        <f>HYPERLINK("https://klasma.github.io/Logging_2101/tillsynsmail/A 6612-2026 tillsynsbegäran mail.docx", "A 6612-2026")</f>
        <v/>
      </c>
      <c r="Z29">
        <f>HYPERLINK("https://klasma.github.io/Logging_2101/fåglar/A 6612-2026 prioriterade fågelarter.docx", "A 6612-2026")</f>
        <v/>
      </c>
    </row>
    <row r="30" ht="15" customHeight="1">
      <c r="A30" t="inlineStr">
        <is>
          <t>A 14479-2026</t>
        </is>
      </c>
      <c r="B30" s="1" t="n">
        <v>46100.57859953704</v>
      </c>
      <c r="C30" s="1" t="n">
        <v>46142</v>
      </c>
      <c r="D30" t="inlineStr">
        <is>
          <t>GÄVLEBORGS LÄN</t>
        </is>
      </c>
      <c r="E30" t="inlineStr">
        <is>
          <t>OCKELBO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HYPERLINK("https://klasma.github.io/Logging_2101/artfynd/A 14479-2026 artfynd.xlsx", "A 14479-2026")</f>
        <v/>
      </c>
      <c r="T30">
        <f>HYPERLINK("https://klasma.github.io/Logging_2101/kartor/A 14479-2026 karta.png", "A 14479-2026")</f>
        <v/>
      </c>
      <c r="V30">
        <f>HYPERLINK("https://klasma.github.io/Logging_2101/klagomål/A 14479-2026 FSC-klagomål.docx", "A 14479-2026")</f>
        <v/>
      </c>
      <c r="W30">
        <f>HYPERLINK("https://klasma.github.io/Logging_2101/klagomålsmail/A 14479-2026 FSC-klagomål mail.docx", "A 14479-2026")</f>
        <v/>
      </c>
      <c r="X30">
        <f>HYPERLINK("https://klasma.github.io/Logging_2101/tillsyn/A 14479-2026 tillsynsbegäran.docx", "A 14479-2026")</f>
        <v/>
      </c>
      <c r="Y30">
        <f>HYPERLINK("https://klasma.github.io/Logging_2101/tillsynsmail/A 14479-2026 tillsynsbegäran mail.docx", "A 14479-2026")</f>
        <v/>
      </c>
    </row>
    <row r="31" ht="15" customHeight="1">
      <c r="A31" t="inlineStr">
        <is>
          <t>A 6812-2026</t>
        </is>
      </c>
      <c r="B31" s="1" t="n">
        <v>46057.37287037037</v>
      </c>
      <c r="C31" s="1" t="n">
        <v>46142</v>
      </c>
      <c r="D31" t="inlineStr">
        <is>
          <t>GÄVLEBORGS LÄN</t>
        </is>
      </c>
      <c r="E31" t="inlineStr">
        <is>
          <t>OCKELBO</t>
        </is>
      </c>
      <c r="G31" t="n">
        <v>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HYPERLINK("https://klasma.github.io/Logging_2101/artfynd/A 6812-2026 artfynd.xlsx", "A 6812-2026")</f>
        <v/>
      </c>
      <c r="T31">
        <f>HYPERLINK("https://klasma.github.io/Logging_2101/kartor/A 6812-2026 karta.png", "A 6812-2026")</f>
        <v/>
      </c>
      <c r="V31">
        <f>HYPERLINK("https://klasma.github.io/Logging_2101/klagomål/A 6812-2026 FSC-klagomål.docx", "A 6812-2026")</f>
        <v/>
      </c>
      <c r="W31">
        <f>HYPERLINK("https://klasma.github.io/Logging_2101/klagomålsmail/A 6812-2026 FSC-klagomål mail.docx", "A 6812-2026")</f>
        <v/>
      </c>
      <c r="X31">
        <f>HYPERLINK("https://klasma.github.io/Logging_2101/tillsyn/A 6812-2026 tillsynsbegäran.docx", "A 6812-2026")</f>
        <v/>
      </c>
      <c r="Y31">
        <f>HYPERLINK("https://klasma.github.io/Logging_2101/tillsynsmail/A 6812-2026 tillsynsbegäran mail.docx", "A 6812-2026")</f>
        <v/>
      </c>
      <c r="Z31">
        <f>HYPERLINK("https://klasma.github.io/Logging_2101/fåglar/A 6812-2026 prioriterade fågelarter.docx", "A 6812-2026")</f>
        <v/>
      </c>
    </row>
    <row r="32" ht="15" customHeight="1">
      <c r="A32" t="inlineStr">
        <is>
          <t>A 14686-2026</t>
        </is>
      </c>
      <c r="B32" s="1" t="n">
        <v>46101.49318287037</v>
      </c>
      <c r="C32" s="1" t="n">
        <v>46142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HYPERLINK("https://klasma.github.io/Logging_2101/artfynd/A 14686-2026 artfynd.xlsx", "A 14686-2026")</f>
        <v/>
      </c>
      <c r="T32">
        <f>HYPERLINK("https://klasma.github.io/Logging_2101/kartor/A 14686-2026 karta.png", "A 14686-2026")</f>
        <v/>
      </c>
      <c r="V32">
        <f>HYPERLINK("https://klasma.github.io/Logging_2101/klagomål/A 14686-2026 FSC-klagomål.docx", "A 14686-2026")</f>
        <v/>
      </c>
      <c r="W32">
        <f>HYPERLINK("https://klasma.github.io/Logging_2101/klagomålsmail/A 14686-2026 FSC-klagomål mail.docx", "A 14686-2026")</f>
        <v/>
      </c>
      <c r="X32">
        <f>HYPERLINK("https://klasma.github.io/Logging_2101/tillsyn/A 14686-2026 tillsynsbegäran.docx", "A 14686-2026")</f>
        <v/>
      </c>
      <c r="Y32">
        <f>HYPERLINK("https://klasma.github.io/Logging_2101/tillsynsmail/A 14686-2026 tillsynsbegäran mail.docx", "A 14686-2026")</f>
        <v/>
      </c>
      <c r="Z32">
        <f>HYPERLINK("https://klasma.github.io/Logging_2101/fåglar/A 14686-2026 prioriterade fågelarter.docx", "A 14686-2026")</f>
        <v/>
      </c>
    </row>
    <row r="33" ht="15" customHeight="1">
      <c r="A33" t="inlineStr">
        <is>
          <t>A 15039-2026</t>
        </is>
      </c>
      <c r="B33" s="1" t="n">
        <v>46104.65769675926</v>
      </c>
      <c r="C33" s="1" t="n">
        <v>46142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HYPERLINK("https://klasma.github.io/Logging_2101/artfynd/A 15039-2026 artfynd.xlsx", "A 15039-2026")</f>
        <v/>
      </c>
      <c r="T33">
        <f>HYPERLINK("https://klasma.github.io/Logging_2101/kartor/A 15039-2026 karta.png", "A 15039-2026")</f>
        <v/>
      </c>
      <c r="V33">
        <f>HYPERLINK("https://klasma.github.io/Logging_2101/klagomål/A 15039-2026 FSC-klagomål.docx", "A 15039-2026")</f>
        <v/>
      </c>
      <c r="W33">
        <f>HYPERLINK("https://klasma.github.io/Logging_2101/klagomålsmail/A 15039-2026 FSC-klagomål mail.docx", "A 15039-2026")</f>
        <v/>
      </c>
      <c r="X33">
        <f>HYPERLINK("https://klasma.github.io/Logging_2101/tillsyn/A 15039-2026 tillsynsbegäran.docx", "A 15039-2026")</f>
        <v/>
      </c>
      <c r="Y33">
        <f>HYPERLINK("https://klasma.github.io/Logging_2101/tillsynsmail/A 15039-2026 tillsynsbegäran mail.docx", "A 15039-2026")</f>
        <v/>
      </c>
      <c r="Z33">
        <f>HYPERLINK("https://klasma.github.io/Logging_2101/fåglar/A 15039-2026 prioriterade fågelarter.docx", "A 15039-2026")</f>
        <v/>
      </c>
    </row>
    <row r="34" ht="15" customHeight="1">
      <c r="A34" t="inlineStr">
        <is>
          <t>A 33075-2025</t>
        </is>
      </c>
      <c r="B34" s="1" t="n">
        <v>45840.45563657407</v>
      </c>
      <c r="C34" s="1" t="n">
        <v>46142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15.7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HYPERLINK("https://klasma.github.io/Logging_2101/artfynd/A 33075-2025 artfynd.xlsx", "A 33075-2025")</f>
        <v/>
      </c>
      <c r="T34">
        <f>HYPERLINK("https://klasma.github.io/Logging_2101/kartor/A 33075-2025 karta.png", "A 33075-2025")</f>
        <v/>
      </c>
      <c r="V34">
        <f>HYPERLINK("https://klasma.github.io/Logging_2101/klagomål/A 33075-2025 FSC-klagomål.docx", "A 33075-2025")</f>
        <v/>
      </c>
      <c r="W34">
        <f>HYPERLINK("https://klasma.github.io/Logging_2101/klagomålsmail/A 33075-2025 FSC-klagomål mail.docx", "A 33075-2025")</f>
        <v/>
      </c>
      <c r="X34">
        <f>HYPERLINK("https://klasma.github.io/Logging_2101/tillsyn/A 33075-2025 tillsynsbegäran.docx", "A 33075-2025")</f>
        <v/>
      </c>
      <c r="Y34">
        <f>HYPERLINK("https://klasma.github.io/Logging_2101/tillsynsmail/A 33075-2025 tillsynsbegäran mail.docx", "A 33075-2025")</f>
        <v/>
      </c>
    </row>
    <row r="35" ht="15" customHeight="1">
      <c r="A35" t="inlineStr">
        <is>
          <t>A 8490-2026</t>
        </is>
      </c>
      <c r="B35" s="1" t="n">
        <v>46065</v>
      </c>
      <c r="C35" s="1" t="n">
        <v>46142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HYPERLINK("https://klasma.github.io/Logging_2101/artfynd/A 8490-2026 artfynd.xlsx", "A 8490-2026")</f>
        <v/>
      </c>
      <c r="T35">
        <f>HYPERLINK("https://klasma.github.io/Logging_2101/kartor/A 8490-2026 karta.png", "A 8490-2026")</f>
        <v/>
      </c>
      <c r="V35">
        <f>HYPERLINK("https://klasma.github.io/Logging_2101/klagomål/A 8490-2026 FSC-klagomål.docx", "A 8490-2026")</f>
        <v/>
      </c>
      <c r="W35">
        <f>HYPERLINK("https://klasma.github.io/Logging_2101/klagomålsmail/A 8490-2026 FSC-klagomål mail.docx", "A 8490-2026")</f>
        <v/>
      </c>
      <c r="X35">
        <f>HYPERLINK("https://klasma.github.io/Logging_2101/tillsyn/A 8490-2026 tillsynsbegäran.docx", "A 8490-2026")</f>
        <v/>
      </c>
      <c r="Y35">
        <f>HYPERLINK("https://klasma.github.io/Logging_2101/tillsynsmail/A 8490-2026 tillsynsbegäran mail.docx", "A 8490-2026")</f>
        <v/>
      </c>
    </row>
    <row r="36" ht="15" customHeight="1">
      <c r="A36" t="inlineStr">
        <is>
          <t>A 8451-2026</t>
        </is>
      </c>
      <c r="B36" s="1" t="n">
        <v>46065</v>
      </c>
      <c r="C36" s="1" t="n">
        <v>46142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Lavskrika</t>
        </is>
      </c>
      <c r="S36">
        <f>HYPERLINK("https://klasma.github.io/Logging_2101/artfynd/A 8451-2026 artfynd.xlsx", "A 8451-2026")</f>
        <v/>
      </c>
      <c r="T36">
        <f>HYPERLINK("https://klasma.github.io/Logging_2101/kartor/A 8451-2026 karta.png", "A 8451-2026")</f>
        <v/>
      </c>
      <c r="V36">
        <f>HYPERLINK("https://klasma.github.io/Logging_2101/klagomål/A 8451-2026 FSC-klagomål.docx", "A 8451-2026")</f>
        <v/>
      </c>
      <c r="W36">
        <f>HYPERLINK("https://klasma.github.io/Logging_2101/klagomålsmail/A 8451-2026 FSC-klagomål mail.docx", "A 8451-2026")</f>
        <v/>
      </c>
      <c r="X36">
        <f>HYPERLINK("https://klasma.github.io/Logging_2101/tillsyn/A 8451-2026 tillsynsbegäran.docx", "A 8451-2026")</f>
        <v/>
      </c>
      <c r="Y36">
        <f>HYPERLINK("https://klasma.github.io/Logging_2101/tillsynsmail/A 8451-2026 tillsynsbegäran mail.docx", "A 8451-2026")</f>
        <v/>
      </c>
      <c r="Z36">
        <f>HYPERLINK("https://klasma.github.io/Logging_2101/fåglar/A 8451-2026 prioriterade fågelarter.docx", "A 8451-2026")</f>
        <v/>
      </c>
    </row>
    <row r="37" ht="15" customHeight="1">
      <c r="A37" t="inlineStr">
        <is>
          <t>A 9155-2026</t>
        </is>
      </c>
      <c r="B37" s="1" t="n">
        <v>46070.34200231481</v>
      </c>
      <c r="C37" s="1" t="n">
        <v>46142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4.2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HYPERLINK("https://klasma.github.io/Logging_2101/artfynd/A 9155-2026 artfynd.xlsx", "A 9155-2026")</f>
        <v/>
      </c>
      <c r="T37">
        <f>HYPERLINK("https://klasma.github.io/Logging_2101/kartor/A 9155-2026 karta.png", "A 9155-2026")</f>
        <v/>
      </c>
      <c r="V37">
        <f>HYPERLINK("https://klasma.github.io/Logging_2101/klagomål/A 9155-2026 FSC-klagomål.docx", "A 9155-2026")</f>
        <v/>
      </c>
      <c r="W37">
        <f>HYPERLINK("https://klasma.github.io/Logging_2101/klagomålsmail/A 9155-2026 FSC-klagomål mail.docx", "A 9155-2026")</f>
        <v/>
      </c>
      <c r="X37">
        <f>HYPERLINK("https://klasma.github.io/Logging_2101/tillsyn/A 9155-2026 tillsynsbegäran.docx", "A 9155-2026")</f>
        <v/>
      </c>
      <c r="Y37">
        <f>HYPERLINK("https://klasma.github.io/Logging_2101/tillsynsmail/A 9155-2026 tillsynsbegäran mail.docx", "A 9155-2026")</f>
        <v/>
      </c>
    </row>
    <row r="38" ht="15" customHeight="1">
      <c r="A38" t="inlineStr">
        <is>
          <t>A 9165-2026</t>
        </is>
      </c>
      <c r="B38" s="1" t="n">
        <v>46070.35776620371</v>
      </c>
      <c r="C38" s="1" t="n">
        <v>46142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HYPERLINK("https://klasma.github.io/Logging_2101/artfynd/A 9165-2026 artfynd.xlsx", "A 9165-2026")</f>
        <v/>
      </c>
      <c r="T38">
        <f>HYPERLINK("https://klasma.github.io/Logging_2101/kartor/A 9165-2026 karta.png", "A 9165-2026")</f>
        <v/>
      </c>
      <c r="V38">
        <f>HYPERLINK("https://klasma.github.io/Logging_2101/klagomål/A 9165-2026 FSC-klagomål.docx", "A 9165-2026")</f>
        <v/>
      </c>
      <c r="W38">
        <f>HYPERLINK("https://klasma.github.io/Logging_2101/klagomålsmail/A 9165-2026 FSC-klagomål mail.docx", "A 9165-2026")</f>
        <v/>
      </c>
      <c r="X38">
        <f>HYPERLINK("https://klasma.github.io/Logging_2101/tillsyn/A 9165-2026 tillsynsbegäran.docx", "A 9165-2026")</f>
        <v/>
      </c>
      <c r="Y38">
        <f>HYPERLINK("https://klasma.github.io/Logging_2101/tillsynsmail/A 9165-2026 tillsynsbegäran mail.docx", "A 9165-2026")</f>
        <v/>
      </c>
    </row>
    <row r="39" ht="15" customHeight="1">
      <c r="A39" t="inlineStr">
        <is>
          <t>A 9324-2026</t>
        </is>
      </c>
      <c r="B39" s="1" t="n">
        <v>46070</v>
      </c>
      <c r="C39" s="1" t="n">
        <v>46142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38.6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HYPERLINK("https://klasma.github.io/Logging_2101/artfynd/A 9324-2026 artfynd.xlsx", "A 9324-2026")</f>
        <v/>
      </c>
      <c r="T39">
        <f>HYPERLINK("https://klasma.github.io/Logging_2101/kartor/A 9324-2026 karta.png", "A 9324-2026")</f>
        <v/>
      </c>
      <c r="V39">
        <f>HYPERLINK("https://klasma.github.io/Logging_2101/klagomål/A 9324-2026 FSC-klagomål.docx", "A 9324-2026")</f>
        <v/>
      </c>
      <c r="W39">
        <f>HYPERLINK("https://klasma.github.io/Logging_2101/klagomålsmail/A 9324-2026 FSC-klagomål mail.docx", "A 9324-2026")</f>
        <v/>
      </c>
      <c r="X39">
        <f>HYPERLINK("https://klasma.github.io/Logging_2101/tillsyn/A 9324-2026 tillsynsbegäran.docx", "A 9324-2026")</f>
        <v/>
      </c>
      <c r="Y39">
        <f>HYPERLINK("https://klasma.github.io/Logging_2101/tillsynsmail/A 9324-2026 tillsynsbegäran mail.docx", "A 9324-2026")</f>
        <v/>
      </c>
      <c r="Z39">
        <f>HYPERLINK("https://klasma.github.io/Logging_2101/fåglar/A 9324-2026 prioriterade fågelarter.docx", "A 9324-2026")</f>
        <v/>
      </c>
    </row>
    <row r="40" ht="15" customHeight="1">
      <c r="A40" t="inlineStr">
        <is>
          <t>A 9207-2026</t>
        </is>
      </c>
      <c r="B40" s="1" t="n">
        <v>46070.42059027778</v>
      </c>
      <c r="C40" s="1" t="n">
        <v>46142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9.6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HYPERLINK("https://klasma.github.io/Logging_2101/artfynd/A 9207-2026 artfynd.xlsx", "A 9207-2026")</f>
        <v/>
      </c>
      <c r="T40">
        <f>HYPERLINK("https://klasma.github.io/Logging_2101/kartor/A 9207-2026 karta.png", "A 9207-2026")</f>
        <v/>
      </c>
      <c r="V40">
        <f>HYPERLINK("https://klasma.github.io/Logging_2101/klagomål/A 9207-2026 FSC-klagomål.docx", "A 9207-2026")</f>
        <v/>
      </c>
      <c r="W40">
        <f>HYPERLINK("https://klasma.github.io/Logging_2101/klagomålsmail/A 9207-2026 FSC-klagomål mail.docx", "A 9207-2026")</f>
        <v/>
      </c>
      <c r="X40">
        <f>HYPERLINK("https://klasma.github.io/Logging_2101/tillsyn/A 9207-2026 tillsynsbegäran.docx", "A 9207-2026")</f>
        <v/>
      </c>
      <c r="Y40">
        <f>HYPERLINK("https://klasma.github.io/Logging_2101/tillsynsmail/A 9207-2026 tillsynsbegäran mail.docx", "A 9207-2026")</f>
        <v/>
      </c>
    </row>
    <row r="41" ht="15" customHeight="1">
      <c r="A41" t="inlineStr">
        <is>
          <t>A 9171-2026</t>
        </is>
      </c>
      <c r="B41" s="1" t="n">
        <v>46070.36331018519</v>
      </c>
      <c r="C41" s="1" t="n">
        <v>46142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HYPERLINK("https://klasma.github.io/Logging_2101/artfynd/A 9171-2026 artfynd.xlsx", "A 9171-2026")</f>
        <v/>
      </c>
      <c r="T41">
        <f>HYPERLINK("https://klasma.github.io/Logging_2101/kartor/A 9171-2026 karta.png", "A 9171-2026")</f>
        <v/>
      </c>
      <c r="V41">
        <f>HYPERLINK("https://klasma.github.io/Logging_2101/klagomål/A 9171-2026 FSC-klagomål.docx", "A 9171-2026")</f>
        <v/>
      </c>
      <c r="W41">
        <f>HYPERLINK("https://klasma.github.io/Logging_2101/klagomålsmail/A 9171-2026 FSC-klagomål mail.docx", "A 9171-2026")</f>
        <v/>
      </c>
      <c r="X41">
        <f>HYPERLINK("https://klasma.github.io/Logging_2101/tillsyn/A 9171-2026 tillsynsbegäran.docx", "A 9171-2026")</f>
        <v/>
      </c>
      <c r="Y41">
        <f>HYPERLINK("https://klasma.github.io/Logging_2101/tillsynsmail/A 9171-2026 tillsynsbegäran mail.docx", "A 9171-2026")</f>
        <v/>
      </c>
    </row>
    <row r="42" ht="15" customHeight="1">
      <c r="A42" t="inlineStr">
        <is>
          <t>A 14664-2026</t>
        </is>
      </c>
      <c r="B42" s="1" t="n">
        <v>46101</v>
      </c>
      <c r="C42" s="1" t="n">
        <v>46142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HYPERLINK("https://klasma.github.io/Logging_2101/artfynd/A 14664-2026 artfynd.xlsx", "A 14664-2026")</f>
        <v/>
      </c>
      <c r="T42">
        <f>HYPERLINK("https://klasma.github.io/Logging_2101/kartor/A 14664-2026 karta.png", "A 14664-2026")</f>
        <v/>
      </c>
      <c r="V42">
        <f>HYPERLINK("https://klasma.github.io/Logging_2101/klagomål/A 14664-2026 FSC-klagomål.docx", "A 14664-2026")</f>
        <v/>
      </c>
      <c r="W42">
        <f>HYPERLINK("https://klasma.github.io/Logging_2101/klagomålsmail/A 14664-2026 FSC-klagomål mail.docx", "A 14664-2026")</f>
        <v/>
      </c>
      <c r="X42">
        <f>HYPERLINK("https://klasma.github.io/Logging_2101/tillsyn/A 14664-2026 tillsynsbegäran.docx", "A 14664-2026")</f>
        <v/>
      </c>
      <c r="Y42">
        <f>HYPERLINK("https://klasma.github.io/Logging_2101/tillsynsmail/A 14664-2026 tillsynsbegäran mail.docx", "A 14664-2026")</f>
        <v/>
      </c>
      <c r="Z42">
        <f>HYPERLINK("https://klasma.github.io/Logging_2101/fåglar/A 14664-2026 prioriterade fågelarter.docx", "A 14664-2026")</f>
        <v/>
      </c>
    </row>
    <row r="43" ht="15" customHeight="1">
      <c r="A43" t="inlineStr">
        <is>
          <t>A 10448-2026</t>
        </is>
      </c>
      <c r="B43" s="1" t="n">
        <v>46077.43590277778</v>
      </c>
      <c r="C43" s="1" t="n">
        <v>46142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3.6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HYPERLINK("https://klasma.github.io/Logging_2101/artfynd/A 10448-2026 artfynd.xlsx", "A 10448-2026")</f>
        <v/>
      </c>
      <c r="T43">
        <f>HYPERLINK("https://klasma.github.io/Logging_2101/kartor/A 10448-2026 karta.png", "A 10448-2026")</f>
        <v/>
      </c>
      <c r="V43">
        <f>HYPERLINK("https://klasma.github.io/Logging_2101/klagomål/A 10448-2026 FSC-klagomål.docx", "A 10448-2026")</f>
        <v/>
      </c>
      <c r="W43">
        <f>HYPERLINK("https://klasma.github.io/Logging_2101/klagomålsmail/A 10448-2026 FSC-klagomål mail.docx", "A 10448-2026")</f>
        <v/>
      </c>
      <c r="X43">
        <f>HYPERLINK("https://klasma.github.io/Logging_2101/tillsyn/A 10448-2026 tillsynsbegäran.docx", "A 10448-2026")</f>
        <v/>
      </c>
      <c r="Y43">
        <f>HYPERLINK("https://klasma.github.io/Logging_2101/tillsynsmail/A 10448-2026 tillsynsbegäran mail.docx", "A 10448-2026")</f>
        <v/>
      </c>
    </row>
    <row r="44" ht="15" customHeight="1">
      <c r="A44" t="inlineStr">
        <is>
          <t>A 10440-2026</t>
        </is>
      </c>
      <c r="B44" s="1" t="n">
        <v>46077</v>
      </c>
      <c r="C44" s="1" t="n">
        <v>46142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HYPERLINK("https://klasma.github.io/Logging_2101/artfynd/A 10440-2026 artfynd.xlsx", "A 10440-2026")</f>
        <v/>
      </c>
      <c r="T44">
        <f>HYPERLINK("https://klasma.github.io/Logging_2101/kartor/A 10440-2026 karta.png", "A 10440-2026")</f>
        <v/>
      </c>
      <c r="V44">
        <f>HYPERLINK("https://klasma.github.io/Logging_2101/klagomål/A 10440-2026 FSC-klagomål.docx", "A 10440-2026")</f>
        <v/>
      </c>
      <c r="W44">
        <f>HYPERLINK("https://klasma.github.io/Logging_2101/klagomålsmail/A 10440-2026 FSC-klagomål mail.docx", "A 10440-2026")</f>
        <v/>
      </c>
      <c r="X44">
        <f>HYPERLINK("https://klasma.github.io/Logging_2101/tillsyn/A 10440-2026 tillsynsbegäran.docx", "A 10440-2026")</f>
        <v/>
      </c>
      <c r="Y44">
        <f>HYPERLINK("https://klasma.github.io/Logging_2101/tillsynsmail/A 10440-2026 tillsynsbegäran mail.docx", "A 10440-2026")</f>
        <v/>
      </c>
    </row>
    <row r="45" ht="15" customHeight="1">
      <c r="A45" t="inlineStr">
        <is>
          <t>A 10454-2026</t>
        </is>
      </c>
      <c r="B45" s="1" t="n">
        <v>46077.44983796297</v>
      </c>
      <c r="C45" s="1" t="n">
        <v>46142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10.1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HYPERLINK("https://klasma.github.io/Logging_2101/artfynd/A 10454-2026 artfynd.xlsx", "A 10454-2026")</f>
        <v/>
      </c>
      <c r="T45">
        <f>HYPERLINK("https://klasma.github.io/Logging_2101/kartor/A 10454-2026 karta.png", "A 10454-2026")</f>
        <v/>
      </c>
      <c r="V45">
        <f>HYPERLINK("https://klasma.github.io/Logging_2101/klagomål/A 10454-2026 FSC-klagomål.docx", "A 10454-2026")</f>
        <v/>
      </c>
      <c r="W45">
        <f>HYPERLINK("https://klasma.github.io/Logging_2101/klagomålsmail/A 10454-2026 FSC-klagomål mail.docx", "A 10454-2026")</f>
        <v/>
      </c>
      <c r="X45">
        <f>HYPERLINK("https://klasma.github.io/Logging_2101/tillsyn/A 10454-2026 tillsynsbegäran.docx", "A 10454-2026")</f>
        <v/>
      </c>
      <c r="Y45">
        <f>HYPERLINK("https://klasma.github.io/Logging_2101/tillsynsmail/A 10454-2026 tillsynsbegäran mail.docx", "A 10454-2026")</f>
        <v/>
      </c>
    </row>
    <row r="46" ht="15" customHeight="1">
      <c r="A46" t="inlineStr">
        <is>
          <t>A 9897-2026</t>
        </is>
      </c>
      <c r="B46" s="1" t="n">
        <v>46073.38932870371</v>
      </c>
      <c r="C46" s="1" t="n">
        <v>46142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HYPERLINK("https://klasma.github.io/Logging_2101/artfynd/A 9897-2026 artfynd.xlsx", "A 9897-2026")</f>
        <v/>
      </c>
      <c r="T46">
        <f>HYPERLINK("https://klasma.github.io/Logging_2101/kartor/A 9897-2026 karta.png", "A 9897-2026")</f>
        <v/>
      </c>
      <c r="V46">
        <f>HYPERLINK("https://klasma.github.io/Logging_2101/klagomål/A 9897-2026 FSC-klagomål.docx", "A 9897-2026")</f>
        <v/>
      </c>
      <c r="W46">
        <f>HYPERLINK("https://klasma.github.io/Logging_2101/klagomålsmail/A 9897-2026 FSC-klagomål mail.docx", "A 9897-2026")</f>
        <v/>
      </c>
      <c r="X46">
        <f>HYPERLINK("https://klasma.github.io/Logging_2101/tillsyn/A 9897-2026 tillsynsbegäran.docx", "A 9897-2026")</f>
        <v/>
      </c>
      <c r="Y46">
        <f>HYPERLINK("https://klasma.github.io/Logging_2101/tillsynsmail/A 9897-2026 tillsynsbegäran mail.docx", "A 9897-2026")</f>
        <v/>
      </c>
      <c r="Z46">
        <f>HYPERLINK("https://klasma.github.io/Logging_2101/fåglar/A 9897-2026 prioriterade fågelarter.docx", "A 9897-2026")</f>
        <v/>
      </c>
    </row>
    <row r="47" ht="15" customHeight="1">
      <c r="A47" t="inlineStr">
        <is>
          <t>A 9898-2026</t>
        </is>
      </c>
      <c r="B47" s="1" t="n">
        <v>46073.39332175926</v>
      </c>
      <c r="C47" s="1" t="n">
        <v>46142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HYPERLINK("https://klasma.github.io/Logging_2101/artfynd/A 9898-2026 artfynd.xlsx", "A 9898-2026")</f>
        <v/>
      </c>
      <c r="T47">
        <f>HYPERLINK("https://klasma.github.io/Logging_2101/kartor/A 9898-2026 karta.png", "A 9898-2026")</f>
        <v/>
      </c>
      <c r="U47">
        <f>HYPERLINK("https://klasma.github.io/Logging_2101/knärot/A 9898-2026 karta knärot.png", "A 9898-2026")</f>
        <v/>
      </c>
      <c r="V47">
        <f>HYPERLINK("https://klasma.github.io/Logging_2101/klagomål/A 9898-2026 FSC-klagomål.docx", "A 9898-2026")</f>
        <v/>
      </c>
      <c r="W47">
        <f>HYPERLINK("https://klasma.github.io/Logging_2101/klagomålsmail/A 9898-2026 FSC-klagomål mail.docx", "A 9898-2026")</f>
        <v/>
      </c>
      <c r="X47">
        <f>HYPERLINK("https://klasma.github.io/Logging_2101/tillsyn/A 9898-2026 tillsynsbegäran.docx", "A 9898-2026")</f>
        <v/>
      </c>
      <c r="Y47">
        <f>HYPERLINK("https://klasma.github.io/Logging_2101/tillsynsmail/A 9898-2026 tillsynsbegäran mail.docx", "A 9898-2026")</f>
        <v/>
      </c>
    </row>
    <row r="48" ht="15" customHeight="1">
      <c r="A48" t="inlineStr">
        <is>
          <t>A 10001-2026</t>
        </is>
      </c>
      <c r="B48" s="1" t="n">
        <v>46073.56230324074</v>
      </c>
      <c r="C48" s="1" t="n">
        <v>46142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6.8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HYPERLINK("https://klasma.github.io/Logging_2101/artfynd/A 10001-2026 artfynd.xlsx", "A 10001-2026")</f>
        <v/>
      </c>
      <c r="T48">
        <f>HYPERLINK("https://klasma.github.io/Logging_2101/kartor/A 10001-2026 karta.png", "A 10001-2026")</f>
        <v/>
      </c>
      <c r="V48">
        <f>HYPERLINK("https://klasma.github.io/Logging_2101/klagomål/A 10001-2026 FSC-klagomål.docx", "A 10001-2026")</f>
        <v/>
      </c>
      <c r="W48">
        <f>HYPERLINK("https://klasma.github.io/Logging_2101/klagomålsmail/A 10001-2026 FSC-klagomål mail.docx", "A 10001-2026")</f>
        <v/>
      </c>
      <c r="X48">
        <f>HYPERLINK("https://klasma.github.io/Logging_2101/tillsyn/A 10001-2026 tillsynsbegäran.docx", "A 10001-2026")</f>
        <v/>
      </c>
      <c r="Y48">
        <f>HYPERLINK("https://klasma.github.io/Logging_2101/tillsynsmail/A 10001-2026 tillsynsbegäran mail.docx", "A 10001-2026")</f>
        <v/>
      </c>
    </row>
    <row r="49" ht="15" customHeight="1">
      <c r="A49" t="inlineStr">
        <is>
          <t>A 10484-2026</t>
        </is>
      </c>
      <c r="B49" s="1" t="n">
        <v>46077.51107638889</v>
      </c>
      <c r="C49" s="1" t="n">
        <v>46142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HYPERLINK("https://klasma.github.io/Logging_2101/artfynd/A 10484-2026 artfynd.xlsx", "A 10484-2026")</f>
        <v/>
      </c>
      <c r="T49">
        <f>HYPERLINK("https://klasma.github.io/Logging_2101/kartor/A 10484-2026 karta.png", "A 10484-2026")</f>
        <v/>
      </c>
      <c r="V49">
        <f>HYPERLINK("https://klasma.github.io/Logging_2101/klagomål/A 10484-2026 FSC-klagomål.docx", "A 10484-2026")</f>
        <v/>
      </c>
      <c r="W49">
        <f>HYPERLINK("https://klasma.github.io/Logging_2101/klagomålsmail/A 10484-2026 FSC-klagomål mail.docx", "A 10484-2026")</f>
        <v/>
      </c>
      <c r="X49">
        <f>HYPERLINK("https://klasma.github.io/Logging_2101/tillsyn/A 10484-2026 tillsynsbegäran.docx", "A 10484-2026")</f>
        <v/>
      </c>
      <c r="Y49">
        <f>HYPERLINK("https://klasma.github.io/Logging_2101/tillsynsmail/A 10484-2026 tillsynsbegäran mail.docx", "A 10484-2026")</f>
        <v/>
      </c>
    </row>
    <row r="50" ht="15" customHeight="1">
      <c r="A50" t="inlineStr">
        <is>
          <t>A 14667-2025</t>
        </is>
      </c>
      <c r="B50" s="1" t="n">
        <v>45742.53870370371</v>
      </c>
      <c r="C50" s="1" t="n">
        <v>46142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6.6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HYPERLINK("https://klasma.github.io/Logging_2101/artfynd/A 14667-2025 artfynd.xlsx", "A 14667-2025")</f>
        <v/>
      </c>
      <c r="T50">
        <f>HYPERLINK("https://klasma.github.io/Logging_2101/kartor/A 14667-2025 karta.png", "A 14667-2025")</f>
        <v/>
      </c>
      <c r="V50">
        <f>HYPERLINK("https://klasma.github.io/Logging_2101/klagomål/A 14667-2025 FSC-klagomål.docx", "A 14667-2025")</f>
        <v/>
      </c>
      <c r="W50">
        <f>HYPERLINK("https://klasma.github.io/Logging_2101/klagomålsmail/A 14667-2025 FSC-klagomål mail.docx", "A 14667-2025")</f>
        <v/>
      </c>
      <c r="X50">
        <f>HYPERLINK("https://klasma.github.io/Logging_2101/tillsyn/A 14667-2025 tillsynsbegäran.docx", "A 14667-2025")</f>
        <v/>
      </c>
      <c r="Y50">
        <f>HYPERLINK("https://klasma.github.io/Logging_2101/tillsynsmail/A 14667-2025 tillsynsbegäran mail.docx", "A 14667-2025")</f>
        <v/>
      </c>
    </row>
    <row r="51" ht="15" customHeight="1">
      <c r="A51" t="inlineStr">
        <is>
          <t>A 18188-2026</t>
        </is>
      </c>
      <c r="B51" s="1" t="n">
        <v>46125.68864583333</v>
      </c>
      <c r="C51" s="1" t="n">
        <v>46142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32.9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HYPERLINK("https://klasma.github.io/Logging_2101/artfynd/A 18188-2026 artfynd.xlsx", "A 18188-2026")</f>
        <v/>
      </c>
      <c r="T51">
        <f>HYPERLINK("https://klasma.github.io/Logging_2101/kartor/A 18188-2026 karta.png", "A 18188-2026")</f>
        <v/>
      </c>
      <c r="V51">
        <f>HYPERLINK("https://klasma.github.io/Logging_2101/klagomål/A 18188-2026 FSC-klagomål.docx", "A 18188-2026")</f>
        <v/>
      </c>
      <c r="W51">
        <f>HYPERLINK("https://klasma.github.io/Logging_2101/klagomålsmail/A 18188-2026 FSC-klagomål mail.docx", "A 18188-2026")</f>
        <v/>
      </c>
      <c r="X51">
        <f>HYPERLINK("https://klasma.github.io/Logging_2101/tillsyn/A 18188-2026 tillsynsbegäran.docx", "A 18188-2026")</f>
        <v/>
      </c>
      <c r="Y51">
        <f>HYPERLINK("https://klasma.github.io/Logging_2101/tillsynsmail/A 18188-2026 tillsynsbegäran mail.docx", "A 18188-2026")</f>
        <v/>
      </c>
    </row>
    <row r="52" ht="15" customHeight="1">
      <c r="A52" t="inlineStr">
        <is>
          <t>A 18159-2026</t>
        </is>
      </c>
      <c r="B52" s="1" t="n">
        <v>46125</v>
      </c>
      <c r="C52" s="1" t="n">
        <v>46142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HYPERLINK("https://klasma.github.io/Logging_2101/artfynd/A 18159-2026 artfynd.xlsx", "A 18159-2026")</f>
        <v/>
      </c>
      <c r="T52">
        <f>HYPERLINK("https://klasma.github.io/Logging_2101/kartor/A 18159-2026 karta.png", "A 18159-2026")</f>
        <v/>
      </c>
      <c r="V52">
        <f>HYPERLINK("https://klasma.github.io/Logging_2101/klagomål/A 18159-2026 FSC-klagomål.docx", "A 18159-2026")</f>
        <v/>
      </c>
      <c r="W52">
        <f>HYPERLINK("https://klasma.github.io/Logging_2101/klagomålsmail/A 18159-2026 FSC-klagomål mail.docx", "A 18159-2026")</f>
        <v/>
      </c>
      <c r="X52">
        <f>HYPERLINK("https://klasma.github.io/Logging_2101/tillsyn/A 18159-2026 tillsynsbegäran.docx", "A 18159-2026")</f>
        <v/>
      </c>
      <c r="Y52">
        <f>HYPERLINK("https://klasma.github.io/Logging_2101/tillsynsmail/A 18159-2026 tillsynsbegäran mail.docx", "A 18159-2026")</f>
        <v/>
      </c>
    </row>
    <row r="53" ht="15" customHeight="1">
      <c r="A53" t="inlineStr">
        <is>
          <t>A 18161-2026</t>
        </is>
      </c>
      <c r="B53" s="1" t="n">
        <v>46125</v>
      </c>
      <c r="C53" s="1" t="n">
        <v>46142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5.7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HYPERLINK("https://klasma.github.io/Logging_2101/artfynd/A 18161-2026 artfynd.xlsx", "A 18161-2026")</f>
        <v/>
      </c>
      <c r="T53">
        <f>HYPERLINK("https://klasma.github.io/Logging_2101/kartor/A 18161-2026 karta.png", "A 18161-2026")</f>
        <v/>
      </c>
      <c r="V53">
        <f>HYPERLINK("https://klasma.github.io/Logging_2101/klagomål/A 18161-2026 FSC-klagomål.docx", "A 18161-2026")</f>
        <v/>
      </c>
      <c r="W53">
        <f>HYPERLINK("https://klasma.github.io/Logging_2101/klagomålsmail/A 18161-2026 FSC-klagomål mail.docx", "A 18161-2026")</f>
        <v/>
      </c>
      <c r="X53">
        <f>HYPERLINK("https://klasma.github.io/Logging_2101/tillsyn/A 18161-2026 tillsynsbegäran.docx", "A 18161-2026")</f>
        <v/>
      </c>
      <c r="Y53">
        <f>HYPERLINK("https://klasma.github.io/Logging_2101/tillsynsmail/A 18161-2026 tillsynsbegäran mail.docx", "A 18161-2026")</f>
        <v/>
      </c>
      <c r="Z53">
        <f>HYPERLINK("https://klasma.github.io/Logging_2101/fåglar/A 18161-2026 prioriterade fågelarter.docx", "A 18161-2026")</f>
        <v/>
      </c>
    </row>
    <row r="54" ht="15" customHeight="1">
      <c r="A54" t="inlineStr">
        <is>
          <t>A 19145-2026</t>
        </is>
      </c>
      <c r="B54" s="1" t="n">
        <v>46132.52628472223</v>
      </c>
      <c r="C54" s="1" t="n">
        <v>46142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HYPERLINK("https://klasma.github.io/Logging_2101/artfynd/A 19145-2026 artfynd.xlsx", "A 19145-2026")</f>
        <v/>
      </c>
      <c r="T54">
        <f>HYPERLINK("https://klasma.github.io/Logging_2101/kartor/A 19145-2026 karta.png", "A 19145-2026")</f>
        <v/>
      </c>
      <c r="V54">
        <f>HYPERLINK("https://klasma.github.io/Logging_2101/klagomål/A 19145-2026 FSC-klagomål.docx", "A 19145-2026")</f>
        <v/>
      </c>
      <c r="W54">
        <f>HYPERLINK("https://klasma.github.io/Logging_2101/klagomålsmail/A 19145-2026 FSC-klagomål mail.docx", "A 19145-2026")</f>
        <v/>
      </c>
      <c r="X54">
        <f>HYPERLINK("https://klasma.github.io/Logging_2101/tillsyn/A 19145-2026 tillsynsbegäran.docx", "A 19145-2026")</f>
        <v/>
      </c>
      <c r="Y54">
        <f>HYPERLINK("https://klasma.github.io/Logging_2101/tillsynsmail/A 19145-2026 tillsynsbegäran mail.docx", "A 19145-2026")</f>
        <v/>
      </c>
    </row>
    <row r="55" ht="15" customHeight="1">
      <c r="A55" t="inlineStr">
        <is>
          <t>A 15841-2023</t>
        </is>
      </c>
      <c r="B55" s="1" t="n">
        <v>45022</v>
      </c>
      <c r="C55" s="1" t="n">
        <v>46142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HYPERLINK("https://klasma.github.io/Logging_2101/artfynd/A 15841-2023 artfynd.xlsx", "A 15841-2023")</f>
        <v/>
      </c>
      <c r="T55">
        <f>HYPERLINK("https://klasma.github.io/Logging_2101/kartor/A 15841-2023 karta.png", "A 15841-2023")</f>
        <v/>
      </c>
      <c r="V55">
        <f>HYPERLINK("https://klasma.github.io/Logging_2101/klagomål/A 15841-2023 FSC-klagomål.docx", "A 15841-2023")</f>
        <v/>
      </c>
      <c r="W55">
        <f>HYPERLINK("https://klasma.github.io/Logging_2101/klagomålsmail/A 15841-2023 FSC-klagomål mail.docx", "A 15841-2023")</f>
        <v/>
      </c>
      <c r="X55">
        <f>HYPERLINK("https://klasma.github.io/Logging_2101/tillsyn/A 15841-2023 tillsynsbegäran.docx", "A 15841-2023")</f>
        <v/>
      </c>
      <c r="Y55">
        <f>HYPERLINK("https://klasma.github.io/Logging_2101/tillsynsmail/A 15841-2023 tillsynsbegäran mail.docx", "A 15841-2023")</f>
        <v/>
      </c>
      <c r="Z55">
        <f>HYPERLINK("https://klasma.github.io/Logging_2101/fåglar/A 15841-2023 prioriterade fågelarter.docx", "A 15841-2023")</f>
        <v/>
      </c>
    </row>
    <row r="56" ht="15" customHeight="1">
      <c r="A56" t="inlineStr">
        <is>
          <t>A 20299-2026</t>
        </is>
      </c>
      <c r="B56" s="1" t="n">
        <v>46139.57056712963</v>
      </c>
      <c r="C56" s="1" t="n">
        <v>46142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HYPERLINK("https://klasma.github.io/Logging_2101/artfynd/A 20299-2026 artfynd.xlsx", "A 20299-2026")</f>
        <v/>
      </c>
      <c r="T56">
        <f>HYPERLINK("https://klasma.github.io/Logging_2101/kartor/A 20299-2026 karta.png", "A 20299-2026")</f>
        <v/>
      </c>
      <c r="V56">
        <f>HYPERLINK("https://klasma.github.io/Logging_2101/klagomål/A 20299-2026 FSC-klagomål.docx", "A 20299-2026")</f>
        <v/>
      </c>
      <c r="W56">
        <f>HYPERLINK("https://klasma.github.io/Logging_2101/klagomålsmail/A 20299-2026 FSC-klagomål mail.docx", "A 20299-2026")</f>
        <v/>
      </c>
      <c r="X56">
        <f>HYPERLINK("https://klasma.github.io/Logging_2101/tillsyn/A 20299-2026 tillsynsbegäran.docx", "A 20299-2026")</f>
        <v/>
      </c>
      <c r="Y56">
        <f>HYPERLINK("https://klasma.github.io/Logging_2101/tillsynsmail/A 20299-2026 tillsynsbegäran mail.docx", "A 20299-2026")</f>
        <v/>
      </c>
    </row>
    <row r="57" ht="15" customHeight="1">
      <c r="A57" t="inlineStr">
        <is>
          <t>A 13640-2026</t>
        </is>
      </c>
      <c r="B57" s="1" t="n">
        <v>46097</v>
      </c>
      <c r="C57" s="1" t="n">
        <v>46142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3.8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HYPERLINK("https://klasma.github.io/Logging_2101/artfynd/A 13640-2026 artfynd.xlsx", "A 13640-2026")</f>
        <v/>
      </c>
      <c r="T57">
        <f>HYPERLINK("https://klasma.github.io/Logging_2101/kartor/A 13640-2026 karta.png", "A 13640-2026")</f>
        <v/>
      </c>
      <c r="V57">
        <f>HYPERLINK("https://klasma.github.io/Logging_2101/klagomål/A 13640-2026 FSC-klagomål.docx", "A 13640-2026")</f>
        <v/>
      </c>
      <c r="W57">
        <f>HYPERLINK("https://klasma.github.io/Logging_2101/klagomålsmail/A 13640-2026 FSC-klagomål mail.docx", "A 13640-2026")</f>
        <v/>
      </c>
      <c r="X57">
        <f>HYPERLINK("https://klasma.github.io/Logging_2101/tillsyn/A 13640-2026 tillsynsbegäran.docx", "A 13640-2026")</f>
        <v/>
      </c>
      <c r="Y57">
        <f>HYPERLINK("https://klasma.github.io/Logging_2101/tillsynsmail/A 13640-2026 tillsynsbegäran mail.docx", "A 13640-2026")</f>
        <v/>
      </c>
    </row>
    <row r="58" ht="15" customHeight="1">
      <c r="A58" t="inlineStr">
        <is>
          <t>A 20233-2026</t>
        </is>
      </c>
      <c r="B58" s="1" t="n">
        <v>46139.46254629629</v>
      </c>
      <c r="C58" s="1" t="n">
        <v>46142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17.9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HYPERLINK("https://klasma.github.io/Logging_2101/artfynd/A 20233-2026 artfynd.xlsx", "A 20233-2026")</f>
        <v/>
      </c>
      <c r="T58">
        <f>HYPERLINK("https://klasma.github.io/Logging_2101/kartor/A 20233-2026 karta.png", "A 20233-2026")</f>
        <v/>
      </c>
      <c r="V58">
        <f>HYPERLINK("https://klasma.github.io/Logging_2101/klagomål/A 20233-2026 FSC-klagomål.docx", "A 20233-2026")</f>
        <v/>
      </c>
      <c r="W58">
        <f>HYPERLINK("https://klasma.github.io/Logging_2101/klagomålsmail/A 20233-2026 FSC-klagomål mail.docx", "A 20233-2026")</f>
        <v/>
      </c>
      <c r="X58">
        <f>HYPERLINK("https://klasma.github.io/Logging_2101/tillsyn/A 20233-2026 tillsynsbegäran.docx", "A 20233-2026")</f>
        <v/>
      </c>
      <c r="Y58">
        <f>HYPERLINK("https://klasma.github.io/Logging_2101/tillsynsmail/A 20233-2026 tillsynsbegäran mail.docx", "A 20233-2026")</f>
        <v/>
      </c>
    </row>
    <row r="59" ht="15" customHeight="1">
      <c r="A59" t="inlineStr">
        <is>
          <t>A 13860-2026</t>
        </is>
      </c>
      <c r="B59" s="1" t="n">
        <v>46098.40856481482</v>
      </c>
      <c r="C59" s="1" t="n">
        <v>46142</v>
      </c>
      <c r="D59" t="inlineStr">
        <is>
          <t>GÄVLEBORGS LÄN</t>
        </is>
      </c>
      <c r="E59" t="inlineStr">
        <is>
          <t>OCKELBO</t>
        </is>
      </c>
      <c r="G59" t="n">
        <v>4.1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HYPERLINK("https://klasma.github.io/Logging_2101/artfynd/A 13860-2026 artfynd.xlsx", "A 13860-2026")</f>
        <v/>
      </c>
      <c r="T59">
        <f>HYPERLINK("https://klasma.github.io/Logging_2101/kartor/A 13860-2026 karta.png", "A 13860-2026")</f>
        <v/>
      </c>
      <c r="U59">
        <f>HYPERLINK("https://klasma.github.io/Logging_2101/knärot/A 13860-2026 karta knärot.png", "A 13860-2026")</f>
        <v/>
      </c>
      <c r="V59">
        <f>HYPERLINK("https://klasma.github.io/Logging_2101/klagomål/A 13860-2026 FSC-klagomål.docx", "A 13860-2026")</f>
        <v/>
      </c>
      <c r="W59">
        <f>HYPERLINK("https://klasma.github.io/Logging_2101/klagomålsmail/A 13860-2026 FSC-klagomål mail.docx", "A 13860-2026")</f>
        <v/>
      </c>
      <c r="X59">
        <f>HYPERLINK("https://klasma.github.io/Logging_2101/tillsyn/A 13860-2026 tillsynsbegäran.docx", "A 13860-2026")</f>
        <v/>
      </c>
      <c r="Y59">
        <f>HYPERLINK("https://klasma.github.io/Logging_2101/tillsynsmail/A 13860-2026 tillsynsbegäran mail.docx", "A 13860-2026")</f>
        <v/>
      </c>
    </row>
    <row r="60" ht="15" customHeight="1">
      <c r="A60" t="inlineStr">
        <is>
          <t>A 57946-2023</t>
        </is>
      </c>
      <c r="B60" s="1" t="n">
        <v>45247.56151620371</v>
      </c>
      <c r="C60" s="1" t="n">
        <v>46142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HYPERLINK("https://klasma.github.io/Logging_2101/artfynd/A 57946-2023 artfynd.xlsx", "A 57946-2023")</f>
        <v/>
      </c>
      <c r="T60">
        <f>HYPERLINK("https://klasma.github.io/Logging_2101/kartor/A 57946-2023 karta.png", "A 57946-2023")</f>
        <v/>
      </c>
      <c r="V60">
        <f>HYPERLINK("https://klasma.github.io/Logging_2101/klagomål/A 57946-2023 FSC-klagomål.docx", "A 57946-2023")</f>
        <v/>
      </c>
      <c r="W60">
        <f>HYPERLINK("https://klasma.github.io/Logging_2101/klagomålsmail/A 57946-2023 FSC-klagomål mail.docx", "A 57946-2023")</f>
        <v/>
      </c>
      <c r="X60">
        <f>HYPERLINK("https://klasma.github.io/Logging_2101/tillsyn/A 57946-2023 tillsynsbegäran.docx", "A 57946-2023")</f>
        <v/>
      </c>
      <c r="Y60">
        <f>HYPERLINK("https://klasma.github.io/Logging_2101/tillsynsmail/A 57946-2023 tillsynsbegäran mail.docx", "A 57946-2023")</f>
        <v/>
      </c>
    </row>
    <row r="61" ht="15" customHeight="1">
      <c r="A61" t="inlineStr">
        <is>
          <t>A 26463-2024</t>
        </is>
      </c>
      <c r="B61" s="1" t="n">
        <v>45469.53998842592</v>
      </c>
      <c r="C61" s="1" t="n">
        <v>46142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HYPERLINK("https://klasma.github.io/Logging_2101/artfynd/A 26463-2024 artfynd.xlsx", "A 26463-2024")</f>
        <v/>
      </c>
      <c r="T61">
        <f>HYPERLINK("https://klasma.github.io/Logging_2101/kartor/A 26463-2024 karta.png", "A 26463-2024")</f>
        <v/>
      </c>
      <c r="V61">
        <f>HYPERLINK("https://klasma.github.io/Logging_2101/klagomål/A 26463-2024 FSC-klagomål.docx", "A 26463-2024")</f>
        <v/>
      </c>
      <c r="W61">
        <f>HYPERLINK("https://klasma.github.io/Logging_2101/klagomålsmail/A 26463-2024 FSC-klagomål mail.docx", "A 26463-2024")</f>
        <v/>
      </c>
      <c r="X61">
        <f>HYPERLINK("https://klasma.github.io/Logging_2101/tillsyn/A 26463-2024 tillsynsbegäran.docx", "A 26463-2024")</f>
        <v/>
      </c>
      <c r="Y61">
        <f>HYPERLINK("https://klasma.github.io/Logging_2101/tillsynsmail/A 26463-2024 tillsynsbegäran mail.docx", "A 26463-2024")</f>
        <v/>
      </c>
    </row>
    <row r="62" ht="15" customHeight="1">
      <c r="A62" t="inlineStr">
        <is>
          <t>A 60615-2021</t>
        </is>
      </c>
      <c r="B62" s="1" t="n">
        <v>44496.58844907407</v>
      </c>
      <c r="C62" s="1" t="n">
        <v>46142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HYPERLINK("https://klasma.github.io/Logging_2101/artfynd/A 60615-2021 artfynd.xlsx", "A 60615-2021")</f>
        <v/>
      </c>
      <c r="T62">
        <f>HYPERLINK("https://klasma.github.io/Logging_2101/kartor/A 60615-2021 karta.png", "A 60615-2021")</f>
        <v/>
      </c>
      <c r="V62">
        <f>HYPERLINK("https://klasma.github.io/Logging_2101/klagomål/A 60615-2021 FSC-klagomål.docx", "A 60615-2021")</f>
        <v/>
      </c>
      <c r="W62">
        <f>HYPERLINK("https://klasma.github.io/Logging_2101/klagomålsmail/A 60615-2021 FSC-klagomål mail.docx", "A 60615-2021")</f>
        <v/>
      </c>
      <c r="X62">
        <f>HYPERLINK("https://klasma.github.io/Logging_2101/tillsyn/A 60615-2021 tillsynsbegäran.docx", "A 60615-2021")</f>
        <v/>
      </c>
      <c r="Y62">
        <f>HYPERLINK("https://klasma.github.io/Logging_2101/tillsynsmail/A 60615-2021 tillsynsbegäran mail.docx", "A 60615-2021")</f>
        <v/>
      </c>
    </row>
    <row r="63" ht="15" customHeight="1">
      <c r="A63" t="inlineStr">
        <is>
          <t>A 9479-2025</t>
        </is>
      </c>
      <c r="B63" s="1" t="n">
        <v>45715.47814814815</v>
      </c>
      <c r="C63" s="1" t="n">
        <v>46142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öst AB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Klofibbla</t>
        </is>
      </c>
      <c r="S63">
        <f>HYPERLINK("https://klasma.github.io/Logging_2101/artfynd/A 9479-2025 artfynd.xlsx", "A 9479-2025")</f>
        <v/>
      </c>
      <c r="T63">
        <f>HYPERLINK("https://klasma.github.io/Logging_2101/kartor/A 9479-2025 karta.png", "A 9479-2025")</f>
        <v/>
      </c>
      <c r="V63">
        <f>HYPERLINK("https://klasma.github.io/Logging_2101/klagomål/A 9479-2025 FSC-klagomål.docx", "A 9479-2025")</f>
        <v/>
      </c>
      <c r="W63">
        <f>HYPERLINK("https://klasma.github.io/Logging_2101/klagomålsmail/A 9479-2025 FSC-klagomål mail.docx", "A 9479-2025")</f>
        <v/>
      </c>
      <c r="X63">
        <f>HYPERLINK("https://klasma.github.io/Logging_2101/tillsyn/A 9479-2025 tillsynsbegäran.docx", "A 9479-2025")</f>
        <v/>
      </c>
      <c r="Y63">
        <f>HYPERLINK("https://klasma.github.io/Logging_2101/tillsynsmail/A 9479-2025 tillsynsbegäran mail.docx", "A 9479-2025")</f>
        <v/>
      </c>
    </row>
    <row r="64" ht="15" customHeight="1">
      <c r="A64" t="inlineStr">
        <is>
          <t>A 62989-2025</t>
        </is>
      </c>
      <c r="B64" s="1" t="n">
        <v>46009.51313657407</v>
      </c>
      <c r="C64" s="1" t="n">
        <v>46142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Kortskaftad ärgspik</t>
        </is>
      </c>
      <c r="S64">
        <f>HYPERLINK("https://klasma.github.io/Logging_2101/artfynd/A 62989-2025 artfynd.xlsx", "A 62989-2025")</f>
        <v/>
      </c>
      <c r="T64">
        <f>HYPERLINK("https://klasma.github.io/Logging_2101/kartor/A 62989-2025 karta.png", "A 62989-2025")</f>
        <v/>
      </c>
      <c r="V64">
        <f>HYPERLINK("https://klasma.github.io/Logging_2101/klagomål/A 62989-2025 FSC-klagomål.docx", "A 62989-2025")</f>
        <v/>
      </c>
      <c r="W64">
        <f>HYPERLINK("https://klasma.github.io/Logging_2101/klagomålsmail/A 62989-2025 FSC-klagomål mail.docx", "A 62989-2025")</f>
        <v/>
      </c>
      <c r="X64">
        <f>HYPERLINK("https://klasma.github.io/Logging_2101/tillsyn/A 62989-2025 tillsynsbegäran.docx", "A 62989-2025")</f>
        <v/>
      </c>
      <c r="Y64">
        <f>HYPERLINK("https://klasma.github.io/Logging_2101/tillsynsmail/A 62989-2025 tillsynsbegäran mail.docx", "A 62989-2025")</f>
        <v/>
      </c>
    </row>
    <row r="65" ht="15" customHeight="1">
      <c r="A65" t="inlineStr">
        <is>
          <t>A 287-2026</t>
        </is>
      </c>
      <c r="B65" s="1" t="n">
        <v>46027</v>
      </c>
      <c r="C65" s="1" t="n">
        <v>46142</v>
      </c>
      <c r="D65" t="inlineStr">
        <is>
          <t>GÄVLEBORGS LÄN</t>
        </is>
      </c>
      <c r="E65" t="inlineStr">
        <is>
          <t>OCKELBO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HYPERLINK("https://klasma.github.io/Logging_2101/artfynd/A 287-2026 artfynd.xlsx", "A 287-2026")</f>
        <v/>
      </c>
      <c r="T65">
        <f>HYPERLINK("https://klasma.github.io/Logging_2101/kartor/A 287-2026 karta.png", "A 287-2026")</f>
        <v/>
      </c>
      <c r="V65">
        <f>HYPERLINK("https://klasma.github.io/Logging_2101/klagomål/A 287-2026 FSC-klagomål.docx", "A 287-2026")</f>
        <v/>
      </c>
      <c r="W65">
        <f>HYPERLINK("https://klasma.github.io/Logging_2101/klagomålsmail/A 287-2026 FSC-klagomål mail.docx", "A 287-2026")</f>
        <v/>
      </c>
      <c r="X65">
        <f>HYPERLINK("https://klasma.github.io/Logging_2101/tillsyn/A 287-2026 tillsynsbegäran.docx", "A 287-2026")</f>
        <v/>
      </c>
      <c r="Y65">
        <f>HYPERLINK("https://klasma.github.io/Logging_2101/tillsynsmail/A 287-2026 tillsynsbegäran mail.docx", "A 287-2026")</f>
        <v/>
      </c>
    </row>
    <row r="66" ht="15" customHeight="1">
      <c r="A66" t="inlineStr">
        <is>
          <t>A 3525-2025</t>
        </is>
      </c>
      <c r="B66" s="1" t="n">
        <v>45680.61361111111</v>
      </c>
      <c r="C66" s="1" t="n">
        <v>46142</v>
      </c>
      <c r="D66" t="inlineStr">
        <is>
          <t>GÄVLEBORGS LÄN</t>
        </is>
      </c>
      <c r="E66" t="inlineStr">
        <is>
          <t>OCKELBO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Rovspindling</t>
        </is>
      </c>
      <c r="S66">
        <f>HYPERLINK("https://klasma.github.io/Logging_2101/artfynd/A 3525-2025 artfynd.xlsx", "A 3525-2025")</f>
        <v/>
      </c>
      <c r="T66">
        <f>HYPERLINK("https://klasma.github.io/Logging_2101/kartor/A 3525-2025 karta.png", "A 3525-2025")</f>
        <v/>
      </c>
      <c r="V66">
        <f>HYPERLINK("https://klasma.github.io/Logging_2101/klagomål/A 3525-2025 FSC-klagomål.docx", "A 3525-2025")</f>
        <v/>
      </c>
      <c r="W66">
        <f>HYPERLINK("https://klasma.github.io/Logging_2101/klagomålsmail/A 3525-2025 FSC-klagomål mail.docx", "A 3525-2025")</f>
        <v/>
      </c>
      <c r="X66">
        <f>HYPERLINK("https://klasma.github.io/Logging_2101/tillsyn/A 3525-2025 tillsynsbegäran.docx", "A 3525-2025")</f>
        <v/>
      </c>
      <c r="Y66">
        <f>HYPERLINK("https://klasma.github.io/Logging_2101/tillsynsmail/A 3525-2025 tillsynsbegäran mail.docx", "A 3525-2025")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46142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46142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46142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22585-2021</t>
        </is>
      </c>
      <c r="B70" s="1" t="n">
        <v>44327.39894675926</v>
      </c>
      <c r="C70" s="1" t="n">
        <v>46142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22580-2021</t>
        </is>
      </c>
      <c r="B71" s="1" t="n">
        <v>44327.39097222222</v>
      </c>
      <c r="C71" s="1" t="n">
        <v>46142</v>
      </c>
      <c r="D71" t="inlineStr">
        <is>
          <t>GÄVLEBORGS LÄN</t>
        </is>
      </c>
      <c r="E71" t="inlineStr">
        <is>
          <t>OCKELBO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46142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34712-2022</t>
        </is>
      </c>
      <c r="B73" s="1" t="n">
        <v>44795.58167824074</v>
      </c>
      <c r="C73" s="1" t="n">
        <v>46142</v>
      </c>
      <c r="D73" t="inlineStr">
        <is>
          <t>GÄVLEBORGS LÄN</t>
        </is>
      </c>
      <c r="E73" t="inlineStr">
        <is>
          <t>OCKELBO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39888-2021</t>
        </is>
      </c>
      <c r="B74" s="1" t="n">
        <v>44417.70143518518</v>
      </c>
      <c r="C74" s="1" t="n">
        <v>46142</v>
      </c>
      <c r="D74" t="inlineStr">
        <is>
          <t>GÄVLEBORGS LÄN</t>
        </is>
      </c>
      <c r="E74" t="inlineStr">
        <is>
          <t>OCKELBO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46142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24803-2021</t>
        </is>
      </c>
      <c r="B76" s="1" t="n">
        <v>44340.65736111111</v>
      </c>
      <c r="C76" s="1" t="n">
        <v>46142</v>
      </c>
      <c r="D76" t="inlineStr">
        <is>
          <t>GÄVLEBORGS LÄN</t>
        </is>
      </c>
      <c r="E76" t="inlineStr">
        <is>
          <t>OCKELBO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51206-2021</t>
        </is>
      </c>
      <c r="B77" s="1" t="n">
        <v>44460</v>
      </c>
      <c r="C77" s="1" t="n">
        <v>46142</v>
      </c>
      <c r="D77" t="inlineStr">
        <is>
          <t>GÄVLEBORGS LÄN</t>
        </is>
      </c>
      <c r="E77" t="inlineStr">
        <is>
          <t>OCKELBO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56282-2021</t>
        </is>
      </c>
      <c r="B78" s="1" t="n">
        <v>44479</v>
      </c>
      <c r="C78" s="1" t="n">
        <v>46142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68541-2021</t>
        </is>
      </c>
      <c r="B79" s="1" t="n">
        <v>44529.48662037037</v>
      </c>
      <c r="C79" s="1" t="n">
        <v>46142</v>
      </c>
      <c r="D79" t="inlineStr">
        <is>
          <t>GÄVLEBORGS LÄN</t>
        </is>
      </c>
      <c r="E79" t="inlineStr">
        <is>
          <t>OCKELBO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69833-2021</t>
        </is>
      </c>
      <c r="B80" s="1" t="n">
        <v>44532.6444212963</v>
      </c>
      <c r="C80" s="1" t="n">
        <v>46142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39325-2022</t>
        </is>
      </c>
      <c r="B81" s="1" t="n">
        <v>44817</v>
      </c>
      <c r="C81" s="1" t="n">
        <v>46142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37701-2021</t>
        </is>
      </c>
      <c r="B82" s="1" t="n">
        <v>44400.53994212963</v>
      </c>
      <c r="C82" s="1" t="n">
        <v>46142</v>
      </c>
      <c r="D82" t="inlineStr">
        <is>
          <t>GÄVLEBORGS LÄN</t>
        </is>
      </c>
      <c r="E82" t="inlineStr">
        <is>
          <t>OCKELBO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34718-2022</t>
        </is>
      </c>
      <c r="B83" s="1" t="n">
        <v>44795.58773148148</v>
      </c>
      <c r="C83" s="1" t="n">
        <v>46142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63731-2021</t>
        </is>
      </c>
      <c r="B84" s="1" t="n">
        <v>44509</v>
      </c>
      <c r="C84" s="1" t="n">
        <v>46142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40159-2021</t>
        </is>
      </c>
      <c r="B85" s="1" t="n">
        <v>44418</v>
      </c>
      <c r="C85" s="1" t="n">
        <v>46142</v>
      </c>
      <c r="D85" t="inlineStr">
        <is>
          <t>GÄVLEBORGS LÄN</t>
        </is>
      </c>
      <c r="E85" t="inlineStr">
        <is>
          <t>OCKELBO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23629-2021</t>
        </is>
      </c>
      <c r="B86" s="1" t="n">
        <v>44334</v>
      </c>
      <c r="C86" s="1" t="n">
        <v>46142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51250-2021</t>
        </is>
      </c>
      <c r="B87" s="1" t="n">
        <v>44460</v>
      </c>
      <c r="C87" s="1" t="n">
        <v>46142</v>
      </c>
      <c r="D87" t="inlineStr">
        <is>
          <t>GÄVLEBORGS LÄN</t>
        </is>
      </c>
      <c r="E87" t="inlineStr">
        <is>
          <t>OCKELBO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15694-2022</t>
        </is>
      </c>
      <c r="B88" s="1" t="n">
        <v>44663.42211805555</v>
      </c>
      <c r="C88" s="1" t="n">
        <v>46142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48381-2022</t>
        </is>
      </c>
      <c r="B89" s="1" t="n">
        <v>44858.59162037037</v>
      </c>
      <c r="C89" s="1" t="n">
        <v>46142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59629-2021</t>
        </is>
      </c>
      <c r="B90" s="1" t="n">
        <v>44492</v>
      </c>
      <c r="C90" s="1" t="n">
        <v>46142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37705-2021</t>
        </is>
      </c>
      <c r="B91" s="1" t="n">
        <v>44400.55195601852</v>
      </c>
      <c r="C91" s="1" t="n">
        <v>46142</v>
      </c>
      <c r="D91" t="inlineStr">
        <is>
          <t>GÄVLEBORGS LÄN</t>
        </is>
      </c>
      <c r="E91" t="inlineStr">
        <is>
          <t>OCKELBO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37694-2021</t>
        </is>
      </c>
      <c r="B92" s="1" t="n">
        <v>44400.50061342592</v>
      </c>
      <c r="C92" s="1" t="n">
        <v>46142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34854-2021</t>
        </is>
      </c>
      <c r="B93" s="1" t="n">
        <v>44383</v>
      </c>
      <c r="C93" s="1" t="n">
        <v>46142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22035-2022</t>
        </is>
      </c>
      <c r="B94" s="1" t="n">
        <v>44711.63396990741</v>
      </c>
      <c r="C94" s="1" t="n">
        <v>46142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45522-2021</t>
        </is>
      </c>
      <c r="B95" s="1" t="n">
        <v>44440</v>
      </c>
      <c r="C95" s="1" t="n">
        <v>46142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34709-2022</t>
        </is>
      </c>
      <c r="B96" s="1" t="n">
        <v>44795.57931712963</v>
      </c>
      <c r="C96" s="1" t="n">
        <v>46142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48205-2022</t>
        </is>
      </c>
      <c r="B97" s="1" t="n">
        <v>44858.42241898148</v>
      </c>
      <c r="C97" s="1" t="n">
        <v>46142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41622-2021</t>
        </is>
      </c>
      <c r="B98" s="1" t="n">
        <v>44425</v>
      </c>
      <c r="C98" s="1" t="n">
        <v>46142</v>
      </c>
      <c r="D98" t="inlineStr">
        <is>
          <t>GÄVLEBORGS LÄN</t>
        </is>
      </c>
      <c r="E98" t="inlineStr">
        <is>
          <t>OCKELBO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51708-2021</t>
        </is>
      </c>
      <c r="B99" s="1" t="n">
        <v>44462</v>
      </c>
      <c r="C99" s="1" t="n">
        <v>46142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25583-2021</t>
        </is>
      </c>
      <c r="B100" s="1" t="n">
        <v>44343</v>
      </c>
      <c r="C100" s="1" t="n">
        <v>46142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46142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46142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35846-2022</t>
        </is>
      </c>
      <c r="B103" s="1" t="n">
        <v>44802.41177083334</v>
      </c>
      <c r="C103" s="1" t="n">
        <v>46142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54152-2022</t>
        </is>
      </c>
      <c r="B104" s="1" t="n">
        <v>44881.63907407408</v>
      </c>
      <c r="C104" s="1" t="n">
        <v>46142</v>
      </c>
      <c r="D104" t="inlineStr">
        <is>
          <t>GÄVLEBORGS LÄN</t>
        </is>
      </c>
      <c r="E104" t="inlineStr">
        <is>
          <t>OCKELBO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21291-2022</t>
        </is>
      </c>
      <c r="B105" s="1" t="n">
        <v>44705.48972222222</v>
      </c>
      <c r="C105" s="1" t="n">
        <v>46142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51747-2022</t>
        </is>
      </c>
      <c r="B106" s="1" t="n">
        <v>44872.49866898148</v>
      </c>
      <c r="C106" s="1" t="n">
        <v>46142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23707-2021</t>
        </is>
      </c>
      <c r="B107" s="1" t="n">
        <v>44334.68707175926</v>
      </c>
      <c r="C107" s="1" t="n">
        <v>46142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29437-2021</t>
        </is>
      </c>
      <c r="B108" s="1" t="n">
        <v>44361.58487268518</v>
      </c>
      <c r="C108" s="1" t="n">
        <v>46142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32282-2021</t>
        </is>
      </c>
      <c r="B109" s="1" t="n">
        <v>44371.49859953704</v>
      </c>
      <c r="C109" s="1" t="n">
        <v>46142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69580-2021</t>
        </is>
      </c>
      <c r="B110" s="1" t="n">
        <v>44532.35103009259</v>
      </c>
      <c r="C110" s="1" t="n">
        <v>46142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12987-2022</t>
        </is>
      </c>
      <c r="B111" s="1" t="n">
        <v>44643.42163194445</v>
      </c>
      <c r="C111" s="1" t="n">
        <v>46142</v>
      </c>
      <c r="D111" t="inlineStr">
        <is>
          <t>GÄVLEBORGS LÄN</t>
        </is>
      </c>
      <c r="E111" t="inlineStr">
        <is>
          <t>OCKELBO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46142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38604-2021</t>
        </is>
      </c>
      <c r="B113" s="1" t="n">
        <v>44409.33064814815</v>
      </c>
      <c r="C113" s="1" t="n">
        <v>46142</v>
      </c>
      <c r="D113" t="inlineStr">
        <is>
          <t>GÄVLEBORGS LÄN</t>
        </is>
      </c>
      <c r="E113" t="inlineStr">
        <is>
          <t>OCKELBO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28006-2021</t>
        </is>
      </c>
      <c r="B114" s="1" t="n">
        <v>44355.33836805556</v>
      </c>
      <c r="C114" s="1" t="n">
        <v>46142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51271-2021</t>
        </is>
      </c>
      <c r="B115" s="1" t="n">
        <v>44460</v>
      </c>
      <c r="C115" s="1" t="n">
        <v>46142</v>
      </c>
      <c r="D115" t="inlineStr">
        <is>
          <t>GÄVLEBORGS LÄN</t>
        </is>
      </c>
      <c r="E115" t="inlineStr">
        <is>
          <t>OCKELBO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35245-2021</t>
        </is>
      </c>
      <c r="B116" s="1" t="n">
        <v>44384.58857638889</v>
      </c>
      <c r="C116" s="1" t="n">
        <v>46142</v>
      </c>
      <c r="D116" t="inlineStr">
        <is>
          <t>GÄVLEBORGS LÄN</t>
        </is>
      </c>
      <c r="E116" t="inlineStr">
        <is>
          <t>OCKELBO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50762-2021</t>
        </is>
      </c>
      <c r="B117" s="1" t="n">
        <v>44460.42206018518</v>
      </c>
      <c r="C117" s="1" t="n">
        <v>46142</v>
      </c>
      <c r="D117" t="inlineStr">
        <is>
          <t>GÄVLEBORGS LÄN</t>
        </is>
      </c>
      <c r="E117" t="inlineStr">
        <is>
          <t>OCKELBO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51565-2021</t>
        </is>
      </c>
      <c r="B118" s="1" t="n">
        <v>44460</v>
      </c>
      <c r="C118" s="1" t="n">
        <v>46142</v>
      </c>
      <c r="D118" t="inlineStr">
        <is>
          <t>GÄVLEBORGS LÄN</t>
        </is>
      </c>
      <c r="E118" t="inlineStr">
        <is>
          <t>OCKELBO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46142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26499-2021</t>
        </is>
      </c>
      <c r="B120" s="1" t="n">
        <v>44348.44310185185</v>
      </c>
      <c r="C120" s="1" t="n">
        <v>46142</v>
      </c>
      <c r="D120" t="inlineStr">
        <is>
          <t>GÄVLEBORGS LÄN</t>
        </is>
      </c>
      <c r="E120" t="inlineStr">
        <is>
          <t>OCKELBO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56635-2021</t>
        </is>
      </c>
      <c r="B121" s="1" t="n">
        <v>44480</v>
      </c>
      <c r="C121" s="1" t="n">
        <v>46142</v>
      </c>
      <c r="D121" t="inlineStr">
        <is>
          <t>GÄVLEBORGS LÄN</t>
        </is>
      </c>
      <c r="E121" t="inlineStr">
        <is>
          <t>OCKELBO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43538-2023</t>
        </is>
      </c>
      <c r="B122" s="1" t="n">
        <v>45184</v>
      </c>
      <c r="C122" s="1" t="n">
        <v>46142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47674-2023</t>
        </is>
      </c>
      <c r="B123" s="1" t="n">
        <v>45203.60052083333</v>
      </c>
      <c r="C123" s="1" t="n">
        <v>46142</v>
      </c>
      <c r="D123" t="inlineStr">
        <is>
          <t>GÄVLEBORGS LÄN</t>
        </is>
      </c>
      <c r="E123" t="inlineStr">
        <is>
          <t>OCKELBO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56615-2024</t>
        </is>
      </c>
      <c r="B124" s="1" t="n">
        <v>45625.65038194445</v>
      </c>
      <c r="C124" s="1" t="n">
        <v>46142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öst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5558-2024</t>
        </is>
      </c>
      <c r="B125" s="1" t="n">
        <v>45334.4608912037</v>
      </c>
      <c r="C125" s="1" t="n">
        <v>46142</v>
      </c>
      <c r="D125" t="inlineStr">
        <is>
          <t>GÄVLEBORGS LÄN</t>
        </is>
      </c>
      <c r="E125" t="inlineStr">
        <is>
          <t>OCKELBO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34944-2024</t>
        </is>
      </c>
      <c r="B126" s="1" t="n">
        <v>45527.46929398148</v>
      </c>
      <c r="C126" s="1" t="n">
        <v>46142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30422-2023</t>
        </is>
      </c>
      <c r="B127" s="1" t="n">
        <v>45111.53038194445</v>
      </c>
      <c r="C127" s="1" t="n">
        <v>46142</v>
      </c>
      <c r="D127" t="inlineStr">
        <is>
          <t>GÄVLEBORGS LÄN</t>
        </is>
      </c>
      <c r="E127" t="inlineStr">
        <is>
          <t>OCKELBO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5131-2024</t>
        </is>
      </c>
      <c r="B128" s="1" t="n">
        <v>45330.44824074074</v>
      </c>
      <c r="C128" s="1" t="n">
        <v>46142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6617-2025</t>
        </is>
      </c>
      <c r="B129" s="1" t="n">
        <v>45700</v>
      </c>
      <c r="C129" s="1" t="n">
        <v>46142</v>
      </c>
      <c r="D129" t="inlineStr">
        <is>
          <t>GÄVLEBORGS LÄN</t>
        </is>
      </c>
      <c r="E129" t="inlineStr">
        <is>
          <t>OCKELBO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43799-2022</t>
        </is>
      </c>
      <c r="B130" s="1" t="n">
        <v>44838</v>
      </c>
      <c r="C130" s="1" t="n">
        <v>46142</v>
      </c>
      <c r="D130" t="inlineStr">
        <is>
          <t>GÄVLEBORGS LÄN</t>
        </is>
      </c>
      <c r="E130" t="inlineStr">
        <is>
          <t>OCKELBO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16737-2025</t>
        </is>
      </c>
      <c r="B131" s="1" t="n">
        <v>45754.54491898148</v>
      </c>
      <c r="C131" s="1" t="n">
        <v>46142</v>
      </c>
      <c r="D131" t="inlineStr">
        <is>
          <t>GÄVLEBORGS LÄN</t>
        </is>
      </c>
      <c r="E131" t="inlineStr">
        <is>
          <t>OCKELBO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56631-2022</t>
        </is>
      </c>
      <c r="B132" s="1" t="n">
        <v>44893.61184027778</v>
      </c>
      <c r="C132" s="1" t="n">
        <v>46142</v>
      </c>
      <c r="D132" t="inlineStr">
        <is>
          <t>GÄVLEBORGS LÄN</t>
        </is>
      </c>
      <c r="E132" t="inlineStr">
        <is>
          <t>OCKELBO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40140-2022</t>
        </is>
      </c>
      <c r="B133" s="1" t="n">
        <v>44820</v>
      </c>
      <c r="C133" s="1" t="n">
        <v>46142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55422-2022</t>
        </is>
      </c>
      <c r="B134" s="1" t="n">
        <v>44887</v>
      </c>
      <c r="C134" s="1" t="n">
        <v>46142</v>
      </c>
      <c r="D134" t="inlineStr">
        <is>
          <t>GÄVLEBORGS LÄN</t>
        </is>
      </c>
      <c r="E134" t="inlineStr">
        <is>
          <t>OCKELBO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21418-2024</t>
        </is>
      </c>
      <c r="B135" s="1" t="n">
        <v>45441</v>
      </c>
      <c r="C135" s="1" t="n">
        <v>46142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10238-2024</t>
        </is>
      </c>
      <c r="B136" s="1" t="n">
        <v>45365.36416666667</v>
      </c>
      <c r="C136" s="1" t="n">
        <v>46142</v>
      </c>
      <c r="D136" t="inlineStr">
        <is>
          <t>GÄVLEBORGS LÄN</t>
        </is>
      </c>
      <c r="E136" t="inlineStr">
        <is>
          <t>OCKELBO</t>
        </is>
      </c>
      <c r="F136" t="inlineStr">
        <is>
          <t>Kyrkan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3267-2025</t>
        </is>
      </c>
      <c r="B137" s="1" t="n">
        <v>45679.57982638889</v>
      </c>
      <c r="C137" s="1" t="n">
        <v>46142</v>
      </c>
      <c r="D137" t="inlineStr">
        <is>
          <t>GÄVLEBORGS LÄN</t>
        </is>
      </c>
      <c r="E137" t="inlineStr">
        <is>
          <t>OCKELBO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20231-2024</t>
        </is>
      </c>
      <c r="B138" s="1" t="n">
        <v>45434</v>
      </c>
      <c r="C138" s="1" t="n">
        <v>46142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9859-2025</t>
        </is>
      </c>
      <c r="B139" s="1" t="n">
        <v>45716.62736111111</v>
      </c>
      <c r="C139" s="1" t="n">
        <v>46142</v>
      </c>
      <c r="D139" t="inlineStr">
        <is>
          <t>GÄVLEBORGS LÄN</t>
        </is>
      </c>
      <c r="E139" t="inlineStr">
        <is>
          <t>OCKELBO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427-2024</t>
        </is>
      </c>
      <c r="B140" s="1" t="n">
        <v>45296</v>
      </c>
      <c r="C140" s="1" t="n">
        <v>46142</v>
      </c>
      <c r="D140" t="inlineStr">
        <is>
          <t>GÄVLEBORGS LÄN</t>
        </is>
      </c>
      <c r="E140" t="inlineStr">
        <is>
          <t>OCKELBO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23072-2024</t>
        </is>
      </c>
      <c r="B141" s="1" t="n">
        <v>45450.46739583334</v>
      </c>
      <c r="C141" s="1" t="n">
        <v>46142</v>
      </c>
      <c r="D141" t="inlineStr">
        <is>
          <t>GÄVLEBORGS LÄN</t>
        </is>
      </c>
      <c r="E141" t="inlineStr">
        <is>
          <t>OCKELBO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21878-2024</t>
        </is>
      </c>
      <c r="B142" s="1" t="n">
        <v>45443.3383912037</v>
      </c>
      <c r="C142" s="1" t="n">
        <v>46142</v>
      </c>
      <c r="D142" t="inlineStr">
        <is>
          <t>GÄVLEBORGS LÄN</t>
        </is>
      </c>
      <c r="E142" t="inlineStr">
        <is>
          <t>OCKELBO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21936-2024</t>
        </is>
      </c>
      <c r="B143" s="1" t="n">
        <v>45443.47413194444</v>
      </c>
      <c r="C143" s="1" t="n">
        <v>46142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22293-2024</t>
        </is>
      </c>
      <c r="B144" s="1" t="n">
        <v>45446.55873842593</v>
      </c>
      <c r="C144" s="1" t="n">
        <v>46142</v>
      </c>
      <c r="D144" t="inlineStr">
        <is>
          <t>GÄVLEBORGS LÄN</t>
        </is>
      </c>
      <c r="E144" t="inlineStr">
        <is>
          <t>OCKELBO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5571-2024</t>
        </is>
      </c>
      <c r="B145" s="1" t="n">
        <v>45334</v>
      </c>
      <c r="C145" s="1" t="n">
        <v>46142</v>
      </c>
      <c r="D145" t="inlineStr">
        <is>
          <t>GÄVLEBORGS LÄN</t>
        </is>
      </c>
      <c r="E145" t="inlineStr">
        <is>
          <t>OCKELBO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28965-2024</t>
        </is>
      </c>
      <c r="B146" s="1" t="n">
        <v>45481.43787037037</v>
      </c>
      <c r="C146" s="1" t="n">
        <v>46142</v>
      </c>
      <c r="D146" t="inlineStr">
        <is>
          <t>GÄVLEBORGS LÄN</t>
        </is>
      </c>
      <c r="E146" t="inlineStr">
        <is>
          <t>OCKELBO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30242-2024</t>
        </is>
      </c>
      <c r="B147" s="1" t="n">
        <v>45490</v>
      </c>
      <c r="C147" s="1" t="n">
        <v>46142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10445-2024</t>
        </is>
      </c>
      <c r="B148" s="1" t="n">
        <v>45366.33762731482</v>
      </c>
      <c r="C148" s="1" t="n">
        <v>46142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28586-2024</t>
        </is>
      </c>
      <c r="B149" s="1" t="n">
        <v>45478</v>
      </c>
      <c r="C149" s="1" t="n">
        <v>46142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6742-2024</t>
        </is>
      </c>
      <c r="B150" s="1" t="n">
        <v>45342.40693287037</v>
      </c>
      <c r="C150" s="1" t="n">
        <v>46142</v>
      </c>
      <c r="D150" t="inlineStr">
        <is>
          <t>GÄVLEBORGS LÄN</t>
        </is>
      </c>
      <c r="E150" t="inlineStr">
        <is>
          <t>OCKELBO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36295-2024</t>
        </is>
      </c>
      <c r="B151" s="1" t="n">
        <v>45534.60523148148</v>
      </c>
      <c r="C151" s="1" t="n">
        <v>46142</v>
      </c>
      <c r="D151" t="inlineStr">
        <is>
          <t>GÄVLEBORGS LÄN</t>
        </is>
      </c>
      <c r="E151" t="inlineStr">
        <is>
          <t>OCKELBO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33880-2023</t>
        </is>
      </c>
      <c r="B152" s="1" t="n">
        <v>45134</v>
      </c>
      <c r="C152" s="1" t="n">
        <v>46142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55715-2023</t>
        </is>
      </c>
      <c r="B153" s="1" t="n">
        <v>45239</v>
      </c>
      <c r="C153" s="1" t="n">
        <v>46142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60497-2021</t>
        </is>
      </c>
      <c r="B154" s="1" t="n">
        <v>44496.48552083333</v>
      </c>
      <c r="C154" s="1" t="n">
        <v>46142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29954-2024</t>
        </is>
      </c>
      <c r="B155" s="1" t="n">
        <v>45488.45084490741</v>
      </c>
      <c r="C155" s="1" t="n">
        <v>46142</v>
      </c>
      <c r="D155" t="inlineStr">
        <is>
          <t>GÄVLEBORGS LÄN</t>
        </is>
      </c>
      <c r="E155" t="inlineStr">
        <is>
          <t>OCKELBO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23772-2024</t>
        </is>
      </c>
      <c r="B156" s="1" t="n">
        <v>45455.3833912037</v>
      </c>
      <c r="C156" s="1" t="n">
        <v>46142</v>
      </c>
      <c r="D156" t="inlineStr">
        <is>
          <t>GÄVLEBORGS LÄN</t>
        </is>
      </c>
      <c r="E156" t="inlineStr">
        <is>
          <t>OCKELBO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43550-2023</t>
        </is>
      </c>
      <c r="B157" s="1" t="n">
        <v>45184</v>
      </c>
      <c r="C157" s="1" t="n">
        <v>46142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53393-2022</t>
        </is>
      </c>
      <c r="B158" s="1" t="n">
        <v>44879</v>
      </c>
      <c r="C158" s="1" t="n">
        <v>46142</v>
      </c>
      <c r="D158" t="inlineStr">
        <is>
          <t>GÄVLEBORGS LÄN</t>
        </is>
      </c>
      <c r="E158" t="inlineStr">
        <is>
          <t>OCKELBO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54807-2024</t>
        </is>
      </c>
      <c r="B159" s="1" t="n">
        <v>45618.51423611111</v>
      </c>
      <c r="C159" s="1" t="n">
        <v>46142</v>
      </c>
      <c r="D159" t="inlineStr">
        <is>
          <t>GÄVLEBORGS LÄN</t>
        </is>
      </c>
      <c r="E159" t="inlineStr">
        <is>
          <t>OCKELBO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36553-2021</t>
        </is>
      </c>
      <c r="B160" s="1" t="n">
        <v>44391</v>
      </c>
      <c r="C160" s="1" t="n">
        <v>46142</v>
      </c>
      <c r="D160" t="inlineStr">
        <is>
          <t>GÄVLEBORGS LÄN</t>
        </is>
      </c>
      <c r="E160" t="inlineStr">
        <is>
          <t>OCKELBO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55952-2022</t>
        </is>
      </c>
      <c r="B161" s="1" t="n">
        <v>44889</v>
      </c>
      <c r="C161" s="1" t="n">
        <v>46142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2584-2026</t>
        </is>
      </c>
      <c r="B162" s="1" t="n">
        <v>46037.54207175926</v>
      </c>
      <c r="C162" s="1" t="n">
        <v>46142</v>
      </c>
      <c r="D162" t="inlineStr">
        <is>
          <t>GÄVLEBORGS LÄN</t>
        </is>
      </c>
      <c r="E162" t="inlineStr">
        <is>
          <t>OCKELBO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2545-2026</t>
        </is>
      </c>
      <c r="B163" s="1" t="n">
        <v>46037.46747685185</v>
      </c>
      <c r="C163" s="1" t="n">
        <v>46142</v>
      </c>
      <c r="D163" t="inlineStr">
        <is>
          <t>GÄVLEBORGS LÄN</t>
        </is>
      </c>
      <c r="E163" t="inlineStr">
        <is>
          <t>OCKELBO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19495-2024</t>
        </is>
      </c>
      <c r="B164" s="1" t="n">
        <v>45429.58289351852</v>
      </c>
      <c r="C164" s="1" t="n">
        <v>46142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2593-2026</t>
        </is>
      </c>
      <c r="B165" s="1" t="n">
        <v>46037.54952546296</v>
      </c>
      <c r="C165" s="1" t="n">
        <v>46142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11001-2026</t>
        </is>
      </c>
      <c r="B166" s="1" t="n">
        <v>46079.50302083333</v>
      </c>
      <c r="C166" s="1" t="n">
        <v>46142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11022-2026</t>
        </is>
      </c>
      <c r="B167" s="1" t="n">
        <v>46079.55365740741</v>
      </c>
      <c r="C167" s="1" t="n">
        <v>46142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2926-2026</t>
        </is>
      </c>
      <c r="B168" s="1" t="n">
        <v>46038.58046296296</v>
      </c>
      <c r="C168" s="1" t="n">
        <v>46142</v>
      </c>
      <c r="D168" t="inlineStr">
        <is>
          <t>GÄVLEBORGS LÄN</t>
        </is>
      </c>
      <c r="E168" t="inlineStr">
        <is>
          <t>OCKELBO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38339-2025</t>
        </is>
      </c>
      <c r="B169" s="1" t="n">
        <v>45883.49462962963</v>
      </c>
      <c r="C169" s="1" t="n">
        <v>46142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2875-2026</t>
        </is>
      </c>
      <c r="B170" s="1" t="n">
        <v>46038</v>
      </c>
      <c r="C170" s="1" t="n">
        <v>46142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3001-2026</t>
        </is>
      </c>
      <c r="B171" s="1" t="n">
        <v>46038</v>
      </c>
      <c r="C171" s="1" t="n">
        <v>46142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2858-2026</t>
        </is>
      </c>
      <c r="B172" s="1" t="n">
        <v>46038.48903935185</v>
      </c>
      <c r="C172" s="1" t="n">
        <v>46142</v>
      </c>
      <c r="D172" t="inlineStr">
        <is>
          <t>GÄVLEBORGS LÄN</t>
        </is>
      </c>
      <c r="E172" t="inlineStr">
        <is>
          <t>OCKELBO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26195-2025</t>
        </is>
      </c>
      <c r="B173" s="1" t="n">
        <v>45805.49575231481</v>
      </c>
      <c r="C173" s="1" t="n">
        <v>46142</v>
      </c>
      <c r="D173" t="inlineStr">
        <is>
          <t>GÄVLEBORGS LÄN</t>
        </is>
      </c>
      <c r="E173" t="inlineStr">
        <is>
          <t>OCKELBO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2753-2026</t>
        </is>
      </c>
      <c r="B174" s="1" t="n">
        <v>46038.33611111111</v>
      </c>
      <c r="C174" s="1" t="n">
        <v>46142</v>
      </c>
      <c r="D174" t="inlineStr">
        <is>
          <t>GÄVLEBORGS LÄN</t>
        </is>
      </c>
      <c r="E174" t="inlineStr">
        <is>
          <t>OCKELBO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2550-2026</t>
        </is>
      </c>
      <c r="B175" s="1" t="n">
        <v>46037.470625</v>
      </c>
      <c r="C175" s="1" t="n">
        <v>46142</v>
      </c>
      <c r="D175" t="inlineStr">
        <is>
          <t>GÄVLEBORGS LÄN</t>
        </is>
      </c>
      <c r="E175" t="inlineStr">
        <is>
          <t>OCKELBO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26821-2025</t>
        </is>
      </c>
      <c r="B176" s="1" t="n">
        <v>45810.64354166666</v>
      </c>
      <c r="C176" s="1" t="n">
        <v>46142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38650-2025</t>
        </is>
      </c>
      <c r="B177" s="1" t="n">
        <v>45884.5896875</v>
      </c>
      <c r="C177" s="1" t="n">
        <v>46142</v>
      </c>
      <c r="D177" t="inlineStr">
        <is>
          <t>GÄVLEBORGS LÄN</t>
        </is>
      </c>
      <c r="E177" t="inlineStr">
        <is>
          <t>OCKELBO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2923-2026</t>
        </is>
      </c>
      <c r="B178" s="1" t="n">
        <v>46038.57928240741</v>
      </c>
      <c r="C178" s="1" t="n">
        <v>46142</v>
      </c>
      <c r="D178" t="inlineStr">
        <is>
          <t>GÄVLEBORGS LÄN</t>
        </is>
      </c>
      <c r="E178" t="inlineStr">
        <is>
          <t>OCKELBO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HYPERLINK("https://klasma.github.io/Logging_2101/knärot/A 2923-2026 karta knärot.png", "A 2923-2026")</f>
        <v/>
      </c>
      <c r="V178">
        <f>HYPERLINK("https://klasma.github.io/Logging_2101/klagomål/A 2923-2026 FSC-klagomål.docx", "A 2923-2026")</f>
        <v/>
      </c>
      <c r="W178">
        <f>HYPERLINK("https://klasma.github.io/Logging_2101/klagomålsmail/A 2923-2026 FSC-klagomål mail.docx", "A 2923-2026")</f>
        <v/>
      </c>
      <c r="X178">
        <f>HYPERLINK("https://klasma.github.io/Logging_2101/tillsyn/A 2923-2026 tillsynsbegäran.docx", "A 2923-2026")</f>
        <v/>
      </c>
      <c r="Y178">
        <f>HYPERLINK("https://klasma.github.io/Logging_2101/tillsynsmail/A 2923-2026 tillsynsbegäran mail.docx", "A 2923-2026")</f>
        <v/>
      </c>
    </row>
    <row r="179" ht="15" customHeight="1">
      <c r="A179" t="inlineStr">
        <is>
          <t>A 3009-2026</t>
        </is>
      </c>
      <c r="B179" s="1" t="n">
        <v>46038</v>
      </c>
      <c r="C179" s="1" t="n">
        <v>46142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2975-2026</t>
        </is>
      </c>
      <c r="B180" s="1" t="n">
        <v>46038.625625</v>
      </c>
      <c r="C180" s="1" t="n">
        <v>46142</v>
      </c>
      <c r="D180" t="inlineStr">
        <is>
          <t>GÄVLEBORGS LÄN</t>
        </is>
      </c>
      <c r="E180" t="inlineStr">
        <is>
          <t>OCKELBO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2826-2026</t>
        </is>
      </c>
      <c r="B181" s="1" t="n">
        <v>46038.44782407407</v>
      </c>
      <c r="C181" s="1" t="n">
        <v>46142</v>
      </c>
      <c r="D181" t="inlineStr">
        <is>
          <t>GÄVLEBORGS LÄN</t>
        </is>
      </c>
      <c r="E181" t="inlineStr">
        <is>
          <t>OCKELBO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2569-2026</t>
        </is>
      </c>
      <c r="B182" s="1" t="n">
        <v>46037.49280092592</v>
      </c>
      <c r="C182" s="1" t="n">
        <v>46142</v>
      </c>
      <c r="D182" t="inlineStr">
        <is>
          <t>GÄVLEBORGS LÄN</t>
        </is>
      </c>
      <c r="E182" t="inlineStr">
        <is>
          <t>OCKELBO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3544-2026</t>
        </is>
      </c>
      <c r="B183" s="1" t="n">
        <v>46042.64138888889</v>
      </c>
      <c r="C183" s="1" t="n">
        <v>46142</v>
      </c>
      <c r="D183" t="inlineStr">
        <is>
          <t>GÄVLEBORGS LÄN</t>
        </is>
      </c>
      <c r="E183" t="inlineStr">
        <is>
          <t>OCKELBO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3469-2026</t>
        </is>
      </c>
      <c r="B184" s="1" t="n">
        <v>46042.53480324074</v>
      </c>
      <c r="C184" s="1" t="n">
        <v>46142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45.4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3377-2026</t>
        </is>
      </c>
      <c r="B185" s="1" t="n">
        <v>46042.35134259259</v>
      </c>
      <c r="C185" s="1" t="n">
        <v>46142</v>
      </c>
      <c r="D185" t="inlineStr">
        <is>
          <t>GÄVLEBORGS LÄN</t>
        </is>
      </c>
      <c r="E185" t="inlineStr">
        <is>
          <t>OCKELBO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3138-2026</t>
        </is>
      </c>
      <c r="B186" s="1" t="n">
        <v>46041.40201388889</v>
      </c>
      <c r="C186" s="1" t="n">
        <v>46142</v>
      </c>
      <c r="D186" t="inlineStr">
        <is>
          <t>GÄVLEBORGS LÄN</t>
        </is>
      </c>
      <c r="E186" t="inlineStr">
        <is>
          <t>OCKELBO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3248-2026</t>
        </is>
      </c>
      <c r="B187" s="1" t="n">
        <v>46041.57511574074</v>
      </c>
      <c r="C187" s="1" t="n">
        <v>46142</v>
      </c>
      <c r="D187" t="inlineStr">
        <is>
          <t>GÄVLEBORGS LÄN</t>
        </is>
      </c>
      <c r="E187" t="inlineStr">
        <is>
          <t>OCKELBO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3484-2026</t>
        </is>
      </c>
      <c r="B188" s="1" t="n">
        <v>46042</v>
      </c>
      <c r="C188" s="1" t="n">
        <v>46142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2389-2026</t>
        </is>
      </c>
      <c r="B189" s="1" t="n">
        <v>46036.67594907407</v>
      </c>
      <c r="C189" s="1" t="n">
        <v>46142</v>
      </c>
      <c r="D189" t="inlineStr">
        <is>
          <t>GÄVLEBORGS LÄN</t>
        </is>
      </c>
      <c r="E189" t="inlineStr">
        <is>
          <t>OCKELBO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44457-2024</t>
        </is>
      </c>
      <c r="B190" s="1" t="n">
        <v>45574.35596064815</v>
      </c>
      <c r="C190" s="1" t="n">
        <v>46142</v>
      </c>
      <c r="D190" t="inlineStr">
        <is>
          <t>GÄVLEBORGS LÄN</t>
        </is>
      </c>
      <c r="E190" t="inlineStr">
        <is>
          <t>OCKELBO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3478-2026</t>
        </is>
      </c>
      <c r="B191" s="1" t="n">
        <v>46042.55055555556</v>
      </c>
      <c r="C191" s="1" t="n">
        <v>46142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55154-2024</t>
        </is>
      </c>
      <c r="B192" s="1" t="n">
        <v>45621.4991087963</v>
      </c>
      <c r="C192" s="1" t="n">
        <v>46142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3441-2026</t>
        </is>
      </c>
      <c r="B193" s="1" t="n">
        <v>46042</v>
      </c>
      <c r="C193" s="1" t="n">
        <v>46142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3528-2026</t>
        </is>
      </c>
      <c r="B194" s="1" t="n">
        <v>46042</v>
      </c>
      <c r="C194" s="1" t="n">
        <v>46142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3268-2026</t>
        </is>
      </c>
      <c r="B195" s="1" t="n">
        <v>46041.6021875</v>
      </c>
      <c r="C195" s="1" t="n">
        <v>46142</v>
      </c>
      <c r="D195" t="inlineStr">
        <is>
          <t>GÄVLEBORGS LÄN</t>
        </is>
      </c>
      <c r="E195" t="inlineStr">
        <is>
          <t>OCKELBO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3216-2026</t>
        </is>
      </c>
      <c r="B196" s="1" t="n">
        <v>46041.50413194444</v>
      </c>
      <c r="C196" s="1" t="n">
        <v>46142</v>
      </c>
      <c r="D196" t="inlineStr">
        <is>
          <t>GÄVLEBORGS LÄN</t>
        </is>
      </c>
      <c r="E196" t="inlineStr">
        <is>
          <t>OCKELBO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3650-2026</t>
        </is>
      </c>
      <c r="B197" s="1" t="n">
        <v>46043.37112268519</v>
      </c>
      <c r="C197" s="1" t="n">
        <v>46142</v>
      </c>
      <c r="D197" t="inlineStr">
        <is>
          <t>GÄVLEBORGS LÄN</t>
        </is>
      </c>
      <c r="E197" t="inlineStr">
        <is>
          <t>OCKELBO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3707-2026</t>
        </is>
      </c>
      <c r="B198" s="1" t="n">
        <v>46043</v>
      </c>
      <c r="C198" s="1" t="n">
        <v>46142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64364-2023</t>
        </is>
      </c>
      <c r="B199" s="1" t="n">
        <v>45280.52896990741</v>
      </c>
      <c r="C199" s="1" t="n">
        <v>46142</v>
      </c>
      <c r="D199" t="inlineStr">
        <is>
          <t>GÄVLEBORGS LÄN</t>
        </is>
      </c>
      <c r="E199" t="inlineStr">
        <is>
          <t>OCKELBO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64367-2023</t>
        </is>
      </c>
      <c r="B200" s="1" t="n">
        <v>45280.53886574074</v>
      </c>
      <c r="C200" s="1" t="n">
        <v>46142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3999-2026</t>
        </is>
      </c>
      <c r="B201" s="1" t="n">
        <v>46044.3909375</v>
      </c>
      <c r="C201" s="1" t="n">
        <v>46142</v>
      </c>
      <c r="D201" t="inlineStr">
        <is>
          <t>GÄVLEBORGS LÄN</t>
        </is>
      </c>
      <c r="E201" t="inlineStr">
        <is>
          <t>OCKELBO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4001-2026</t>
        </is>
      </c>
      <c r="B202" s="1" t="n">
        <v>46044.39172453704</v>
      </c>
      <c r="C202" s="1" t="n">
        <v>46142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4007-2026</t>
        </is>
      </c>
      <c r="B203" s="1" t="n">
        <v>46044.40465277778</v>
      </c>
      <c r="C203" s="1" t="n">
        <v>46142</v>
      </c>
      <c r="D203" t="inlineStr">
        <is>
          <t>GÄVLEBORGS LÄN</t>
        </is>
      </c>
      <c r="E203" t="inlineStr">
        <is>
          <t>OCKELBO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4179-2026</t>
        </is>
      </c>
      <c r="B204" s="1" t="n">
        <v>46044.68167824074</v>
      </c>
      <c r="C204" s="1" t="n">
        <v>46142</v>
      </c>
      <c r="D204" t="inlineStr">
        <is>
          <t>GÄVLEBORGS LÄN</t>
        </is>
      </c>
      <c r="E204" t="inlineStr">
        <is>
          <t>OCKELBO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24927-2025</t>
        </is>
      </c>
      <c r="B205" s="1" t="n">
        <v>45799.55334490741</v>
      </c>
      <c r="C205" s="1" t="n">
        <v>46142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3883-2026</t>
        </is>
      </c>
      <c r="B206" s="1" t="n">
        <v>46043</v>
      </c>
      <c r="C206" s="1" t="n">
        <v>46142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39142-2025</t>
        </is>
      </c>
      <c r="B207" s="1" t="n">
        <v>45888.59596064815</v>
      </c>
      <c r="C207" s="1" t="n">
        <v>46142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4178-2026</t>
        </is>
      </c>
      <c r="B208" s="1" t="n">
        <v>46044.68048611111</v>
      </c>
      <c r="C208" s="1" t="n">
        <v>46142</v>
      </c>
      <c r="D208" t="inlineStr">
        <is>
          <t>GÄVLEBORGS LÄN</t>
        </is>
      </c>
      <c r="E208" t="inlineStr">
        <is>
          <t>OCKELBO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3702-2026</t>
        </is>
      </c>
      <c r="B209" s="1" t="n">
        <v>46043</v>
      </c>
      <c r="C209" s="1" t="n">
        <v>46142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4008-2026</t>
        </is>
      </c>
      <c r="B210" s="1" t="n">
        <v>46044.40581018518</v>
      </c>
      <c r="C210" s="1" t="n">
        <v>46142</v>
      </c>
      <c r="D210" t="inlineStr">
        <is>
          <t>GÄVLEBORGS LÄN</t>
        </is>
      </c>
      <c r="E210" t="inlineStr">
        <is>
          <t>OCKELBO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3700-2026</t>
        </is>
      </c>
      <c r="B211" s="1" t="n">
        <v>46043</v>
      </c>
      <c r="C211" s="1" t="n">
        <v>46142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3706-2026</t>
        </is>
      </c>
      <c r="B212" s="1" t="n">
        <v>46043</v>
      </c>
      <c r="C212" s="1" t="n">
        <v>46142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3709-2026</t>
        </is>
      </c>
      <c r="B213" s="1" t="n">
        <v>46043</v>
      </c>
      <c r="C213" s="1" t="n">
        <v>46142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3719-2026</t>
        </is>
      </c>
      <c r="B214" s="1" t="n">
        <v>46043.49481481482</v>
      </c>
      <c r="C214" s="1" t="n">
        <v>46142</v>
      </c>
      <c r="D214" t="inlineStr">
        <is>
          <t>GÄVLEBORGS LÄN</t>
        </is>
      </c>
      <c r="E214" t="inlineStr">
        <is>
          <t>OCKELBO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3697-2026</t>
        </is>
      </c>
      <c r="B215" s="1" t="n">
        <v>46043.46627314815</v>
      </c>
      <c r="C215" s="1" t="n">
        <v>46142</v>
      </c>
      <c r="D215" t="inlineStr">
        <is>
          <t>GÄVLEBORGS LÄN</t>
        </is>
      </c>
      <c r="E215" t="inlineStr">
        <is>
          <t>OCKELBO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3699-2026</t>
        </is>
      </c>
      <c r="B216" s="1" t="n">
        <v>46043</v>
      </c>
      <c r="C216" s="1" t="n">
        <v>46142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52206-2024</t>
        </is>
      </c>
      <c r="B217" s="1" t="n">
        <v>45608.58549768518</v>
      </c>
      <c r="C217" s="1" t="n">
        <v>46142</v>
      </c>
      <c r="D217" t="inlineStr">
        <is>
          <t>GÄVLEBORGS LÄN</t>
        </is>
      </c>
      <c r="E217" t="inlineStr">
        <is>
          <t>OCKELBO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3653-2026</t>
        </is>
      </c>
      <c r="B218" s="1" t="n">
        <v>46043.37221064815</v>
      </c>
      <c r="C218" s="1" t="n">
        <v>46142</v>
      </c>
      <c r="D218" t="inlineStr">
        <is>
          <t>GÄVLEBORGS LÄN</t>
        </is>
      </c>
      <c r="E218" t="inlineStr">
        <is>
          <t>OCKELBO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3664-2026</t>
        </is>
      </c>
      <c r="B219" s="1" t="n">
        <v>46043.40189814815</v>
      </c>
      <c r="C219" s="1" t="n">
        <v>46142</v>
      </c>
      <c r="D219" t="inlineStr">
        <is>
          <t>GÄVLEBORGS LÄN</t>
        </is>
      </c>
      <c r="E219" t="inlineStr">
        <is>
          <t>OCKELBO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3665-2026</t>
        </is>
      </c>
      <c r="B220" s="1" t="n">
        <v>46043.40673611111</v>
      </c>
      <c r="C220" s="1" t="n">
        <v>46142</v>
      </c>
      <c r="D220" t="inlineStr">
        <is>
          <t>GÄVLEBORGS LÄN</t>
        </is>
      </c>
      <c r="E220" t="inlineStr">
        <is>
          <t>OCKELBO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3720-2026</t>
        </is>
      </c>
      <c r="B221" s="1" t="n">
        <v>46043.49569444444</v>
      </c>
      <c r="C221" s="1" t="n">
        <v>46142</v>
      </c>
      <c r="D221" t="inlineStr">
        <is>
          <t>GÄVLEBORGS LÄN</t>
        </is>
      </c>
      <c r="E221" t="inlineStr">
        <is>
          <t>OCKELBO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2919-2026</t>
        </is>
      </c>
      <c r="B222" s="1" t="n">
        <v>46038.57648148148</v>
      </c>
      <c r="C222" s="1" t="n">
        <v>46142</v>
      </c>
      <c r="D222" t="inlineStr">
        <is>
          <t>GÄVLEBORGS LÄN</t>
        </is>
      </c>
      <c r="E222" t="inlineStr">
        <is>
          <t>OCKELBO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40196-2024</t>
        </is>
      </c>
      <c r="B223" s="1" t="n">
        <v>45554.57899305555</v>
      </c>
      <c r="C223" s="1" t="n">
        <v>46142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4642-2026</t>
        </is>
      </c>
      <c r="B224" s="1" t="n">
        <v>46048.39998842592</v>
      </c>
      <c r="C224" s="1" t="n">
        <v>46142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2330-2026</t>
        </is>
      </c>
      <c r="B225" s="1" t="n">
        <v>46036.6075</v>
      </c>
      <c r="C225" s="1" t="n">
        <v>46142</v>
      </c>
      <c r="D225" t="inlineStr">
        <is>
          <t>GÄVLEBORGS LÄN</t>
        </is>
      </c>
      <c r="E225" t="inlineStr">
        <is>
          <t>OCKELBO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4250-2026</t>
        </is>
      </c>
      <c r="B226" s="1" t="n">
        <v>46045.32310185185</v>
      </c>
      <c r="C226" s="1" t="n">
        <v>46142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4253-2026</t>
        </is>
      </c>
      <c r="B227" s="1" t="n">
        <v>46045.32743055555</v>
      </c>
      <c r="C227" s="1" t="n">
        <v>46142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4638-2026</t>
        </is>
      </c>
      <c r="B228" s="1" t="n">
        <v>46048.39863425926</v>
      </c>
      <c r="C228" s="1" t="n">
        <v>46142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4672-2026</t>
        </is>
      </c>
      <c r="B229" s="1" t="n">
        <v>46048.42388888889</v>
      </c>
      <c r="C229" s="1" t="n">
        <v>46142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4675-2026</t>
        </is>
      </c>
      <c r="B230" s="1" t="n">
        <v>46048.42685185185</v>
      </c>
      <c r="C230" s="1" t="n">
        <v>46142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4647-2026</t>
        </is>
      </c>
      <c r="B231" s="1" t="n">
        <v>46048.40377314815</v>
      </c>
      <c r="C231" s="1" t="n">
        <v>46142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4891-2026</t>
        </is>
      </c>
      <c r="B232" s="1" t="n">
        <v>46048.67299768519</v>
      </c>
      <c r="C232" s="1" t="n">
        <v>46142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4900-2026</t>
        </is>
      </c>
      <c r="B233" s="1" t="n">
        <v>46048.68467592593</v>
      </c>
      <c r="C233" s="1" t="n">
        <v>46142</v>
      </c>
      <c r="D233" t="inlineStr">
        <is>
          <t>GÄVLEBORGS LÄN</t>
        </is>
      </c>
      <c r="E233" t="inlineStr">
        <is>
          <t>OCKELBO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4753-2026</t>
        </is>
      </c>
      <c r="B234" s="1" t="n">
        <v>46048.51607638889</v>
      </c>
      <c r="C234" s="1" t="n">
        <v>46142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4862-2026</t>
        </is>
      </c>
      <c r="B235" s="1" t="n">
        <v>46048.64078703704</v>
      </c>
      <c r="C235" s="1" t="n">
        <v>46142</v>
      </c>
      <c r="D235" t="inlineStr">
        <is>
          <t>GÄVLEBORGS LÄN</t>
        </is>
      </c>
      <c r="E235" t="inlineStr">
        <is>
          <t>OCKELBO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4867-2026</t>
        </is>
      </c>
      <c r="B236" s="1" t="n">
        <v>46048.6440162037</v>
      </c>
      <c r="C236" s="1" t="n">
        <v>46142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4538-2026</t>
        </is>
      </c>
      <c r="B237" s="1" t="n">
        <v>46046.81304398148</v>
      </c>
      <c r="C237" s="1" t="n">
        <v>46142</v>
      </c>
      <c r="D237" t="inlineStr">
        <is>
          <t>GÄVLEBORGS LÄN</t>
        </is>
      </c>
      <c r="E237" t="inlineStr">
        <is>
          <t>OCKELBO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4542-2026</t>
        </is>
      </c>
      <c r="B238" s="1" t="n">
        <v>46047.30560185185</v>
      </c>
      <c r="C238" s="1" t="n">
        <v>46142</v>
      </c>
      <c r="D238" t="inlineStr">
        <is>
          <t>GÄVLEBORGS LÄN</t>
        </is>
      </c>
      <c r="E238" t="inlineStr">
        <is>
          <t>OCKELBO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4797-2026</t>
        </is>
      </c>
      <c r="B239" s="1" t="n">
        <v>46048.57344907407</v>
      </c>
      <c r="C239" s="1" t="n">
        <v>46142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27997-2025</t>
        </is>
      </c>
      <c r="B240" s="1" t="n">
        <v>45817.59430555555</v>
      </c>
      <c r="C240" s="1" t="n">
        <v>46142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4578-2026</t>
        </is>
      </c>
      <c r="B241" s="1" t="n">
        <v>46048.3146875</v>
      </c>
      <c r="C241" s="1" t="n">
        <v>46142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38731-2025</t>
        </is>
      </c>
      <c r="B242" s="1" t="n">
        <v>45887.35001157408</v>
      </c>
      <c r="C242" s="1" t="n">
        <v>46142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4729-2026</t>
        </is>
      </c>
      <c r="B243" s="1" t="n">
        <v>46048.4766087963</v>
      </c>
      <c r="C243" s="1" t="n">
        <v>46142</v>
      </c>
      <c r="D243" t="inlineStr">
        <is>
          <t>GÄVLEBORGS LÄN</t>
        </is>
      </c>
      <c r="E243" t="inlineStr">
        <is>
          <t>OCKELBO</t>
        </is>
      </c>
      <c r="G243" t="n">
        <v>36.1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2325-2026</t>
        </is>
      </c>
      <c r="B244" s="1" t="n">
        <v>46036.60565972222</v>
      </c>
      <c r="C244" s="1" t="n">
        <v>46142</v>
      </c>
      <c r="D244" t="inlineStr">
        <is>
          <t>GÄVLEBORGS LÄN</t>
        </is>
      </c>
      <c r="E244" t="inlineStr">
        <is>
          <t>OCKELBO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27990-2025</t>
        </is>
      </c>
      <c r="B245" s="1" t="n">
        <v>45817.58722222222</v>
      </c>
      <c r="C245" s="1" t="n">
        <v>46142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4559-2026</t>
        </is>
      </c>
      <c r="B246" s="1" t="n">
        <v>46047.62123842593</v>
      </c>
      <c r="C246" s="1" t="n">
        <v>46142</v>
      </c>
      <c r="D246" t="inlineStr">
        <is>
          <t>GÄVLEBORGS LÄN</t>
        </is>
      </c>
      <c r="E246" t="inlineStr">
        <is>
          <t>OCKELBO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4562-2026</t>
        </is>
      </c>
      <c r="B247" s="1" t="n">
        <v>46047.74475694444</v>
      </c>
      <c r="C247" s="1" t="n">
        <v>46142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4234-2026</t>
        </is>
      </c>
      <c r="B248" s="1" t="n">
        <v>46044.89736111111</v>
      </c>
      <c r="C248" s="1" t="n">
        <v>46142</v>
      </c>
      <c r="D248" t="inlineStr">
        <is>
          <t>GÄVLEBORGS LÄN</t>
        </is>
      </c>
      <c r="E248" t="inlineStr">
        <is>
          <t>OCKELBO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4320-2026</t>
        </is>
      </c>
      <c r="B249" s="1" t="n">
        <v>46045.45112268518</v>
      </c>
      <c r="C249" s="1" t="n">
        <v>46142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4603-2026</t>
        </is>
      </c>
      <c r="B250" s="1" t="n">
        <v>46048.3558912037</v>
      </c>
      <c r="C250" s="1" t="n">
        <v>46142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4267-2026</t>
        </is>
      </c>
      <c r="B251" s="1" t="n">
        <v>46045</v>
      </c>
      <c r="C251" s="1" t="n">
        <v>46142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4268-2026</t>
        </is>
      </c>
      <c r="B252" s="1" t="n">
        <v>46045.34884259259</v>
      </c>
      <c r="C252" s="1" t="n">
        <v>46142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4599-2026</t>
        </is>
      </c>
      <c r="B253" s="1" t="n">
        <v>46048.35344907407</v>
      </c>
      <c r="C253" s="1" t="n">
        <v>46142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5194-2026</t>
        </is>
      </c>
      <c r="B254" s="1" t="n">
        <v>46049</v>
      </c>
      <c r="C254" s="1" t="n">
        <v>46142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5382-2026</t>
        </is>
      </c>
      <c r="B255" s="1" t="n">
        <v>46050.46310185185</v>
      </c>
      <c r="C255" s="1" t="n">
        <v>46142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5309-2026</t>
        </is>
      </c>
      <c r="B256" s="1" t="n">
        <v>46050.36358796297</v>
      </c>
      <c r="C256" s="1" t="n">
        <v>46142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28006-2025</t>
        </is>
      </c>
      <c r="B257" s="1" t="n">
        <v>45817.59944444444</v>
      </c>
      <c r="C257" s="1" t="n">
        <v>46142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5325-2026</t>
        </is>
      </c>
      <c r="B258" s="1" t="n">
        <v>46050</v>
      </c>
      <c r="C258" s="1" t="n">
        <v>46142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5313-2026</t>
        </is>
      </c>
      <c r="B259" s="1" t="n">
        <v>46050.37032407407</v>
      </c>
      <c r="C259" s="1" t="n">
        <v>46142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5323-2026</t>
        </is>
      </c>
      <c r="B260" s="1" t="n">
        <v>46050.38971064815</v>
      </c>
      <c r="C260" s="1" t="n">
        <v>46142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39035-2025</t>
        </is>
      </c>
      <c r="B261" s="1" t="n">
        <v>45888.42207175926</v>
      </c>
      <c r="C261" s="1" t="n">
        <v>46142</v>
      </c>
      <c r="D261" t="inlineStr">
        <is>
          <t>GÄVLEBORGS LÄN</t>
        </is>
      </c>
      <c r="E261" t="inlineStr">
        <is>
          <t>OCKELBO</t>
        </is>
      </c>
      <c r="F261" t="inlineStr">
        <is>
          <t>Kyrkan</t>
        </is>
      </c>
      <c r="G261" t="n">
        <v>12.5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3593-2023</t>
        </is>
      </c>
      <c r="B262" s="1" t="n">
        <v>44950.56905092593</v>
      </c>
      <c r="C262" s="1" t="n">
        <v>46142</v>
      </c>
      <c r="D262" t="inlineStr">
        <is>
          <t>GÄVLEBORGS LÄN</t>
        </is>
      </c>
      <c r="E262" t="inlineStr">
        <is>
          <t>OCKELBO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5209-2026</t>
        </is>
      </c>
      <c r="B263" s="1" t="n">
        <v>46049</v>
      </c>
      <c r="C263" s="1" t="n">
        <v>46142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5215-2026</t>
        </is>
      </c>
      <c r="B264" s="1" t="n">
        <v>46049.73991898148</v>
      </c>
      <c r="C264" s="1" t="n">
        <v>46142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27243-2025</t>
        </is>
      </c>
      <c r="B265" s="1" t="n">
        <v>45812.46144675926</v>
      </c>
      <c r="C265" s="1" t="n">
        <v>46142</v>
      </c>
      <c r="D265" t="inlineStr">
        <is>
          <t>GÄVLEBORGS LÄN</t>
        </is>
      </c>
      <c r="E265" t="inlineStr">
        <is>
          <t>OCKELBO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5232-2026</t>
        </is>
      </c>
      <c r="B266" s="1" t="n">
        <v>46049</v>
      </c>
      <c r="C266" s="1" t="n">
        <v>46142</v>
      </c>
      <c r="D266" t="inlineStr">
        <is>
          <t>GÄVLEBORGS LÄN</t>
        </is>
      </c>
      <c r="E266" t="inlineStr">
        <is>
          <t>OCKELBO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5236-2026</t>
        </is>
      </c>
      <c r="B267" s="1" t="n">
        <v>46049</v>
      </c>
      <c r="C267" s="1" t="n">
        <v>46142</v>
      </c>
      <c r="D267" t="inlineStr">
        <is>
          <t>GÄVLEBORGS LÄN</t>
        </is>
      </c>
      <c r="E267" t="inlineStr">
        <is>
          <t>OCKELBO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5539-2026</t>
        </is>
      </c>
      <c r="B268" s="1" t="n">
        <v>46050</v>
      </c>
      <c r="C268" s="1" t="n">
        <v>46142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5140-2026</t>
        </is>
      </c>
      <c r="B269" s="1" t="n">
        <v>46049.59923611111</v>
      </c>
      <c r="C269" s="1" t="n">
        <v>46142</v>
      </c>
      <c r="D269" t="inlineStr">
        <is>
          <t>GÄVLEBORGS LÄN</t>
        </is>
      </c>
      <c r="E269" t="inlineStr">
        <is>
          <t>OCKELBO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28080-2025</t>
        </is>
      </c>
      <c r="B270" s="1" t="n">
        <v>45817.70028935185</v>
      </c>
      <c r="C270" s="1" t="n">
        <v>46142</v>
      </c>
      <c r="D270" t="inlineStr">
        <is>
          <t>GÄVLEBORGS LÄN</t>
        </is>
      </c>
      <c r="E270" t="inlineStr">
        <is>
          <t>OCKELBO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5521-2026</t>
        </is>
      </c>
      <c r="B271" s="1" t="n">
        <v>46050</v>
      </c>
      <c r="C271" s="1" t="n">
        <v>46142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5529-2026</t>
        </is>
      </c>
      <c r="B272" s="1" t="n">
        <v>46050</v>
      </c>
      <c r="C272" s="1" t="n">
        <v>46142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5537-2026</t>
        </is>
      </c>
      <c r="B273" s="1" t="n">
        <v>46050</v>
      </c>
      <c r="C273" s="1" t="n">
        <v>46142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5375-2026</t>
        </is>
      </c>
      <c r="B274" s="1" t="n">
        <v>46050.45982638889</v>
      </c>
      <c r="C274" s="1" t="n">
        <v>46142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5317-2026</t>
        </is>
      </c>
      <c r="B275" s="1" t="n">
        <v>46050.37806712963</v>
      </c>
      <c r="C275" s="1" t="n">
        <v>46142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5327-2026</t>
        </is>
      </c>
      <c r="B276" s="1" t="n">
        <v>46050.39554398148</v>
      </c>
      <c r="C276" s="1" t="n">
        <v>46142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5330-2026</t>
        </is>
      </c>
      <c r="B277" s="1" t="n">
        <v>46050.40049768519</v>
      </c>
      <c r="C277" s="1" t="n">
        <v>46142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4930-2026</t>
        </is>
      </c>
      <c r="B278" s="1" t="n">
        <v>46048.86174768519</v>
      </c>
      <c r="C278" s="1" t="n">
        <v>46142</v>
      </c>
      <c r="D278" t="inlineStr">
        <is>
          <t>GÄVLEBORGS LÄN</t>
        </is>
      </c>
      <c r="E278" t="inlineStr">
        <is>
          <t>OCKELBO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5164-2026</t>
        </is>
      </c>
      <c r="B279" s="1" t="n">
        <v>46049.62439814815</v>
      </c>
      <c r="C279" s="1" t="n">
        <v>46142</v>
      </c>
      <c r="D279" t="inlineStr">
        <is>
          <t>GÄVLEBORGS LÄN</t>
        </is>
      </c>
      <c r="E279" t="inlineStr">
        <is>
          <t>OCKELBO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5199-2026</t>
        </is>
      </c>
      <c r="B280" s="1" t="n">
        <v>46049</v>
      </c>
      <c r="C280" s="1" t="n">
        <v>46142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5231-2026</t>
        </is>
      </c>
      <c r="B281" s="1" t="n">
        <v>46049</v>
      </c>
      <c r="C281" s="1" t="n">
        <v>46142</v>
      </c>
      <c r="D281" t="inlineStr">
        <is>
          <t>GÄVLEBORGS LÄN</t>
        </is>
      </c>
      <c r="E281" t="inlineStr">
        <is>
          <t>OCKELBO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5245-2026</t>
        </is>
      </c>
      <c r="B282" s="1" t="n">
        <v>46049</v>
      </c>
      <c r="C282" s="1" t="n">
        <v>46142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5534-2026</t>
        </is>
      </c>
      <c r="B283" s="1" t="n">
        <v>46050</v>
      </c>
      <c r="C283" s="1" t="n">
        <v>46142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5312-2026</t>
        </is>
      </c>
      <c r="B284" s="1" t="n">
        <v>46050.36653935185</v>
      </c>
      <c r="C284" s="1" t="n">
        <v>46142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5189-2026</t>
        </is>
      </c>
      <c r="B285" s="1" t="n">
        <v>46049</v>
      </c>
      <c r="C285" s="1" t="n">
        <v>46142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5207-2026</t>
        </is>
      </c>
      <c r="B286" s="1" t="n">
        <v>46049</v>
      </c>
      <c r="C286" s="1" t="n">
        <v>46142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28576-2025</t>
        </is>
      </c>
      <c r="B287" s="1" t="n">
        <v>45819.5671412037</v>
      </c>
      <c r="C287" s="1" t="n">
        <v>46142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5234-2026</t>
        </is>
      </c>
      <c r="B288" s="1" t="n">
        <v>46049.83738425926</v>
      </c>
      <c r="C288" s="1" t="n">
        <v>46142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5238-2026</t>
        </is>
      </c>
      <c r="B289" s="1" t="n">
        <v>46049</v>
      </c>
      <c r="C289" s="1" t="n">
        <v>46142</v>
      </c>
      <c r="D289" t="inlineStr">
        <is>
          <t>GÄVLEBORGS LÄN</t>
        </is>
      </c>
      <c r="E289" t="inlineStr">
        <is>
          <t>OCKELBO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5239-2026</t>
        </is>
      </c>
      <c r="B290" s="1" t="n">
        <v>46049</v>
      </c>
      <c r="C290" s="1" t="n">
        <v>46142</v>
      </c>
      <c r="D290" t="inlineStr">
        <is>
          <t>GÄVLEBORGS LÄN</t>
        </is>
      </c>
      <c r="E290" t="inlineStr">
        <is>
          <t>OCKELBO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5185-2026</t>
        </is>
      </c>
      <c r="B291" s="1" t="n">
        <v>46049</v>
      </c>
      <c r="C291" s="1" t="n">
        <v>46142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5218-2026</t>
        </is>
      </c>
      <c r="B292" s="1" t="n">
        <v>46049.76145833333</v>
      </c>
      <c r="C292" s="1" t="n">
        <v>46142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5337-2026</t>
        </is>
      </c>
      <c r="B293" s="1" t="n">
        <v>46050.42256944445</v>
      </c>
      <c r="C293" s="1" t="n">
        <v>46142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6518-2026</t>
        </is>
      </c>
      <c r="B294" s="1" t="n">
        <v>46052</v>
      </c>
      <c r="C294" s="1" t="n">
        <v>46142</v>
      </c>
      <c r="D294" t="inlineStr">
        <is>
          <t>GÄVLEBORGS LÄN</t>
        </is>
      </c>
      <c r="E294" t="inlineStr">
        <is>
          <t>OCKELBO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28669-2025</t>
        </is>
      </c>
      <c r="B295" s="1" t="n">
        <v>45819.66730324074</v>
      </c>
      <c r="C295" s="1" t="n">
        <v>46142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5950-2026</t>
        </is>
      </c>
      <c r="B296" s="1" t="n">
        <v>46052.49001157407</v>
      </c>
      <c r="C296" s="1" t="n">
        <v>46142</v>
      </c>
      <c r="D296" t="inlineStr">
        <is>
          <t>GÄVLEBORGS LÄN</t>
        </is>
      </c>
      <c r="E296" t="inlineStr">
        <is>
          <t>OCKELBO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5955-2026</t>
        </is>
      </c>
      <c r="B297" s="1" t="n">
        <v>46052.49719907407</v>
      </c>
      <c r="C297" s="1" t="n">
        <v>46142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5965-2026</t>
        </is>
      </c>
      <c r="B298" s="1" t="n">
        <v>46052.52888888889</v>
      </c>
      <c r="C298" s="1" t="n">
        <v>46142</v>
      </c>
      <c r="D298" t="inlineStr">
        <is>
          <t>GÄVLEBORGS LÄN</t>
        </is>
      </c>
      <c r="E298" t="inlineStr">
        <is>
          <t>OCKELBO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5985-2026</t>
        </is>
      </c>
      <c r="B299" s="1" t="n">
        <v>46052</v>
      </c>
      <c r="C299" s="1" t="n">
        <v>46142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5982-2026</t>
        </is>
      </c>
      <c r="B300" s="1" t="n">
        <v>46052</v>
      </c>
      <c r="C300" s="1" t="n">
        <v>46142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5596-2026</t>
        </is>
      </c>
      <c r="B301" s="1" t="n">
        <v>46051</v>
      </c>
      <c r="C301" s="1" t="n">
        <v>46142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5958-2026</t>
        </is>
      </c>
      <c r="B302" s="1" t="n">
        <v>46052.50318287037</v>
      </c>
      <c r="C302" s="1" t="n">
        <v>46142</v>
      </c>
      <c r="D302" t="inlineStr">
        <is>
          <t>GÄVLEBORGS LÄN</t>
        </is>
      </c>
      <c r="E302" t="inlineStr">
        <is>
          <t>OCKELBO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5969-2026</t>
        </is>
      </c>
      <c r="B303" s="1" t="n">
        <v>46052</v>
      </c>
      <c r="C303" s="1" t="n">
        <v>46142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5970-2026</t>
        </is>
      </c>
      <c r="B304" s="1" t="n">
        <v>46052</v>
      </c>
      <c r="C304" s="1" t="n">
        <v>46142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6019-2026</t>
        </is>
      </c>
      <c r="B305" s="1" t="n">
        <v>46052</v>
      </c>
      <c r="C305" s="1" t="n">
        <v>46142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5592-2026</t>
        </is>
      </c>
      <c r="B306" s="1" t="n">
        <v>46051</v>
      </c>
      <c r="C306" s="1" t="n">
        <v>46142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5887-2026</t>
        </is>
      </c>
      <c r="B307" s="1" t="n">
        <v>46052.41415509259</v>
      </c>
      <c r="C307" s="1" t="n">
        <v>46142</v>
      </c>
      <c r="D307" t="inlineStr">
        <is>
          <t>GÄVLEBORGS LÄN</t>
        </is>
      </c>
      <c r="E307" t="inlineStr">
        <is>
          <t>OCKELBO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28740-2025</t>
        </is>
      </c>
      <c r="B308" s="1" t="n">
        <v>45820.38311342592</v>
      </c>
      <c r="C308" s="1" t="n">
        <v>46142</v>
      </c>
      <c r="D308" t="inlineStr">
        <is>
          <t>GÄVLEBORGS LÄN</t>
        </is>
      </c>
      <c r="E308" t="inlineStr">
        <is>
          <t>OCKELBO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5846-2026</t>
        </is>
      </c>
      <c r="B309" s="1" t="n">
        <v>46052.34869212963</v>
      </c>
      <c r="C309" s="1" t="n">
        <v>46142</v>
      </c>
      <c r="D309" t="inlineStr">
        <is>
          <t>GÄVLEBORGS LÄN</t>
        </is>
      </c>
      <c r="E309" t="inlineStr">
        <is>
          <t>OCKELBO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6529-2026</t>
        </is>
      </c>
      <c r="B310" s="1" t="n">
        <v>46052</v>
      </c>
      <c r="C310" s="1" t="n">
        <v>46142</v>
      </c>
      <c r="D310" t="inlineStr">
        <is>
          <t>GÄVLEBORGS LÄN</t>
        </is>
      </c>
      <c r="E310" t="inlineStr">
        <is>
          <t>OCKELBO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6531-2026</t>
        </is>
      </c>
      <c r="B311" s="1" t="n">
        <v>46052</v>
      </c>
      <c r="C311" s="1" t="n">
        <v>46142</v>
      </c>
      <c r="D311" t="inlineStr">
        <is>
          <t>GÄVLEBORGS LÄN</t>
        </is>
      </c>
      <c r="E311" t="inlineStr">
        <is>
          <t>OCKELBO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5967-2026</t>
        </is>
      </c>
      <c r="B312" s="1" t="n">
        <v>46052</v>
      </c>
      <c r="C312" s="1" t="n">
        <v>46142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6091-2026</t>
        </is>
      </c>
      <c r="B313" s="1" t="n">
        <v>46052</v>
      </c>
      <c r="C313" s="1" t="n">
        <v>46142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5974-2026</t>
        </is>
      </c>
      <c r="B314" s="1" t="n">
        <v>46052</v>
      </c>
      <c r="C314" s="1" t="n">
        <v>46142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5977-2026</t>
        </is>
      </c>
      <c r="B315" s="1" t="n">
        <v>46052</v>
      </c>
      <c r="C315" s="1" t="n">
        <v>46142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5749-2026</t>
        </is>
      </c>
      <c r="B316" s="1" t="n">
        <v>46051.59861111111</v>
      </c>
      <c r="C316" s="1" t="n">
        <v>46142</v>
      </c>
      <c r="D316" t="inlineStr">
        <is>
          <t>GÄVLEBORGS LÄN</t>
        </is>
      </c>
      <c r="E316" t="inlineStr">
        <is>
          <t>OCKELBO</t>
        </is>
      </c>
      <c r="G316" t="n">
        <v>25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5627-2026</t>
        </is>
      </c>
      <c r="B317" s="1" t="n">
        <v>46051</v>
      </c>
      <c r="C317" s="1" t="n">
        <v>46142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30798-2024</t>
        </is>
      </c>
      <c r="B318" s="1" t="n">
        <v>45497.36582175926</v>
      </c>
      <c r="C318" s="1" t="n">
        <v>46142</v>
      </c>
      <c r="D318" t="inlineStr">
        <is>
          <t>GÄVLEBORGS LÄN</t>
        </is>
      </c>
      <c r="E318" t="inlineStr">
        <is>
          <t>OCKELBO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5668-2026</t>
        </is>
      </c>
      <c r="B319" s="1" t="n">
        <v>46051.46790509259</v>
      </c>
      <c r="C319" s="1" t="n">
        <v>46142</v>
      </c>
      <c r="D319" t="inlineStr">
        <is>
          <t>GÄVLEBORGS LÄN</t>
        </is>
      </c>
      <c r="E319" t="inlineStr">
        <is>
          <t>OCKELBO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5681-2026</t>
        </is>
      </c>
      <c r="B320" s="1" t="n">
        <v>46051.47976851852</v>
      </c>
      <c r="C320" s="1" t="n">
        <v>46142</v>
      </c>
      <c r="D320" t="inlineStr">
        <is>
          <t>GÄVLEBORGS LÄN</t>
        </is>
      </c>
      <c r="E320" t="inlineStr">
        <is>
          <t>OCKELBO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29113-2025</t>
        </is>
      </c>
      <c r="B321" s="1" t="n">
        <v>45821.58765046296</v>
      </c>
      <c r="C321" s="1" t="n">
        <v>46142</v>
      </c>
      <c r="D321" t="inlineStr">
        <is>
          <t>GÄVLEBORGS LÄN</t>
        </is>
      </c>
      <c r="E321" t="inlineStr">
        <is>
          <t>OCKELBO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4044-2026</t>
        </is>
      </c>
      <c r="B322" s="1" t="n">
        <v>46044</v>
      </c>
      <c r="C322" s="1" t="n">
        <v>46142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6654-2026</t>
        </is>
      </c>
      <c r="B323" s="1" t="n">
        <v>46056.55571759259</v>
      </c>
      <c r="C323" s="1" t="n">
        <v>46142</v>
      </c>
      <c r="D323" t="inlineStr">
        <is>
          <t>GÄVLEBORGS LÄN</t>
        </is>
      </c>
      <c r="E323" t="inlineStr">
        <is>
          <t>OCKELBO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6698-2026</t>
        </is>
      </c>
      <c r="B324" s="1" t="n">
        <v>46056.63907407408</v>
      </c>
      <c r="C324" s="1" t="n">
        <v>46142</v>
      </c>
      <c r="D324" t="inlineStr">
        <is>
          <t>GÄVLEBORGS LÄN</t>
        </is>
      </c>
      <c r="E324" t="inlineStr">
        <is>
          <t>OCKELBO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6710-2026</t>
        </is>
      </c>
      <c r="B325" s="1" t="n">
        <v>46056.65497685185</v>
      </c>
      <c r="C325" s="1" t="n">
        <v>46142</v>
      </c>
      <c r="D325" t="inlineStr">
        <is>
          <t>GÄVLEBORGS LÄN</t>
        </is>
      </c>
      <c r="E325" t="inlineStr">
        <is>
          <t>OCKELBO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28853-2025</t>
        </is>
      </c>
      <c r="B326" s="1" t="n">
        <v>45820.57949074074</v>
      </c>
      <c r="C326" s="1" t="n">
        <v>46142</v>
      </c>
      <c r="D326" t="inlineStr">
        <is>
          <t>GÄVLEBORGS LÄN</t>
        </is>
      </c>
      <c r="E326" t="inlineStr">
        <is>
          <t>OCKELBO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28966-2025</t>
        </is>
      </c>
      <c r="B327" s="1" t="n">
        <v>45821.34212962963</v>
      </c>
      <c r="C327" s="1" t="n">
        <v>46142</v>
      </c>
      <c r="D327" t="inlineStr">
        <is>
          <t>GÄVLEBORGS LÄN</t>
        </is>
      </c>
      <c r="E327" t="inlineStr">
        <is>
          <t>OCKELBO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6359-2026</t>
        </is>
      </c>
      <c r="B328" s="1" t="n">
        <v>46055</v>
      </c>
      <c r="C328" s="1" t="n">
        <v>46142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6120-2026</t>
        </is>
      </c>
      <c r="B329" s="1" t="n">
        <v>46053.52635416666</v>
      </c>
      <c r="C329" s="1" t="n">
        <v>46142</v>
      </c>
      <c r="D329" t="inlineStr">
        <is>
          <t>GÄVLEBORGS LÄN</t>
        </is>
      </c>
      <c r="E329" t="inlineStr">
        <is>
          <t>OCKELBO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6338-2026</t>
        </is>
      </c>
      <c r="B330" s="1" t="n">
        <v>46055.59766203703</v>
      </c>
      <c r="C330" s="1" t="n">
        <v>46142</v>
      </c>
      <c r="D330" t="inlineStr">
        <is>
          <t>GÄVLEBORGS LÄN</t>
        </is>
      </c>
      <c r="E330" t="inlineStr">
        <is>
          <t>OCKELBO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6377-2026</t>
        </is>
      </c>
      <c r="B331" s="1" t="n">
        <v>46055</v>
      </c>
      <c r="C331" s="1" t="n">
        <v>46142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6386-2026</t>
        </is>
      </c>
      <c r="B332" s="1" t="n">
        <v>46055</v>
      </c>
      <c r="C332" s="1" t="n">
        <v>46142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29274-2025</t>
        </is>
      </c>
      <c r="B333" s="1" t="n">
        <v>45824.41335648148</v>
      </c>
      <c r="C333" s="1" t="n">
        <v>46142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38732-2025</t>
        </is>
      </c>
      <c r="B334" s="1" t="n">
        <v>45887.35770833334</v>
      </c>
      <c r="C334" s="1" t="n">
        <v>46142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6587-2026</t>
        </is>
      </c>
      <c r="B335" s="1" t="n">
        <v>46056.45893518518</v>
      </c>
      <c r="C335" s="1" t="n">
        <v>46142</v>
      </c>
      <c r="D335" t="inlineStr">
        <is>
          <t>GÄVLEBORGS LÄN</t>
        </is>
      </c>
      <c r="E335" t="inlineStr">
        <is>
          <t>OCKELBO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6588-2026</t>
        </is>
      </c>
      <c r="B336" s="1" t="n">
        <v>46056.46060185185</v>
      </c>
      <c r="C336" s="1" t="n">
        <v>46142</v>
      </c>
      <c r="D336" t="inlineStr">
        <is>
          <t>GÄVLEBORGS LÄN</t>
        </is>
      </c>
      <c r="E336" t="inlineStr">
        <is>
          <t>OCKELBO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6589-2026</t>
        </is>
      </c>
      <c r="B337" s="1" t="n">
        <v>46056.46152777778</v>
      </c>
      <c r="C337" s="1" t="n">
        <v>46142</v>
      </c>
      <c r="D337" t="inlineStr">
        <is>
          <t>GÄVLEBORGS LÄN</t>
        </is>
      </c>
      <c r="E337" t="inlineStr">
        <is>
          <t>OCKELBO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6598-2026</t>
        </is>
      </c>
      <c r="B338" s="1" t="n">
        <v>46056.46603009259</v>
      </c>
      <c r="C338" s="1" t="n">
        <v>46142</v>
      </c>
      <c r="D338" t="inlineStr">
        <is>
          <t>GÄVLEBORGS LÄN</t>
        </is>
      </c>
      <c r="E338" t="inlineStr">
        <is>
          <t>OCKELBO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28963-2025</t>
        </is>
      </c>
      <c r="B339" s="1" t="n">
        <v>45821.32741898148</v>
      </c>
      <c r="C339" s="1" t="n">
        <v>46142</v>
      </c>
      <c r="D339" t="inlineStr">
        <is>
          <t>GÄVLEBORGS LÄN</t>
        </is>
      </c>
      <c r="E339" t="inlineStr">
        <is>
          <t>OCKELBO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29158-2025</t>
        </is>
      </c>
      <c r="B340" s="1" t="n">
        <v>45821.65914351852</v>
      </c>
      <c r="C340" s="1" t="n">
        <v>46142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6594-2026</t>
        </is>
      </c>
      <c r="B341" s="1" t="n">
        <v>46056.46402777778</v>
      </c>
      <c r="C341" s="1" t="n">
        <v>46142</v>
      </c>
      <c r="D341" t="inlineStr">
        <is>
          <t>GÄVLEBORGS LÄN</t>
        </is>
      </c>
      <c r="E341" t="inlineStr">
        <is>
          <t>OCKELBO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6459-2026</t>
        </is>
      </c>
      <c r="B342" s="1" t="n">
        <v>46056</v>
      </c>
      <c r="C342" s="1" t="n">
        <v>46142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29116-2025</t>
        </is>
      </c>
      <c r="B343" s="1" t="n">
        <v>45821.59091435185</v>
      </c>
      <c r="C343" s="1" t="n">
        <v>46142</v>
      </c>
      <c r="D343" t="inlineStr">
        <is>
          <t>GÄVLEBORGS LÄN</t>
        </is>
      </c>
      <c r="E343" t="inlineStr">
        <is>
          <t>OCKELBO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6121-2026</t>
        </is>
      </c>
      <c r="B344" s="1" t="n">
        <v>46053.53597222222</v>
      </c>
      <c r="C344" s="1" t="n">
        <v>46142</v>
      </c>
      <c r="D344" t="inlineStr">
        <is>
          <t>GÄVLEBORGS LÄN</t>
        </is>
      </c>
      <c r="E344" t="inlineStr">
        <is>
          <t>OCKELBO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6420-2026</t>
        </is>
      </c>
      <c r="B345" s="1" t="n">
        <v>46055.69435185185</v>
      </c>
      <c r="C345" s="1" t="n">
        <v>46142</v>
      </c>
      <c r="D345" t="inlineStr">
        <is>
          <t>GÄVLEBORGS LÄN</t>
        </is>
      </c>
      <c r="E345" t="inlineStr">
        <is>
          <t>OCKELBO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6535-2026</t>
        </is>
      </c>
      <c r="B346" s="1" t="n">
        <v>46056</v>
      </c>
      <c r="C346" s="1" t="n">
        <v>46142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33361-2025</t>
        </is>
      </c>
      <c r="B347" s="1" t="n">
        <v>45841.38190972222</v>
      </c>
      <c r="C347" s="1" t="n">
        <v>46142</v>
      </c>
      <c r="D347" t="inlineStr">
        <is>
          <t>GÄVLEBORGS LÄN</t>
        </is>
      </c>
      <c r="E347" t="inlineStr">
        <is>
          <t>OCKELBO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6122-2026</t>
        </is>
      </c>
      <c r="B348" s="1" t="n">
        <v>46053.54109953704</v>
      </c>
      <c r="C348" s="1" t="n">
        <v>46142</v>
      </c>
      <c r="D348" t="inlineStr">
        <is>
          <t>GÄVLEBORGS LÄN</t>
        </is>
      </c>
      <c r="E348" t="inlineStr">
        <is>
          <t>OCKELBO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6499-2026</t>
        </is>
      </c>
      <c r="B349" s="1" t="n">
        <v>46056</v>
      </c>
      <c r="C349" s="1" t="n">
        <v>46142</v>
      </c>
      <c r="D349" t="inlineStr">
        <is>
          <t>GÄVLEBORGS LÄN</t>
        </is>
      </c>
      <c r="E349" t="inlineStr">
        <is>
          <t>OCKELBO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6362-2026</t>
        </is>
      </c>
      <c r="B350" s="1" t="n">
        <v>46055</v>
      </c>
      <c r="C350" s="1" t="n">
        <v>46142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6661-2026</t>
        </is>
      </c>
      <c r="B351" s="1" t="n">
        <v>46056.57664351852</v>
      </c>
      <c r="C351" s="1" t="n">
        <v>46142</v>
      </c>
      <c r="D351" t="inlineStr">
        <is>
          <t>GÄVLEBORGS LÄN</t>
        </is>
      </c>
      <c r="E351" t="inlineStr">
        <is>
          <t>OCKELBO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6584-2026</t>
        </is>
      </c>
      <c r="B352" s="1" t="n">
        <v>46056.45658564815</v>
      </c>
      <c r="C352" s="1" t="n">
        <v>46142</v>
      </c>
      <c r="D352" t="inlineStr">
        <is>
          <t>GÄVLEBORGS LÄN</t>
        </is>
      </c>
      <c r="E352" t="inlineStr">
        <is>
          <t>OCKELBO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6586-2026</t>
        </is>
      </c>
      <c r="B353" s="1" t="n">
        <v>46056.45778935185</v>
      </c>
      <c r="C353" s="1" t="n">
        <v>46142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6590-2026</t>
        </is>
      </c>
      <c r="B354" s="1" t="n">
        <v>46056.46262731482</v>
      </c>
      <c r="C354" s="1" t="n">
        <v>46142</v>
      </c>
      <c r="D354" t="inlineStr">
        <is>
          <t>GÄVLEBORGS LÄN</t>
        </is>
      </c>
      <c r="E354" t="inlineStr">
        <is>
          <t>OCKELBO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6560-2026</t>
        </is>
      </c>
      <c r="B355" s="1" t="n">
        <v>46056</v>
      </c>
      <c r="C355" s="1" t="n">
        <v>46142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6582-2026</t>
        </is>
      </c>
      <c r="B356" s="1" t="n">
        <v>46056.45413194445</v>
      </c>
      <c r="C356" s="1" t="n">
        <v>46142</v>
      </c>
      <c r="D356" t="inlineStr">
        <is>
          <t>GÄVLEBORGS LÄN</t>
        </is>
      </c>
      <c r="E356" t="inlineStr">
        <is>
          <t>OCKELBO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6364-2026</t>
        </is>
      </c>
      <c r="B357" s="1" t="n">
        <v>46055</v>
      </c>
      <c r="C357" s="1" t="n">
        <v>46142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6264-2026</t>
        </is>
      </c>
      <c r="B358" s="1" t="n">
        <v>46055</v>
      </c>
      <c r="C358" s="1" t="n">
        <v>46142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6266-2026</t>
        </is>
      </c>
      <c r="B359" s="1" t="n">
        <v>46055</v>
      </c>
      <c r="C359" s="1" t="n">
        <v>46142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6493-2026</t>
        </is>
      </c>
      <c r="B360" s="1" t="n">
        <v>46056</v>
      </c>
      <c r="C360" s="1" t="n">
        <v>46142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6742-2026</t>
        </is>
      </c>
      <c r="B361" s="1" t="n">
        <v>46056</v>
      </c>
      <c r="C361" s="1" t="n">
        <v>46142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6746-2026</t>
        </is>
      </c>
      <c r="B362" s="1" t="n">
        <v>46056</v>
      </c>
      <c r="C362" s="1" t="n">
        <v>46142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6648-2026</t>
        </is>
      </c>
      <c r="B363" s="1" t="n">
        <v>46056</v>
      </c>
      <c r="C363" s="1" t="n">
        <v>46142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6665-2026</t>
        </is>
      </c>
      <c r="B364" s="1" t="n">
        <v>46056.58530092592</v>
      </c>
      <c r="C364" s="1" t="n">
        <v>46142</v>
      </c>
      <c r="D364" t="inlineStr">
        <is>
          <t>GÄVLEBORGS LÄN</t>
        </is>
      </c>
      <c r="E364" t="inlineStr">
        <is>
          <t>OCKELBO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29851-2025</t>
        </is>
      </c>
      <c r="B365" s="1" t="n">
        <v>45826.33542824074</v>
      </c>
      <c r="C365" s="1" t="n">
        <v>46142</v>
      </c>
      <c r="D365" t="inlineStr">
        <is>
          <t>GÄVLEBORGS LÄN</t>
        </is>
      </c>
      <c r="E365" t="inlineStr">
        <is>
          <t>OCKELBO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6561-2026</t>
        </is>
      </c>
      <c r="B366" s="1" t="n">
        <v>46056</v>
      </c>
      <c r="C366" s="1" t="n">
        <v>46142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6579-2026</t>
        </is>
      </c>
      <c r="B367" s="1" t="n">
        <v>46056.45328703704</v>
      </c>
      <c r="C367" s="1" t="n">
        <v>46142</v>
      </c>
      <c r="D367" t="inlineStr">
        <is>
          <t>GÄVLEBORGS LÄN</t>
        </is>
      </c>
      <c r="E367" t="inlineStr">
        <is>
          <t>OCKELBO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6677-2026</t>
        </is>
      </c>
      <c r="B368" s="1" t="n">
        <v>46056.60728009259</v>
      </c>
      <c r="C368" s="1" t="n">
        <v>46142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13855-2026</t>
        </is>
      </c>
      <c r="B369" s="1" t="n">
        <v>46098.40371527777</v>
      </c>
      <c r="C369" s="1" t="n">
        <v>46142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6262-2026</t>
        </is>
      </c>
      <c r="B370" s="1" t="n">
        <v>46055</v>
      </c>
      <c r="C370" s="1" t="n">
        <v>46142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7257-2026</t>
        </is>
      </c>
      <c r="B371" s="1" t="n">
        <v>46058.59868055556</v>
      </c>
      <c r="C371" s="1" t="n">
        <v>46142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14439-2026</t>
        </is>
      </c>
      <c r="B372" s="1" t="n">
        <v>46100.50197916666</v>
      </c>
      <c r="C372" s="1" t="n">
        <v>46142</v>
      </c>
      <c r="D372" t="inlineStr">
        <is>
          <t>GÄVLEBORGS LÄN</t>
        </is>
      </c>
      <c r="E372" t="inlineStr">
        <is>
          <t>OCKELBO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14441-2026</t>
        </is>
      </c>
      <c r="B373" s="1" t="n">
        <v>46100.5037962963</v>
      </c>
      <c r="C373" s="1" t="n">
        <v>46142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7086-2026</t>
        </is>
      </c>
      <c r="B374" s="1" t="n">
        <v>46058</v>
      </c>
      <c r="C374" s="1" t="n">
        <v>46142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7050-2026</t>
        </is>
      </c>
      <c r="B375" s="1" t="n">
        <v>46057.72561342592</v>
      </c>
      <c r="C375" s="1" t="n">
        <v>46142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6862-2026</t>
        </is>
      </c>
      <c r="B376" s="1" t="n">
        <v>46057</v>
      </c>
      <c r="C376" s="1" t="n">
        <v>46142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7099-2026</t>
        </is>
      </c>
      <c r="B377" s="1" t="n">
        <v>46058</v>
      </c>
      <c r="C377" s="1" t="n">
        <v>46142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7113-2026</t>
        </is>
      </c>
      <c r="B378" s="1" t="n">
        <v>46058</v>
      </c>
      <c r="C378" s="1" t="n">
        <v>46142</v>
      </c>
      <c r="D378" t="inlineStr">
        <is>
          <t>GÄVLEBORGS LÄN</t>
        </is>
      </c>
      <c r="E378" t="inlineStr">
        <is>
          <t>OCKELBO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30331-2025</t>
        </is>
      </c>
      <c r="B379" s="1" t="n">
        <v>45827.50730324074</v>
      </c>
      <c r="C379" s="1" t="n">
        <v>46142</v>
      </c>
      <c r="D379" t="inlineStr">
        <is>
          <t>GÄVLEBORGS LÄN</t>
        </is>
      </c>
      <c r="E379" t="inlineStr">
        <is>
          <t>OCKELBO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49207-2023</t>
        </is>
      </c>
      <c r="B380" s="1" t="n">
        <v>45210</v>
      </c>
      <c r="C380" s="1" t="n">
        <v>46142</v>
      </c>
      <c r="D380" t="inlineStr">
        <is>
          <t>GÄVLEBORGS LÄN</t>
        </is>
      </c>
      <c r="E380" t="inlineStr">
        <is>
          <t>OCKELBO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14410-2026</t>
        </is>
      </c>
      <c r="B381" s="1" t="n">
        <v>46100.43675925926</v>
      </c>
      <c r="C381" s="1" t="n">
        <v>46142</v>
      </c>
      <c r="D381" t="inlineStr">
        <is>
          <t>GÄVLEBORGS LÄN</t>
        </is>
      </c>
      <c r="E381" t="inlineStr">
        <is>
          <t>OCKELBO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14474-2026</t>
        </is>
      </c>
      <c r="B382" s="1" t="n">
        <v>46100.57116898148</v>
      </c>
      <c r="C382" s="1" t="n">
        <v>46142</v>
      </c>
      <c r="D382" t="inlineStr">
        <is>
          <t>GÄVLEBORGS LÄN</t>
        </is>
      </c>
      <c r="E382" t="inlineStr">
        <is>
          <t>OCKELBO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7228-2026</t>
        </is>
      </c>
      <c r="B383" s="1" t="n">
        <v>46058.56946759259</v>
      </c>
      <c r="C383" s="1" t="n">
        <v>46142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7235-2026</t>
        </is>
      </c>
      <c r="B384" s="1" t="n">
        <v>46058.57689814815</v>
      </c>
      <c r="C384" s="1" t="n">
        <v>46142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7246-2026</t>
        </is>
      </c>
      <c r="B385" s="1" t="n">
        <v>46058.59034722222</v>
      </c>
      <c r="C385" s="1" t="n">
        <v>46142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7056-2026</t>
        </is>
      </c>
      <c r="B386" s="1" t="n">
        <v>46057.82925925926</v>
      </c>
      <c r="C386" s="1" t="n">
        <v>46142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30280-2025</t>
        </is>
      </c>
      <c r="B387" s="1" t="n">
        <v>45827.45775462963</v>
      </c>
      <c r="C387" s="1" t="n">
        <v>46142</v>
      </c>
      <c r="D387" t="inlineStr">
        <is>
          <t>GÄVLEBORGS LÄN</t>
        </is>
      </c>
      <c r="E387" t="inlineStr">
        <is>
          <t>OCKELBO</t>
        </is>
      </c>
      <c r="F387" t="inlineStr">
        <is>
          <t>Kyrkan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6763-2026</t>
        </is>
      </c>
      <c r="B388" s="1" t="n">
        <v>46056.8631712963</v>
      </c>
      <c r="C388" s="1" t="n">
        <v>46142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34.3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6891-2026</t>
        </is>
      </c>
      <c r="B389" s="1" t="n">
        <v>46057</v>
      </c>
      <c r="C389" s="1" t="n">
        <v>46142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7223-2026</t>
        </is>
      </c>
      <c r="B390" s="1" t="n">
        <v>46058.56357638889</v>
      </c>
      <c r="C390" s="1" t="n">
        <v>46142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7245-2026</t>
        </is>
      </c>
      <c r="B391" s="1" t="n">
        <v>46058.58692129629</v>
      </c>
      <c r="C391" s="1" t="n">
        <v>46142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30229-2025</t>
        </is>
      </c>
      <c r="B392" s="1" t="n">
        <v>45827.3822337963</v>
      </c>
      <c r="C392" s="1" t="n">
        <v>46142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14374-2026</t>
        </is>
      </c>
      <c r="B393" s="1" t="n">
        <v>46100.36954861111</v>
      </c>
      <c r="C393" s="1" t="n">
        <v>46142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30152-2025</t>
        </is>
      </c>
      <c r="B394" s="1" t="n">
        <v>45827.3172337963</v>
      </c>
      <c r="C394" s="1" t="n">
        <v>46142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30179-2025</t>
        </is>
      </c>
      <c r="B395" s="1" t="n">
        <v>45827.34570601852</v>
      </c>
      <c r="C395" s="1" t="n">
        <v>46142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7049-2026</t>
        </is>
      </c>
      <c r="B396" s="1" t="n">
        <v>46057.72354166667</v>
      </c>
      <c r="C396" s="1" t="n">
        <v>46142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7078-2026</t>
        </is>
      </c>
      <c r="B397" s="1" t="n">
        <v>46058</v>
      </c>
      <c r="C397" s="1" t="n">
        <v>46142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7083-2026</t>
        </is>
      </c>
      <c r="B398" s="1" t="n">
        <v>46058</v>
      </c>
      <c r="C398" s="1" t="n">
        <v>46142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7255-2026</t>
        </is>
      </c>
      <c r="B399" s="1" t="n">
        <v>46058.59788194444</v>
      </c>
      <c r="C399" s="1" t="n">
        <v>46142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6921-2026</t>
        </is>
      </c>
      <c r="B400" s="1" t="n">
        <v>46057</v>
      </c>
      <c r="C400" s="1" t="n">
        <v>46142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7331-2026</t>
        </is>
      </c>
      <c r="B401" s="1" t="n">
        <v>46058.68724537037</v>
      </c>
      <c r="C401" s="1" t="n">
        <v>46142</v>
      </c>
      <c r="D401" t="inlineStr">
        <is>
          <t>GÄVLEBORGS LÄN</t>
        </is>
      </c>
      <c r="E401" t="inlineStr">
        <is>
          <t>OCKELBO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3628-2023</t>
        </is>
      </c>
      <c r="B402" s="1" t="n">
        <v>44950.64807870371</v>
      </c>
      <c r="C402" s="1" t="n">
        <v>46142</v>
      </c>
      <c r="D402" t="inlineStr">
        <is>
          <t>GÄVLEBORGS LÄN</t>
        </is>
      </c>
      <c r="E402" t="inlineStr">
        <is>
          <t>OCKELBO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15029-2026</t>
        </is>
      </c>
      <c r="B403" s="1" t="n">
        <v>46104.64577546297</v>
      </c>
      <c r="C403" s="1" t="n">
        <v>46142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7765-2026</t>
        </is>
      </c>
      <c r="B404" s="1" t="n">
        <v>46062.56228009259</v>
      </c>
      <c r="C404" s="1" t="n">
        <v>46142</v>
      </c>
      <c r="D404" t="inlineStr">
        <is>
          <t>GÄVLEBORGS LÄN</t>
        </is>
      </c>
      <c r="E404" t="inlineStr">
        <is>
          <t>OCKELBO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7689-2026</t>
        </is>
      </c>
      <c r="B405" s="1" t="n">
        <v>46062.44077546296</v>
      </c>
      <c r="C405" s="1" t="n">
        <v>46142</v>
      </c>
      <c r="D405" t="inlineStr">
        <is>
          <t>GÄVLEBORGS LÄN</t>
        </is>
      </c>
      <c r="E405" t="inlineStr">
        <is>
          <t>OCKELBO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14403-2026</t>
        </is>
      </c>
      <c r="B406" s="1" t="n">
        <v>46100</v>
      </c>
      <c r="C406" s="1" t="n">
        <v>46142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7286-2026</t>
        </is>
      </c>
      <c r="B407" s="1" t="n">
        <v>46058.63775462963</v>
      </c>
      <c r="C407" s="1" t="n">
        <v>46142</v>
      </c>
      <c r="D407" t="inlineStr">
        <is>
          <t>GÄVLEBORGS LÄN</t>
        </is>
      </c>
      <c r="E407" t="inlineStr">
        <is>
          <t>OCKELBO</t>
        </is>
      </c>
      <c r="G407" t="n">
        <v>13.3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7544-2026</t>
        </is>
      </c>
      <c r="B408" s="1" t="n">
        <v>46059.64305555556</v>
      </c>
      <c r="C408" s="1" t="n">
        <v>46142</v>
      </c>
      <c r="D408" t="inlineStr">
        <is>
          <t>GÄVLEBORGS LÄN</t>
        </is>
      </c>
      <c r="E408" t="inlineStr">
        <is>
          <t>OCKELBO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14684-2026</t>
        </is>
      </c>
      <c r="B409" s="1" t="n">
        <v>46101.49182870371</v>
      </c>
      <c r="C409" s="1" t="n">
        <v>46142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31298-2025</t>
        </is>
      </c>
      <c r="B410" s="1" t="n">
        <v>45833.37363425926</v>
      </c>
      <c r="C410" s="1" t="n">
        <v>46142</v>
      </c>
      <c r="D410" t="inlineStr">
        <is>
          <t>GÄVLEBORGS LÄN</t>
        </is>
      </c>
      <c r="E410" t="inlineStr">
        <is>
          <t>OCKELBO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14827-2026</t>
        </is>
      </c>
      <c r="B411" s="1" t="n">
        <v>46104.36526620371</v>
      </c>
      <c r="C411" s="1" t="n">
        <v>46142</v>
      </c>
      <c r="D411" t="inlineStr">
        <is>
          <t>GÄVLEBORGS LÄN</t>
        </is>
      </c>
      <c r="E411" t="inlineStr">
        <is>
          <t>OCKELBO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15018-2026</t>
        </is>
      </c>
      <c r="B412" s="1" t="n">
        <v>46104.62527777778</v>
      </c>
      <c r="C412" s="1" t="n">
        <v>46142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39324-2025</t>
        </is>
      </c>
      <c r="B413" s="1" t="n">
        <v>45889.47886574074</v>
      </c>
      <c r="C413" s="1" t="n">
        <v>46142</v>
      </c>
      <c r="D413" t="inlineStr">
        <is>
          <t>GÄVLEBORGS LÄN</t>
        </is>
      </c>
      <c r="E413" t="inlineStr">
        <is>
          <t>OCKELBO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39325-2025</t>
        </is>
      </c>
      <c r="B414" s="1" t="n">
        <v>45889.48163194444</v>
      </c>
      <c r="C414" s="1" t="n">
        <v>46142</v>
      </c>
      <c r="D414" t="inlineStr">
        <is>
          <t>GÄVLEBORGS LÄN</t>
        </is>
      </c>
      <c r="E414" t="inlineStr">
        <is>
          <t>OCKELBO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7639-2026</t>
        </is>
      </c>
      <c r="B415" s="1" t="n">
        <v>46062.37336805555</v>
      </c>
      <c r="C415" s="1" t="n">
        <v>46142</v>
      </c>
      <c r="D415" t="inlineStr">
        <is>
          <t>GÄVLEBORGS LÄN</t>
        </is>
      </c>
      <c r="E415" t="inlineStr">
        <is>
          <t>OCKELBO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15043-2026</t>
        </is>
      </c>
      <c r="B416" s="1" t="n">
        <v>46104.6608449074</v>
      </c>
      <c r="C416" s="1" t="n">
        <v>46142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15065-2026</t>
        </is>
      </c>
      <c r="B417" s="1" t="n">
        <v>46104.72237268519</v>
      </c>
      <c r="C417" s="1" t="n">
        <v>46142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39360-2025</t>
        </is>
      </c>
      <c r="B418" s="1" t="n">
        <v>45889.55805555556</v>
      </c>
      <c r="C418" s="1" t="n">
        <v>46142</v>
      </c>
      <c r="D418" t="inlineStr">
        <is>
          <t>GÄVLEBORGS LÄN</t>
        </is>
      </c>
      <c r="E418" t="inlineStr">
        <is>
          <t>OCKELBO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15067-2026</t>
        </is>
      </c>
      <c r="B419" s="1" t="n">
        <v>46104.72638888889</v>
      </c>
      <c r="C419" s="1" t="n">
        <v>46142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15195-2025</t>
        </is>
      </c>
      <c r="B420" s="1" t="n">
        <v>45744.56231481482</v>
      </c>
      <c r="C420" s="1" t="n">
        <v>46142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39329-2025</t>
        </is>
      </c>
      <c r="B421" s="1" t="n">
        <v>45889.48412037037</v>
      </c>
      <c r="C421" s="1" t="n">
        <v>46142</v>
      </c>
      <c r="D421" t="inlineStr">
        <is>
          <t>GÄVLEBORGS LÄN</t>
        </is>
      </c>
      <c r="E421" t="inlineStr">
        <is>
          <t>OCKELBO</t>
        </is>
      </c>
      <c r="G421" t="n">
        <v>13.3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39359-2025</t>
        </is>
      </c>
      <c r="B422" s="1" t="n">
        <v>45889.55767361111</v>
      </c>
      <c r="C422" s="1" t="n">
        <v>46142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7681-2026</t>
        </is>
      </c>
      <c r="B423" s="1" t="n">
        <v>46062.43238425926</v>
      </c>
      <c r="C423" s="1" t="n">
        <v>46142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31497-2025</t>
        </is>
      </c>
      <c r="B424" s="1" t="n">
        <v>45833.58438657408</v>
      </c>
      <c r="C424" s="1" t="n">
        <v>46142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14937-2024</t>
        </is>
      </c>
      <c r="B425" s="1" t="n">
        <v>45398.67929398148</v>
      </c>
      <c r="C425" s="1" t="n">
        <v>46142</v>
      </c>
      <c r="D425" t="inlineStr">
        <is>
          <t>GÄVLEBORGS LÄN</t>
        </is>
      </c>
      <c r="E425" t="inlineStr">
        <is>
          <t>OCKELBO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7675-2026</t>
        </is>
      </c>
      <c r="B426" s="1" t="n">
        <v>46062.42148148148</v>
      </c>
      <c r="C426" s="1" t="n">
        <v>46142</v>
      </c>
      <c r="D426" t="inlineStr">
        <is>
          <t>GÄVLEBORGS LÄN</t>
        </is>
      </c>
      <c r="E426" t="inlineStr">
        <is>
          <t>OCKELBO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22824-2024</t>
        </is>
      </c>
      <c r="B427" s="1" t="n">
        <v>45448</v>
      </c>
      <c r="C427" s="1" t="n">
        <v>46142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14400-2026</t>
        </is>
      </c>
      <c r="B428" s="1" t="n">
        <v>46100</v>
      </c>
      <c r="C428" s="1" t="n">
        <v>46142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31402-2025</t>
        </is>
      </c>
      <c r="B429" s="1" t="n">
        <v>45833.47171296296</v>
      </c>
      <c r="C429" s="1" t="n">
        <v>46142</v>
      </c>
      <c r="D429" t="inlineStr">
        <is>
          <t>GÄVLEBORGS LÄN</t>
        </is>
      </c>
      <c r="E429" t="inlineStr">
        <is>
          <t>OCKELBO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14168-2026</t>
        </is>
      </c>
      <c r="B430" s="1" t="n">
        <v>46099</v>
      </c>
      <c r="C430" s="1" t="n">
        <v>46142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7409-2026</t>
        </is>
      </c>
      <c r="B431" s="1" t="n">
        <v>46059</v>
      </c>
      <c r="C431" s="1" t="n">
        <v>46142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7769-2026</t>
        </is>
      </c>
      <c r="B432" s="1" t="n">
        <v>46062.56677083333</v>
      </c>
      <c r="C432" s="1" t="n">
        <v>46142</v>
      </c>
      <c r="D432" t="inlineStr">
        <is>
          <t>GÄVLEBORGS LÄN</t>
        </is>
      </c>
      <c r="E432" t="inlineStr">
        <is>
          <t>OCKELBO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8253-2026</t>
        </is>
      </c>
      <c r="B433" s="1" t="n">
        <v>46064.50446759259</v>
      </c>
      <c r="C433" s="1" t="n">
        <v>46142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15624-2026</t>
        </is>
      </c>
      <c r="B434" s="1" t="n">
        <v>46106.61512731481</v>
      </c>
      <c r="C434" s="1" t="n">
        <v>46142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8157-2026</t>
        </is>
      </c>
      <c r="B435" s="1" t="n">
        <v>46064.36305555556</v>
      </c>
      <c r="C435" s="1" t="n">
        <v>46142</v>
      </c>
      <c r="D435" t="inlineStr">
        <is>
          <t>GÄVLEBORGS LÄN</t>
        </is>
      </c>
      <c r="E435" t="inlineStr">
        <is>
          <t>OCKELBO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8337-2026</t>
        </is>
      </c>
      <c r="B436" s="1" t="n">
        <v>46064.63451388889</v>
      </c>
      <c r="C436" s="1" t="n">
        <v>46142</v>
      </c>
      <c r="D436" t="inlineStr">
        <is>
          <t>GÄVLEBORGS LÄN</t>
        </is>
      </c>
      <c r="E436" t="inlineStr">
        <is>
          <t>OCKELBO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8343-2026</t>
        </is>
      </c>
      <c r="B437" s="1" t="n">
        <v>46064.63734953704</v>
      </c>
      <c r="C437" s="1" t="n">
        <v>46142</v>
      </c>
      <c r="D437" t="inlineStr">
        <is>
          <t>GÄVLEBORGS LÄN</t>
        </is>
      </c>
      <c r="E437" t="inlineStr">
        <is>
          <t>OCKELBO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8353-2026</t>
        </is>
      </c>
      <c r="B438" s="1" t="n">
        <v>46064</v>
      </c>
      <c r="C438" s="1" t="n">
        <v>46142</v>
      </c>
      <c r="D438" t="inlineStr">
        <is>
          <t>GÄVLEBORGS LÄN</t>
        </is>
      </c>
      <c r="E438" t="inlineStr">
        <is>
          <t>OCKELBO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7947-2026</t>
        </is>
      </c>
      <c r="B439" s="1" t="n">
        <v>46063</v>
      </c>
      <c r="C439" s="1" t="n">
        <v>46142</v>
      </c>
      <c r="D439" t="inlineStr">
        <is>
          <t>GÄVLEBORGS LÄN</t>
        </is>
      </c>
      <c r="E439" t="inlineStr">
        <is>
          <t>OCKELBO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15572-2026</t>
        </is>
      </c>
      <c r="B440" s="1" t="n">
        <v>46106.55471064815</v>
      </c>
      <c r="C440" s="1" t="n">
        <v>46142</v>
      </c>
      <c r="D440" t="inlineStr">
        <is>
          <t>GÄVLEBORGS LÄN</t>
        </is>
      </c>
      <c r="E440" t="inlineStr">
        <is>
          <t>OCKELBO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32449-2025</t>
        </is>
      </c>
      <c r="B441" s="1" t="n">
        <v>45838.38739583334</v>
      </c>
      <c r="C441" s="1" t="n">
        <v>46142</v>
      </c>
      <c r="D441" t="inlineStr">
        <is>
          <t>GÄVLEBORGS LÄN</t>
        </is>
      </c>
      <c r="E441" t="inlineStr">
        <is>
          <t>OCKELBO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15151-2026</t>
        </is>
      </c>
      <c r="B442" s="1" t="n">
        <v>46105.40982638889</v>
      </c>
      <c r="C442" s="1" t="n">
        <v>46142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öst AB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8344-2026</t>
        </is>
      </c>
      <c r="B443" s="1" t="n">
        <v>46064.63939814815</v>
      </c>
      <c r="C443" s="1" t="n">
        <v>46142</v>
      </c>
      <c r="D443" t="inlineStr">
        <is>
          <t>GÄVLEBORGS LÄN</t>
        </is>
      </c>
      <c r="E443" t="inlineStr">
        <is>
          <t>OCKELBO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15326-2026</t>
        </is>
      </c>
      <c r="B444" s="1" t="n">
        <v>46105.6591087963</v>
      </c>
      <c r="C444" s="1" t="n">
        <v>46142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7955-2026</t>
        </is>
      </c>
      <c r="B445" s="1" t="n">
        <v>46063.42803240741</v>
      </c>
      <c r="C445" s="1" t="n">
        <v>46142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8234-2026</t>
        </is>
      </c>
      <c r="B446" s="1" t="n">
        <v>46064.48517361111</v>
      </c>
      <c r="C446" s="1" t="n">
        <v>46142</v>
      </c>
      <c r="D446" t="inlineStr">
        <is>
          <t>GÄVLEBORGS LÄN</t>
        </is>
      </c>
      <c r="E446" t="inlineStr">
        <is>
          <t>OCKELBO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7879-2026</t>
        </is>
      </c>
      <c r="B447" s="1" t="n">
        <v>46063</v>
      </c>
      <c r="C447" s="1" t="n">
        <v>46142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37.2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7907-2026</t>
        </is>
      </c>
      <c r="B448" s="1" t="n">
        <v>46063.35768518518</v>
      </c>
      <c r="C448" s="1" t="n">
        <v>46142</v>
      </c>
      <c r="D448" t="inlineStr">
        <is>
          <t>GÄVLEBORGS LÄN</t>
        </is>
      </c>
      <c r="E448" t="inlineStr">
        <is>
          <t>OCKELBO</t>
        </is>
      </c>
      <c r="G448" t="n">
        <v>11.5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8349-2026</t>
        </is>
      </c>
      <c r="B449" s="1" t="n">
        <v>46064.64278935185</v>
      </c>
      <c r="C449" s="1" t="n">
        <v>46142</v>
      </c>
      <c r="D449" t="inlineStr">
        <is>
          <t>GÄVLEBORGS LÄN</t>
        </is>
      </c>
      <c r="E449" t="inlineStr">
        <is>
          <t>OCKELBO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8351-2026</t>
        </is>
      </c>
      <c r="B450" s="1" t="n">
        <v>46064.64413194444</v>
      </c>
      <c r="C450" s="1" t="n">
        <v>46142</v>
      </c>
      <c r="D450" t="inlineStr">
        <is>
          <t>GÄVLEBORGS LÄN</t>
        </is>
      </c>
      <c r="E450" t="inlineStr">
        <is>
          <t>OCKELBO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15255-2026</t>
        </is>
      </c>
      <c r="B451" s="1" t="n">
        <v>46105.57930555556</v>
      </c>
      <c r="C451" s="1" t="n">
        <v>46142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15328-2026</t>
        </is>
      </c>
      <c r="B452" s="1" t="n">
        <v>46105.66041666667</v>
      </c>
      <c r="C452" s="1" t="n">
        <v>46142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15610-2026</t>
        </is>
      </c>
      <c r="B453" s="1" t="n">
        <v>46106.59641203703</v>
      </c>
      <c r="C453" s="1" t="n">
        <v>46142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15648-2026</t>
        </is>
      </c>
      <c r="B454" s="1" t="n">
        <v>46106.64978009259</v>
      </c>
      <c r="C454" s="1" t="n">
        <v>46142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8255-2026</t>
        </is>
      </c>
      <c r="B455" s="1" t="n">
        <v>46064</v>
      </c>
      <c r="C455" s="1" t="n">
        <v>46142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8274-2026</t>
        </is>
      </c>
      <c r="B456" s="1" t="n">
        <v>46064.55339120371</v>
      </c>
      <c r="C456" s="1" t="n">
        <v>46142</v>
      </c>
      <c r="D456" t="inlineStr">
        <is>
          <t>GÄVLEBORGS LÄN</t>
        </is>
      </c>
      <c r="E456" t="inlineStr">
        <is>
          <t>OCKELBO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15300-2026</t>
        </is>
      </c>
      <c r="B457" s="1" t="n">
        <v>46105.63577546296</v>
      </c>
      <c r="C457" s="1" t="n">
        <v>46142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7945-2026</t>
        </is>
      </c>
      <c r="B458" s="1" t="n">
        <v>46063</v>
      </c>
      <c r="C458" s="1" t="n">
        <v>46142</v>
      </c>
      <c r="D458" t="inlineStr">
        <is>
          <t>GÄVLEBORGS LÄN</t>
        </is>
      </c>
      <c r="E458" t="inlineStr">
        <is>
          <t>OCKELBO</t>
        </is>
      </c>
      <c r="G458" t="n">
        <v>50.5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15585-2026</t>
        </is>
      </c>
      <c r="B459" s="1" t="n">
        <v>46106.56807870371</v>
      </c>
      <c r="C459" s="1" t="n">
        <v>46142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15599-2026</t>
        </is>
      </c>
      <c r="B460" s="1" t="n">
        <v>46106.58734953704</v>
      </c>
      <c r="C460" s="1" t="n">
        <v>46142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8341-2026</t>
        </is>
      </c>
      <c r="B461" s="1" t="n">
        <v>46064</v>
      </c>
      <c r="C461" s="1" t="n">
        <v>46142</v>
      </c>
      <c r="D461" t="inlineStr">
        <is>
          <t>GÄVLEBORGS LÄN</t>
        </is>
      </c>
      <c r="E461" t="inlineStr">
        <is>
          <t>OCKELBO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8354-2026</t>
        </is>
      </c>
      <c r="B462" s="1" t="n">
        <v>46064.64571759259</v>
      </c>
      <c r="C462" s="1" t="n">
        <v>46142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15075-2026</t>
        </is>
      </c>
      <c r="B463" s="1" t="n">
        <v>46104.87233796297</v>
      </c>
      <c r="C463" s="1" t="n">
        <v>46142</v>
      </c>
      <c r="D463" t="inlineStr">
        <is>
          <t>GÄVLEBORGS LÄN</t>
        </is>
      </c>
      <c r="E463" t="inlineStr">
        <is>
          <t>OCKELBO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33228-2025</t>
        </is>
      </c>
      <c r="B464" s="1" t="n">
        <v>45840.63861111111</v>
      </c>
      <c r="C464" s="1" t="n">
        <v>46142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8348-2026</t>
        </is>
      </c>
      <c r="B465" s="1" t="n">
        <v>46064.64170138889</v>
      </c>
      <c r="C465" s="1" t="n">
        <v>46142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33079-2025</t>
        </is>
      </c>
      <c r="B466" s="1" t="n">
        <v>45840.46055555555</v>
      </c>
      <c r="C466" s="1" t="n">
        <v>46142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15542-2026</t>
        </is>
      </c>
      <c r="B467" s="1" t="n">
        <v>46106.52135416667</v>
      </c>
      <c r="C467" s="1" t="n">
        <v>46142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8226-2026</t>
        </is>
      </c>
      <c r="B468" s="1" t="n">
        <v>46064.47422453704</v>
      </c>
      <c r="C468" s="1" t="n">
        <v>46142</v>
      </c>
      <c r="D468" t="inlineStr">
        <is>
          <t>GÄVLEBORGS LÄN</t>
        </is>
      </c>
      <c r="E468" t="inlineStr">
        <is>
          <t>OCKELBO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8150-2026</t>
        </is>
      </c>
      <c r="B469" s="1" t="n">
        <v>46064.3554050926</v>
      </c>
      <c r="C469" s="1" t="n">
        <v>46142</v>
      </c>
      <c r="D469" t="inlineStr">
        <is>
          <t>GÄVLEBORGS LÄN</t>
        </is>
      </c>
      <c r="E469" t="inlineStr">
        <is>
          <t>OCKELBO</t>
        </is>
      </c>
      <c r="F469" t="inlineStr">
        <is>
          <t>Kyrkan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33231-2025</t>
        </is>
      </c>
      <c r="B470" s="1" t="n">
        <v>45840.64146990741</v>
      </c>
      <c r="C470" s="1" t="n">
        <v>46142</v>
      </c>
      <c r="D470" t="inlineStr">
        <is>
          <t>GÄVLEBORGS LÄN</t>
        </is>
      </c>
      <c r="E470" t="inlineStr">
        <is>
          <t>OCKELBO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32816-2025</t>
        </is>
      </c>
      <c r="B471" s="1" t="n">
        <v>45839</v>
      </c>
      <c r="C471" s="1" t="n">
        <v>46142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15575-2026</t>
        </is>
      </c>
      <c r="B472" s="1" t="n">
        <v>46106.5581712963</v>
      </c>
      <c r="C472" s="1" t="n">
        <v>46142</v>
      </c>
      <c r="D472" t="inlineStr">
        <is>
          <t>GÄVLEBORGS LÄN</t>
        </is>
      </c>
      <c r="E472" t="inlineStr">
        <is>
          <t>OCKELBO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15581-2026</t>
        </is>
      </c>
      <c r="B473" s="1" t="n">
        <v>46106.56188657408</v>
      </c>
      <c r="C473" s="1" t="n">
        <v>46142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öst AB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33124-2025</t>
        </is>
      </c>
      <c r="B474" s="1" t="n">
        <v>45840.4965162037</v>
      </c>
      <c r="C474" s="1" t="n">
        <v>46142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7935-2026</t>
        </is>
      </c>
      <c r="B475" s="1" t="n">
        <v>46063</v>
      </c>
      <c r="C475" s="1" t="n">
        <v>46142</v>
      </c>
      <c r="D475" t="inlineStr">
        <is>
          <t>GÄVLEBORGS LÄN</t>
        </is>
      </c>
      <c r="E475" t="inlineStr">
        <is>
          <t>OCKELBO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8420-2026</t>
        </is>
      </c>
      <c r="B476" s="1" t="n">
        <v>46065</v>
      </c>
      <c r="C476" s="1" t="n">
        <v>46142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32824-2025</t>
        </is>
      </c>
      <c r="B477" s="1" t="n">
        <v>45839</v>
      </c>
      <c r="C477" s="1" t="n">
        <v>46142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15795-2026</t>
        </is>
      </c>
      <c r="B478" s="1" t="n">
        <v>46107.48194444444</v>
      </c>
      <c r="C478" s="1" t="n">
        <v>46142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8866-2026</t>
        </is>
      </c>
      <c r="B479" s="1" t="n">
        <v>46066</v>
      </c>
      <c r="C479" s="1" t="n">
        <v>46142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64609-2023</t>
        </is>
      </c>
      <c r="B480" s="1" t="n">
        <v>45281.50811342592</v>
      </c>
      <c r="C480" s="1" t="n">
        <v>46142</v>
      </c>
      <c r="D480" t="inlineStr">
        <is>
          <t>GÄVLEBORGS LÄN</t>
        </is>
      </c>
      <c r="E480" t="inlineStr">
        <is>
          <t>OCKELBO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8581-2026</t>
        </is>
      </c>
      <c r="B481" s="1" t="n">
        <v>46065</v>
      </c>
      <c r="C481" s="1" t="n">
        <v>46142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15908-2026</t>
        </is>
      </c>
      <c r="B482" s="1" t="n">
        <v>46107.63949074074</v>
      </c>
      <c r="C482" s="1" t="n">
        <v>46142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öst AB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9464-2025</t>
        </is>
      </c>
      <c r="B483" s="1" t="n">
        <v>45715.4665625</v>
      </c>
      <c r="C483" s="1" t="n">
        <v>46142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öst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8475-2026</t>
        </is>
      </c>
      <c r="B484" s="1" t="n">
        <v>46065.45392361111</v>
      </c>
      <c r="C484" s="1" t="n">
        <v>46142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32043-2025</t>
        </is>
      </c>
      <c r="B485" s="1" t="n">
        <v>45835</v>
      </c>
      <c r="C485" s="1" t="n">
        <v>46142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4182-2026</t>
        </is>
      </c>
      <c r="B486" s="1" t="n">
        <v>46044.68452546297</v>
      </c>
      <c r="C486" s="1" t="n">
        <v>46142</v>
      </c>
      <c r="D486" t="inlineStr">
        <is>
          <t>GÄVLEBORGS LÄN</t>
        </is>
      </c>
      <c r="E486" t="inlineStr">
        <is>
          <t>OCKELBO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8508-2026</t>
        </is>
      </c>
      <c r="B487" s="1" t="n">
        <v>46065</v>
      </c>
      <c r="C487" s="1" t="n">
        <v>46142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8592-2026</t>
        </is>
      </c>
      <c r="B488" s="1" t="n">
        <v>46065</v>
      </c>
      <c r="C488" s="1" t="n">
        <v>46142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33115-2025</t>
        </is>
      </c>
      <c r="B489" s="1" t="n">
        <v>45840.49201388889</v>
      </c>
      <c r="C489" s="1" t="n">
        <v>46142</v>
      </c>
      <c r="D489" t="inlineStr">
        <is>
          <t>GÄVLEBORGS LÄN</t>
        </is>
      </c>
      <c r="E489" t="inlineStr">
        <is>
          <t>OCKELBO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8712-2026</t>
        </is>
      </c>
      <c r="B490" s="1" t="n">
        <v>46066.48236111111</v>
      </c>
      <c r="C490" s="1" t="n">
        <v>46142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8735-2026</t>
        </is>
      </c>
      <c r="B491" s="1" t="n">
        <v>46066</v>
      </c>
      <c r="C491" s="1" t="n">
        <v>46142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33083-2025</t>
        </is>
      </c>
      <c r="B492" s="1" t="n">
        <v>45840.46547453704</v>
      </c>
      <c r="C492" s="1" t="n">
        <v>46142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8671-2026</t>
        </is>
      </c>
      <c r="B493" s="1" t="n">
        <v>46066.39734953704</v>
      </c>
      <c r="C493" s="1" t="n">
        <v>46142</v>
      </c>
      <c r="D493" t="inlineStr">
        <is>
          <t>GÄVLEBORGS LÄN</t>
        </is>
      </c>
      <c r="E493" t="inlineStr">
        <is>
          <t>OCKELBO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15782-2026</t>
        </is>
      </c>
      <c r="B494" s="1" t="n">
        <v>46107.46277777778</v>
      </c>
      <c r="C494" s="1" t="n">
        <v>46142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8424-2026</t>
        </is>
      </c>
      <c r="B495" s="1" t="n">
        <v>46065</v>
      </c>
      <c r="C495" s="1" t="n">
        <v>46142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15678-2026</t>
        </is>
      </c>
      <c r="B496" s="1" t="n">
        <v>46106.96980324074</v>
      </c>
      <c r="C496" s="1" t="n">
        <v>46142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8436-2026</t>
        </is>
      </c>
      <c r="B497" s="1" t="n">
        <v>46065.39300925926</v>
      </c>
      <c r="C497" s="1" t="n">
        <v>46142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15739-2026</t>
        </is>
      </c>
      <c r="B498" s="1" t="n">
        <v>46107.41351851852</v>
      </c>
      <c r="C498" s="1" t="n">
        <v>46142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8750-2026</t>
        </is>
      </c>
      <c r="B499" s="1" t="n">
        <v>46066</v>
      </c>
      <c r="C499" s="1" t="n">
        <v>46142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8673-2026</t>
        </is>
      </c>
      <c r="B500" s="1" t="n">
        <v>46066</v>
      </c>
      <c r="C500" s="1" t="n">
        <v>46142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23.5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65259-2023</t>
        </is>
      </c>
      <c r="B501" s="1" t="n">
        <v>45291.52712962963</v>
      </c>
      <c r="C501" s="1" t="n">
        <v>46142</v>
      </c>
      <c r="D501" t="inlineStr">
        <is>
          <t>GÄVLEBORGS LÄN</t>
        </is>
      </c>
      <c r="E501" t="inlineStr">
        <is>
          <t>OCKELBO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8404-2026</t>
        </is>
      </c>
      <c r="B502" s="1" t="n">
        <v>46065.32443287037</v>
      </c>
      <c r="C502" s="1" t="n">
        <v>46142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8402-2026</t>
        </is>
      </c>
      <c r="B503" s="1" t="n">
        <v>46065.31940972222</v>
      </c>
      <c r="C503" s="1" t="n">
        <v>46142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8408-2026</t>
        </is>
      </c>
      <c r="B504" s="1" t="n">
        <v>46065.33519675926</v>
      </c>
      <c r="C504" s="1" t="n">
        <v>46142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8405-2026</t>
        </is>
      </c>
      <c r="B505" s="1" t="n">
        <v>46065.32719907408</v>
      </c>
      <c r="C505" s="1" t="n">
        <v>46142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8550-2026</t>
        </is>
      </c>
      <c r="B506" s="1" t="n">
        <v>46065</v>
      </c>
      <c r="C506" s="1" t="n">
        <v>46142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15807-2026</t>
        </is>
      </c>
      <c r="B507" s="1" t="n">
        <v>46107.4896875</v>
      </c>
      <c r="C507" s="1" t="n">
        <v>46142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33384-2025</t>
        </is>
      </c>
      <c r="B508" s="1" t="n">
        <v>45841.40467592593</v>
      </c>
      <c r="C508" s="1" t="n">
        <v>46142</v>
      </c>
      <c r="D508" t="inlineStr">
        <is>
          <t>GÄVLEBORGS LÄN</t>
        </is>
      </c>
      <c r="E508" t="inlineStr">
        <is>
          <t>OCKELBO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8521-2026</t>
        </is>
      </c>
      <c r="B509" s="1" t="n">
        <v>46065</v>
      </c>
      <c r="C509" s="1" t="n">
        <v>46142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8464-2026</t>
        </is>
      </c>
      <c r="B510" s="1" t="n">
        <v>46065.43962962963</v>
      </c>
      <c r="C510" s="1" t="n">
        <v>46142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8487-2026</t>
        </is>
      </c>
      <c r="B511" s="1" t="n">
        <v>46065</v>
      </c>
      <c r="C511" s="1" t="n">
        <v>46142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8863-2026</t>
        </is>
      </c>
      <c r="B512" s="1" t="n">
        <v>46066</v>
      </c>
      <c r="C512" s="1" t="n">
        <v>46142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8865-2026</t>
        </is>
      </c>
      <c r="B513" s="1" t="n">
        <v>46066</v>
      </c>
      <c r="C513" s="1" t="n">
        <v>46142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33769-2025</t>
        </is>
      </c>
      <c r="B514" s="1" t="n">
        <v>45842.39043981482</v>
      </c>
      <c r="C514" s="1" t="n">
        <v>46142</v>
      </c>
      <c r="D514" t="inlineStr">
        <is>
          <t>GÄVLEBORGS LÄN</t>
        </is>
      </c>
      <c r="E514" t="inlineStr">
        <is>
          <t>OCKELBO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8426-2026</t>
        </is>
      </c>
      <c r="B515" s="1" t="n">
        <v>46065</v>
      </c>
      <c r="C515" s="1" t="n">
        <v>46142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8429-2026</t>
        </is>
      </c>
      <c r="B516" s="1" t="n">
        <v>46065.3837037037</v>
      </c>
      <c r="C516" s="1" t="n">
        <v>46142</v>
      </c>
      <c r="D516" t="inlineStr">
        <is>
          <t>GÄVLEBORGS LÄN</t>
        </is>
      </c>
      <c r="E516" t="inlineStr">
        <is>
          <t>OCKELBO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8441-2026</t>
        </is>
      </c>
      <c r="B517" s="1" t="n">
        <v>46065</v>
      </c>
      <c r="C517" s="1" t="n">
        <v>46142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8532-2026</t>
        </is>
      </c>
      <c r="B518" s="1" t="n">
        <v>46065</v>
      </c>
      <c r="C518" s="1" t="n">
        <v>46142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8493-2026</t>
        </is>
      </c>
      <c r="B519" s="1" t="n">
        <v>46065</v>
      </c>
      <c r="C519" s="1" t="n">
        <v>46142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39723-2025</t>
        </is>
      </c>
      <c r="B520" s="1" t="n">
        <v>45891.33346064815</v>
      </c>
      <c r="C520" s="1" t="n">
        <v>46142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8729-2026</t>
        </is>
      </c>
      <c r="B521" s="1" t="n">
        <v>46066.49512731482</v>
      </c>
      <c r="C521" s="1" t="n">
        <v>46142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30011-2023</t>
        </is>
      </c>
      <c r="B522" s="1" t="n">
        <v>45109.84071759259</v>
      </c>
      <c r="C522" s="1" t="n">
        <v>46142</v>
      </c>
      <c r="D522" t="inlineStr">
        <is>
          <t>GÄVLEBORGS LÄN</t>
        </is>
      </c>
      <c r="E522" t="inlineStr">
        <is>
          <t>OCKELBO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8544-2026</t>
        </is>
      </c>
      <c r="B523" s="1" t="n">
        <v>46065</v>
      </c>
      <c r="C523" s="1" t="n">
        <v>46142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57.6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8683-2026</t>
        </is>
      </c>
      <c r="B524" s="1" t="n">
        <v>46066.42578703703</v>
      </c>
      <c r="C524" s="1" t="n">
        <v>46142</v>
      </c>
      <c r="D524" t="inlineStr">
        <is>
          <t>GÄVLEBORGS LÄN</t>
        </is>
      </c>
      <c r="E524" t="inlineStr">
        <is>
          <t>OCKELBO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16006-2026</t>
        </is>
      </c>
      <c r="B525" s="1" t="n">
        <v>46108.41789351852</v>
      </c>
      <c r="C525" s="1" t="n">
        <v>46142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15680-2026</t>
        </is>
      </c>
      <c r="B526" s="1" t="n">
        <v>46106.99185185185</v>
      </c>
      <c r="C526" s="1" t="n">
        <v>46142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15681-2026</t>
        </is>
      </c>
      <c r="B527" s="1" t="n">
        <v>46106.99565972222</v>
      </c>
      <c r="C527" s="1" t="n">
        <v>46142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15679-2026</t>
        </is>
      </c>
      <c r="B528" s="1" t="n">
        <v>46106.97180555556</v>
      </c>
      <c r="C528" s="1" t="n">
        <v>46142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8973-2026</t>
        </is>
      </c>
      <c r="B529" s="1" t="n">
        <v>46069</v>
      </c>
      <c r="C529" s="1" t="n">
        <v>46142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8979-2026</t>
        </is>
      </c>
      <c r="B530" s="1" t="n">
        <v>46069</v>
      </c>
      <c r="C530" s="1" t="n">
        <v>46142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8960-2026</t>
        </is>
      </c>
      <c r="B531" s="1" t="n">
        <v>46069</v>
      </c>
      <c r="C531" s="1" t="n">
        <v>46142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30009-2023</t>
        </is>
      </c>
      <c r="B532" s="1" t="n">
        <v>45109.83574074074</v>
      </c>
      <c r="C532" s="1" t="n">
        <v>46142</v>
      </c>
      <c r="D532" t="inlineStr">
        <is>
          <t>GÄVLEBORGS LÄN</t>
        </is>
      </c>
      <c r="E532" t="inlineStr">
        <is>
          <t>OCKELBO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31302-2025</t>
        </is>
      </c>
      <c r="B533" s="1" t="n">
        <v>45833.38398148148</v>
      </c>
      <c r="C533" s="1" t="n">
        <v>46142</v>
      </c>
      <c r="D533" t="inlineStr">
        <is>
          <t>GÄVLEBORGS LÄN</t>
        </is>
      </c>
      <c r="E533" t="inlineStr">
        <is>
          <t>OCKELBO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16771-2025</t>
        </is>
      </c>
      <c r="B534" s="1" t="n">
        <v>45754.57960648148</v>
      </c>
      <c r="C534" s="1" t="n">
        <v>46142</v>
      </c>
      <c r="D534" t="inlineStr">
        <is>
          <t>GÄVLEBORGS LÄN</t>
        </is>
      </c>
      <c r="E534" t="inlineStr">
        <is>
          <t>OCKELBO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9338-2026</t>
        </is>
      </c>
      <c r="B535" s="1" t="n">
        <v>46070.67081018518</v>
      </c>
      <c r="C535" s="1" t="n">
        <v>46142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16388-2026</t>
        </is>
      </c>
      <c r="B536" s="1" t="n">
        <v>46111.63313657408</v>
      </c>
      <c r="C536" s="1" t="n">
        <v>46142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14823-2026</t>
        </is>
      </c>
      <c r="B537" s="1" t="n">
        <v>46104</v>
      </c>
      <c r="C537" s="1" t="n">
        <v>46142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14978-2026</t>
        </is>
      </c>
      <c r="B538" s="1" t="n">
        <v>46104</v>
      </c>
      <c r="C538" s="1" t="n">
        <v>46142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40148-2025</t>
        </is>
      </c>
      <c r="B539" s="1" t="n">
        <v>45894.58084490741</v>
      </c>
      <c r="C539" s="1" t="n">
        <v>46142</v>
      </c>
      <c r="D539" t="inlineStr">
        <is>
          <t>GÄVLEBORGS LÄN</t>
        </is>
      </c>
      <c r="E539" t="inlineStr">
        <is>
          <t>OCKELBO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55216-2024</t>
        </is>
      </c>
      <c r="B540" s="1" t="n">
        <v>45621.57118055555</v>
      </c>
      <c r="C540" s="1" t="n">
        <v>46142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9169-2026</t>
        </is>
      </c>
      <c r="B541" s="1" t="n">
        <v>46070.36159722223</v>
      </c>
      <c r="C541" s="1" t="n">
        <v>46142</v>
      </c>
      <c r="D541" t="inlineStr">
        <is>
          <t>GÄVLEBORGS LÄN</t>
        </is>
      </c>
      <c r="E541" t="inlineStr">
        <is>
          <t>OCKELBO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16572-2026</t>
        </is>
      </c>
      <c r="B542" s="1" t="n">
        <v>46112.56373842592</v>
      </c>
      <c r="C542" s="1" t="n">
        <v>46142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16481-2026</t>
        </is>
      </c>
      <c r="B543" s="1" t="n">
        <v>46112.40287037037</v>
      </c>
      <c r="C543" s="1" t="n">
        <v>46142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9595-2025</t>
        </is>
      </c>
      <c r="B544" s="1" t="n">
        <v>45715</v>
      </c>
      <c r="C544" s="1" t="n">
        <v>46142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öst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40576-2025</t>
        </is>
      </c>
      <c r="B545" s="1" t="n">
        <v>45896.50693287037</v>
      </c>
      <c r="C545" s="1" t="n">
        <v>46142</v>
      </c>
      <c r="D545" t="inlineStr">
        <is>
          <t>GÄVLEBORGS LÄN</t>
        </is>
      </c>
      <c r="E545" t="inlineStr">
        <is>
          <t>OCKELBO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59451-2024</t>
        </is>
      </c>
      <c r="B546" s="1" t="n">
        <v>45638</v>
      </c>
      <c r="C546" s="1" t="n">
        <v>46142</v>
      </c>
      <c r="D546" t="inlineStr">
        <is>
          <t>GÄVLEBORGS LÄN</t>
        </is>
      </c>
      <c r="E546" t="inlineStr">
        <is>
          <t>OCKELBO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8992-2026</t>
        </is>
      </c>
      <c r="B547" s="1" t="n">
        <v>46069.46402777778</v>
      </c>
      <c r="C547" s="1" t="n">
        <v>46142</v>
      </c>
      <c r="D547" t="inlineStr">
        <is>
          <t>GÄVLEBORGS LÄN</t>
        </is>
      </c>
      <c r="E547" t="inlineStr">
        <is>
          <t>OCKELBO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10149-2025</t>
        </is>
      </c>
      <c r="B548" s="1" t="n">
        <v>45719.64081018518</v>
      </c>
      <c r="C548" s="1" t="n">
        <v>46142</v>
      </c>
      <c r="D548" t="inlineStr">
        <is>
          <t>GÄVLEBORGS LÄN</t>
        </is>
      </c>
      <c r="E548" t="inlineStr">
        <is>
          <t>OCKELBO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23006-2023</t>
        </is>
      </c>
      <c r="B549" s="1" t="n">
        <v>45073</v>
      </c>
      <c r="C549" s="1" t="n">
        <v>46142</v>
      </c>
      <c r="D549" t="inlineStr">
        <is>
          <t>GÄVLEBORGS LÄN</t>
        </is>
      </c>
      <c r="E549" t="inlineStr">
        <is>
          <t>OCKELBO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29534-2023</t>
        </is>
      </c>
      <c r="B550" s="1" t="n">
        <v>45106.63590277778</v>
      </c>
      <c r="C550" s="1" t="n">
        <v>46142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9186-2026</t>
        </is>
      </c>
      <c r="B551" s="1" t="n">
        <v>46070.37762731482</v>
      </c>
      <c r="C551" s="1" t="n">
        <v>46142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14394-2026</t>
        </is>
      </c>
      <c r="B552" s="1" t="n">
        <v>46100</v>
      </c>
      <c r="C552" s="1" t="n">
        <v>46142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52335-2024</t>
        </is>
      </c>
      <c r="B553" s="1" t="n">
        <v>45609</v>
      </c>
      <c r="C553" s="1" t="n">
        <v>46142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16530-2026</t>
        </is>
      </c>
      <c r="B554" s="1" t="n">
        <v>46112.48298611111</v>
      </c>
      <c r="C554" s="1" t="n">
        <v>46142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9228-2026</t>
        </is>
      </c>
      <c r="B555" s="1" t="n">
        <v>46070.45606481482</v>
      </c>
      <c r="C555" s="1" t="n">
        <v>46142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41.3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14388-2026</t>
        </is>
      </c>
      <c r="B556" s="1" t="n">
        <v>46100</v>
      </c>
      <c r="C556" s="1" t="n">
        <v>46142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9312-2026</t>
        </is>
      </c>
      <c r="B557" s="1" t="n">
        <v>46070.61300925926</v>
      </c>
      <c r="C557" s="1" t="n">
        <v>46142</v>
      </c>
      <c r="D557" t="inlineStr">
        <is>
          <t>GÄVLEBORGS LÄN</t>
        </is>
      </c>
      <c r="E557" t="inlineStr">
        <is>
          <t>OCKELBO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9196-2026</t>
        </is>
      </c>
      <c r="B558" s="1" t="n">
        <v>46070.40189814815</v>
      </c>
      <c r="C558" s="1" t="n">
        <v>46142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14817-2026</t>
        </is>
      </c>
      <c r="B559" s="1" t="n">
        <v>46104</v>
      </c>
      <c r="C559" s="1" t="n">
        <v>46142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14829-2026</t>
        </is>
      </c>
      <c r="B560" s="1" t="n">
        <v>46104</v>
      </c>
      <c r="C560" s="1" t="n">
        <v>46142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14854-2026</t>
        </is>
      </c>
      <c r="B561" s="1" t="n">
        <v>46104</v>
      </c>
      <c r="C561" s="1" t="n">
        <v>46142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16535-2026</t>
        </is>
      </c>
      <c r="B562" s="1" t="n">
        <v>46112.49061342593</v>
      </c>
      <c r="C562" s="1" t="n">
        <v>46142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8933-2026</t>
        </is>
      </c>
      <c r="B563" s="1" t="n">
        <v>46069.35165509259</v>
      </c>
      <c r="C563" s="1" t="n">
        <v>46142</v>
      </c>
      <c r="D563" t="inlineStr">
        <is>
          <t>GÄVLEBORGS LÄN</t>
        </is>
      </c>
      <c r="E563" t="inlineStr">
        <is>
          <t>OCKELBO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14464-2026</t>
        </is>
      </c>
      <c r="B564" s="1" t="n">
        <v>46100</v>
      </c>
      <c r="C564" s="1" t="n">
        <v>46142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40525-2025</t>
        </is>
      </c>
      <c r="B565" s="1" t="n">
        <v>45896.37104166667</v>
      </c>
      <c r="C565" s="1" t="n">
        <v>46142</v>
      </c>
      <c r="D565" t="inlineStr">
        <is>
          <t>GÄVLEBORGS LÄN</t>
        </is>
      </c>
      <c r="E565" t="inlineStr">
        <is>
          <t>OCKELBO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9003-2026</t>
        </is>
      </c>
      <c r="B566" s="1" t="n">
        <v>46069.47755787037</v>
      </c>
      <c r="C566" s="1" t="n">
        <v>46142</v>
      </c>
      <c r="D566" t="inlineStr">
        <is>
          <t>GÄVLEBORGS LÄN</t>
        </is>
      </c>
      <c r="E566" t="inlineStr">
        <is>
          <t>OCKELBO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14819-2026</t>
        </is>
      </c>
      <c r="B567" s="1" t="n">
        <v>46104</v>
      </c>
      <c r="C567" s="1" t="n">
        <v>46142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14851-2026</t>
        </is>
      </c>
      <c r="B568" s="1" t="n">
        <v>46104</v>
      </c>
      <c r="C568" s="1" t="n">
        <v>46142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8964-2026</t>
        </is>
      </c>
      <c r="B569" s="1" t="n">
        <v>46069</v>
      </c>
      <c r="C569" s="1" t="n">
        <v>46142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9167-2026</t>
        </is>
      </c>
      <c r="B570" s="1" t="n">
        <v>46070.36003472222</v>
      </c>
      <c r="C570" s="1" t="n">
        <v>46142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6764-2026</t>
        </is>
      </c>
      <c r="B571" s="1" t="n">
        <v>46056</v>
      </c>
      <c r="C571" s="1" t="n">
        <v>46142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9505-2026</t>
        </is>
      </c>
      <c r="B572" s="1" t="n">
        <v>46071.57877314815</v>
      </c>
      <c r="C572" s="1" t="n">
        <v>46142</v>
      </c>
      <c r="D572" t="inlineStr">
        <is>
          <t>GÄVLEBORGS LÄN</t>
        </is>
      </c>
      <c r="E572" t="inlineStr">
        <is>
          <t>OCKELBO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9556-2026</t>
        </is>
      </c>
      <c r="B573" s="1" t="n">
        <v>46071.64425925926</v>
      </c>
      <c r="C573" s="1" t="n">
        <v>46142</v>
      </c>
      <c r="D573" t="inlineStr">
        <is>
          <t>GÄVLEBORGS LÄN</t>
        </is>
      </c>
      <c r="E573" t="inlineStr">
        <is>
          <t>OCKELBO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9471-2026</t>
        </is>
      </c>
      <c r="B574" s="1" t="n">
        <v>46071.51644675926</v>
      </c>
      <c r="C574" s="1" t="n">
        <v>46142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53139-2024</t>
        </is>
      </c>
      <c r="B575" s="1" t="n">
        <v>45611.59930555556</v>
      </c>
      <c r="C575" s="1" t="n">
        <v>46142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9401-2026</t>
        </is>
      </c>
      <c r="B576" s="1" t="n">
        <v>46071.39347222223</v>
      </c>
      <c r="C576" s="1" t="n">
        <v>46142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9414-2026</t>
        </is>
      </c>
      <c r="B577" s="1" t="n">
        <v>46071.42561342593</v>
      </c>
      <c r="C577" s="1" t="n">
        <v>46142</v>
      </c>
      <c r="D577" t="inlineStr">
        <is>
          <t>GÄVLEBORGS LÄN</t>
        </is>
      </c>
      <c r="E577" t="inlineStr">
        <is>
          <t>OCKELBO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2555-2025</t>
        </is>
      </c>
      <c r="B578" s="1" t="n">
        <v>45674.64806712963</v>
      </c>
      <c r="C578" s="1" t="n">
        <v>46142</v>
      </c>
      <c r="D578" t="inlineStr">
        <is>
          <t>GÄVLEBORGS LÄN</t>
        </is>
      </c>
      <c r="E578" t="inlineStr">
        <is>
          <t>OCKELBO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34950-2025</t>
        </is>
      </c>
      <c r="B579" s="1" t="n">
        <v>45849.59491898148</v>
      </c>
      <c r="C579" s="1" t="n">
        <v>46142</v>
      </c>
      <c r="D579" t="inlineStr">
        <is>
          <t>GÄVLEBORGS LÄN</t>
        </is>
      </c>
      <c r="E579" t="inlineStr">
        <is>
          <t>OCKELBO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34952-2025</t>
        </is>
      </c>
      <c r="B580" s="1" t="n">
        <v>45849.59908564815</v>
      </c>
      <c r="C580" s="1" t="n">
        <v>46142</v>
      </c>
      <c r="D580" t="inlineStr">
        <is>
          <t>GÄVLEBORGS LÄN</t>
        </is>
      </c>
      <c r="E580" t="inlineStr">
        <is>
          <t>OCKELBO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9416-2026</t>
        </is>
      </c>
      <c r="B581" s="1" t="n">
        <v>46071.4294212963</v>
      </c>
      <c r="C581" s="1" t="n">
        <v>46142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9410-2026</t>
        </is>
      </c>
      <c r="B582" s="1" t="n">
        <v>46071.41292824074</v>
      </c>
      <c r="C582" s="1" t="n">
        <v>46142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16981-2026</t>
        </is>
      </c>
      <c r="B583" s="1" t="n">
        <v>46114.40710648148</v>
      </c>
      <c r="C583" s="1" t="n">
        <v>46142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9464-2026</t>
        </is>
      </c>
      <c r="B584" s="1" t="n">
        <v>46071.50152777778</v>
      </c>
      <c r="C584" s="1" t="n">
        <v>46142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9542-2026</t>
        </is>
      </c>
      <c r="B585" s="1" t="n">
        <v>46071.62350694444</v>
      </c>
      <c r="C585" s="1" t="n">
        <v>46142</v>
      </c>
      <c r="D585" t="inlineStr">
        <is>
          <t>GÄVLEBORGS LÄN</t>
        </is>
      </c>
      <c r="E585" t="inlineStr">
        <is>
          <t>OCKELBO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9553-2026</t>
        </is>
      </c>
      <c r="B586" s="1" t="n">
        <v>46071.64030092592</v>
      </c>
      <c r="C586" s="1" t="n">
        <v>46142</v>
      </c>
      <c r="D586" t="inlineStr">
        <is>
          <t>GÄVLEBORGS LÄN</t>
        </is>
      </c>
      <c r="E586" t="inlineStr">
        <is>
          <t>OCKELBO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35017-2025</t>
        </is>
      </c>
      <c r="B587" s="1" t="n">
        <v>45851</v>
      </c>
      <c r="C587" s="1" t="n">
        <v>46142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9402-2026</t>
        </is>
      </c>
      <c r="B588" s="1" t="n">
        <v>46071.39571759259</v>
      </c>
      <c r="C588" s="1" t="n">
        <v>46142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9413-2026</t>
        </is>
      </c>
      <c r="B589" s="1" t="n">
        <v>46071.42413194444</v>
      </c>
      <c r="C589" s="1" t="n">
        <v>46142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9507-2026</t>
        </is>
      </c>
      <c r="B590" s="1" t="n">
        <v>46071.57961805556</v>
      </c>
      <c r="C590" s="1" t="n">
        <v>46142</v>
      </c>
      <c r="D590" t="inlineStr">
        <is>
          <t>GÄVLEBORGS LÄN</t>
        </is>
      </c>
      <c r="E590" t="inlineStr">
        <is>
          <t>OCKELBO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9675-2026</t>
        </is>
      </c>
      <c r="B591" s="1" t="n">
        <v>46072.38101851852</v>
      </c>
      <c r="C591" s="1" t="n">
        <v>46142</v>
      </c>
      <c r="D591" t="inlineStr">
        <is>
          <t>GÄVLEBORGS LÄN</t>
        </is>
      </c>
      <c r="E591" t="inlineStr">
        <is>
          <t>OCKELBO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9681-2026</t>
        </is>
      </c>
      <c r="B592" s="1" t="n">
        <v>46072.38490740741</v>
      </c>
      <c r="C592" s="1" t="n">
        <v>46142</v>
      </c>
      <c r="D592" t="inlineStr">
        <is>
          <t>GÄVLEBORGS LÄN</t>
        </is>
      </c>
      <c r="E592" t="inlineStr">
        <is>
          <t>OCKELBO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9727-2026</t>
        </is>
      </c>
      <c r="B593" s="1" t="n">
        <v>46072.47118055556</v>
      </c>
      <c r="C593" s="1" t="n">
        <v>46142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9732-2026</t>
        </is>
      </c>
      <c r="B594" s="1" t="n">
        <v>46072.47872685185</v>
      </c>
      <c r="C594" s="1" t="n">
        <v>46142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32249-2025</t>
        </is>
      </c>
      <c r="B595" s="1" t="n">
        <v>45835.62361111111</v>
      </c>
      <c r="C595" s="1" t="n">
        <v>46142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9554-2026</t>
        </is>
      </c>
      <c r="B596" s="1" t="n">
        <v>46071.64109953704</v>
      </c>
      <c r="C596" s="1" t="n">
        <v>46142</v>
      </c>
      <c r="D596" t="inlineStr">
        <is>
          <t>GÄVLEBORGS LÄN</t>
        </is>
      </c>
      <c r="E596" t="inlineStr">
        <is>
          <t>OCKELBO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9557-2026</t>
        </is>
      </c>
      <c r="B597" s="1" t="n">
        <v>46071.64506944444</v>
      </c>
      <c r="C597" s="1" t="n">
        <v>46142</v>
      </c>
      <c r="D597" t="inlineStr">
        <is>
          <t>GÄVLEBORGS LÄN</t>
        </is>
      </c>
      <c r="E597" t="inlineStr">
        <is>
          <t>OCKELBO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9559-2026</t>
        </is>
      </c>
      <c r="B598" s="1" t="n">
        <v>46071.64606481481</v>
      </c>
      <c r="C598" s="1" t="n">
        <v>46142</v>
      </c>
      <c r="D598" t="inlineStr">
        <is>
          <t>GÄVLEBORGS LÄN</t>
        </is>
      </c>
      <c r="E598" t="inlineStr">
        <is>
          <t>OCKELBO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14419-2026</t>
        </is>
      </c>
      <c r="B599" s="1" t="n">
        <v>46100</v>
      </c>
      <c r="C599" s="1" t="n">
        <v>46142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5240-2026</t>
        </is>
      </c>
      <c r="B600" s="1" t="n">
        <v>46049</v>
      </c>
      <c r="C600" s="1" t="n">
        <v>46142</v>
      </c>
      <c r="D600" t="inlineStr">
        <is>
          <t>GÄVLEBORGS LÄN</t>
        </is>
      </c>
      <c r="E600" t="inlineStr">
        <is>
          <t>OCKELBO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14512-2026</t>
        </is>
      </c>
      <c r="B601" s="1" t="n">
        <v>46100</v>
      </c>
      <c r="C601" s="1" t="n">
        <v>46142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1288-2026</t>
        </is>
      </c>
      <c r="B602" s="1" t="n">
        <v>46031</v>
      </c>
      <c r="C602" s="1" t="n">
        <v>46142</v>
      </c>
      <c r="D602" t="inlineStr">
        <is>
          <t>GÄVLEBORGS LÄN</t>
        </is>
      </c>
      <c r="E602" t="inlineStr">
        <is>
          <t>OCKELBO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28966-2024</t>
        </is>
      </c>
      <c r="B603" s="1" t="n">
        <v>45481.43993055556</v>
      </c>
      <c r="C603" s="1" t="n">
        <v>46142</v>
      </c>
      <c r="D603" t="inlineStr">
        <is>
          <t>GÄVLEBORGS LÄN</t>
        </is>
      </c>
      <c r="E603" t="inlineStr">
        <is>
          <t>OCKELBO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17113-2026</t>
        </is>
      </c>
      <c r="B604" s="1" t="n">
        <v>46114.64195601852</v>
      </c>
      <c r="C604" s="1" t="n">
        <v>46142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35614-2025</t>
        </is>
      </c>
      <c r="B605" s="1" t="n">
        <v>45859.376875</v>
      </c>
      <c r="C605" s="1" t="n">
        <v>46142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9461-2026</t>
        </is>
      </c>
      <c r="B606" s="1" t="n">
        <v>46071.49243055555</v>
      </c>
      <c r="C606" s="1" t="n">
        <v>46142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9463-2026</t>
        </is>
      </c>
      <c r="B607" s="1" t="n">
        <v>46071.49969907408</v>
      </c>
      <c r="C607" s="1" t="n">
        <v>46142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9470-2026</t>
        </is>
      </c>
      <c r="B608" s="1" t="n">
        <v>46071.51452546296</v>
      </c>
      <c r="C608" s="1" t="n">
        <v>46142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35625-2025</t>
        </is>
      </c>
      <c r="B609" s="1" t="n">
        <v>45859.4297337963</v>
      </c>
      <c r="C609" s="1" t="n">
        <v>46142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17112-2026</t>
        </is>
      </c>
      <c r="B610" s="1" t="n">
        <v>46114.63887731481</v>
      </c>
      <c r="C610" s="1" t="n">
        <v>46142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17208-2025</t>
        </is>
      </c>
      <c r="B611" s="1" t="n">
        <v>45756.43231481482</v>
      </c>
      <c r="C611" s="1" t="n">
        <v>46142</v>
      </c>
      <c r="D611" t="inlineStr">
        <is>
          <t>GÄVLEBORGS LÄN</t>
        </is>
      </c>
      <c r="E611" t="inlineStr">
        <is>
          <t>OCKELBO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1286-2026</t>
        </is>
      </c>
      <c r="B612" s="1" t="n">
        <v>46031</v>
      </c>
      <c r="C612" s="1" t="n">
        <v>46142</v>
      </c>
      <c r="D612" t="inlineStr">
        <is>
          <t>GÄVLEBORGS LÄN</t>
        </is>
      </c>
      <c r="E612" t="inlineStr">
        <is>
          <t>OCKELBO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10159-2026</t>
        </is>
      </c>
      <c r="B613" s="1" t="n">
        <v>46076.38834490741</v>
      </c>
      <c r="C613" s="1" t="n">
        <v>46142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1295-2026</t>
        </is>
      </c>
      <c r="B614" s="1" t="n">
        <v>46031</v>
      </c>
      <c r="C614" s="1" t="n">
        <v>46142</v>
      </c>
      <c r="D614" t="inlineStr">
        <is>
          <t>GÄVLEBORGS LÄN</t>
        </is>
      </c>
      <c r="E614" t="inlineStr">
        <is>
          <t>OCKELBO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10083-2026</t>
        </is>
      </c>
      <c r="B615" s="1" t="n">
        <v>46073.66045138889</v>
      </c>
      <c r="C615" s="1" t="n">
        <v>46142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17202-2026</t>
        </is>
      </c>
      <c r="B616" s="1" t="n">
        <v>46118.94255787037</v>
      </c>
      <c r="C616" s="1" t="n">
        <v>46142</v>
      </c>
      <c r="D616" t="inlineStr">
        <is>
          <t>GÄVLEBORGS LÄN</t>
        </is>
      </c>
      <c r="E616" t="inlineStr">
        <is>
          <t>OCKELBO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1143-2025</t>
        </is>
      </c>
      <c r="B617" s="1" t="n">
        <v>45666.7081712963</v>
      </c>
      <c r="C617" s="1" t="n">
        <v>46142</v>
      </c>
      <c r="D617" t="inlineStr">
        <is>
          <t>GÄVLEBORGS LÄN</t>
        </is>
      </c>
      <c r="E617" t="inlineStr">
        <is>
          <t>OCKELBO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10437-2026</t>
        </is>
      </c>
      <c r="B618" s="1" t="n">
        <v>46077.40108796296</v>
      </c>
      <c r="C618" s="1" t="n">
        <v>46142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10418-2026</t>
        </is>
      </c>
      <c r="B619" s="1" t="n">
        <v>46077.3556712963</v>
      </c>
      <c r="C619" s="1" t="n">
        <v>46142</v>
      </c>
      <c r="D619" t="inlineStr">
        <is>
          <t>GÄVLEBORGS LÄN</t>
        </is>
      </c>
      <c r="E619" t="inlineStr">
        <is>
          <t>OCKELBO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10501-2026</t>
        </is>
      </c>
      <c r="B620" s="1" t="n">
        <v>46077.55028935185</v>
      </c>
      <c r="C620" s="1" t="n">
        <v>46142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10498-2026</t>
        </is>
      </c>
      <c r="B621" s="1" t="n">
        <v>46077.54719907408</v>
      </c>
      <c r="C621" s="1" t="n">
        <v>46142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10508-2026</t>
        </is>
      </c>
      <c r="B622" s="1" t="n">
        <v>46077.5600462963</v>
      </c>
      <c r="C622" s="1" t="n">
        <v>46142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9997-2026</t>
        </is>
      </c>
      <c r="B623" s="1" t="n">
        <v>46073.55927083334</v>
      </c>
      <c r="C623" s="1" t="n">
        <v>46142</v>
      </c>
      <c r="D623" t="inlineStr">
        <is>
          <t>GÄVLEBORGS LÄN</t>
        </is>
      </c>
      <c r="E623" t="inlineStr">
        <is>
          <t>OCKELBO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9994-2026</t>
        </is>
      </c>
      <c r="B624" s="1" t="n">
        <v>46073.55576388889</v>
      </c>
      <c r="C624" s="1" t="n">
        <v>46142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39.5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32011-2024</t>
        </is>
      </c>
      <c r="B625" s="1" t="n">
        <v>45510</v>
      </c>
      <c r="C625" s="1" t="n">
        <v>46142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14958-2026</t>
        </is>
      </c>
      <c r="B626" s="1" t="n">
        <v>46104</v>
      </c>
      <c r="C626" s="1" t="n">
        <v>46142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10000-2026</t>
        </is>
      </c>
      <c r="B627" s="1" t="n">
        <v>46073.56005787037</v>
      </c>
      <c r="C627" s="1" t="n">
        <v>46142</v>
      </c>
      <c r="D627" t="inlineStr">
        <is>
          <t>GÄVLEBORGS LÄN</t>
        </is>
      </c>
      <c r="E627" t="inlineStr">
        <is>
          <t>OCKELBO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17221-2026</t>
        </is>
      </c>
      <c r="B628" s="1" t="n">
        <v>46119.37511574074</v>
      </c>
      <c r="C628" s="1" t="n">
        <v>46142</v>
      </c>
      <c r="D628" t="inlineStr">
        <is>
          <t>GÄVLEBORGS LÄN</t>
        </is>
      </c>
      <c r="E628" t="inlineStr">
        <is>
          <t>OCKELBO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9907-2026</t>
        </is>
      </c>
      <c r="B629" s="1" t="n">
        <v>46073.41756944444</v>
      </c>
      <c r="C629" s="1" t="n">
        <v>46142</v>
      </c>
      <c r="D629" t="inlineStr">
        <is>
          <t>GÄVLEBORGS LÄN</t>
        </is>
      </c>
      <c r="E629" t="inlineStr">
        <is>
          <t>OCKELBO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9927-2026</t>
        </is>
      </c>
      <c r="B630" s="1" t="n">
        <v>46073.45125</v>
      </c>
      <c r="C630" s="1" t="n">
        <v>46142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9899-2026</t>
        </is>
      </c>
      <c r="B631" s="1" t="n">
        <v>46073.39684027778</v>
      </c>
      <c r="C631" s="1" t="n">
        <v>46142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10184-2026</t>
        </is>
      </c>
      <c r="B632" s="1" t="n">
        <v>46076.43865740741</v>
      </c>
      <c r="C632" s="1" t="n">
        <v>46142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10529-2026</t>
        </is>
      </c>
      <c r="B633" s="1" t="n">
        <v>46077</v>
      </c>
      <c r="C633" s="1" t="n">
        <v>46142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öst AB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17233-2026</t>
        </is>
      </c>
      <c r="B634" s="1" t="n">
        <v>46119.40167824074</v>
      </c>
      <c r="C634" s="1" t="n">
        <v>46142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35870-2025</t>
        </is>
      </c>
      <c r="B635" s="1" t="n">
        <v>45862.30469907408</v>
      </c>
      <c r="C635" s="1" t="n">
        <v>46142</v>
      </c>
      <c r="D635" t="inlineStr">
        <is>
          <t>GÄVLEBORGS LÄN</t>
        </is>
      </c>
      <c r="E635" t="inlineStr">
        <is>
          <t>OCKELBO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10489-2026</t>
        </is>
      </c>
      <c r="B636" s="1" t="n">
        <v>46077</v>
      </c>
      <c r="C636" s="1" t="n">
        <v>46142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10493-2026</t>
        </is>
      </c>
      <c r="B637" s="1" t="n">
        <v>46077</v>
      </c>
      <c r="C637" s="1" t="n">
        <v>46142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10535-2026</t>
        </is>
      </c>
      <c r="B638" s="1" t="n">
        <v>46077</v>
      </c>
      <c r="C638" s="1" t="n">
        <v>46142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öst AB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9998-2026</t>
        </is>
      </c>
      <c r="B639" s="1" t="n">
        <v>46073.55927083334</v>
      </c>
      <c r="C639" s="1" t="n">
        <v>46142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17208-2026</t>
        </is>
      </c>
      <c r="B640" s="1" t="n">
        <v>46119.3244212963</v>
      </c>
      <c r="C640" s="1" t="n">
        <v>46142</v>
      </c>
      <c r="D640" t="inlineStr">
        <is>
          <t>GÄVLEBORGS LÄN</t>
        </is>
      </c>
      <c r="E640" t="inlineStr">
        <is>
          <t>OCKELBO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17224-2026</t>
        </is>
      </c>
      <c r="B641" s="1" t="n">
        <v>46119.3799537037</v>
      </c>
      <c r="C641" s="1" t="n">
        <v>46142</v>
      </c>
      <c r="D641" t="inlineStr">
        <is>
          <t>GÄVLEBORGS LÄN</t>
        </is>
      </c>
      <c r="E641" t="inlineStr">
        <is>
          <t>OCKELBO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32123-2024</t>
        </is>
      </c>
      <c r="B642" s="1" t="n">
        <v>45511.46820601852</v>
      </c>
      <c r="C642" s="1" t="n">
        <v>46142</v>
      </c>
      <c r="D642" t="inlineStr">
        <is>
          <t>GÄVLEBORGS LÄN</t>
        </is>
      </c>
      <c r="E642" t="inlineStr">
        <is>
          <t>OCKELBO</t>
        </is>
      </c>
      <c r="G642" t="n">
        <v>11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52125-2024</t>
        </is>
      </c>
      <c r="B643" s="1" t="n">
        <v>45608.46461805556</v>
      </c>
      <c r="C643" s="1" t="n">
        <v>46142</v>
      </c>
      <c r="D643" t="inlineStr">
        <is>
          <t>GÄVLEBORGS LÄN</t>
        </is>
      </c>
      <c r="E643" t="inlineStr">
        <is>
          <t>OCKELBO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15034-2026</t>
        </is>
      </c>
      <c r="B644" s="1" t="n">
        <v>46104</v>
      </c>
      <c r="C644" s="1" t="n">
        <v>46142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1293-2026</t>
        </is>
      </c>
      <c r="B645" s="1" t="n">
        <v>46031</v>
      </c>
      <c r="C645" s="1" t="n">
        <v>46142</v>
      </c>
      <c r="D645" t="inlineStr">
        <is>
          <t>GÄVLEBORGS LÄN</t>
        </is>
      </c>
      <c r="E645" t="inlineStr">
        <is>
          <t>OCKELBO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11116-2026</t>
        </is>
      </c>
      <c r="B646" s="1" t="n">
        <v>46079.67010416667</v>
      </c>
      <c r="C646" s="1" t="n">
        <v>46142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22385-2023</t>
        </is>
      </c>
      <c r="B647" s="1" t="n">
        <v>45070.61877314815</v>
      </c>
      <c r="C647" s="1" t="n">
        <v>46142</v>
      </c>
      <c r="D647" t="inlineStr">
        <is>
          <t>GÄVLEBORGS LÄN</t>
        </is>
      </c>
      <c r="E647" t="inlineStr">
        <is>
          <t>OCKELBO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15556-2026</t>
        </is>
      </c>
      <c r="B648" s="1" t="n">
        <v>46106</v>
      </c>
      <c r="C648" s="1" t="n">
        <v>46142</v>
      </c>
      <c r="D648" t="inlineStr">
        <is>
          <t>GÄVLEBORGS LÄN</t>
        </is>
      </c>
      <c r="E648" t="inlineStr">
        <is>
          <t>OCKELBO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10456-2026</t>
        </is>
      </c>
      <c r="B649" s="1" t="n">
        <v>46077</v>
      </c>
      <c r="C649" s="1" t="n">
        <v>46142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öst AB</t>
        </is>
      </c>
      <c r="G649" t="n">
        <v>45.7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14756-2026</t>
        </is>
      </c>
      <c r="B650" s="1" t="n">
        <v>46101</v>
      </c>
      <c r="C650" s="1" t="n">
        <v>46142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41013-2025</t>
        </is>
      </c>
      <c r="B651" s="1" t="n">
        <v>45898.35738425926</v>
      </c>
      <c r="C651" s="1" t="n">
        <v>46142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61456-2024</t>
        </is>
      </c>
      <c r="B652" s="1" t="n">
        <v>45646.4966087963</v>
      </c>
      <c r="C652" s="1" t="n">
        <v>46142</v>
      </c>
      <c r="D652" t="inlineStr">
        <is>
          <t>GÄVLEBORGS LÄN</t>
        </is>
      </c>
      <c r="E652" t="inlineStr">
        <is>
          <t>OCKELBO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10679-2026</t>
        </is>
      </c>
      <c r="B653" s="1" t="n">
        <v>46078.40826388889</v>
      </c>
      <c r="C653" s="1" t="n">
        <v>46142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10682-2026</t>
        </is>
      </c>
      <c r="B654" s="1" t="n">
        <v>46078.41482638889</v>
      </c>
      <c r="C654" s="1" t="n">
        <v>46142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60962-2024</t>
        </is>
      </c>
      <c r="B655" s="1" t="n">
        <v>45645.39519675926</v>
      </c>
      <c r="C655" s="1" t="n">
        <v>46142</v>
      </c>
      <c r="D655" t="inlineStr">
        <is>
          <t>GÄVLEBORGS LÄN</t>
        </is>
      </c>
      <c r="E655" t="inlineStr">
        <is>
          <t>OCKELBO</t>
        </is>
      </c>
      <c r="F655" t="inlineStr">
        <is>
          <t>Kyrkan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57485-2024</t>
        </is>
      </c>
      <c r="B656" s="1" t="n">
        <v>45630.35421296296</v>
      </c>
      <c r="C656" s="1" t="n">
        <v>46142</v>
      </c>
      <c r="D656" t="inlineStr">
        <is>
          <t>GÄVLEBORGS LÄN</t>
        </is>
      </c>
      <c r="E656" t="inlineStr">
        <is>
          <t>OCKELBO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15042-2026</t>
        </is>
      </c>
      <c r="B657" s="1" t="n">
        <v>46104</v>
      </c>
      <c r="C657" s="1" t="n">
        <v>46142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14934-2026</t>
        </is>
      </c>
      <c r="B658" s="1" t="n">
        <v>46104</v>
      </c>
      <c r="C658" s="1" t="n">
        <v>46142</v>
      </c>
      <c r="D658" t="inlineStr">
        <is>
          <t>GÄVLEBORGS LÄN</t>
        </is>
      </c>
      <c r="E658" t="inlineStr">
        <is>
          <t>OCKELBO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14972-2026</t>
        </is>
      </c>
      <c r="B659" s="1" t="n">
        <v>46104</v>
      </c>
      <c r="C659" s="1" t="n">
        <v>46142</v>
      </c>
      <c r="D659" t="inlineStr">
        <is>
          <t>GÄVLEBORGS LÄN</t>
        </is>
      </c>
      <c r="E659" t="inlineStr">
        <is>
          <t>OCKELBO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11078-2026</t>
        </is>
      </c>
      <c r="B660" s="1" t="n">
        <v>46079.61864583333</v>
      </c>
      <c r="C660" s="1" t="n">
        <v>46142</v>
      </c>
      <c r="D660" t="inlineStr">
        <is>
          <t>GÄVLEBORGS LÄN</t>
        </is>
      </c>
      <c r="E660" t="inlineStr">
        <is>
          <t>OCKELBO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11734-2025</t>
        </is>
      </c>
      <c r="B661" s="1" t="n">
        <v>45727.61972222223</v>
      </c>
      <c r="C661" s="1" t="n">
        <v>46142</v>
      </c>
      <c r="D661" t="inlineStr">
        <is>
          <t>GÄVLEBORGS LÄN</t>
        </is>
      </c>
      <c r="E661" t="inlineStr">
        <is>
          <t>OCKELBO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11077-2026</t>
        </is>
      </c>
      <c r="B662" s="1" t="n">
        <v>46079.61737268518</v>
      </c>
      <c r="C662" s="1" t="n">
        <v>46142</v>
      </c>
      <c r="D662" t="inlineStr">
        <is>
          <t>GÄVLEBORGS LÄN</t>
        </is>
      </c>
      <c r="E662" t="inlineStr">
        <is>
          <t>OCKELBO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10651-2026</t>
        </is>
      </c>
      <c r="B663" s="1" t="n">
        <v>46078.34746527778</v>
      </c>
      <c r="C663" s="1" t="n">
        <v>46142</v>
      </c>
      <c r="D663" t="inlineStr">
        <is>
          <t>GÄVLEBORGS LÄN</t>
        </is>
      </c>
      <c r="E663" t="inlineStr">
        <is>
          <t>OCKELBO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10847-2026</t>
        </is>
      </c>
      <c r="B664" s="1" t="n">
        <v>46078</v>
      </c>
      <c r="C664" s="1" t="n">
        <v>46142</v>
      </c>
      <c r="D664" t="inlineStr">
        <is>
          <t>GÄVLEBORGS LÄN</t>
        </is>
      </c>
      <c r="E664" t="inlineStr">
        <is>
          <t>OCKELBO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36604-2025</t>
        </is>
      </c>
      <c r="B665" s="1" t="n">
        <v>45870</v>
      </c>
      <c r="C665" s="1" t="n">
        <v>46142</v>
      </c>
      <c r="D665" t="inlineStr">
        <is>
          <t>GÄVLEBORGS LÄN</t>
        </is>
      </c>
      <c r="E665" t="inlineStr">
        <is>
          <t>OCKELBO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11027-2026</t>
        </is>
      </c>
      <c r="B666" s="1" t="n">
        <v>46079.56581018519</v>
      </c>
      <c r="C666" s="1" t="n">
        <v>46142</v>
      </c>
      <c r="D666" t="inlineStr">
        <is>
          <t>GÄVLEBORGS LÄN</t>
        </is>
      </c>
      <c r="E666" t="inlineStr">
        <is>
          <t>OCKELBO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17589-2026</t>
        </is>
      </c>
      <c r="B667" s="1" t="n">
        <v>46121.39113425926</v>
      </c>
      <c r="C667" s="1" t="n">
        <v>46142</v>
      </c>
      <c r="D667" t="inlineStr">
        <is>
          <t>GÄVLEBORGS LÄN</t>
        </is>
      </c>
      <c r="E667" t="inlineStr">
        <is>
          <t>OCKELBO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14869-2026</t>
        </is>
      </c>
      <c r="B668" s="1" t="n">
        <v>46104</v>
      </c>
      <c r="C668" s="1" t="n">
        <v>46142</v>
      </c>
      <c r="D668" t="inlineStr">
        <is>
          <t>GÄVLEBORGS LÄN</t>
        </is>
      </c>
      <c r="E668" t="inlineStr">
        <is>
          <t>OCKELBO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14973-2026</t>
        </is>
      </c>
      <c r="B669" s="1" t="n">
        <v>46104</v>
      </c>
      <c r="C669" s="1" t="n">
        <v>46142</v>
      </c>
      <c r="D669" t="inlineStr">
        <is>
          <t>GÄVLEBORGS LÄN</t>
        </is>
      </c>
      <c r="E669" t="inlineStr">
        <is>
          <t>OCKELBO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10681-2026</t>
        </is>
      </c>
      <c r="B670" s="1" t="n">
        <v>46078.41311342592</v>
      </c>
      <c r="C670" s="1" t="n">
        <v>46142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54627-2024</t>
        </is>
      </c>
      <c r="B671" s="1" t="n">
        <v>45617.82288194444</v>
      </c>
      <c r="C671" s="1" t="n">
        <v>46142</v>
      </c>
      <c r="D671" t="inlineStr">
        <is>
          <t>GÄVLEBORGS LÄN</t>
        </is>
      </c>
      <c r="E671" t="inlineStr">
        <is>
          <t>OCKELBO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6396-2025</t>
        </is>
      </c>
      <c r="B672" s="1" t="n">
        <v>45699.43766203704</v>
      </c>
      <c r="C672" s="1" t="n">
        <v>46142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18132-2026</t>
        </is>
      </c>
      <c r="B673" s="1" t="n">
        <v>46125.59545138889</v>
      </c>
      <c r="C673" s="1" t="n">
        <v>46142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11498-2026</t>
        </is>
      </c>
      <c r="B674" s="1" t="n">
        <v>46083</v>
      </c>
      <c r="C674" s="1" t="n">
        <v>46142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öst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37580-2025</t>
        </is>
      </c>
      <c r="B675" s="1" t="n">
        <v>45880.38586805556</v>
      </c>
      <c r="C675" s="1" t="n">
        <v>46142</v>
      </c>
      <c r="D675" t="inlineStr">
        <is>
          <t>GÄVLEBORGS LÄN</t>
        </is>
      </c>
      <c r="E675" t="inlineStr">
        <is>
          <t>OCKELBO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11234-2026</t>
        </is>
      </c>
      <c r="B676" s="1" t="n">
        <v>46080.50643518518</v>
      </c>
      <c r="C676" s="1" t="n">
        <v>46142</v>
      </c>
      <c r="D676" t="inlineStr">
        <is>
          <t>GÄVLEBORGS LÄN</t>
        </is>
      </c>
      <c r="E676" t="inlineStr">
        <is>
          <t>OCKELBO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11353-2026</t>
        </is>
      </c>
      <c r="B677" s="1" t="n">
        <v>46083</v>
      </c>
      <c r="C677" s="1" t="n">
        <v>46142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18191-2026</t>
        </is>
      </c>
      <c r="B678" s="1" t="n">
        <v>46125.68981481482</v>
      </c>
      <c r="C678" s="1" t="n">
        <v>46142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15566-2026</t>
        </is>
      </c>
      <c r="B679" s="1" t="n">
        <v>46106</v>
      </c>
      <c r="C679" s="1" t="n">
        <v>46142</v>
      </c>
      <c r="D679" t="inlineStr">
        <is>
          <t>GÄVLEBORGS LÄN</t>
        </is>
      </c>
      <c r="E679" t="inlineStr">
        <is>
          <t>OCKELBO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15344-2026</t>
        </is>
      </c>
      <c r="B680" s="1" t="n">
        <v>46105</v>
      </c>
      <c r="C680" s="1" t="n">
        <v>46142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11257-2026</t>
        </is>
      </c>
      <c r="B681" s="1" t="n">
        <v>46080</v>
      </c>
      <c r="C681" s="1" t="n">
        <v>46142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14657-2025</t>
        </is>
      </c>
      <c r="B682" s="1" t="n">
        <v>45742.51152777778</v>
      </c>
      <c r="C682" s="1" t="n">
        <v>46142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11300-2026</t>
        </is>
      </c>
      <c r="B683" s="1" t="n">
        <v>46080</v>
      </c>
      <c r="C683" s="1" t="n">
        <v>46142</v>
      </c>
      <c r="D683" t="inlineStr">
        <is>
          <t>GÄVLEBORGS LÄN</t>
        </is>
      </c>
      <c r="E683" t="inlineStr">
        <is>
          <t>OCKELBO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11423-2026</t>
        </is>
      </c>
      <c r="B684" s="1" t="n">
        <v>46083</v>
      </c>
      <c r="C684" s="1" t="n">
        <v>46142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11437-2026</t>
        </is>
      </c>
      <c r="B685" s="1" t="n">
        <v>46083</v>
      </c>
      <c r="C685" s="1" t="n">
        <v>46142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29567-2024</t>
        </is>
      </c>
      <c r="B686" s="1" t="n">
        <v>45484</v>
      </c>
      <c r="C686" s="1" t="n">
        <v>46142</v>
      </c>
      <c r="D686" t="inlineStr">
        <is>
          <t>GÄVLEBORGS LÄN</t>
        </is>
      </c>
      <c r="E686" t="inlineStr">
        <is>
          <t>OCKELBO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11398-2026</t>
        </is>
      </c>
      <c r="B687" s="1" t="n">
        <v>46083</v>
      </c>
      <c r="C687" s="1" t="n">
        <v>46142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öst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18097-2026</t>
        </is>
      </c>
      <c r="B688" s="1" t="n">
        <v>46125.56189814815</v>
      </c>
      <c r="C688" s="1" t="n">
        <v>46142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17862-2026</t>
        </is>
      </c>
      <c r="B689" s="1" t="n">
        <v>46122.50648148148</v>
      </c>
      <c r="C689" s="1" t="n">
        <v>46142</v>
      </c>
      <c r="D689" t="inlineStr">
        <is>
          <t>GÄVLEBORGS LÄN</t>
        </is>
      </c>
      <c r="E689" t="inlineStr">
        <is>
          <t>OCKELBO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11427-2026</t>
        </is>
      </c>
      <c r="B690" s="1" t="n">
        <v>46083.48930555556</v>
      </c>
      <c r="C690" s="1" t="n">
        <v>46142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14988-2026</t>
        </is>
      </c>
      <c r="B691" s="1" t="n">
        <v>46104</v>
      </c>
      <c r="C691" s="1" t="n">
        <v>46142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11329-2026</t>
        </is>
      </c>
      <c r="B692" s="1" t="n">
        <v>46081</v>
      </c>
      <c r="C692" s="1" t="n">
        <v>46142</v>
      </c>
      <c r="D692" t="inlineStr">
        <is>
          <t>GÄVLEBORGS LÄN</t>
        </is>
      </c>
      <c r="E692" t="inlineStr">
        <is>
          <t>OCKELBO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11354-2026</t>
        </is>
      </c>
      <c r="B693" s="1" t="n">
        <v>46083</v>
      </c>
      <c r="C693" s="1" t="n">
        <v>46142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11496-2026</t>
        </is>
      </c>
      <c r="B694" s="1" t="n">
        <v>46083.63997685185</v>
      </c>
      <c r="C694" s="1" t="n">
        <v>46142</v>
      </c>
      <c r="D694" t="inlineStr">
        <is>
          <t>GÄVLEBORGS LÄN</t>
        </is>
      </c>
      <c r="E694" t="inlineStr">
        <is>
          <t>OCKELBO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5898-2026</t>
        </is>
      </c>
      <c r="B695" s="1" t="n">
        <v>46052.42894675926</v>
      </c>
      <c r="C695" s="1" t="n">
        <v>46142</v>
      </c>
      <c r="D695" t="inlineStr">
        <is>
          <t>GÄVLEBORGS LÄN</t>
        </is>
      </c>
      <c r="E695" t="inlineStr">
        <is>
          <t>OCKELBO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11432-2026</t>
        </is>
      </c>
      <c r="B696" s="1" t="n">
        <v>46083.49320601852</v>
      </c>
      <c r="C696" s="1" t="n">
        <v>46142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18-2026</t>
        </is>
      </c>
      <c r="B697" s="1" t="n">
        <v>46023.68649305555</v>
      </c>
      <c r="C697" s="1" t="n">
        <v>46142</v>
      </c>
      <c r="D697" t="inlineStr">
        <is>
          <t>GÄVLEBORGS LÄN</t>
        </is>
      </c>
      <c r="E697" t="inlineStr">
        <is>
          <t>OCKELBO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24941-2025</t>
        </is>
      </c>
      <c r="B698" s="1" t="n">
        <v>45799.56206018518</v>
      </c>
      <c r="C698" s="1" t="n">
        <v>46142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11237-2026</t>
        </is>
      </c>
      <c r="B699" s="1" t="n">
        <v>46080.51189814815</v>
      </c>
      <c r="C699" s="1" t="n">
        <v>46142</v>
      </c>
      <c r="D699" t="inlineStr">
        <is>
          <t>GÄVLEBORGS LÄN</t>
        </is>
      </c>
      <c r="E699" t="inlineStr">
        <is>
          <t>OCKELBO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11411-2026</t>
        </is>
      </c>
      <c r="B700" s="1" t="n">
        <v>46083.46258101852</v>
      </c>
      <c r="C700" s="1" t="n">
        <v>46142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11253-2026</t>
        </is>
      </c>
      <c r="B701" s="1" t="n">
        <v>46080</v>
      </c>
      <c r="C701" s="1" t="n">
        <v>46142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11458-2026</t>
        </is>
      </c>
      <c r="B702" s="1" t="n">
        <v>46083.56730324074</v>
      </c>
      <c r="C702" s="1" t="n">
        <v>46142</v>
      </c>
      <c r="D702" t="inlineStr">
        <is>
          <t>GÄVLEBORGS LÄN</t>
        </is>
      </c>
      <c r="E702" t="inlineStr">
        <is>
          <t>OCKELBO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6891-2025</t>
        </is>
      </c>
      <c r="B703" s="1" t="n">
        <v>45701</v>
      </c>
      <c r="C703" s="1" t="n">
        <v>46142</v>
      </c>
      <c r="D703" t="inlineStr">
        <is>
          <t>GÄVLEBORGS LÄN</t>
        </is>
      </c>
      <c r="E703" t="inlineStr">
        <is>
          <t>OCKELBO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18622-2026</t>
        </is>
      </c>
      <c r="B704" s="1" t="n">
        <v>46127.71506944444</v>
      </c>
      <c r="C704" s="1" t="n">
        <v>46142</v>
      </c>
      <c r="D704" t="inlineStr">
        <is>
          <t>GÄVLEBORGS LÄN</t>
        </is>
      </c>
      <c r="E704" t="inlineStr">
        <is>
          <t>OCKELBO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22597-2025</t>
        </is>
      </c>
      <c r="B705" s="1" t="n">
        <v>45789.41380787037</v>
      </c>
      <c r="C705" s="1" t="n">
        <v>46142</v>
      </c>
      <c r="D705" t="inlineStr">
        <is>
          <t>GÄVLEBORGS LÄN</t>
        </is>
      </c>
      <c r="E705" t="inlineStr">
        <is>
          <t>OCKELBO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36210-2024</t>
        </is>
      </c>
      <c r="B706" s="1" t="n">
        <v>45534.45524305556</v>
      </c>
      <c r="C706" s="1" t="n">
        <v>46142</v>
      </c>
      <c r="D706" t="inlineStr">
        <is>
          <t>GÄVLEBORGS LÄN</t>
        </is>
      </c>
      <c r="E706" t="inlineStr">
        <is>
          <t>OCKELBO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29953-2024</t>
        </is>
      </c>
      <c r="B707" s="1" t="n">
        <v>45488.44724537037</v>
      </c>
      <c r="C707" s="1" t="n">
        <v>46142</v>
      </c>
      <c r="D707" t="inlineStr">
        <is>
          <t>GÄVLEBORGS LÄN</t>
        </is>
      </c>
      <c r="E707" t="inlineStr">
        <is>
          <t>OCKELBO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18457-2026</t>
        </is>
      </c>
      <c r="B708" s="1" t="n">
        <v>46127.39614583334</v>
      </c>
      <c r="C708" s="1" t="n">
        <v>46142</v>
      </c>
      <c r="D708" t="inlineStr">
        <is>
          <t>GÄVLEBORGS LÄN</t>
        </is>
      </c>
      <c r="E708" t="inlineStr">
        <is>
          <t>OCKELBO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16350-2026</t>
        </is>
      </c>
      <c r="B709" s="1" t="n">
        <v>46111</v>
      </c>
      <c r="C709" s="1" t="n">
        <v>46142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3007-2026</t>
        </is>
      </c>
      <c r="B710" s="1" t="n">
        <v>46038</v>
      </c>
      <c r="C710" s="1" t="n">
        <v>46142</v>
      </c>
      <c r="D710" t="inlineStr">
        <is>
          <t>GÄVLEBORGS LÄN</t>
        </is>
      </c>
      <c r="E710" t="inlineStr">
        <is>
          <t>OCKELBO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18549-2026</t>
        </is>
      </c>
      <c r="B711" s="1" t="n">
        <v>46127.56950231481</v>
      </c>
      <c r="C711" s="1" t="n">
        <v>46142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17084-2026</t>
        </is>
      </c>
      <c r="B712" s="1" t="n">
        <v>46114</v>
      </c>
      <c r="C712" s="1" t="n">
        <v>46142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17241-2026</t>
        </is>
      </c>
      <c r="B713" s="1" t="n">
        <v>46119</v>
      </c>
      <c r="C713" s="1" t="n">
        <v>46142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11955-2026</t>
        </is>
      </c>
      <c r="B714" s="1" t="n">
        <v>46085</v>
      </c>
      <c r="C714" s="1" t="n">
        <v>46142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11580-2026</t>
        </is>
      </c>
      <c r="B715" s="1" t="n">
        <v>46084</v>
      </c>
      <c r="C715" s="1" t="n">
        <v>46142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öst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15052-2026</t>
        </is>
      </c>
      <c r="B716" s="1" t="n">
        <v>46104</v>
      </c>
      <c r="C716" s="1" t="n">
        <v>46142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16726-2026</t>
        </is>
      </c>
      <c r="B717" s="1" t="n">
        <v>46113</v>
      </c>
      <c r="C717" s="1" t="n">
        <v>46142</v>
      </c>
      <c r="D717" t="inlineStr">
        <is>
          <t>GÄVLEBORGS LÄN</t>
        </is>
      </c>
      <c r="E717" t="inlineStr">
        <is>
          <t>OCKELBO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11599-2026</t>
        </is>
      </c>
      <c r="B718" s="1" t="n">
        <v>46084.42773148148</v>
      </c>
      <c r="C718" s="1" t="n">
        <v>46142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öst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11588-2026</t>
        </is>
      </c>
      <c r="B719" s="1" t="n">
        <v>46084</v>
      </c>
      <c r="C719" s="1" t="n">
        <v>46142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öst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11568-2026</t>
        </is>
      </c>
      <c r="B720" s="1" t="n">
        <v>46084</v>
      </c>
      <c r="C720" s="1" t="n">
        <v>46142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öst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9964-2025</t>
        </is>
      </c>
      <c r="B721" s="1" t="n">
        <v>45719.37508101852</v>
      </c>
      <c r="C721" s="1" t="n">
        <v>46142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öst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50739-2021</t>
        </is>
      </c>
      <c r="B722" s="1" t="n">
        <v>44460.39326388889</v>
      </c>
      <c r="C722" s="1" t="n">
        <v>46142</v>
      </c>
      <c r="D722" t="inlineStr">
        <is>
          <t>GÄVLEBORGS LÄN</t>
        </is>
      </c>
      <c r="E722" t="inlineStr">
        <is>
          <t>OCKELBO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11967-2026</t>
        </is>
      </c>
      <c r="B723" s="1" t="n">
        <v>46085.61600694444</v>
      </c>
      <c r="C723" s="1" t="n">
        <v>46142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11970-2026</t>
        </is>
      </c>
      <c r="B724" s="1" t="n">
        <v>46085</v>
      </c>
      <c r="C724" s="1" t="n">
        <v>46142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18234-2026</t>
        </is>
      </c>
      <c r="B725" s="1" t="n">
        <v>46126.34266203704</v>
      </c>
      <c r="C725" s="1" t="n">
        <v>46142</v>
      </c>
      <c r="D725" t="inlineStr">
        <is>
          <t>GÄVLEBORGS LÄN</t>
        </is>
      </c>
      <c r="E725" t="inlineStr">
        <is>
          <t>OCKELBO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11974-2026</t>
        </is>
      </c>
      <c r="B726" s="1" t="n">
        <v>46085</v>
      </c>
      <c r="C726" s="1" t="n">
        <v>46142</v>
      </c>
      <c r="D726" t="inlineStr">
        <is>
          <t>GÄVLEBORGS LÄN</t>
        </is>
      </c>
      <c r="E726" t="inlineStr">
        <is>
          <t>OCKELBO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11977-2026</t>
        </is>
      </c>
      <c r="B727" s="1" t="n">
        <v>46085.634375</v>
      </c>
      <c r="C727" s="1" t="n">
        <v>46142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18426-2026</t>
        </is>
      </c>
      <c r="B728" s="1" t="n">
        <v>46127.32041666667</v>
      </c>
      <c r="C728" s="1" t="n">
        <v>46142</v>
      </c>
      <c r="D728" t="inlineStr">
        <is>
          <t>GÄVLEBORGS LÄN</t>
        </is>
      </c>
      <c r="E728" t="inlineStr">
        <is>
          <t>OCKELBO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14938-2026</t>
        </is>
      </c>
      <c r="B729" s="1" t="n">
        <v>46104</v>
      </c>
      <c r="C729" s="1" t="n">
        <v>46142</v>
      </c>
      <c r="D729" t="inlineStr">
        <is>
          <t>GÄVLEBORGS LÄN</t>
        </is>
      </c>
      <c r="E729" t="inlineStr">
        <is>
          <t>OCKELBO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3705-2026</t>
        </is>
      </c>
      <c r="B730" s="1" t="n">
        <v>46043</v>
      </c>
      <c r="C730" s="1" t="n">
        <v>46142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41901-2025</t>
        </is>
      </c>
      <c r="B731" s="1" t="n">
        <v>45903.39806712963</v>
      </c>
      <c r="C731" s="1" t="n">
        <v>46142</v>
      </c>
      <c r="D731" t="inlineStr">
        <is>
          <t>GÄVLEBORGS LÄN</t>
        </is>
      </c>
      <c r="E731" t="inlineStr">
        <is>
          <t>OCKELBO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41899-2025</t>
        </is>
      </c>
      <c r="B732" s="1" t="n">
        <v>45903.39596064815</v>
      </c>
      <c r="C732" s="1" t="n">
        <v>46142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16490-2026</t>
        </is>
      </c>
      <c r="B733" s="1" t="n">
        <v>46112</v>
      </c>
      <c r="C733" s="1" t="n">
        <v>46142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17265-2026</t>
        </is>
      </c>
      <c r="B734" s="1" t="n">
        <v>46119</v>
      </c>
      <c r="C734" s="1" t="n">
        <v>46142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47100-2024</t>
        </is>
      </c>
      <c r="B735" s="1" t="n">
        <v>45586.54471064815</v>
      </c>
      <c r="C735" s="1" t="n">
        <v>46142</v>
      </c>
      <c r="D735" t="inlineStr">
        <is>
          <t>GÄVLEBORGS LÄN</t>
        </is>
      </c>
      <c r="E735" t="inlineStr">
        <is>
          <t>OCKELBO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39424-2024</t>
        </is>
      </c>
      <c r="B736" s="1" t="n">
        <v>45551.58315972222</v>
      </c>
      <c r="C736" s="1" t="n">
        <v>46142</v>
      </c>
      <c r="D736" t="inlineStr">
        <is>
          <t>GÄVLEBORGS LÄN</t>
        </is>
      </c>
      <c r="E736" t="inlineStr">
        <is>
          <t>OCKELBO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18326-2026</t>
        </is>
      </c>
      <c r="B737" s="1" t="n">
        <v>46126.49208333333</v>
      </c>
      <c r="C737" s="1" t="n">
        <v>46142</v>
      </c>
      <c r="D737" t="inlineStr">
        <is>
          <t>GÄVLEBORGS LÄN</t>
        </is>
      </c>
      <c r="E737" t="inlineStr">
        <is>
          <t>OCKELBO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41897-2025</t>
        </is>
      </c>
      <c r="B738" s="1" t="n">
        <v>45903.39152777778</v>
      </c>
      <c r="C738" s="1" t="n">
        <v>46142</v>
      </c>
      <c r="D738" t="inlineStr">
        <is>
          <t>GÄVLEBORGS LÄN</t>
        </is>
      </c>
      <c r="E738" t="inlineStr">
        <is>
          <t>OCKELBO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41940-2025</t>
        </is>
      </c>
      <c r="B739" s="1" t="n">
        <v>45903.44436342592</v>
      </c>
      <c r="C739" s="1" t="n">
        <v>46142</v>
      </c>
      <c r="D739" t="inlineStr">
        <is>
          <t>GÄVLEBORGS LÄN</t>
        </is>
      </c>
      <c r="E739" t="inlineStr">
        <is>
          <t>OCKELBO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17105-2026</t>
        </is>
      </c>
      <c r="B740" s="1" t="n">
        <v>46114</v>
      </c>
      <c r="C740" s="1" t="n">
        <v>46142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11810-2026</t>
        </is>
      </c>
      <c r="B741" s="1" t="n">
        <v>46085.36938657407</v>
      </c>
      <c r="C741" s="1" t="n">
        <v>46142</v>
      </c>
      <c r="D741" t="inlineStr">
        <is>
          <t>GÄVLEBORGS LÄN</t>
        </is>
      </c>
      <c r="E741" t="inlineStr">
        <is>
          <t>OCKELBO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41929-2025</t>
        </is>
      </c>
      <c r="B742" s="1" t="n">
        <v>45903.43053240741</v>
      </c>
      <c r="C742" s="1" t="n">
        <v>46142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11590-2026</t>
        </is>
      </c>
      <c r="B743" s="1" t="n">
        <v>46084.41621527778</v>
      </c>
      <c r="C743" s="1" t="n">
        <v>46142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16154-2026</t>
        </is>
      </c>
      <c r="B744" s="1" t="n">
        <v>46108</v>
      </c>
      <c r="C744" s="1" t="n">
        <v>46142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42060-2025</t>
        </is>
      </c>
      <c r="B745" s="1" t="n">
        <v>45903.64918981482</v>
      </c>
      <c r="C745" s="1" t="n">
        <v>46142</v>
      </c>
      <c r="D745" t="inlineStr">
        <is>
          <t>GÄVLEBORGS LÄN</t>
        </is>
      </c>
      <c r="E745" t="inlineStr">
        <is>
          <t>OCKELBO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20407-2023</t>
        </is>
      </c>
      <c r="B746" s="1" t="n">
        <v>45056.63667824074</v>
      </c>
      <c r="C746" s="1" t="n">
        <v>46142</v>
      </c>
      <c r="D746" t="inlineStr">
        <is>
          <t>GÄVLEBORGS LÄN</t>
        </is>
      </c>
      <c r="E746" t="inlineStr">
        <is>
          <t>OCKELBO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12080-2026</t>
        </is>
      </c>
      <c r="B747" s="1" t="n">
        <v>46086</v>
      </c>
      <c r="C747" s="1" t="n">
        <v>46142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18.7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6194-2025</t>
        </is>
      </c>
      <c r="B748" s="1" t="n">
        <v>45698.46994212963</v>
      </c>
      <c r="C748" s="1" t="n">
        <v>46142</v>
      </c>
      <c r="D748" t="inlineStr">
        <is>
          <t>GÄVLEBORGS LÄN</t>
        </is>
      </c>
      <c r="E748" t="inlineStr">
        <is>
          <t>OCKELBO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48148-2023</t>
        </is>
      </c>
      <c r="B749" s="1" t="n">
        <v>45205.40086805556</v>
      </c>
      <c r="C749" s="1" t="n">
        <v>46142</v>
      </c>
      <c r="D749" t="inlineStr">
        <is>
          <t>GÄVLEBORGS LÄN</t>
        </is>
      </c>
      <c r="E749" t="inlineStr">
        <is>
          <t>OCKELBO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9459-2025</t>
        </is>
      </c>
      <c r="B750" s="1" t="n">
        <v>45715.44862268519</v>
      </c>
      <c r="C750" s="1" t="n">
        <v>46142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öst AB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16419-2026</t>
        </is>
      </c>
      <c r="B751" s="1" t="n">
        <v>46111</v>
      </c>
      <c r="C751" s="1" t="n">
        <v>46142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16344-2026</t>
        </is>
      </c>
      <c r="B752" s="1" t="n">
        <v>46111</v>
      </c>
      <c r="C752" s="1" t="n">
        <v>46142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16667-2026</t>
        </is>
      </c>
      <c r="B753" s="1" t="n">
        <v>46112</v>
      </c>
      <c r="C753" s="1" t="n">
        <v>46142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12341-2026</t>
        </is>
      </c>
      <c r="B754" s="1" t="n">
        <v>46087.66109953704</v>
      </c>
      <c r="C754" s="1" t="n">
        <v>46142</v>
      </c>
      <c r="D754" t="inlineStr">
        <is>
          <t>GÄVLEBORGS LÄN</t>
        </is>
      </c>
      <c r="E754" t="inlineStr">
        <is>
          <t>OCKELBO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18248-2026</t>
        </is>
      </c>
      <c r="B755" s="1" t="n">
        <v>46126</v>
      </c>
      <c r="C755" s="1" t="n">
        <v>46142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32087-2025</t>
        </is>
      </c>
      <c r="B756" s="1" t="n">
        <v>45835.45553240741</v>
      </c>
      <c r="C756" s="1" t="n">
        <v>46142</v>
      </c>
      <c r="D756" t="inlineStr">
        <is>
          <t>GÄVLEBORGS LÄN</t>
        </is>
      </c>
      <c r="E756" t="inlineStr">
        <is>
          <t>OCKELBO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42717-2025</t>
        </is>
      </c>
      <c r="B757" s="1" t="n">
        <v>45908.3884375</v>
      </c>
      <c r="C757" s="1" t="n">
        <v>46142</v>
      </c>
      <c r="D757" t="inlineStr">
        <is>
          <t>GÄVLEBORGS LÄN</t>
        </is>
      </c>
      <c r="E757" t="inlineStr">
        <is>
          <t>OCKELBO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HYPERLINK("https://klasma.github.io/Logging_2101/knärot/A 42717-2025 karta knärot.png", "A 42717-2025")</f>
        <v/>
      </c>
      <c r="V757">
        <f>HYPERLINK("https://klasma.github.io/Logging_2101/klagomål/A 42717-2025 FSC-klagomål.docx", "A 42717-2025")</f>
        <v/>
      </c>
      <c r="W757">
        <f>HYPERLINK("https://klasma.github.io/Logging_2101/klagomålsmail/A 42717-2025 FSC-klagomål mail.docx", "A 42717-2025")</f>
        <v/>
      </c>
      <c r="X757">
        <f>HYPERLINK("https://klasma.github.io/Logging_2101/tillsyn/A 42717-2025 tillsynsbegäran.docx", "A 42717-2025")</f>
        <v/>
      </c>
      <c r="Y757">
        <f>HYPERLINK("https://klasma.github.io/Logging_2101/tillsynsmail/A 42717-2025 tillsynsbegäran mail.docx", "A 42717-2025")</f>
        <v/>
      </c>
    </row>
    <row r="758" ht="15" customHeight="1">
      <c r="A758" t="inlineStr">
        <is>
          <t>A 16296-2026</t>
        </is>
      </c>
      <c r="B758" s="1" t="n">
        <v>46111</v>
      </c>
      <c r="C758" s="1" t="n">
        <v>46142</v>
      </c>
      <c r="D758" t="inlineStr">
        <is>
          <t>GÄVLEBORGS LÄN</t>
        </is>
      </c>
      <c r="E758" t="inlineStr">
        <is>
          <t>OCKELBO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19142-2026</t>
        </is>
      </c>
      <c r="B759" s="1" t="n">
        <v>46132.52358796296</v>
      </c>
      <c r="C759" s="1" t="n">
        <v>46142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42440-2025</t>
        </is>
      </c>
      <c r="B760" s="1" t="n">
        <v>45905.4327662037</v>
      </c>
      <c r="C760" s="1" t="n">
        <v>46142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42386-2025</t>
        </is>
      </c>
      <c r="B761" s="1" t="n">
        <v>45905.35064814815</v>
      </c>
      <c r="C761" s="1" t="n">
        <v>46142</v>
      </c>
      <c r="D761" t="inlineStr">
        <is>
          <t>GÄVLEBORGS LÄN</t>
        </is>
      </c>
      <c r="E761" t="inlineStr">
        <is>
          <t>OCKELBO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4037-2026</t>
        </is>
      </c>
      <c r="B762" s="1" t="n">
        <v>46044</v>
      </c>
      <c r="C762" s="1" t="n">
        <v>46142</v>
      </c>
      <c r="D762" t="inlineStr">
        <is>
          <t>GÄVLEBORGS LÄN</t>
        </is>
      </c>
      <c r="E762" t="inlineStr">
        <is>
          <t>OCKELBO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12370-2026</t>
        </is>
      </c>
      <c r="B763" s="1" t="n">
        <v>46089</v>
      </c>
      <c r="C763" s="1" t="n">
        <v>46142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29.9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15484-2026</t>
        </is>
      </c>
      <c r="B764" s="1" t="n">
        <v>46106</v>
      </c>
      <c r="C764" s="1" t="n">
        <v>46142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17115-2026</t>
        </is>
      </c>
      <c r="B765" s="1" t="n">
        <v>46114</v>
      </c>
      <c r="C765" s="1" t="n">
        <v>46142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17117-2026</t>
        </is>
      </c>
      <c r="B766" s="1" t="n">
        <v>46114</v>
      </c>
      <c r="C766" s="1" t="n">
        <v>46142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16054-2026</t>
        </is>
      </c>
      <c r="B767" s="1" t="n">
        <v>46108</v>
      </c>
      <c r="C767" s="1" t="n">
        <v>46142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16773-2025</t>
        </is>
      </c>
      <c r="B768" s="1" t="n">
        <v>45754.58219907407</v>
      </c>
      <c r="C768" s="1" t="n">
        <v>46142</v>
      </c>
      <c r="D768" t="inlineStr">
        <is>
          <t>GÄVLEBORGS LÄN</t>
        </is>
      </c>
      <c r="E768" t="inlineStr">
        <is>
          <t>OCKELBO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19068-2026</t>
        </is>
      </c>
      <c r="B769" s="1" t="n">
        <v>46132.37042824074</v>
      </c>
      <c r="C769" s="1" t="n">
        <v>46142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19139-2026</t>
        </is>
      </c>
      <c r="B770" s="1" t="n">
        <v>46132.50158564815</v>
      </c>
      <c r="C770" s="1" t="n">
        <v>46142</v>
      </c>
      <c r="D770" t="inlineStr">
        <is>
          <t>GÄVLEBORGS LÄN</t>
        </is>
      </c>
      <c r="E770" t="inlineStr">
        <is>
          <t>OCKELBO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19424-2026</t>
        </is>
      </c>
      <c r="B771" s="1" t="n">
        <v>46133.615</v>
      </c>
      <c r="C771" s="1" t="n">
        <v>46142</v>
      </c>
      <c r="D771" t="inlineStr">
        <is>
          <t>GÄVLEBORGS LÄN</t>
        </is>
      </c>
      <c r="E771" t="inlineStr">
        <is>
          <t>OCKELBO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12352-2026</t>
        </is>
      </c>
      <c r="B772" s="1" t="n">
        <v>46088</v>
      </c>
      <c r="C772" s="1" t="n">
        <v>46142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30349-2023</t>
        </is>
      </c>
      <c r="B773" s="1" t="n">
        <v>45111.39857638889</v>
      </c>
      <c r="C773" s="1" t="n">
        <v>46142</v>
      </c>
      <c r="D773" t="inlineStr">
        <is>
          <t>GÄVLEBORGS LÄN</t>
        </is>
      </c>
      <c r="E773" t="inlineStr">
        <is>
          <t>OCKELBO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38420-2025</t>
        </is>
      </c>
      <c r="B774" s="1" t="n">
        <v>45883.62131944444</v>
      </c>
      <c r="C774" s="1" t="n">
        <v>46142</v>
      </c>
      <c r="D774" t="inlineStr">
        <is>
          <t>GÄVLEBORGS LÄN</t>
        </is>
      </c>
      <c r="E774" t="inlineStr">
        <is>
          <t>OCKELBO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19431-2026</t>
        </is>
      </c>
      <c r="B775" s="1" t="n">
        <v>46133.62037037037</v>
      </c>
      <c r="C775" s="1" t="n">
        <v>46142</v>
      </c>
      <c r="D775" t="inlineStr">
        <is>
          <t>GÄVLEBORGS LÄN</t>
        </is>
      </c>
      <c r="E775" t="inlineStr">
        <is>
          <t>OCKELBO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38652-2025</t>
        </is>
      </c>
      <c r="B776" s="1" t="n">
        <v>45884.59181712963</v>
      </c>
      <c r="C776" s="1" t="n">
        <v>46142</v>
      </c>
      <c r="D776" t="inlineStr">
        <is>
          <t>GÄVLEBORGS LÄN</t>
        </is>
      </c>
      <c r="E776" t="inlineStr">
        <is>
          <t>OCKELBO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19138-2026</t>
        </is>
      </c>
      <c r="B777" s="1" t="n">
        <v>46132.49964120371</v>
      </c>
      <c r="C777" s="1" t="n">
        <v>46142</v>
      </c>
      <c r="D777" t="inlineStr">
        <is>
          <t>GÄVLEBORGS LÄN</t>
        </is>
      </c>
      <c r="E777" t="inlineStr">
        <is>
          <t>OCKELBO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19146-2026</t>
        </is>
      </c>
      <c r="B778" s="1" t="n">
        <v>46132.5281712963</v>
      </c>
      <c r="C778" s="1" t="n">
        <v>46142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15501-2026</t>
        </is>
      </c>
      <c r="B779" s="1" t="n">
        <v>46106</v>
      </c>
      <c r="C779" s="1" t="n">
        <v>46142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15966-2023</t>
        </is>
      </c>
      <c r="B780" s="1" t="n">
        <v>45022.66271990741</v>
      </c>
      <c r="C780" s="1" t="n">
        <v>46142</v>
      </c>
      <c r="D780" t="inlineStr">
        <is>
          <t>GÄVLEBORGS LÄN</t>
        </is>
      </c>
      <c r="E780" t="inlineStr">
        <is>
          <t>OCKELBO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19038-2026</t>
        </is>
      </c>
      <c r="B781" s="1" t="n">
        <v>46132</v>
      </c>
      <c r="C781" s="1" t="n">
        <v>46142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56232-2022</t>
        </is>
      </c>
      <c r="B782" s="1" t="n">
        <v>44890.52128472222</v>
      </c>
      <c r="C782" s="1" t="n">
        <v>46142</v>
      </c>
      <c r="D782" t="inlineStr">
        <is>
          <t>GÄVLEBORGS LÄN</t>
        </is>
      </c>
      <c r="E782" t="inlineStr">
        <is>
          <t>OCKELBO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12708-2026</t>
        </is>
      </c>
      <c r="B783" s="1" t="n">
        <v>46091.58480324074</v>
      </c>
      <c r="C783" s="1" t="n">
        <v>46142</v>
      </c>
      <c r="D783" t="inlineStr">
        <is>
          <t>GÄVLEBORGS LÄN</t>
        </is>
      </c>
      <c r="E783" t="inlineStr">
        <is>
          <t>OCKELBO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12716-2026</t>
        </is>
      </c>
      <c r="B784" s="1" t="n">
        <v>46091.5975462963</v>
      </c>
      <c r="C784" s="1" t="n">
        <v>46142</v>
      </c>
      <c r="D784" t="inlineStr">
        <is>
          <t>GÄVLEBORGS LÄN</t>
        </is>
      </c>
      <c r="E784" t="inlineStr">
        <is>
          <t>OCKELBO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49571-2022</t>
        </is>
      </c>
      <c r="B785" s="1" t="n">
        <v>44862.33306712963</v>
      </c>
      <c r="C785" s="1" t="n">
        <v>46142</v>
      </c>
      <c r="D785" t="inlineStr">
        <is>
          <t>GÄVLEBORGS LÄN</t>
        </is>
      </c>
      <c r="E785" t="inlineStr">
        <is>
          <t>OCKELBO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12779-2026</t>
        </is>
      </c>
      <c r="B786" s="1" t="n">
        <v>46091.72386574074</v>
      </c>
      <c r="C786" s="1" t="n">
        <v>46142</v>
      </c>
      <c r="D786" t="inlineStr">
        <is>
          <t>GÄVLEBORGS LÄN</t>
        </is>
      </c>
      <c r="E786" t="inlineStr">
        <is>
          <t>OCKELBO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47849-2021</t>
        </is>
      </c>
      <c r="B787" s="1" t="n">
        <v>44448.65805555556</v>
      </c>
      <c r="C787" s="1" t="n">
        <v>46142</v>
      </c>
      <c r="D787" t="inlineStr">
        <is>
          <t>GÄVLEBORGS LÄN</t>
        </is>
      </c>
      <c r="E787" t="inlineStr">
        <is>
          <t>OCKELBO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54817-2022</t>
        </is>
      </c>
      <c r="B788" s="1" t="n">
        <v>44883.78270833333</v>
      </c>
      <c r="C788" s="1" t="n">
        <v>46142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41044-2025</t>
        </is>
      </c>
      <c r="B789" s="1" t="n">
        <v>45898</v>
      </c>
      <c r="C789" s="1" t="n">
        <v>46142</v>
      </c>
      <c r="D789" t="inlineStr">
        <is>
          <t>GÄVLEBORGS LÄN</t>
        </is>
      </c>
      <c r="E789" t="inlineStr">
        <is>
          <t>OCKELBO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19111-2026</t>
        </is>
      </c>
      <c r="B790" s="1" t="n">
        <v>46132.45177083334</v>
      </c>
      <c r="C790" s="1" t="n">
        <v>46142</v>
      </c>
      <c r="D790" t="inlineStr">
        <is>
          <t>GÄVLEBORGS LÄN</t>
        </is>
      </c>
      <c r="E790" t="inlineStr">
        <is>
          <t>OCKELBO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36779-2022</t>
        </is>
      </c>
      <c r="B791" s="1" t="n">
        <v>44805</v>
      </c>
      <c r="C791" s="1" t="n">
        <v>46142</v>
      </c>
      <c r="D791" t="inlineStr">
        <is>
          <t>GÄVLEBORGS LÄN</t>
        </is>
      </c>
      <c r="E791" t="inlineStr">
        <is>
          <t>OCKELBO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17118-2026</t>
        </is>
      </c>
      <c r="B792" s="1" t="n">
        <v>46114</v>
      </c>
      <c r="C792" s="1" t="n">
        <v>46142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20892-2025</t>
        </is>
      </c>
      <c r="B793" s="1" t="n">
        <v>45777.38662037037</v>
      </c>
      <c r="C793" s="1" t="n">
        <v>46142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13196-2026</t>
        </is>
      </c>
      <c r="B794" s="1" t="n">
        <v>46093.59859953704</v>
      </c>
      <c r="C794" s="1" t="n">
        <v>46142</v>
      </c>
      <c r="D794" t="inlineStr">
        <is>
          <t>GÄVLEBORGS LÄN</t>
        </is>
      </c>
      <c r="E794" t="inlineStr">
        <is>
          <t>OCKELBO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13202-2026</t>
        </is>
      </c>
      <c r="B795" s="1" t="n">
        <v>46093.60601851852</v>
      </c>
      <c r="C795" s="1" t="n">
        <v>46142</v>
      </c>
      <c r="D795" t="inlineStr">
        <is>
          <t>GÄVLEBORGS LÄN</t>
        </is>
      </c>
      <c r="E795" t="inlineStr">
        <is>
          <t>OCKELBO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22151-2022</t>
        </is>
      </c>
      <c r="B796" s="1" t="n">
        <v>44712.42891203704</v>
      </c>
      <c r="C796" s="1" t="n">
        <v>46142</v>
      </c>
      <c r="D796" t="inlineStr">
        <is>
          <t>GÄVLEBORGS LÄN</t>
        </is>
      </c>
      <c r="E796" t="inlineStr">
        <is>
          <t>OCKELBO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13271-2026</t>
        </is>
      </c>
      <c r="B797" s="1" t="n">
        <v>46093.69606481482</v>
      </c>
      <c r="C797" s="1" t="n">
        <v>46142</v>
      </c>
      <c r="D797" t="inlineStr">
        <is>
          <t>GÄVLEBORGS LÄN</t>
        </is>
      </c>
      <c r="E797" t="inlineStr">
        <is>
          <t>OCKELBO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13162-2026</t>
        </is>
      </c>
      <c r="B798" s="1" t="n">
        <v>46093.55231481481</v>
      </c>
      <c r="C798" s="1" t="n">
        <v>46142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13172-2026</t>
        </is>
      </c>
      <c r="B799" s="1" t="n">
        <v>46093.57509259259</v>
      </c>
      <c r="C799" s="1" t="n">
        <v>46142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13182-2026</t>
        </is>
      </c>
      <c r="B800" s="1" t="n">
        <v>46093.59091435185</v>
      </c>
      <c r="C800" s="1" t="n">
        <v>46142</v>
      </c>
      <c r="D800" t="inlineStr">
        <is>
          <t>GÄVLEBORGS LÄN</t>
        </is>
      </c>
      <c r="E800" t="inlineStr">
        <is>
          <t>OCKELBO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13184-2026</t>
        </is>
      </c>
      <c r="B801" s="1" t="n">
        <v>46093.59172453704</v>
      </c>
      <c r="C801" s="1" t="n">
        <v>46142</v>
      </c>
      <c r="D801" t="inlineStr">
        <is>
          <t>GÄVLEBORGS LÄN</t>
        </is>
      </c>
      <c r="E801" t="inlineStr">
        <is>
          <t>OCKELBO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33881-2023</t>
        </is>
      </c>
      <c r="B802" s="1" t="n">
        <v>45134</v>
      </c>
      <c r="C802" s="1" t="n">
        <v>46142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13206-2026</t>
        </is>
      </c>
      <c r="B803" s="1" t="n">
        <v>46093.61008101852</v>
      </c>
      <c r="C803" s="1" t="n">
        <v>46142</v>
      </c>
      <c r="D803" t="inlineStr">
        <is>
          <t>GÄVLEBORGS LÄN</t>
        </is>
      </c>
      <c r="E803" t="inlineStr">
        <is>
          <t>OCKELBO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12813-2026</t>
        </is>
      </c>
      <c r="B804" s="1" t="n">
        <v>46092.39424768519</v>
      </c>
      <c r="C804" s="1" t="n">
        <v>46142</v>
      </c>
      <c r="D804" t="inlineStr">
        <is>
          <t>GÄVLEBORGS LÄN</t>
        </is>
      </c>
      <c r="E804" t="inlineStr">
        <is>
          <t>OCKELBO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13188-2026</t>
        </is>
      </c>
      <c r="B805" s="1" t="n">
        <v>46093.59450231482</v>
      </c>
      <c r="C805" s="1" t="n">
        <v>46142</v>
      </c>
      <c r="D805" t="inlineStr">
        <is>
          <t>GÄVLEBORGS LÄN</t>
        </is>
      </c>
      <c r="E805" t="inlineStr">
        <is>
          <t>OCKELBO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12807-2026</t>
        </is>
      </c>
      <c r="B806" s="1" t="n">
        <v>46092.3790162037</v>
      </c>
      <c r="C806" s="1" t="n">
        <v>46142</v>
      </c>
      <c r="D806" t="inlineStr">
        <is>
          <t>GÄVLEBORGS LÄN</t>
        </is>
      </c>
      <c r="E806" t="inlineStr">
        <is>
          <t>OCKELBO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13208-2026</t>
        </is>
      </c>
      <c r="B807" s="1" t="n">
        <v>46093.61149305556</v>
      </c>
      <c r="C807" s="1" t="n">
        <v>46142</v>
      </c>
      <c r="D807" t="inlineStr">
        <is>
          <t>GÄVLEBORGS LÄN</t>
        </is>
      </c>
      <c r="E807" t="inlineStr">
        <is>
          <t>OCKELBO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13210-2026</t>
        </is>
      </c>
      <c r="B808" s="1" t="n">
        <v>46093.61469907407</v>
      </c>
      <c r="C808" s="1" t="n">
        <v>46142</v>
      </c>
      <c r="D808" t="inlineStr">
        <is>
          <t>GÄVLEBORGS LÄN</t>
        </is>
      </c>
      <c r="E808" t="inlineStr">
        <is>
          <t>OCKELBO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12823-2026</t>
        </is>
      </c>
      <c r="B809" s="1" t="n">
        <v>46092</v>
      </c>
      <c r="C809" s="1" t="n">
        <v>46142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43071-2025</t>
        </is>
      </c>
      <c r="B810" s="1" t="n">
        <v>45909.59766203703</v>
      </c>
      <c r="C810" s="1" t="n">
        <v>46142</v>
      </c>
      <c r="D810" t="inlineStr">
        <is>
          <t>GÄVLEBORGS LÄN</t>
        </is>
      </c>
      <c r="E810" t="inlineStr">
        <is>
          <t>OCKELBO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43423-2025</t>
        </is>
      </c>
      <c r="B811" s="1" t="n">
        <v>45911.41440972222</v>
      </c>
      <c r="C811" s="1" t="n">
        <v>46142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24.8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19531-2026</t>
        </is>
      </c>
      <c r="B812" s="1" t="n">
        <v>46134.36322916667</v>
      </c>
      <c r="C812" s="1" t="n">
        <v>46142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19537-2026</t>
        </is>
      </c>
      <c r="B813" s="1" t="n">
        <v>46134.37199074074</v>
      </c>
      <c r="C813" s="1" t="n">
        <v>46142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43460-2025</t>
        </is>
      </c>
      <c r="B814" s="1" t="n">
        <v>45911.46778935185</v>
      </c>
      <c r="C814" s="1" t="n">
        <v>46142</v>
      </c>
      <c r="D814" t="inlineStr">
        <is>
          <t>GÄVLEBORGS LÄN</t>
        </is>
      </c>
      <c r="E814" t="inlineStr">
        <is>
          <t>OCKELBO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19491-2026</t>
        </is>
      </c>
      <c r="B815" s="1" t="n">
        <v>46134.31803240741</v>
      </c>
      <c r="C815" s="1" t="n">
        <v>46142</v>
      </c>
      <c r="D815" t="inlineStr">
        <is>
          <t>GÄVLEBORGS LÄN</t>
        </is>
      </c>
      <c r="E815" t="inlineStr">
        <is>
          <t>OCKELBO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36362-2024</t>
        </is>
      </c>
      <c r="B816" s="1" t="n">
        <v>45534.64778935185</v>
      </c>
      <c r="C816" s="1" t="n">
        <v>46142</v>
      </c>
      <c r="D816" t="inlineStr">
        <is>
          <t>GÄVLEBORGS LÄN</t>
        </is>
      </c>
      <c r="E816" t="inlineStr">
        <is>
          <t>OCKELBO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12848-2026</t>
        </is>
      </c>
      <c r="B817" s="1" t="n">
        <v>46092</v>
      </c>
      <c r="C817" s="1" t="n">
        <v>46142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17709-2026</t>
        </is>
      </c>
      <c r="B818" s="1" t="n">
        <v>46121</v>
      </c>
      <c r="C818" s="1" t="n">
        <v>46142</v>
      </c>
      <c r="D818" t="inlineStr">
        <is>
          <t>GÄVLEBORGS LÄN</t>
        </is>
      </c>
      <c r="E818" t="inlineStr">
        <is>
          <t>OCKELBO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13193-2026</t>
        </is>
      </c>
      <c r="B819" s="1" t="n">
        <v>46093.59658564815</v>
      </c>
      <c r="C819" s="1" t="n">
        <v>46142</v>
      </c>
      <c r="D819" t="inlineStr">
        <is>
          <t>GÄVLEBORGS LÄN</t>
        </is>
      </c>
      <c r="E819" t="inlineStr">
        <is>
          <t>OCKELBO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43436-2025</t>
        </is>
      </c>
      <c r="B820" s="1" t="n">
        <v>45911.4297337963</v>
      </c>
      <c r="C820" s="1" t="n">
        <v>46142</v>
      </c>
      <c r="D820" t="inlineStr">
        <is>
          <t>GÄVLEBORGS LÄN</t>
        </is>
      </c>
      <c r="E820" t="inlineStr">
        <is>
          <t>OCKELBO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19603-2026</t>
        </is>
      </c>
      <c r="B821" s="1" t="n">
        <v>46134.48385416667</v>
      </c>
      <c r="C821" s="1" t="n">
        <v>46142</v>
      </c>
      <c r="D821" t="inlineStr">
        <is>
          <t>GÄVLEBORGS LÄN</t>
        </is>
      </c>
      <c r="E821" t="inlineStr">
        <is>
          <t>OCKELBO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13114-2026</t>
        </is>
      </c>
      <c r="B822" s="1" t="n">
        <v>46093</v>
      </c>
      <c r="C822" s="1" t="n">
        <v>46142</v>
      </c>
      <c r="D822" t="inlineStr">
        <is>
          <t>GÄVLEBORGS LÄN</t>
        </is>
      </c>
      <c r="E822" t="inlineStr">
        <is>
          <t>OCKELBO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16989-2025</t>
        </is>
      </c>
      <c r="B823" s="1" t="n">
        <v>45755.4960300926</v>
      </c>
      <c r="C823" s="1" t="n">
        <v>46142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43424-2025</t>
        </is>
      </c>
      <c r="B824" s="1" t="n">
        <v>45911.41474537037</v>
      </c>
      <c r="C824" s="1" t="n">
        <v>46142</v>
      </c>
      <c r="D824" t="inlineStr">
        <is>
          <t>GÄVLEBORGS LÄN</t>
        </is>
      </c>
      <c r="E824" t="inlineStr">
        <is>
          <t>OCKELBO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14905-2026</t>
        </is>
      </c>
      <c r="B825" s="1" t="n">
        <v>46104</v>
      </c>
      <c r="C825" s="1" t="n">
        <v>46142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16973-2026</t>
        </is>
      </c>
      <c r="B826" s="1" t="n">
        <v>46114</v>
      </c>
      <c r="C826" s="1" t="n">
        <v>46142</v>
      </c>
      <c r="D826" t="inlineStr">
        <is>
          <t>GÄVLEBORGS LÄN</t>
        </is>
      </c>
      <c r="E826" t="inlineStr">
        <is>
          <t>OCKELBO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16991-2026</t>
        </is>
      </c>
      <c r="B827" s="1" t="n">
        <v>46114</v>
      </c>
      <c r="C827" s="1" t="n">
        <v>46142</v>
      </c>
      <c r="D827" t="inlineStr">
        <is>
          <t>GÄVLEBORGS LÄN</t>
        </is>
      </c>
      <c r="E827" t="inlineStr">
        <is>
          <t>OCKELBO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30418-2023</t>
        </is>
      </c>
      <c r="B828" s="1" t="n">
        <v>45111.52043981481</v>
      </c>
      <c r="C828" s="1" t="n">
        <v>46142</v>
      </c>
      <c r="D828" t="inlineStr">
        <is>
          <t>GÄVLEBORGS LÄN</t>
        </is>
      </c>
      <c r="E828" t="inlineStr">
        <is>
          <t>OCKELBO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18104-2026</t>
        </is>
      </c>
      <c r="B829" s="1" t="n">
        <v>46125</v>
      </c>
      <c r="C829" s="1" t="n">
        <v>46142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13216-2026</t>
        </is>
      </c>
      <c r="B830" s="1" t="n">
        <v>46093.61670138889</v>
      </c>
      <c r="C830" s="1" t="n">
        <v>46142</v>
      </c>
      <c r="D830" t="inlineStr">
        <is>
          <t>GÄVLEBORGS LÄN</t>
        </is>
      </c>
      <c r="E830" t="inlineStr">
        <is>
          <t>OCKELBO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13233-2026</t>
        </is>
      </c>
      <c r="B831" s="1" t="n">
        <v>46093.63668981481</v>
      </c>
      <c r="C831" s="1" t="n">
        <v>46142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13158-2026</t>
        </is>
      </c>
      <c r="B832" s="1" t="n">
        <v>46093</v>
      </c>
      <c r="C832" s="1" t="n">
        <v>46142</v>
      </c>
      <c r="D832" t="inlineStr">
        <is>
          <t>GÄVLEBORGS LÄN</t>
        </is>
      </c>
      <c r="E832" t="inlineStr">
        <is>
          <t>OCKELBO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18291-2026</t>
        </is>
      </c>
      <c r="B833" s="1" t="n">
        <v>46126</v>
      </c>
      <c r="C833" s="1" t="n">
        <v>46142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43447-2025</t>
        </is>
      </c>
      <c r="B834" s="1" t="n">
        <v>45911.45193287037</v>
      </c>
      <c r="C834" s="1" t="n">
        <v>46142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18260-2026</t>
        </is>
      </c>
      <c r="B835" s="1" t="n">
        <v>46126</v>
      </c>
      <c r="C835" s="1" t="n">
        <v>46142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17600-2026</t>
        </is>
      </c>
      <c r="B836" s="1" t="n">
        <v>46121</v>
      </c>
      <c r="C836" s="1" t="n">
        <v>46142</v>
      </c>
      <c r="D836" t="inlineStr">
        <is>
          <t>GÄVLEBORGS LÄN</t>
        </is>
      </c>
      <c r="E836" t="inlineStr">
        <is>
          <t>OCKELBO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16989-2026</t>
        </is>
      </c>
      <c r="B837" s="1" t="n">
        <v>46114</v>
      </c>
      <c r="C837" s="1" t="n">
        <v>46142</v>
      </c>
      <c r="D837" t="inlineStr">
        <is>
          <t>GÄVLEBORGS LÄN</t>
        </is>
      </c>
      <c r="E837" t="inlineStr">
        <is>
          <t>OCKELBO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43506-2025</t>
        </is>
      </c>
      <c r="B838" s="1" t="n">
        <v>45911.55394675926</v>
      </c>
      <c r="C838" s="1" t="n">
        <v>46142</v>
      </c>
      <c r="D838" t="inlineStr">
        <is>
          <t>GÄVLEBORGS LÄN</t>
        </is>
      </c>
      <c r="E838" t="inlineStr">
        <is>
          <t>OCKELBO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43509-2025</t>
        </is>
      </c>
      <c r="B839" s="1" t="n">
        <v>45911.55607638889</v>
      </c>
      <c r="C839" s="1" t="n">
        <v>46142</v>
      </c>
      <c r="D839" t="inlineStr">
        <is>
          <t>GÄVLEBORGS LÄN</t>
        </is>
      </c>
      <c r="E839" t="inlineStr">
        <is>
          <t>OCKELBO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43512-2025</t>
        </is>
      </c>
      <c r="B840" s="1" t="n">
        <v>45911.56153935185</v>
      </c>
      <c r="C840" s="1" t="n">
        <v>46142</v>
      </c>
      <c r="D840" t="inlineStr">
        <is>
          <t>GÄVLEBORGS LÄN</t>
        </is>
      </c>
      <c r="E840" t="inlineStr">
        <is>
          <t>OCKELBO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19945-2026</t>
        </is>
      </c>
      <c r="B841" s="1" t="n">
        <v>46136.38523148148</v>
      </c>
      <c r="C841" s="1" t="n">
        <v>46142</v>
      </c>
      <c r="D841" t="inlineStr">
        <is>
          <t>GÄVLEBORGS LÄN</t>
        </is>
      </c>
      <c r="E841" t="inlineStr">
        <is>
          <t>OCKELBO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13763-2026</t>
        </is>
      </c>
      <c r="B842" s="1" t="n">
        <v>46097</v>
      </c>
      <c r="C842" s="1" t="n">
        <v>46142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13474-2026</t>
        </is>
      </c>
      <c r="B843" s="1" t="n">
        <v>46094</v>
      </c>
      <c r="C843" s="1" t="n">
        <v>46142</v>
      </c>
      <c r="D843" t="inlineStr">
        <is>
          <t>GÄVLEBORGS LÄN</t>
        </is>
      </c>
      <c r="E843" t="inlineStr">
        <is>
          <t>OCKELBO</t>
        </is>
      </c>
      <c r="F843" t="inlineStr">
        <is>
          <t>Naturvårdsverket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13481-2026</t>
        </is>
      </c>
      <c r="B844" s="1" t="n">
        <v>46094</v>
      </c>
      <c r="C844" s="1" t="n">
        <v>46142</v>
      </c>
      <c r="D844" t="inlineStr">
        <is>
          <t>GÄVLEBORGS LÄN</t>
        </is>
      </c>
      <c r="E844" t="inlineStr">
        <is>
          <t>OCKELBO</t>
        </is>
      </c>
      <c r="F844" t="inlineStr">
        <is>
          <t>Naturvårdsverket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13513-2026</t>
        </is>
      </c>
      <c r="B845" s="1" t="n">
        <v>46094.60807870371</v>
      </c>
      <c r="C845" s="1" t="n">
        <v>46142</v>
      </c>
      <c r="D845" t="inlineStr">
        <is>
          <t>GÄVLEBORGS LÄN</t>
        </is>
      </c>
      <c r="E845" t="inlineStr">
        <is>
          <t>OCKELBO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19924-2026</t>
        </is>
      </c>
      <c r="B846" s="1" t="n">
        <v>46136.36824074074</v>
      </c>
      <c r="C846" s="1" t="n">
        <v>46142</v>
      </c>
      <c r="D846" t="inlineStr">
        <is>
          <t>GÄVLEBORGS LÄN</t>
        </is>
      </c>
      <c r="E846" t="inlineStr">
        <is>
          <t>OCKELBO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18669-2026</t>
        </is>
      </c>
      <c r="B847" s="1" t="n">
        <v>46128</v>
      </c>
      <c r="C847" s="1" t="n">
        <v>46142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20251-2026</t>
        </is>
      </c>
      <c r="B848" s="1" t="n">
        <v>46139.48157407407</v>
      </c>
      <c r="C848" s="1" t="n">
        <v>46142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18304-2026</t>
        </is>
      </c>
      <c r="B849" s="1" t="n">
        <v>46126</v>
      </c>
      <c r="C849" s="1" t="n">
        <v>46142</v>
      </c>
      <c r="D849" t="inlineStr">
        <is>
          <t>GÄVLEBORGS LÄN</t>
        </is>
      </c>
      <c r="E849" t="inlineStr">
        <is>
          <t>OCKELBO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13621-2026</t>
        </is>
      </c>
      <c r="B850" s="1" t="n">
        <v>46097.34512731482</v>
      </c>
      <c r="C850" s="1" t="n">
        <v>46142</v>
      </c>
      <c r="D850" t="inlineStr">
        <is>
          <t>GÄVLEBORGS LÄN</t>
        </is>
      </c>
      <c r="E850" t="inlineStr">
        <is>
          <t>OCKELBO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13638-2026</t>
        </is>
      </c>
      <c r="B851" s="1" t="n">
        <v>46097</v>
      </c>
      <c r="C851" s="1" t="n">
        <v>46142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13641-2026</t>
        </is>
      </c>
      <c r="B852" s="1" t="n">
        <v>46097</v>
      </c>
      <c r="C852" s="1" t="n">
        <v>46142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20148-2026</t>
        </is>
      </c>
      <c r="B853" s="1" t="n">
        <v>46137.95524305556</v>
      </c>
      <c r="C853" s="1" t="n">
        <v>46142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20149-2026</t>
        </is>
      </c>
      <c r="B854" s="1" t="n">
        <v>46137.95993055555</v>
      </c>
      <c r="C854" s="1" t="n">
        <v>46142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20155-2026</t>
        </is>
      </c>
      <c r="B855" s="1" t="n">
        <v>46138.52268518518</v>
      </c>
      <c r="C855" s="1" t="n">
        <v>46142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20157-2026</t>
        </is>
      </c>
      <c r="B856" s="1" t="n">
        <v>46138.53976851852</v>
      </c>
      <c r="C856" s="1" t="n">
        <v>46142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13478-2026</t>
        </is>
      </c>
      <c r="B857" s="1" t="n">
        <v>46094</v>
      </c>
      <c r="C857" s="1" t="n">
        <v>46142</v>
      </c>
      <c r="D857" t="inlineStr">
        <is>
          <t>GÄVLEBORGS LÄN</t>
        </is>
      </c>
      <c r="E857" t="inlineStr">
        <is>
          <t>OCKELBO</t>
        </is>
      </c>
      <c r="F857" t="inlineStr">
        <is>
          <t>Naturvårdsverket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13490-2026</t>
        </is>
      </c>
      <c r="B858" s="1" t="n">
        <v>46094</v>
      </c>
      <c r="C858" s="1" t="n">
        <v>46142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13321-2026</t>
        </is>
      </c>
      <c r="B859" s="1" t="n">
        <v>46094</v>
      </c>
      <c r="C859" s="1" t="n">
        <v>46142</v>
      </c>
      <c r="D859" t="inlineStr">
        <is>
          <t>GÄVLEBORGS LÄN</t>
        </is>
      </c>
      <c r="E859" t="inlineStr">
        <is>
          <t>OCKELBO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20151-2026</t>
        </is>
      </c>
      <c r="B860" s="1" t="n">
        <v>46137.96696759259</v>
      </c>
      <c r="C860" s="1" t="n">
        <v>46142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17682-2026</t>
        </is>
      </c>
      <c r="B861" s="1" t="n">
        <v>46121</v>
      </c>
      <c r="C861" s="1" t="n">
        <v>46142</v>
      </c>
      <c r="D861" t="inlineStr">
        <is>
          <t>GÄVLEBORGS LÄN</t>
        </is>
      </c>
      <c r="E861" t="inlineStr">
        <is>
          <t>OCKELBO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13441-2026</t>
        </is>
      </c>
      <c r="B862" s="1" t="n">
        <v>46094.49163194445</v>
      </c>
      <c r="C862" s="1" t="n">
        <v>46142</v>
      </c>
      <c r="D862" t="inlineStr">
        <is>
          <t>GÄVLEBORGS LÄN</t>
        </is>
      </c>
      <c r="E862" t="inlineStr">
        <is>
          <t>OCKELBO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19275-2026</t>
        </is>
      </c>
      <c r="B863" s="1" t="n">
        <v>46133</v>
      </c>
      <c r="C863" s="1" t="n">
        <v>46142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20150-2026</t>
        </is>
      </c>
      <c r="B864" s="1" t="n">
        <v>46137.9640625</v>
      </c>
      <c r="C864" s="1" t="n">
        <v>46142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13428-2026</t>
        </is>
      </c>
      <c r="B865" s="1" t="n">
        <v>46094</v>
      </c>
      <c r="C865" s="1" t="n">
        <v>46142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16623-2025</t>
        </is>
      </c>
      <c r="B866" s="1" t="n">
        <v>45754.34134259259</v>
      </c>
      <c r="C866" s="1" t="n">
        <v>46142</v>
      </c>
      <c r="D866" t="inlineStr">
        <is>
          <t>GÄVLEBORGS LÄN</t>
        </is>
      </c>
      <c r="E866" t="inlineStr">
        <is>
          <t>OCKELBO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16629-2025</t>
        </is>
      </c>
      <c r="B867" s="1" t="n">
        <v>45754.36008101852</v>
      </c>
      <c r="C867" s="1" t="n">
        <v>46142</v>
      </c>
      <c r="D867" t="inlineStr">
        <is>
          <t>GÄVLEBORGS LÄN</t>
        </is>
      </c>
      <c r="E867" t="inlineStr">
        <is>
          <t>OCKELBO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14947-2026</t>
        </is>
      </c>
      <c r="B868" s="1" t="n">
        <v>46104</v>
      </c>
      <c r="C868" s="1" t="n">
        <v>46142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13637-2026</t>
        </is>
      </c>
      <c r="B869" s="1" t="n">
        <v>46097</v>
      </c>
      <c r="C869" s="1" t="n">
        <v>46142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14944-2026</t>
        </is>
      </c>
      <c r="B870" s="1" t="n">
        <v>46104</v>
      </c>
      <c r="C870" s="1" t="n">
        <v>46142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12947-2026</t>
        </is>
      </c>
      <c r="B871" s="1" t="n">
        <v>46092.62905092593</v>
      </c>
      <c r="C871" s="1" t="n">
        <v>46142</v>
      </c>
      <c r="D871" t="inlineStr">
        <is>
          <t>GÄVLEBORGS LÄN</t>
        </is>
      </c>
      <c r="E871" t="inlineStr">
        <is>
          <t>OCKELBO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13858-2026</t>
        </is>
      </c>
      <c r="B872" s="1" t="n">
        <v>46098.40737268519</v>
      </c>
      <c r="C872" s="1" t="n">
        <v>46142</v>
      </c>
      <c r="D872" t="inlineStr">
        <is>
          <t>GÄVLEBORGS LÄN</t>
        </is>
      </c>
      <c r="E872" t="inlineStr">
        <is>
          <t>OCKELBO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13882-2026</t>
        </is>
      </c>
      <c r="B873" s="1" t="n">
        <v>46098.44798611111</v>
      </c>
      <c r="C873" s="1" t="n">
        <v>46142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4257-2026</t>
        </is>
      </c>
      <c r="B874" s="1" t="n">
        <v>46045</v>
      </c>
      <c r="C874" s="1" t="n">
        <v>46142</v>
      </c>
      <c r="D874" t="inlineStr">
        <is>
          <t>GÄVLEBORGS LÄN</t>
        </is>
      </c>
      <c r="E874" t="inlineStr">
        <is>
          <t>OCKELBO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5805-2026</t>
        </is>
      </c>
      <c r="B875" s="1" t="n">
        <v>46051</v>
      </c>
      <c r="C875" s="1" t="n">
        <v>46142</v>
      </c>
      <c r="D875" t="inlineStr">
        <is>
          <t>GÄVLEBORGS LÄN</t>
        </is>
      </c>
      <c r="E875" t="inlineStr">
        <is>
          <t>OCKELBO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14258-2026</t>
        </is>
      </c>
      <c r="B876" s="1" t="n">
        <v>46099</v>
      </c>
      <c r="C876" s="1" t="n">
        <v>46142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40.5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HYPERLINK("https://klasma.github.io/Logging_2101/knärot/A 14258-2026 karta knärot.png", "A 14258-2026")</f>
        <v/>
      </c>
      <c r="V876">
        <f>HYPERLINK("https://klasma.github.io/Logging_2101/klagomål/A 14258-2026 FSC-klagomål.docx", "A 14258-2026")</f>
        <v/>
      </c>
      <c r="W876">
        <f>HYPERLINK("https://klasma.github.io/Logging_2101/klagomålsmail/A 14258-2026 FSC-klagomål mail.docx", "A 14258-2026")</f>
        <v/>
      </c>
      <c r="X876">
        <f>HYPERLINK("https://klasma.github.io/Logging_2101/tillsyn/A 14258-2026 tillsynsbegäran.docx", "A 14258-2026")</f>
        <v/>
      </c>
      <c r="Y876">
        <f>HYPERLINK("https://klasma.github.io/Logging_2101/tillsynsmail/A 14258-2026 tillsynsbegäran mail.docx", "A 14258-2026")</f>
        <v/>
      </c>
    </row>
    <row r="877" ht="15" customHeight="1">
      <c r="A877" t="inlineStr">
        <is>
          <t>A 13856-2026</t>
        </is>
      </c>
      <c r="B877" s="1" t="n">
        <v>46098.40462962963</v>
      </c>
      <c r="C877" s="1" t="n">
        <v>46142</v>
      </c>
      <c r="D877" t="inlineStr">
        <is>
          <t>GÄVLEBORGS LÄN</t>
        </is>
      </c>
      <c r="E877" t="inlineStr">
        <is>
          <t>OCKELBO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13857-2026</t>
        </is>
      </c>
      <c r="B878" s="1" t="n">
        <v>46098.4062037037</v>
      </c>
      <c r="C878" s="1" t="n">
        <v>46142</v>
      </c>
      <c r="D878" t="inlineStr">
        <is>
          <t>GÄVLEBORGS LÄN</t>
        </is>
      </c>
      <c r="E878" t="inlineStr">
        <is>
          <t>OCKELBO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19213-2026</t>
        </is>
      </c>
      <c r="B879" s="1" t="n">
        <v>46132</v>
      </c>
      <c r="C879" s="1" t="n">
        <v>46142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18121-2026</t>
        </is>
      </c>
      <c r="B880" s="1" t="n">
        <v>46125</v>
      </c>
      <c r="C880" s="1" t="n">
        <v>46142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18137-2026</t>
        </is>
      </c>
      <c r="B881" s="1" t="n">
        <v>46125</v>
      </c>
      <c r="C881" s="1" t="n">
        <v>46142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20641-2026</t>
        </is>
      </c>
      <c r="B882" s="1" t="n">
        <v>46141.37983796297</v>
      </c>
      <c r="C882" s="1" t="n">
        <v>46142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20674-2026</t>
        </is>
      </c>
      <c r="B883" s="1" t="n">
        <v>46141.44416666667</v>
      </c>
      <c r="C883" s="1" t="n">
        <v>46142</v>
      </c>
      <c r="D883" t="inlineStr">
        <is>
          <t>GÄVLEBORGS LÄN</t>
        </is>
      </c>
      <c r="E883" t="inlineStr">
        <is>
          <t>OCKELBO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14232-2026</t>
        </is>
      </c>
      <c r="B884" s="1" t="n">
        <v>46099</v>
      </c>
      <c r="C884" s="1" t="n">
        <v>46142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14241-2026</t>
        </is>
      </c>
      <c r="B885" s="1" t="n">
        <v>46099</v>
      </c>
      <c r="C885" s="1" t="n">
        <v>46142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14018-2026</t>
        </is>
      </c>
      <c r="B886" s="1" t="n">
        <v>46098</v>
      </c>
      <c r="C886" s="1" t="n">
        <v>46142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19271-2026</t>
        </is>
      </c>
      <c r="B887" s="1" t="n">
        <v>46133</v>
      </c>
      <c r="C887" s="1" t="n">
        <v>46142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19277-2026</t>
        </is>
      </c>
      <c r="B888" s="1" t="n">
        <v>46133</v>
      </c>
      <c r="C888" s="1" t="n">
        <v>46142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14738-2026</t>
        </is>
      </c>
      <c r="B889" s="1" t="n">
        <v>46101</v>
      </c>
      <c r="C889" s="1" t="n">
        <v>46142</v>
      </c>
      <c r="D889" t="inlineStr">
        <is>
          <t>GÄVLEBORGS LÄN</t>
        </is>
      </c>
      <c r="E889" t="inlineStr">
        <is>
          <t>OCKELBO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20571-2026</t>
        </is>
      </c>
      <c r="B890" s="1" t="n">
        <v>46140.61466435185</v>
      </c>
      <c r="C890" s="1" t="n">
        <v>46142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20469-2026</t>
        </is>
      </c>
      <c r="B891" s="1" t="n">
        <v>46140.45975694444</v>
      </c>
      <c r="C891" s="1" t="n">
        <v>46142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20502-2026</t>
        </is>
      </c>
      <c r="B892" s="1" t="n">
        <v>46140.53152777778</v>
      </c>
      <c r="C892" s="1" t="n">
        <v>46142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13931-2026</t>
        </is>
      </c>
      <c r="B893" s="1" t="n">
        <v>46098.50581018518</v>
      </c>
      <c r="C893" s="1" t="n">
        <v>46142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14072-2026</t>
        </is>
      </c>
      <c r="B894" s="1" t="n">
        <v>46099</v>
      </c>
      <c r="C894" s="1" t="n">
        <v>46142</v>
      </c>
      <c r="D894" t="inlineStr">
        <is>
          <t>GÄVLEBORGS LÄN</t>
        </is>
      </c>
      <c r="E894" t="inlineStr">
        <is>
          <t>OCKELBO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14115-2026</t>
        </is>
      </c>
      <c r="B895" s="1" t="n">
        <v>46099</v>
      </c>
      <c r="C895" s="1" t="n">
        <v>46142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20637-2026</t>
        </is>
      </c>
      <c r="B896" s="1" t="n">
        <v>46141.37184027778</v>
      </c>
      <c r="C896" s="1" t="n">
        <v>46142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14169-2026</t>
        </is>
      </c>
      <c r="B897" s="1" t="n">
        <v>46099</v>
      </c>
      <c r="C897" s="1" t="n">
        <v>46142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14227-2026</t>
        </is>
      </c>
      <c r="B898" s="1" t="n">
        <v>46099</v>
      </c>
      <c r="C898" s="1" t="n">
        <v>46142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18645-2026</t>
        </is>
      </c>
      <c r="B899" s="1" t="n">
        <v>46128</v>
      </c>
      <c r="C899" s="1" t="n">
        <v>46142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18646-2026</t>
        </is>
      </c>
      <c r="B900" s="1" t="n">
        <v>46128</v>
      </c>
      <c r="C900" s="1" t="n">
        <v>46142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13963-2026</t>
        </is>
      </c>
      <c r="B901" s="1" t="n">
        <v>46098</v>
      </c>
      <c r="C901" s="1" t="n">
        <v>46142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18513-2026</t>
        </is>
      </c>
      <c r="B902" s="1" t="n">
        <v>46127</v>
      </c>
      <c r="C902" s="1" t="n">
        <v>46142</v>
      </c>
      <c r="D902" t="inlineStr">
        <is>
          <t>GÄVLEBORGS LÄN</t>
        </is>
      </c>
      <c r="E902" t="inlineStr">
        <is>
          <t>OCKELBO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20467-2026</t>
        </is>
      </c>
      <c r="B903" s="1" t="n">
        <v>46140.45567129629</v>
      </c>
      <c r="C903" s="1" t="n">
        <v>46142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20466-2026</t>
        </is>
      </c>
      <c r="B904" s="1" t="n">
        <v>46140.45328703704</v>
      </c>
      <c r="C904" s="1" t="n">
        <v>46142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14233-2026</t>
        </is>
      </c>
      <c r="B905" s="1" t="n">
        <v>46099</v>
      </c>
      <c r="C905" s="1" t="n">
        <v>46142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44548-2025</t>
        </is>
      </c>
      <c r="B906" s="1" t="n">
        <v>45917.33304398148</v>
      </c>
      <c r="C906" s="1" t="n">
        <v>46142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44561-2025</t>
        </is>
      </c>
      <c r="B907" s="1" t="n">
        <v>45917.34569444445</v>
      </c>
      <c r="C907" s="1" t="n">
        <v>46142</v>
      </c>
      <c r="D907" t="inlineStr">
        <is>
          <t>GÄVLEBORGS LÄN</t>
        </is>
      </c>
      <c r="E907" t="inlineStr">
        <is>
          <t>OCKELBO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13972-2026</t>
        </is>
      </c>
      <c r="B908" s="1" t="n">
        <v>46098.57978009259</v>
      </c>
      <c r="C908" s="1" t="n">
        <v>46142</v>
      </c>
      <c r="D908" t="inlineStr">
        <is>
          <t>GÄVLEBORGS LÄN</t>
        </is>
      </c>
      <c r="E908" t="inlineStr">
        <is>
          <t>OCKELBO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13845-2026</t>
        </is>
      </c>
      <c r="B909" s="1" t="n">
        <v>46098.38516203704</v>
      </c>
      <c r="C909" s="1" t="n">
        <v>46142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17730-2025</t>
        </is>
      </c>
      <c r="B910" s="1" t="n">
        <v>45758.46114583333</v>
      </c>
      <c r="C910" s="1" t="n">
        <v>46142</v>
      </c>
      <c r="D910" t="inlineStr">
        <is>
          <t>GÄVLEBORGS LÄN</t>
        </is>
      </c>
      <c r="E910" t="inlineStr">
        <is>
          <t>OCKELBO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18704-2026</t>
        </is>
      </c>
      <c r="B911" s="1" t="n">
        <v>46128</v>
      </c>
      <c r="C911" s="1" t="n">
        <v>46142</v>
      </c>
      <c r="D911" t="inlineStr">
        <is>
          <t>GÄVLEBORGS LÄN</t>
        </is>
      </c>
      <c r="E911" t="inlineStr">
        <is>
          <t>OCKELBO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18705-2026</t>
        </is>
      </c>
      <c r="B912" s="1" t="n">
        <v>46128</v>
      </c>
      <c r="C912" s="1" t="n">
        <v>46142</v>
      </c>
      <c r="D912" t="inlineStr">
        <is>
          <t>GÄVLEBORGS LÄN</t>
        </is>
      </c>
      <c r="E912" t="inlineStr">
        <is>
          <t>OCKELBO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20406-2026</t>
        </is>
      </c>
      <c r="B913" s="1" t="n">
        <v>46140.31204861111</v>
      </c>
      <c r="C913" s="1" t="n">
        <v>46142</v>
      </c>
      <c r="D913" t="inlineStr">
        <is>
          <t>GÄVLEBORGS LÄN</t>
        </is>
      </c>
      <c r="E913" t="inlineStr">
        <is>
          <t>OCKELBO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19043-2026</t>
        </is>
      </c>
      <c r="B914" s="1" t="n">
        <v>46132.33673611111</v>
      </c>
      <c r="C914" s="1" t="n">
        <v>46142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44683-2025</t>
        </is>
      </c>
      <c r="B915" s="1" t="n">
        <v>45917.581875</v>
      </c>
      <c r="C915" s="1" t="n">
        <v>46142</v>
      </c>
      <c r="D915" t="inlineStr">
        <is>
          <t>GÄVLEBORGS LÄN</t>
        </is>
      </c>
      <c r="E915" t="inlineStr">
        <is>
          <t>OCKELBO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5804-2026</t>
        </is>
      </c>
      <c r="B916" s="1" t="n">
        <v>46051</v>
      </c>
      <c r="C916" s="1" t="n">
        <v>46142</v>
      </c>
      <c r="D916" t="inlineStr">
        <is>
          <t>GÄVLEBORGS LÄN</t>
        </is>
      </c>
      <c r="E916" t="inlineStr">
        <is>
          <t>OCKELBO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20481-2026</t>
        </is>
      </c>
      <c r="B917" s="1" t="n">
        <v>46140.47563657408</v>
      </c>
      <c r="C917" s="1" t="n">
        <v>46142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19040-2026</t>
        </is>
      </c>
      <c r="B918" s="1" t="n">
        <v>46132.33255787037</v>
      </c>
      <c r="C918" s="1" t="n">
        <v>46142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13825-2026</t>
        </is>
      </c>
      <c r="B919" s="1" t="n">
        <v>46098</v>
      </c>
      <c r="C919" s="1" t="n">
        <v>46142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36.6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13962-2026</t>
        </is>
      </c>
      <c r="B920" s="1" t="n">
        <v>46098.57163194445</v>
      </c>
      <c r="C920" s="1" t="n">
        <v>46142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18133-2026</t>
        </is>
      </c>
      <c r="B921" s="1" t="n">
        <v>46125</v>
      </c>
      <c r="C921" s="1" t="n">
        <v>46142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14071-2026</t>
        </is>
      </c>
      <c r="B922" s="1" t="n">
        <v>46099</v>
      </c>
      <c r="C922" s="1" t="n">
        <v>46142</v>
      </c>
      <c r="D922" t="inlineStr">
        <is>
          <t>GÄVLEBORGS LÄN</t>
        </is>
      </c>
      <c r="E922" t="inlineStr">
        <is>
          <t>OCKELBO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14202-2026</t>
        </is>
      </c>
      <c r="B923" s="1" t="n">
        <v>46099</v>
      </c>
      <c r="C923" s="1" t="n">
        <v>46142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14037-2026</t>
        </is>
      </c>
      <c r="B924" s="1" t="n">
        <v>46098.86552083334</v>
      </c>
      <c r="C924" s="1" t="n">
        <v>46142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14038-2026</t>
        </is>
      </c>
      <c r="B925" s="1" t="n">
        <v>46098.87292824074</v>
      </c>
      <c r="C925" s="1" t="n">
        <v>46142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14056-2026</t>
        </is>
      </c>
      <c r="B926" s="1" t="n">
        <v>46099</v>
      </c>
      <c r="C926" s="1" t="n">
        <v>46142</v>
      </c>
      <c r="D926" t="inlineStr">
        <is>
          <t>GÄVLEBORGS LÄN</t>
        </is>
      </c>
      <c r="E926" t="inlineStr">
        <is>
          <t>OCKELBO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14100-2026</t>
        </is>
      </c>
      <c r="B927" s="1" t="n">
        <v>46099</v>
      </c>
      <c r="C927" s="1" t="n">
        <v>46142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18627-2026</t>
        </is>
      </c>
      <c r="B928" s="1" t="n">
        <v>46127</v>
      </c>
      <c r="C928" s="1" t="n">
        <v>46142</v>
      </c>
      <c r="D928" t="inlineStr">
        <is>
          <t>GÄVLEBORGS LÄN</t>
        </is>
      </c>
      <c r="E928" t="inlineStr">
        <is>
          <t>OCKELBO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14114-2026</t>
        </is>
      </c>
      <c r="B929" s="1" t="n">
        <v>46099</v>
      </c>
      <c r="C929" s="1" t="n">
        <v>46142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20604-2026</t>
        </is>
      </c>
      <c r="B930" s="1" t="n">
        <v>46140</v>
      </c>
      <c r="C930" s="1" t="n">
        <v>46142</v>
      </c>
      <c r="D930" t="inlineStr">
        <is>
          <t>GÄVLEBORGS LÄN</t>
        </is>
      </c>
      <c r="E930" t="inlineStr">
        <is>
          <t>OCKELBO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45287-2025</t>
        </is>
      </c>
      <c r="B931" s="1" t="n">
        <v>45919.92555555556</v>
      </c>
      <c r="C931" s="1" t="n">
        <v>46142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6058-2023</t>
        </is>
      </c>
      <c r="B932" s="1" t="n">
        <v>44964</v>
      </c>
      <c r="C932" s="1" t="n">
        <v>46142</v>
      </c>
      <c r="D932" t="inlineStr">
        <is>
          <t>GÄVLEBORGS LÄN</t>
        </is>
      </c>
      <c r="E932" t="inlineStr">
        <is>
          <t>OCKELBO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45529-2025</t>
        </is>
      </c>
      <c r="B933" s="1" t="n">
        <v>45922.59997685185</v>
      </c>
      <c r="C933" s="1" t="n">
        <v>46142</v>
      </c>
      <c r="D933" t="inlineStr">
        <is>
          <t>GÄVLEBORGS LÄN</t>
        </is>
      </c>
      <c r="E933" t="inlineStr">
        <is>
          <t>OCKELBO</t>
        </is>
      </c>
      <c r="G933" t="n">
        <v>13.6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46320-2025</t>
        </is>
      </c>
      <c r="B934" s="1" t="n">
        <v>45925.4483912037</v>
      </c>
      <c r="C934" s="1" t="n">
        <v>46142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46609-2025</t>
        </is>
      </c>
      <c r="B935" s="1" t="n">
        <v>45926.41898148148</v>
      </c>
      <c r="C935" s="1" t="n">
        <v>46142</v>
      </c>
      <c r="D935" t="inlineStr">
        <is>
          <t>GÄVLEBORGS LÄN</t>
        </is>
      </c>
      <c r="E935" t="inlineStr">
        <is>
          <t>OCKELBO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46642-2025</t>
        </is>
      </c>
      <c r="B936" s="1" t="n">
        <v>45926.47118055556</v>
      </c>
      <c r="C936" s="1" t="n">
        <v>46142</v>
      </c>
      <c r="D936" t="inlineStr">
        <is>
          <t>GÄVLEBORGS LÄN</t>
        </is>
      </c>
      <c r="E936" t="inlineStr">
        <is>
          <t>OCKELBO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46316-2025</t>
        </is>
      </c>
      <c r="B937" s="1" t="n">
        <v>45925.44523148148</v>
      </c>
      <c r="C937" s="1" t="n">
        <v>46142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34291-2025</t>
        </is>
      </c>
      <c r="B938" s="1" t="n">
        <v>45846.3380787037</v>
      </c>
      <c r="C938" s="1" t="n">
        <v>46142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29768-2023</t>
        </is>
      </c>
      <c r="B939" s="1" t="n">
        <v>45107.48458333333</v>
      </c>
      <c r="C939" s="1" t="n">
        <v>46142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34766-2025</t>
        </is>
      </c>
      <c r="B940" s="1" t="n">
        <v>45848.64854166667</v>
      </c>
      <c r="C940" s="1" t="n">
        <v>46142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34776-2025</t>
        </is>
      </c>
      <c r="B941" s="1" t="n">
        <v>45848.65737268519</v>
      </c>
      <c r="C941" s="1" t="n">
        <v>46142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50968-2024</t>
        </is>
      </c>
      <c r="B942" s="1" t="n">
        <v>45603.33167824074</v>
      </c>
      <c r="C942" s="1" t="n">
        <v>46142</v>
      </c>
      <c r="D942" t="inlineStr">
        <is>
          <t>GÄVLEBORGS LÄN</t>
        </is>
      </c>
      <c r="E942" t="inlineStr">
        <is>
          <t>OCKELBO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47267-2025</t>
        </is>
      </c>
      <c r="B943" s="1" t="n">
        <v>45930.45800925926</v>
      </c>
      <c r="C943" s="1" t="n">
        <v>46142</v>
      </c>
      <c r="D943" t="inlineStr">
        <is>
          <t>GÄVLEBORGS LÄN</t>
        </is>
      </c>
      <c r="E943" t="inlineStr">
        <is>
          <t>OCKELBO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46881-2025</t>
        </is>
      </c>
      <c r="B944" s="1" t="n">
        <v>45929.34912037037</v>
      </c>
      <c r="C944" s="1" t="n">
        <v>46142</v>
      </c>
      <c r="D944" t="inlineStr">
        <is>
          <t>GÄVLEBORGS LÄN</t>
        </is>
      </c>
      <c r="E944" t="inlineStr">
        <is>
          <t>OCKELBO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45519-2022</t>
        </is>
      </c>
      <c r="B945" s="1" t="n">
        <v>44845</v>
      </c>
      <c r="C945" s="1" t="n">
        <v>46142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48221-2024</t>
        </is>
      </c>
      <c r="B946" s="1" t="n">
        <v>45590.36142361111</v>
      </c>
      <c r="C946" s="1" t="n">
        <v>46142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54454-2024</t>
        </is>
      </c>
      <c r="B947" s="1" t="n">
        <v>45617.52900462963</v>
      </c>
      <c r="C947" s="1" t="n">
        <v>46142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18241-2025</t>
        </is>
      </c>
      <c r="B948" s="1" t="n">
        <v>45762.31237268518</v>
      </c>
      <c r="C948" s="1" t="n">
        <v>46142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34797-2021</t>
        </is>
      </c>
      <c r="B949" s="1" t="n">
        <v>44383.30501157408</v>
      </c>
      <c r="C949" s="1" t="n">
        <v>46142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61622-2021</t>
        </is>
      </c>
      <c r="B950" s="1" t="n">
        <v>44501.49077546296</v>
      </c>
      <c r="C950" s="1" t="n">
        <v>46142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27066-2021</t>
        </is>
      </c>
      <c r="B951" s="1" t="n">
        <v>44350.46327546296</v>
      </c>
      <c r="C951" s="1" t="n">
        <v>46142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40283-2024</t>
        </is>
      </c>
      <c r="B952" s="1" t="n">
        <v>45554.66199074074</v>
      </c>
      <c r="C952" s="1" t="n">
        <v>46142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26367-2024</t>
        </is>
      </c>
      <c r="B953" s="1" t="n">
        <v>45469.3924537037</v>
      </c>
      <c r="C953" s="1" t="n">
        <v>46142</v>
      </c>
      <c r="D953" t="inlineStr">
        <is>
          <t>GÄVLEBORGS LÄN</t>
        </is>
      </c>
      <c r="E953" t="inlineStr">
        <is>
          <t>OCKELBO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46481-2024</t>
        </is>
      </c>
      <c r="B954" s="1" t="n">
        <v>45582.57228009259</v>
      </c>
      <c r="C954" s="1" t="n">
        <v>46142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38401-2023</t>
        </is>
      </c>
      <c r="B955" s="1" t="n">
        <v>45162</v>
      </c>
      <c r="C955" s="1" t="n">
        <v>46142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34770-2025</t>
        </is>
      </c>
      <c r="B956" s="1" t="n">
        <v>45848.65394675926</v>
      </c>
      <c r="C956" s="1" t="n">
        <v>46142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67768-2021</t>
        </is>
      </c>
      <c r="B957" s="1" t="n">
        <v>44525.3771412037</v>
      </c>
      <c r="C957" s="1" t="n">
        <v>46142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46485-2024</t>
        </is>
      </c>
      <c r="B958" s="1" t="n">
        <v>45582.57607638889</v>
      </c>
      <c r="C958" s="1" t="n">
        <v>46142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37438-2023</t>
        </is>
      </c>
      <c r="B959" s="1" t="n">
        <v>45156</v>
      </c>
      <c r="C959" s="1" t="n">
        <v>46142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47011-2025</t>
        </is>
      </c>
      <c r="B960" s="1" t="n">
        <v>45929.57289351852</v>
      </c>
      <c r="C960" s="1" t="n">
        <v>46142</v>
      </c>
      <c r="D960" t="inlineStr">
        <is>
          <t>GÄVLEBORGS LÄN</t>
        </is>
      </c>
      <c r="E960" t="inlineStr">
        <is>
          <t>OCKELBO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47016-2025</t>
        </is>
      </c>
      <c r="B961" s="1" t="n">
        <v>45929.57436342593</v>
      </c>
      <c r="C961" s="1" t="n">
        <v>46142</v>
      </c>
      <c r="D961" t="inlineStr">
        <is>
          <t>GÄVLEBORGS LÄN</t>
        </is>
      </c>
      <c r="E961" t="inlineStr">
        <is>
          <t>OCKELBO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50689-2024</t>
        </is>
      </c>
      <c r="B962" s="1" t="n">
        <v>45602</v>
      </c>
      <c r="C962" s="1" t="n">
        <v>46142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50692-2024</t>
        </is>
      </c>
      <c r="B963" s="1" t="n">
        <v>45602.34263888889</v>
      </c>
      <c r="C963" s="1" t="n">
        <v>46142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50693-2024</t>
        </is>
      </c>
      <c r="B964" s="1" t="n">
        <v>45602.34721064815</v>
      </c>
      <c r="C964" s="1" t="n">
        <v>46142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26448-2024</t>
        </is>
      </c>
      <c r="B965" s="1" t="n">
        <v>45469.50715277778</v>
      </c>
      <c r="C965" s="1" t="n">
        <v>46142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21051-2025</t>
        </is>
      </c>
      <c r="B966" s="1" t="n">
        <v>45777.56392361111</v>
      </c>
      <c r="C966" s="1" t="n">
        <v>46142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38893-2022</t>
        </is>
      </c>
      <c r="B967" s="1" t="n">
        <v>44816.58288194444</v>
      </c>
      <c r="C967" s="1" t="n">
        <v>46142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34792-2024</t>
        </is>
      </c>
      <c r="B968" s="1" t="n">
        <v>45526.66439814815</v>
      </c>
      <c r="C968" s="1" t="n">
        <v>46142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16141-2023</t>
        </is>
      </c>
      <c r="B969" s="1" t="n">
        <v>45027</v>
      </c>
      <c r="C969" s="1" t="n">
        <v>46142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52140-2024</t>
        </is>
      </c>
      <c r="B970" s="1" t="n">
        <v>45608.50689814815</v>
      </c>
      <c r="C970" s="1" t="n">
        <v>46142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9.800000000000001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34305-2025</t>
        </is>
      </c>
      <c r="B971" s="1" t="n">
        <v>45846.35457175926</v>
      </c>
      <c r="C971" s="1" t="n">
        <v>46142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40281-2024</t>
        </is>
      </c>
      <c r="B972" s="1" t="n">
        <v>45554.6590162037</v>
      </c>
      <c r="C972" s="1" t="n">
        <v>46142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60699-2024</t>
        </is>
      </c>
      <c r="B973" s="1" t="n">
        <v>45644.48552083333</v>
      </c>
      <c r="C973" s="1" t="n">
        <v>46142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50235-2023</t>
        </is>
      </c>
      <c r="B974" s="1" t="n">
        <v>45216.30402777778</v>
      </c>
      <c r="C974" s="1" t="n">
        <v>46142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66825-2021</t>
        </is>
      </c>
      <c r="B975" s="1" t="n">
        <v>44522.40350694444</v>
      </c>
      <c r="C975" s="1" t="n">
        <v>46142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47990-2025</t>
        </is>
      </c>
      <c r="B976" s="1" t="n">
        <v>45932.62314814814</v>
      </c>
      <c r="C976" s="1" t="n">
        <v>46142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47987-2025</t>
        </is>
      </c>
      <c r="B977" s="1" t="n">
        <v>45932.62010416666</v>
      </c>
      <c r="C977" s="1" t="n">
        <v>46142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48115-2025</t>
        </is>
      </c>
      <c r="B978" s="1" t="n">
        <v>45933.35277777778</v>
      </c>
      <c r="C978" s="1" t="n">
        <v>46142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48186-2025</t>
        </is>
      </c>
      <c r="B979" s="1" t="n">
        <v>45933.46466435185</v>
      </c>
      <c r="C979" s="1" t="n">
        <v>46142</v>
      </c>
      <c r="D979" t="inlineStr">
        <is>
          <t>GÄVLEBORGS LÄN</t>
        </is>
      </c>
      <c r="E979" t="inlineStr">
        <is>
          <t>OCKELBO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48804-2024</t>
        </is>
      </c>
      <c r="B980" s="1" t="n">
        <v>45593.66212962963</v>
      </c>
      <c r="C980" s="1" t="n">
        <v>46142</v>
      </c>
      <c r="D980" t="inlineStr">
        <is>
          <t>GÄVLEBORGS LÄN</t>
        </is>
      </c>
      <c r="E980" t="inlineStr">
        <is>
          <t>OCKELBO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18291-2023</t>
        </is>
      </c>
      <c r="B981" s="1" t="n">
        <v>45041.56773148148</v>
      </c>
      <c r="C981" s="1" t="n">
        <v>46142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48855-2025</t>
        </is>
      </c>
      <c r="B982" s="1" t="n">
        <v>45937.43577546296</v>
      </c>
      <c r="C982" s="1" t="n">
        <v>46142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48996-2025</t>
        </is>
      </c>
      <c r="B983" s="1" t="n">
        <v>45937.58770833333</v>
      </c>
      <c r="C983" s="1" t="n">
        <v>46142</v>
      </c>
      <c r="D983" t="inlineStr">
        <is>
          <t>GÄVLEBORGS LÄN</t>
        </is>
      </c>
      <c r="E983" t="inlineStr">
        <is>
          <t>OCKELBO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49008-2025</t>
        </is>
      </c>
      <c r="B984" s="1" t="n">
        <v>45937.60611111111</v>
      </c>
      <c r="C984" s="1" t="n">
        <v>46142</v>
      </c>
      <c r="D984" t="inlineStr">
        <is>
          <t>GÄVLEBORGS LÄN</t>
        </is>
      </c>
      <c r="E984" t="inlineStr">
        <is>
          <t>OCKELBO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49014-2025</t>
        </is>
      </c>
      <c r="B985" s="1" t="n">
        <v>45937.610625</v>
      </c>
      <c r="C985" s="1" t="n">
        <v>46142</v>
      </c>
      <c r="D985" t="inlineStr">
        <is>
          <t>GÄVLEBORGS LÄN</t>
        </is>
      </c>
      <c r="E985" t="inlineStr">
        <is>
          <t>OCKELBO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49259-2025</t>
        </is>
      </c>
      <c r="B986" s="1" t="n">
        <v>45938.49456018519</v>
      </c>
      <c r="C986" s="1" t="n">
        <v>46142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49032-2025</t>
        </is>
      </c>
      <c r="B987" s="1" t="n">
        <v>45937.6262037037</v>
      </c>
      <c r="C987" s="1" t="n">
        <v>46142</v>
      </c>
      <c r="D987" t="inlineStr">
        <is>
          <t>GÄVLEBORGS LÄN</t>
        </is>
      </c>
      <c r="E987" t="inlineStr">
        <is>
          <t>OCKELBO</t>
        </is>
      </c>
      <c r="G987" t="n">
        <v>11.1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49027-2025</t>
        </is>
      </c>
      <c r="B988" s="1" t="n">
        <v>45937.62039351852</v>
      </c>
      <c r="C988" s="1" t="n">
        <v>46142</v>
      </c>
      <c r="D988" t="inlineStr">
        <is>
          <t>GÄVLEBORGS LÄN</t>
        </is>
      </c>
      <c r="E988" t="inlineStr">
        <is>
          <t>OCKELBO</t>
        </is>
      </c>
      <c r="G988" t="n">
        <v>11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53137-2024</t>
        </is>
      </c>
      <c r="B989" s="1" t="n">
        <v>45611.59655092593</v>
      </c>
      <c r="C989" s="1" t="n">
        <v>46142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49503-2025</t>
        </is>
      </c>
      <c r="B990" s="1" t="n">
        <v>45939.37001157407</v>
      </c>
      <c r="C990" s="1" t="n">
        <v>46142</v>
      </c>
      <c r="D990" t="inlineStr">
        <is>
          <t>GÄVLEBORGS LÄN</t>
        </is>
      </c>
      <c r="E990" t="inlineStr">
        <is>
          <t>OCKELBO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46636-2024</t>
        </is>
      </c>
      <c r="B991" s="1" t="n">
        <v>45583.34546296296</v>
      </c>
      <c r="C991" s="1" t="n">
        <v>46142</v>
      </c>
      <c r="D991" t="inlineStr">
        <is>
          <t>GÄVLEBORGS LÄN</t>
        </is>
      </c>
      <c r="E991" t="inlineStr">
        <is>
          <t>OCKELBO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31822-2025</t>
        </is>
      </c>
      <c r="B992" s="1" t="n">
        <v>45834</v>
      </c>
      <c r="C992" s="1" t="n">
        <v>46142</v>
      </c>
      <c r="D992" t="inlineStr">
        <is>
          <t>GÄVLEBORGS LÄN</t>
        </is>
      </c>
      <c r="E992" t="inlineStr">
        <is>
          <t>OCKELBO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50696-2025</t>
        </is>
      </c>
      <c r="B993" s="1" t="n">
        <v>45945.89071759259</v>
      </c>
      <c r="C993" s="1" t="n">
        <v>46142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7276-2023</t>
        </is>
      </c>
      <c r="B994" s="1" t="n">
        <v>44970</v>
      </c>
      <c r="C994" s="1" t="n">
        <v>46142</v>
      </c>
      <c r="D994" t="inlineStr">
        <is>
          <t>GÄVLEBORGS LÄN</t>
        </is>
      </c>
      <c r="E994" t="inlineStr">
        <is>
          <t>OCKELBO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61732-2024</t>
        </is>
      </c>
      <c r="B995" s="1" t="n">
        <v>45649.34438657408</v>
      </c>
      <c r="C995" s="1" t="n">
        <v>46142</v>
      </c>
      <c r="D995" t="inlineStr">
        <is>
          <t>GÄVLEBORGS LÄN</t>
        </is>
      </c>
      <c r="E995" t="inlineStr">
        <is>
          <t>OCKELBO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25318-2021</t>
        </is>
      </c>
      <c r="B996" s="1" t="n">
        <v>44342</v>
      </c>
      <c r="C996" s="1" t="n">
        <v>46142</v>
      </c>
      <c r="D996" t="inlineStr">
        <is>
          <t>GÄVLEBORGS LÄN</t>
        </is>
      </c>
      <c r="E996" t="inlineStr">
        <is>
          <t>OCKELBO</t>
        </is>
      </c>
      <c r="G996" t="n">
        <v>9.9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8662-2025</t>
        </is>
      </c>
      <c r="B997" s="1" t="n">
        <v>45712.39575231481</v>
      </c>
      <c r="C997" s="1" t="n">
        <v>46142</v>
      </c>
      <c r="D997" t="inlineStr">
        <is>
          <t>GÄVLEBORGS LÄN</t>
        </is>
      </c>
      <c r="E997" t="inlineStr">
        <is>
          <t>OCKELBO</t>
        </is>
      </c>
      <c r="G997" t="n">
        <v>14.7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51098-2025</t>
        </is>
      </c>
      <c r="B998" s="1" t="n">
        <v>45947.48436342592</v>
      </c>
      <c r="C998" s="1" t="n">
        <v>46142</v>
      </c>
      <c r="D998" t="inlineStr">
        <is>
          <t>GÄVLEBORGS LÄN</t>
        </is>
      </c>
      <c r="E998" t="inlineStr">
        <is>
          <t>OCKELBO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51892-2025</t>
        </is>
      </c>
      <c r="B999" s="1" t="n">
        <v>45952.42239583333</v>
      </c>
      <c r="C999" s="1" t="n">
        <v>46142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8913-2025</t>
        </is>
      </c>
      <c r="B1000" s="1" t="n">
        <v>45713.42717592593</v>
      </c>
      <c r="C1000" s="1" t="n">
        <v>46142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öst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22952-2023</t>
        </is>
      </c>
      <c r="B1001" s="1" t="n">
        <v>45072</v>
      </c>
      <c r="C1001" s="1" t="n">
        <v>46142</v>
      </c>
      <c r="D1001" t="inlineStr">
        <is>
          <t>GÄVLEBORGS LÄN</t>
        </is>
      </c>
      <c r="E1001" t="inlineStr">
        <is>
          <t>OCKELBO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19909-2023</t>
        </is>
      </c>
      <c r="B1002" s="1" t="n">
        <v>45054.4237037037</v>
      </c>
      <c r="C1002" s="1" t="n">
        <v>46142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19919-2023</t>
        </is>
      </c>
      <c r="B1003" s="1" t="n">
        <v>45054.44943287037</v>
      </c>
      <c r="C1003" s="1" t="n">
        <v>46142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52635-2025</t>
        </is>
      </c>
      <c r="B1004" s="1" t="n">
        <v>45954.7355787037</v>
      </c>
      <c r="C1004" s="1" t="n">
        <v>46142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54977-2024</t>
        </is>
      </c>
      <c r="B1005" s="1" t="n">
        <v>45620.68857638889</v>
      </c>
      <c r="C1005" s="1" t="n">
        <v>46142</v>
      </c>
      <c r="D1005" t="inlineStr">
        <is>
          <t>GÄVLEBORGS LÄN</t>
        </is>
      </c>
      <c r="E1005" t="inlineStr">
        <is>
          <t>OCKELBO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49529-2024</t>
        </is>
      </c>
      <c r="B1006" s="1" t="n">
        <v>45596.4116087963</v>
      </c>
      <c r="C1006" s="1" t="n">
        <v>46142</v>
      </c>
      <c r="D1006" t="inlineStr">
        <is>
          <t>GÄVLEBORGS LÄN</t>
        </is>
      </c>
      <c r="E1006" t="inlineStr">
        <is>
          <t>OCKELBO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6568-2024</t>
        </is>
      </c>
      <c r="B1007" s="1" t="n">
        <v>45341.46197916667</v>
      </c>
      <c r="C1007" s="1" t="n">
        <v>46142</v>
      </c>
      <c r="D1007" t="inlineStr">
        <is>
          <t>GÄVLEBORGS LÄN</t>
        </is>
      </c>
      <c r="E1007" t="inlineStr">
        <is>
          <t>OCKELBO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52259-2025</t>
        </is>
      </c>
      <c r="B1008" s="1" t="n">
        <v>45953.51040509259</v>
      </c>
      <c r="C1008" s="1" t="n">
        <v>46142</v>
      </c>
      <c r="D1008" t="inlineStr">
        <is>
          <t>GÄVLEBORGS LÄN</t>
        </is>
      </c>
      <c r="E1008" t="inlineStr">
        <is>
          <t>OCKELBO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52461-2025</t>
        </is>
      </c>
      <c r="B1009" s="1" t="n">
        <v>45954.43909722222</v>
      </c>
      <c r="C1009" s="1" t="n">
        <v>46142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52241-2025</t>
        </is>
      </c>
      <c r="B1010" s="1" t="n">
        <v>45953.46417824074</v>
      </c>
      <c r="C1010" s="1" t="n">
        <v>46142</v>
      </c>
      <c r="D1010" t="inlineStr">
        <is>
          <t>GÄVLEBORGS LÄN</t>
        </is>
      </c>
      <c r="E1010" t="inlineStr">
        <is>
          <t>OCKELBO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61389-2024</t>
        </is>
      </c>
      <c r="B1011" s="1" t="n">
        <v>45646.41528935185</v>
      </c>
      <c r="C1011" s="1" t="n">
        <v>46142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öst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49740-2024</t>
        </is>
      </c>
      <c r="B1012" s="1" t="n">
        <v>45596.92895833333</v>
      </c>
      <c r="C1012" s="1" t="n">
        <v>46142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50194-2024</t>
        </is>
      </c>
      <c r="B1013" s="1" t="n">
        <v>45600.48512731482</v>
      </c>
      <c r="C1013" s="1" t="n">
        <v>46142</v>
      </c>
      <c r="D1013" t="inlineStr">
        <is>
          <t>GÄVLEBORGS LÄN</t>
        </is>
      </c>
      <c r="E1013" t="inlineStr">
        <is>
          <t>OCKELBO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53078-2025</t>
        </is>
      </c>
      <c r="B1014" s="1" t="n">
        <v>45958.38793981481</v>
      </c>
      <c r="C1014" s="1" t="n">
        <v>46142</v>
      </c>
      <c r="D1014" t="inlineStr">
        <is>
          <t>GÄVLEBORGS LÄN</t>
        </is>
      </c>
      <c r="E1014" t="inlineStr">
        <is>
          <t>OCKELBO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53080-2025</t>
        </is>
      </c>
      <c r="B1015" s="1" t="n">
        <v>45958.39484953704</v>
      </c>
      <c r="C1015" s="1" t="n">
        <v>46142</v>
      </c>
      <c r="D1015" t="inlineStr">
        <is>
          <t>GÄVLEBORGS LÄN</t>
        </is>
      </c>
      <c r="E1015" t="inlineStr">
        <is>
          <t>OCKELBO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52769-2025</t>
        </is>
      </c>
      <c r="B1016" s="1" t="n">
        <v>45957.40206018519</v>
      </c>
      <c r="C1016" s="1" t="n">
        <v>46142</v>
      </c>
      <c r="D1016" t="inlineStr">
        <is>
          <t>GÄVLEBORGS LÄN</t>
        </is>
      </c>
      <c r="E1016" t="inlineStr">
        <is>
          <t>OCKELBO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52880-2025</t>
        </is>
      </c>
      <c r="B1017" s="1" t="n">
        <v>45957.54447916667</v>
      </c>
      <c r="C1017" s="1" t="n">
        <v>46142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50742-2025</t>
        </is>
      </c>
      <c r="B1018" s="1" t="n">
        <v>45946.38253472222</v>
      </c>
      <c r="C1018" s="1" t="n">
        <v>46142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54309-2024</t>
        </is>
      </c>
      <c r="B1019" s="1" t="n">
        <v>45617.34234953704</v>
      </c>
      <c r="C1019" s="1" t="n">
        <v>46142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53391-2025</t>
        </is>
      </c>
      <c r="B1020" s="1" t="n">
        <v>45959.55204861111</v>
      </c>
      <c r="C1020" s="1" t="n">
        <v>46142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42585-2023</t>
        </is>
      </c>
      <c r="B1021" s="1" t="n">
        <v>45181</v>
      </c>
      <c r="C1021" s="1" t="n">
        <v>46142</v>
      </c>
      <c r="D1021" t="inlineStr">
        <is>
          <t>GÄVLEBORGS LÄN</t>
        </is>
      </c>
      <c r="E1021" t="inlineStr">
        <is>
          <t>OCKELBO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56352-2024</t>
        </is>
      </c>
      <c r="B1022" s="1" t="n">
        <v>45624.92115740741</v>
      </c>
      <c r="C1022" s="1" t="n">
        <v>46142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42313-2023</t>
        </is>
      </c>
      <c r="B1023" s="1" t="n">
        <v>45180.46878472222</v>
      </c>
      <c r="C1023" s="1" t="n">
        <v>46142</v>
      </c>
      <c r="D1023" t="inlineStr">
        <is>
          <t>GÄVLEBORGS LÄN</t>
        </is>
      </c>
      <c r="E1023" t="inlineStr">
        <is>
          <t>OCKELBO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60132-2024</t>
        </is>
      </c>
      <c r="B1024" s="1" t="n">
        <v>45642.59554398148</v>
      </c>
      <c r="C1024" s="1" t="n">
        <v>46142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öst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60915-2024</t>
        </is>
      </c>
      <c r="B1025" s="1" t="n">
        <v>45645.33822916666</v>
      </c>
      <c r="C1025" s="1" t="n">
        <v>46142</v>
      </c>
      <c r="D1025" t="inlineStr">
        <is>
          <t>GÄVLEBORGS LÄN</t>
        </is>
      </c>
      <c r="E1025" t="inlineStr">
        <is>
          <t>OCKELBO</t>
        </is>
      </c>
      <c r="F1025" t="inlineStr">
        <is>
          <t>Kyrkan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54655-2025</t>
        </is>
      </c>
      <c r="B1026" s="1" t="n">
        <v>45966.38342592592</v>
      </c>
      <c r="C1026" s="1" t="n">
        <v>46142</v>
      </c>
      <c r="D1026" t="inlineStr">
        <is>
          <t>GÄVLEBORGS LÄN</t>
        </is>
      </c>
      <c r="E1026" t="inlineStr">
        <is>
          <t>OCKELBO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54766-2025</t>
        </is>
      </c>
      <c r="B1027" s="1" t="n">
        <v>45966.60378472223</v>
      </c>
      <c r="C1027" s="1" t="n">
        <v>46142</v>
      </c>
      <c r="D1027" t="inlineStr">
        <is>
          <t>GÄVLEBORGS LÄN</t>
        </is>
      </c>
      <c r="E1027" t="inlineStr">
        <is>
          <t>OCKELBO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56376-2024</t>
        </is>
      </c>
      <c r="B1028" s="1" t="n">
        <v>45625.33287037037</v>
      </c>
      <c r="C1028" s="1" t="n">
        <v>46142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38799-2024</t>
        </is>
      </c>
      <c r="B1029" s="1" t="n">
        <v>45547</v>
      </c>
      <c r="C1029" s="1" t="n">
        <v>46142</v>
      </c>
      <c r="D1029" t="inlineStr">
        <is>
          <t>GÄVLEBORGS LÄN</t>
        </is>
      </c>
      <c r="E1029" t="inlineStr">
        <is>
          <t>OCKELBO</t>
        </is>
      </c>
      <c r="F1029" t="inlineStr">
        <is>
          <t>Kyrkan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36343-2023</t>
        </is>
      </c>
      <c r="B1030" s="1" t="n">
        <v>45152.45767361111</v>
      </c>
      <c r="C1030" s="1" t="n">
        <v>46142</v>
      </c>
      <c r="D1030" t="inlineStr">
        <is>
          <t>GÄVLEBORGS LÄN</t>
        </is>
      </c>
      <c r="E1030" t="inlineStr">
        <is>
          <t>OCKELBO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54944-2025</t>
        </is>
      </c>
      <c r="B1031" s="1" t="n">
        <v>45967.4474537037</v>
      </c>
      <c r="C1031" s="1" t="n">
        <v>46142</v>
      </c>
      <c r="D1031" t="inlineStr">
        <is>
          <t>GÄVLEBORGS LÄN</t>
        </is>
      </c>
      <c r="E1031" t="inlineStr">
        <is>
          <t>OCKELBO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54879-2025</t>
        </is>
      </c>
      <c r="B1032" s="1" t="n">
        <v>45967.33152777778</v>
      </c>
      <c r="C1032" s="1" t="n">
        <v>46142</v>
      </c>
      <c r="D1032" t="inlineStr">
        <is>
          <t>GÄVLEBORGS LÄN</t>
        </is>
      </c>
      <c r="E1032" t="inlineStr">
        <is>
          <t>OCKELBO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54880-2025</t>
        </is>
      </c>
      <c r="B1033" s="1" t="n">
        <v>45967.33255787037</v>
      </c>
      <c r="C1033" s="1" t="n">
        <v>46142</v>
      </c>
      <c r="D1033" t="inlineStr">
        <is>
          <t>GÄVLEBORGS LÄN</t>
        </is>
      </c>
      <c r="E1033" t="inlineStr">
        <is>
          <t>OCKELBO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19762-2024</t>
        </is>
      </c>
      <c r="B1034" s="1" t="n">
        <v>45432.6987037037</v>
      </c>
      <c r="C1034" s="1" t="n">
        <v>46142</v>
      </c>
      <c r="D1034" t="inlineStr">
        <is>
          <t>GÄVLEBORGS LÄN</t>
        </is>
      </c>
      <c r="E1034" t="inlineStr">
        <is>
          <t>OCKELBO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21582-2024</t>
        </is>
      </c>
      <c r="B1035" s="1" t="n">
        <v>45441.70758101852</v>
      </c>
      <c r="C1035" s="1" t="n">
        <v>46142</v>
      </c>
      <c r="D1035" t="inlineStr">
        <is>
          <t>GÄVLEBORGS LÄN</t>
        </is>
      </c>
      <c r="E1035" t="inlineStr">
        <is>
          <t>OCKELBO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55632-2025</t>
        </is>
      </c>
      <c r="B1036" s="1" t="n">
        <v>45972.34230324074</v>
      </c>
      <c r="C1036" s="1" t="n">
        <v>46142</v>
      </c>
      <c r="D1036" t="inlineStr">
        <is>
          <t>GÄVLEBORGS LÄN</t>
        </is>
      </c>
      <c r="E1036" t="inlineStr">
        <is>
          <t>OCKELBO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9447-2025</t>
        </is>
      </c>
      <c r="B1037" s="1" t="n">
        <v>45715.42207175926</v>
      </c>
      <c r="C1037" s="1" t="n">
        <v>46142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öst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17690-2025</t>
        </is>
      </c>
      <c r="B1038" s="1" t="n">
        <v>45758.40640046296</v>
      </c>
      <c r="C1038" s="1" t="n">
        <v>46142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55629-2025</t>
        </is>
      </c>
      <c r="B1039" s="1" t="n">
        <v>45972.33707175926</v>
      </c>
      <c r="C1039" s="1" t="n">
        <v>46142</v>
      </c>
      <c r="D1039" t="inlineStr">
        <is>
          <t>GÄVLEBORGS LÄN</t>
        </is>
      </c>
      <c r="E1039" t="inlineStr">
        <is>
          <t>OCKELBO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55726-2025</t>
        </is>
      </c>
      <c r="B1040" s="1" t="n">
        <v>45972.53399305556</v>
      </c>
      <c r="C1040" s="1" t="n">
        <v>46142</v>
      </c>
      <c r="D1040" t="inlineStr">
        <is>
          <t>GÄVLEBORGS LÄN</t>
        </is>
      </c>
      <c r="E1040" t="inlineStr">
        <is>
          <t>OCKELBO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55778-2025</t>
        </is>
      </c>
      <c r="B1041" s="1" t="n">
        <v>45972.6244212963</v>
      </c>
      <c r="C1041" s="1" t="n">
        <v>46142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1716-2025</t>
        </is>
      </c>
      <c r="B1042" s="1" t="n">
        <v>45671.3278587963</v>
      </c>
      <c r="C1042" s="1" t="n">
        <v>46142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55913-2025</t>
        </is>
      </c>
      <c r="B1043" s="1" t="n">
        <v>45973.4030787037</v>
      </c>
      <c r="C1043" s="1" t="n">
        <v>46142</v>
      </c>
      <c r="D1043" t="inlineStr">
        <is>
          <t>GÄVLEBORGS LÄN</t>
        </is>
      </c>
      <c r="E1043" t="inlineStr">
        <is>
          <t>OCKELBO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55920-2025</t>
        </is>
      </c>
      <c r="B1044" s="1" t="n">
        <v>45973.4175462963</v>
      </c>
      <c r="C1044" s="1" t="n">
        <v>46142</v>
      </c>
      <c r="D1044" t="inlineStr">
        <is>
          <t>GÄVLEBORGS LÄN</t>
        </is>
      </c>
      <c r="E1044" t="inlineStr">
        <is>
          <t>OCKELBO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55926-2025</t>
        </is>
      </c>
      <c r="B1045" s="1" t="n">
        <v>45973.42826388889</v>
      </c>
      <c r="C1045" s="1" t="n">
        <v>46142</v>
      </c>
      <c r="D1045" t="inlineStr">
        <is>
          <t>GÄVLEBORGS LÄN</t>
        </is>
      </c>
      <c r="E1045" t="inlineStr">
        <is>
          <t>OCKELBO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17548-2025</t>
        </is>
      </c>
      <c r="B1046" s="1" t="n">
        <v>45757.61045138889</v>
      </c>
      <c r="C1046" s="1" t="n">
        <v>46142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55859-2025</t>
        </is>
      </c>
      <c r="B1047" s="1" t="n">
        <v>45973.33715277778</v>
      </c>
      <c r="C1047" s="1" t="n">
        <v>46142</v>
      </c>
      <c r="D1047" t="inlineStr">
        <is>
          <t>GÄVLEBORGS LÄN</t>
        </is>
      </c>
      <c r="E1047" t="inlineStr">
        <is>
          <t>OCKELBO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55866-2025</t>
        </is>
      </c>
      <c r="B1048" s="1" t="n">
        <v>45973.35025462963</v>
      </c>
      <c r="C1048" s="1" t="n">
        <v>46142</v>
      </c>
      <c r="D1048" t="inlineStr">
        <is>
          <t>GÄVLEBORGS LÄN</t>
        </is>
      </c>
      <c r="E1048" t="inlineStr">
        <is>
          <t>OCKELBO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55911-2025</t>
        </is>
      </c>
      <c r="B1049" s="1" t="n">
        <v>45973.39857638889</v>
      </c>
      <c r="C1049" s="1" t="n">
        <v>46142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55976-2025</t>
        </is>
      </c>
      <c r="B1050" s="1" t="n">
        <v>45973.51217592593</v>
      </c>
      <c r="C1050" s="1" t="n">
        <v>46142</v>
      </c>
      <c r="D1050" t="inlineStr">
        <is>
          <t>GÄVLEBORGS LÄN</t>
        </is>
      </c>
      <c r="E1050" t="inlineStr">
        <is>
          <t>OCKELBO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7478-2025</t>
        </is>
      </c>
      <c r="B1051" s="1" t="n">
        <v>45705</v>
      </c>
      <c r="C1051" s="1" t="n">
        <v>46142</v>
      </c>
      <c r="D1051" t="inlineStr">
        <is>
          <t>GÄVLEBORGS LÄN</t>
        </is>
      </c>
      <c r="E1051" t="inlineStr">
        <is>
          <t>OCKELBO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59941-2024</t>
        </is>
      </c>
      <c r="B1052" s="1" t="n">
        <v>45642.33047453704</v>
      </c>
      <c r="C1052" s="1" t="n">
        <v>46142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55884-2025</t>
        </is>
      </c>
      <c r="B1053" s="1" t="n">
        <v>45973.36832175926</v>
      </c>
      <c r="C1053" s="1" t="n">
        <v>46142</v>
      </c>
      <c r="D1053" t="inlineStr">
        <is>
          <t>GÄVLEBORGS LÄN</t>
        </is>
      </c>
      <c r="E1053" t="inlineStr">
        <is>
          <t>OCKELBO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56921-2025</t>
        </is>
      </c>
      <c r="B1054" s="1" t="n">
        <v>45978.59633101852</v>
      </c>
      <c r="C1054" s="1" t="n">
        <v>46142</v>
      </c>
      <c r="D1054" t="inlineStr">
        <is>
          <t>GÄVLEBORGS LÄN</t>
        </is>
      </c>
      <c r="E1054" t="inlineStr">
        <is>
          <t>OCKELBO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56803-2025</t>
        </is>
      </c>
      <c r="B1055" s="1" t="n">
        <v>45978.44311342593</v>
      </c>
      <c r="C1055" s="1" t="n">
        <v>46142</v>
      </c>
      <c r="D1055" t="inlineStr">
        <is>
          <t>GÄVLEBORGS LÄN</t>
        </is>
      </c>
      <c r="E1055" t="inlineStr">
        <is>
          <t>OCKELBO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56919-2025</t>
        </is>
      </c>
      <c r="B1056" s="1" t="n">
        <v>45978.59431712963</v>
      </c>
      <c r="C1056" s="1" t="n">
        <v>46142</v>
      </c>
      <c r="D1056" t="inlineStr">
        <is>
          <t>GÄVLEBORGS LÄN</t>
        </is>
      </c>
      <c r="E1056" t="inlineStr">
        <is>
          <t>OCKELBO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56850-2025</t>
        </is>
      </c>
      <c r="B1057" s="1" t="n">
        <v>45978.49068287037</v>
      </c>
      <c r="C1057" s="1" t="n">
        <v>46142</v>
      </c>
      <c r="D1057" t="inlineStr">
        <is>
          <t>GÄVLEBORGS LÄN</t>
        </is>
      </c>
      <c r="E1057" t="inlineStr">
        <is>
          <t>OCKELBO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56888-2025</t>
        </is>
      </c>
      <c r="B1058" s="1" t="n">
        <v>45978.56181712963</v>
      </c>
      <c r="C1058" s="1" t="n">
        <v>46142</v>
      </c>
      <c r="D1058" t="inlineStr">
        <is>
          <t>GÄVLEBORGS LÄN</t>
        </is>
      </c>
      <c r="E1058" t="inlineStr">
        <is>
          <t>OCKELBO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56876-2025</t>
        </is>
      </c>
      <c r="B1059" s="1" t="n">
        <v>45978.53752314814</v>
      </c>
      <c r="C1059" s="1" t="n">
        <v>46142</v>
      </c>
      <c r="D1059" t="inlineStr">
        <is>
          <t>GÄVLEBORGS LÄN</t>
        </is>
      </c>
      <c r="E1059" t="inlineStr">
        <is>
          <t>OCKELBO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56882-2025</t>
        </is>
      </c>
      <c r="B1060" s="1" t="n">
        <v>45978.55541666667</v>
      </c>
      <c r="C1060" s="1" t="n">
        <v>46142</v>
      </c>
      <c r="D1060" t="inlineStr">
        <is>
          <t>GÄVLEBORGS LÄN</t>
        </is>
      </c>
      <c r="E1060" t="inlineStr">
        <is>
          <t>OCKELBO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56877-2025</t>
        </is>
      </c>
      <c r="B1061" s="1" t="n">
        <v>45978.53877314815</v>
      </c>
      <c r="C1061" s="1" t="n">
        <v>46142</v>
      </c>
      <c r="D1061" t="inlineStr">
        <is>
          <t>GÄVLEBORGS LÄN</t>
        </is>
      </c>
      <c r="E1061" t="inlineStr">
        <is>
          <t>OCKELBO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56454-2025</t>
        </is>
      </c>
      <c r="B1062" s="1" t="n">
        <v>45975.35673611111</v>
      </c>
      <c r="C1062" s="1" t="n">
        <v>46142</v>
      </c>
      <c r="D1062" t="inlineStr">
        <is>
          <t>GÄVLEBORGS LÄN</t>
        </is>
      </c>
      <c r="E1062" t="inlineStr">
        <is>
          <t>OCKELBO</t>
        </is>
      </c>
      <c r="G1062" t="n">
        <v>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12983-2022</t>
        </is>
      </c>
      <c r="B1063" s="1" t="n">
        <v>44643.41052083333</v>
      </c>
      <c r="C1063" s="1" t="n">
        <v>46142</v>
      </c>
      <c r="D1063" t="inlineStr">
        <is>
          <t>GÄVLEBORGS LÄN</t>
        </is>
      </c>
      <c r="E1063" t="inlineStr">
        <is>
          <t>OCKELBO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37391-2023</t>
        </is>
      </c>
      <c r="B1064" s="1" t="n">
        <v>45156</v>
      </c>
      <c r="C1064" s="1" t="n">
        <v>46142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7827-2025</t>
        </is>
      </c>
      <c r="B1065" s="1" t="n">
        <v>45706.64928240741</v>
      </c>
      <c r="C1065" s="1" t="n">
        <v>46142</v>
      </c>
      <c r="D1065" t="inlineStr">
        <is>
          <t>GÄVLEBORGS LÄN</t>
        </is>
      </c>
      <c r="E1065" t="inlineStr">
        <is>
          <t>OCKELBO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56634-2023</t>
        </is>
      </c>
      <c r="B1066" s="1" t="n">
        <v>45243.71267361111</v>
      </c>
      <c r="C1066" s="1" t="n">
        <v>46142</v>
      </c>
      <c r="D1066" t="inlineStr">
        <is>
          <t>GÄVLEBORGS LÄN</t>
        </is>
      </c>
      <c r="E1066" t="inlineStr">
        <is>
          <t>OCKELBO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58156-2025</t>
        </is>
      </c>
      <c r="B1067" s="1" t="n">
        <v>45982.66631944444</v>
      </c>
      <c r="C1067" s="1" t="n">
        <v>46142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59533-2023</t>
        </is>
      </c>
      <c r="B1068" s="1" t="n">
        <v>45254.51929398148</v>
      </c>
      <c r="C1068" s="1" t="n">
        <v>46142</v>
      </c>
      <c r="D1068" t="inlineStr">
        <is>
          <t>GÄVLEBORGS LÄN</t>
        </is>
      </c>
      <c r="E1068" t="inlineStr">
        <is>
          <t>OCKELBO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7919-2025</t>
        </is>
      </c>
      <c r="B1069" s="1" t="n">
        <v>45707.35554398148</v>
      </c>
      <c r="C1069" s="1" t="n">
        <v>46142</v>
      </c>
      <c r="D1069" t="inlineStr">
        <is>
          <t>GÄVLEBORGS LÄN</t>
        </is>
      </c>
      <c r="E1069" t="inlineStr">
        <is>
          <t>OCKELBO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36521-2022</t>
        </is>
      </c>
      <c r="B1070" s="1" t="n">
        <v>44804.53847222222</v>
      </c>
      <c r="C1070" s="1" t="n">
        <v>46142</v>
      </c>
      <c r="D1070" t="inlineStr">
        <is>
          <t>GÄVLEBORGS LÄN</t>
        </is>
      </c>
      <c r="E1070" t="inlineStr">
        <is>
          <t>OCKELBO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57614-2025</t>
        </is>
      </c>
      <c r="B1071" s="1" t="n">
        <v>45981.34307870371</v>
      </c>
      <c r="C1071" s="1" t="n">
        <v>46142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10.4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24228-2022</t>
        </is>
      </c>
      <c r="B1072" s="1" t="n">
        <v>44725</v>
      </c>
      <c r="C1072" s="1" t="n">
        <v>46142</v>
      </c>
      <c r="D1072" t="inlineStr">
        <is>
          <t>GÄVLEBORGS LÄN</t>
        </is>
      </c>
      <c r="E1072" t="inlineStr">
        <is>
          <t>OCKELBO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32301-2022</t>
        </is>
      </c>
      <c r="B1073" s="1" t="n">
        <v>44781.62321759259</v>
      </c>
      <c r="C1073" s="1" t="n">
        <v>46142</v>
      </c>
      <c r="D1073" t="inlineStr">
        <is>
          <t>GÄVLEBORGS LÄN</t>
        </is>
      </c>
      <c r="E1073" t="inlineStr">
        <is>
          <t>OCKELBO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58770-2025</t>
        </is>
      </c>
      <c r="B1074" s="1" t="n">
        <v>45986.68657407408</v>
      </c>
      <c r="C1074" s="1" t="n">
        <v>46142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58768-2025</t>
        </is>
      </c>
      <c r="B1075" s="1" t="n">
        <v>45986.67872685185</v>
      </c>
      <c r="C1075" s="1" t="n">
        <v>46142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58718-2025</t>
        </is>
      </c>
      <c r="B1076" s="1" t="n">
        <v>45986.61519675926</v>
      </c>
      <c r="C1076" s="1" t="n">
        <v>46142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58727-2025</t>
        </is>
      </c>
      <c r="B1077" s="1" t="n">
        <v>45986.62328703704</v>
      </c>
      <c r="C1077" s="1" t="n">
        <v>46142</v>
      </c>
      <c r="D1077" t="inlineStr">
        <is>
          <t>GÄVLEBORGS LÄN</t>
        </is>
      </c>
      <c r="E1077" t="inlineStr">
        <is>
          <t>OCKELBO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58295-2025</t>
        </is>
      </c>
      <c r="B1078" s="1" t="n">
        <v>45985.45576388889</v>
      </c>
      <c r="C1078" s="1" t="n">
        <v>46142</v>
      </c>
      <c r="D1078" t="inlineStr">
        <is>
          <t>GÄVLEBORGS LÄN</t>
        </is>
      </c>
      <c r="E1078" t="inlineStr">
        <is>
          <t>OCKELBO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58299-2025</t>
        </is>
      </c>
      <c r="B1079" s="1" t="n">
        <v>45985.45773148148</v>
      </c>
      <c r="C1079" s="1" t="n">
        <v>46142</v>
      </c>
      <c r="D1079" t="inlineStr">
        <is>
          <t>GÄVLEBORGS LÄN</t>
        </is>
      </c>
      <c r="E1079" t="inlineStr">
        <is>
          <t>OCKELBO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47841-2023</t>
        </is>
      </c>
      <c r="B1080" s="1" t="n">
        <v>45204</v>
      </c>
      <c r="C1080" s="1" t="n">
        <v>46142</v>
      </c>
      <c r="D1080" t="inlineStr">
        <is>
          <t>GÄVLEBORGS LÄN</t>
        </is>
      </c>
      <c r="E1080" t="inlineStr">
        <is>
          <t>OCKELBO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58713-2025</t>
        </is>
      </c>
      <c r="B1081" s="1" t="n">
        <v>45986.61143518519</v>
      </c>
      <c r="C1081" s="1" t="n">
        <v>46142</v>
      </c>
      <c r="D1081" t="inlineStr">
        <is>
          <t>GÄVLEBORGS LÄN</t>
        </is>
      </c>
      <c r="E1081" t="inlineStr">
        <is>
          <t>OCKELBO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33985-2023</t>
        </is>
      </c>
      <c r="B1082" s="1" t="n">
        <v>45134.82828703704</v>
      </c>
      <c r="C1082" s="1" t="n">
        <v>46142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59086-2025</t>
        </is>
      </c>
      <c r="B1083" s="1" t="n">
        <v>45988.4421412037</v>
      </c>
      <c r="C1083" s="1" t="n">
        <v>46142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20660-2022</t>
        </is>
      </c>
      <c r="B1084" s="1" t="n">
        <v>44700.6490162037</v>
      </c>
      <c r="C1084" s="1" t="n">
        <v>46142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61750-2023</t>
        </is>
      </c>
      <c r="B1085" s="1" t="n">
        <v>45265.79518518518</v>
      </c>
      <c r="C1085" s="1" t="n">
        <v>46142</v>
      </c>
      <c r="D1085" t="inlineStr">
        <is>
          <t>GÄVLEBORGS LÄN</t>
        </is>
      </c>
      <c r="E1085" t="inlineStr">
        <is>
          <t>OCKELBO</t>
        </is>
      </c>
      <c r="G1085" t="n">
        <v>11.2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15247-2025</t>
        </is>
      </c>
      <c r="B1086" s="1" t="n">
        <v>45744.62528935185</v>
      </c>
      <c r="C1086" s="1" t="n">
        <v>46142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35054-2022</t>
        </is>
      </c>
      <c r="B1087" s="1" t="n">
        <v>44797.3377662037</v>
      </c>
      <c r="C1087" s="1" t="n">
        <v>46142</v>
      </c>
      <c r="D1087" t="inlineStr">
        <is>
          <t>GÄVLEBORGS LÄN</t>
        </is>
      </c>
      <c r="E1087" t="inlineStr">
        <is>
          <t>OCKELBO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22821-2024</t>
        </is>
      </c>
      <c r="B1088" s="1" t="n">
        <v>45448</v>
      </c>
      <c r="C1088" s="1" t="n">
        <v>46142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60117-2025</t>
        </is>
      </c>
      <c r="B1089" s="1" t="n">
        <v>45994.32405092593</v>
      </c>
      <c r="C1089" s="1" t="n">
        <v>46142</v>
      </c>
      <c r="D1089" t="inlineStr">
        <is>
          <t>GÄVLEBORGS LÄN</t>
        </is>
      </c>
      <c r="E1089" t="inlineStr">
        <is>
          <t>OCKELBO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17538-2025</t>
        </is>
      </c>
      <c r="B1090" s="1" t="n">
        <v>45757.60380787037</v>
      </c>
      <c r="C1090" s="1" t="n">
        <v>46142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60183-2025</t>
        </is>
      </c>
      <c r="B1091" s="1" t="n">
        <v>45994.47068287037</v>
      </c>
      <c r="C1091" s="1" t="n">
        <v>46142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20059-2025</t>
        </is>
      </c>
      <c r="B1092" s="1" t="n">
        <v>45772.41228009259</v>
      </c>
      <c r="C1092" s="1" t="n">
        <v>46142</v>
      </c>
      <c r="D1092" t="inlineStr">
        <is>
          <t>GÄVLEBORGS LÄN</t>
        </is>
      </c>
      <c r="E1092" t="inlineStr">
        <is>
          <t>OCKELBO</t>
        </is>
      </c>
      <c r="G1092" t="n">
        <v>14.8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55112-2023</t>
        </is>
      </c>
      <c r="B1093" s="1" t="n">
        <v>45237.47232638889</v>
      </c>
      <c r="C1093" s="1" t="n">
        <v>46142</v>
      </c>
      <c r="D1093" t="inlineStr">
        <is>
          <t>GÄVLEBORGS LÄN</t>
        </is>
      </c>
      <c r="E1093" t="inlineStr">
        <is>
          <t>OCKELBO</t>
        </is>
      </c>
      <c r="G1093" t="n">
        <v>14.6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60616-2025</t>
        </is>
      </c>
      <c r="B1094" s="1" t="n">
        <v>45996.37003472223</v>
      </c>
      <c r="C1094" s="1" t="n">
        <v>46142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60487-2025</t>
        </is>
      </c>
      <c r="B1095" s="1" t="n">
        <v>45995.60189814815</v>
      </c>
      <c r="C1095" s="1" t="n">
        <v>46142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59976-2023</t>
        </is>
      </c>
      <c r="B1096" s="1" t="n">
        <v>45254</v>
      </c>
      <c r="C1096" s="1" t="n">
        <v>46142</v>
      </c>
      <c r="D1096" t="inlineStr">
        <is>
          <t>GÄVLEBORGS LÄN</t>
        </is>
      </c>
      <c r="E1096" t="inlineStr">
        <is>
          <t>OCKELBO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59978-2023</t>
        </is>
      </c>
      <c r="B1097" s="1" t="n">
        <v>45254</v>
      </c>
      <c r="C1097" s="1" t="n">
        <v>46142</v>
      </c>
      <c r="D1097" t="inlineStr">
        <is>
          <t>GÄVLEBORGS LÄN</t>
        </is>
      </c>
      <c r="E1097" t="inlineStr">
        <is>
          <t>OCKELBO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60527-2025</t>
        </is>
      </c>
      <c r="B1098" s="1" t="n">
        <v>45995.64913194445</v>
      </c>
      <c r="C1098" s="1" t="n">
        <v>46142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53488-2023</t>
        </is>
      </c>
      <c r="B1099" s="1" t="n">
        <v>45230.35541666667</v>
      </c>
      <c r="C1099" s="1" t="n">
        <v>46142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16738-2025</t>
        </is>
      </c>
      <c r="B1100" s="1" t="n">
        <v>45754.54916666666</v>
      </c>
      <c r="C1100" s="1" t="n">
        <v>46142</v>
      </c>
      <c r="D1100" t="inlineStr">
        <is>
          <t>GÄVLEBORGS LÄN</t>
        </is>
      </c>
      <c r="E1100" t="inlineStr">
        <is>
          <t>OCKELBO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61148-2025</t>
        </is>
      </c>
      <c r="B1101" s="1" t="n">
        <v>46000.53678240741</v>
      </c>
      <c r="C1101" s="1" t="n">
        <v>46142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56034-2023</t>
        </is>
      </c>
      <c r="B1102" s="1" t="n">
        <v>45240.43925925926</v>
      </c>
      <c r="C1102" s="1" t="n">
        <v>46142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61335-2022</t>
        </is>
      </c>
      <c r="B1103" s="1" t="n">
        <v>44915.66561342592</v>
      </c>
      <c r="C1103" s="1" t="n">
        <v>46142</v>
      </c>
      <c r="D1103" t="inlineStr">
        <is>
          <t>GÄVLEBORGS LÄN</t>
        </is>
      </c>
      <c r="E1103" t="inlineStr">
        <is>
          <t>OCKELBO</t>
        </is>
      </c>
      <c r="G1103" t="n">
        <v>8.5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40794-2024</t>
        </is>
      </c>
      <c r="B1104" s="1" t="n">
        <v>45558.50545138889</v>
      </c>
      <c r="C1104" s="1" t="n">
        <v>46142</v>
      </c>
      <c r="D1104" t="inlineStr">
        <is>
          <t>GÄVLEBORGS LÄN</t>
        </is>
      </c>
      <c r="E1104" t="inlineStr">
        <is>
          <t>OCKELBO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61842-2025</t>
        </is>
      </c>
      <c r="B1105" s="1" t="n">
        <v>46003.36434027777</v>
      </c>
      <c r="C1105" s="1" t="n">
        <v>46142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62196-2025</t>
        </is>
      </c>
      <c r="B1106" s="1" t="n">
        <v>46006.55280092593</v>
      </c>
      <c r="C1106" s="1" t="n">
        <v>46142</v>
      </c>
      <c r="D1106" t="inlineStr">
        <is>
          <t>GÄVLEBORGS LÄN</t>
        </is>
      </c>
      <c r="E1106" t="inlineStr">
        <is>
          <t>OCKELBO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54976-2024</t>
        </is>
      </c>
      <c r="B1107" s="1" t="n">
        <v>45620.6840162037</v>
      </c>
      <c r="C1107" s="1" t="n">
        <v>46142</v>
      </c>
      <c r="D1107" t="inlineStr">
        <is>
          <t>GÄVLEBORGS LÄN</t>
        </is>
      </c>
      <c r="E1107" t="inlineStr">
        <is>
          <t>OCKELBO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59383-2025</t>
        </is>
      </c>
      <c r="B1108" s="1" t="n">
        <v>45989.45607638889</v>
      </c>
      <c r="C1108" s="1" t="n">
        <v>46142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921-2024</t>
        </is>
      </c>
      <c r="B1109" s="1" t="n">
        <v>45301</v>
      </c>
      <c r="C1109" s="1" t="n">
        <v>46142</v>
      </c>
      <c r="D1109" t="inlineStr">
        <is>
          <t>GÄVLEBORGS LÄN</t>
        </is>
      </c>
      <c r="E1109" t="inlineStr">
        <is>
          <t>OCKELBO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62096-2024</t>
        </is>
      </c>
      <c r="B1110" s="1" t="n">
        <v>45656.49635416667</v>
      </c>
      <c r="C1110" s="1" t="n">
        <v>46142</v>
      </c>
      <c r="D1110" t="inlineStr">
        <is>
          <t>GÄVLEBORGS LÄN</t>
        </is>
      </c>
      <c r="E1110" t="inlineStr">
        <is>
          <t>OCKELBO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62856-2025</t>
        </is>
      </c>
      <c r="B1111" s="1" t="n">
        <v>46008.7390625</v>
      </c>
      <c r="C1111" s="1" t="n">
        <v>46142</v>
      </c>
      <c r="D1111" t="inlineStr">
        <is>
          <t>GÄVLEBORGS LÄN</t>
        </is>
      </c>
      <c r="E1111" t="inlineStr">
        <is>
          <t>OCKELBO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62411-2025</t>
        </is>
      </c>
      <c r="B1112" s="1" t="n">
        <v>46007.43958333333</v>
      </c>
      <c r="C1112" s="1" t="n">
        <v>46142</v>
      </c>
      <c r="D1112" t="inlineStr">
        <is>
          <t>GÄVLEBORGS LÄN</t>
        </is>
      </c>
      <c r="E1112" t="inlineStr">
        <is>
          <t>OCKELBO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63061-2025</t>
        </is>
      </c>
      <c r="B1113" s="1" t="n">
        <v>46009.65140046296</v>
      </c>
      <c r="C1113" s="1" t="n">
        <v>46142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5636-2026</t>
        </is>
      </c>
      <c r="B1114" s="1" t="n">
        <v>46051.40638888889</v>
      </c>
      <c r="C1114" s="1" t="n">
        <v>46142</v>
      </c>
      <c r="D1114" t="inlineStr">
        <is>
          <t>GÄVLEBORGS LÄN</t>
        </is>
      </c>
      <c r="E1114" t="inlineStr">
        <is>
          <t>OCKELBO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4069-2024</t>
        </is>
      </c>
      <c r="B1115" s="1" t="n">
        <v>45323.56510416666</v>
      </c>
      <c r="C1115" s="1" t="n">
        <v>46142</v>
      </c>
      <c r="D1115" t="inlineStr">
        <is>
          <t>GÄVLEBORGS LÄN</t>
        </is>
      </c>
      <c r="E1115" t="inlineStr">
        <is>
          <t>OCKELBO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62914-2025</t>
        </is>
      </c>
      <c r="B1116" s="1" t="n">
        <v>46009.36662037037</v>
      </c>
      <c r="C1116" s="1" t="n">
        <v>46142</v>
      </c>
      <c r="D1116" t="inlineStr">
        <is>
          <t>GÄVLEBORGS LÄN</t>
        </is>
      </c>
      <c r="E1116" t="inlineStr">
        <is>
          <t>OCKELBO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39710-2023</t>
        </is>
      </c>
      <c r="B1117" s="1" t="n">
        <v>45167.61197916666</v>
      </c>
      <c r="C1117" s="1" t="n">
        <v>46142</v>
      </c>
      <c r="D1117" t="inlineStr">
        <is>
          <t>GÄVLEBORGS LÄN</t>
        </is>
      </c>
      <c r="E1117" t="inlineStr">
        <is>
          <t>OCKELBO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63611-2025</t>
        </is>
      </c>
      <c r="B1118" s="1" t="n">
        <v>46014.34421296296</v>
      </c>
      <c r="C1118" s="1" t="n">
        <v>46142</v>
      </c>
      <c r="D1118" t="inlineStr">
        <is>
          <t>GÄVLEBORGS LÄN</t>
        </is>
      </c>
      <c r="E1118" t="inlineStr">
        <is>
          <t>OCKELBO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63459-2025</t>
        </is>
      </c>
      <c r="B1119" s="1" t="n">
        <v>46013.42375</v>
      </c>
      <c r="C1119" s="1" t="n">
        <v>46142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55906-2024</t>
        </is>
      </c>
      <c r="B1120" s="1" t="n">
        <v>45623.58407407408</v>
      </c>
      <c r="C1120" s="1" t="n">
        <v>46142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63616-2025</t>
        </is>
      </c>
      <c r="B1121" s="1" t="n">
        <v>46014.34641203703</v>
      </c>
      <c r="C1121" s="1" t="n">
        <v>46142</v>
      </c>
      <c r="D1121" t="inlineStr">
        <is>
          <t>GÄVLEBORGS LÄN</t>
        </is>
      </c>
      <c r="E1121" t="inlineStr">
        <is>
          <t>OCKELBO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63224-2025</t>
        </is>
      </c>
      <c r="B1122" s="1" t="n">
        <v>46010.49428240741</v>
      </c>
      <c r="C1122" s="1" t="n">
        <v>46142</v>
      </c>
      <c r="D1122" t="inlineStr">
        <is>
          <t>GÄVLEBORGS LÄN</t>
        </is>
      </c>
      <c r="E1122" t="inlineStr">
        <is>
          <t>OCKELBO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63464-2025</t>
        </is>
      </c>
      <c r="B1123" s="1" t="n">
        <v>46013.42856481481</v>
      </c>
      <c r="C1123" s="1" t="n">
        <v>46142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6341-2026</t>
        </is>
      </c>
      <c r="B1124" s="1" t="n">
        <v>46055.60109953704</v>
      </c>
      <c r="C1124" s="1" t="n">
        <v>46142</v>
      </c>
      <c r="D1124" t="inlineStr">
        <is>
          <t>GÄVLEBORGS LÄN</t>
        </is>
      </c>
      <c r="E1124" t="inlineStr">
        <is>
          <t>OCKELBO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34449-2023</t>
        </is>
      </c>
      <c r="B1125" s="1" t="n">
        <v>45139.67980324074</v>
      </c>
      <c r="C1125" s="1" t="n">
        <v>46142</v>
      </c>
      <c r="D1125" t="inlineStr">
        <is>
          <t>GÄVLEBORGS LÄN</t>
        </is>
      </c>
      <c r="E1125" t="inlineStr">
        <is>
          <t>OCKELBO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6204-2026</t>
        </is>
      </c>
      <c r="B1126" s="1" t="n">
        <v>46055.4175925926</v>
      </c>
      <c r="C1126" s="1" t="n">
        <v>46142</v>
      </c>
      <c r="D1126" t="inlineStr">
        <is>
          <t>GÄVLEBORGS LÄN</t>
        </is>
      </c>
      <c r="E1126" t="inlineStr">
        <is>
          <t>OCKELBO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6496-2026</t>
        </is>
      </c>
      <c r="B1127" s="1" t="n">
        <v>46056.36381944444</v>
      </c>
      <c r="C1127" s="1" t="n">
        <v>46142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31.1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60122-2025</t>
        </is>
      </c>
      <c r="B1128" s="1" t="n">
        <v>45994.3346875</v>
      </c>
      <c r="C1128" s="1" t="n">
        <v>46142</v>
      </c>
      <c r="D1128" t="inlineStr">
        <is>
          <t>GÄVLEBORGS LÄN</t>
        </is>
      </c>
      <c r="E1128" t="inlineStr">
        <is>
          <t>OCKELBO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60120-2025</t>
        </is>
      </c>
      <c r="B1129" s="1" t="n">
        <v>45994.33106481482</v>
      </c>
      <c r="C1129" s="1" t="n">
        <v>46142</v>
      </c>
      <c r="D1129" t="inlineStr">
        <is>
          <t>GÄVLEBORGS LÄN</t>
        </is>
      </c>
      <c r="E1129" t="inlineStr">
        <is>
          <t>OCKELBO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63017-2025</t>
        </is>
      </c>
      <c r="B1130" s="1" t="n">
        <v>46009.59115740741</v>
      </c>
      <c r="C1130" s="1" t="n">
        <v>46142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6915-2026</t>
        </is>
      </c>
      <c r="B1131" s="1" t="n">
        <v>46057.52116898148</v>
      </c>
      <c r="C1131" s="1" t="n">
        <v>46142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63791-2025</t>
        </is>
      </c>
      <c r="B1132" s="1" t="n">
        <v>46019</v>
      </c>
      <c r="C1132" s="1" t="n">
        <v>46142</v>
      </c>
      <c r="D1132" t="inlineStr">
        <is>
          <t>GÄVLEBORGS LÄN</t>
        </is>
      </c>
      <c r="E1132" t="inlineStr">
        <is>
          <t>OCKELBO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39062-2024</t>
        </is>
      </c>
      <c r="B1133" s="1" t="n">
        <v>45548.50462962963</v>
      </c>
      <c r="C1133" s="1" t="n">
        <v>46142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10.1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7949-2026</t>
        </is>
      </c>
      <c r="B1134" s="1" t="n">
        <v>46063.42120370371</v>
      </c>
      <c r="C1134" s="1" t="n">
        <v>46142</v>
      </c>
      <c r="D1134" t="inlineStr">
        <is>
          <t>GÄVLEBORGS LÄN</t>
        </is>
      </c>
      <c r="E1134" t="inlineStr">
        <is>
          <t>OCKELBO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64128-2025</t>
        </is>
      </c>
      <c r="B1135" s="1" t="n">
        <v>46021</v>
      </c>
      <c r="C1135" s="1" t="n">
        <v>46142</v>
      </c>
      <c r="D1135" t="inlineStr">
        <is>
          <t>GÄVLEBORGS LÄN</t>
        </is>
      </c>
      <c r="E1135" t="inlineStr">
        <is>
          <t>OCKELBO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64131-2025</t>
        </is>
      </c>
      <c r="B1136" s="1" t="n">
        <v>46021</v>
      </c>
      <c r="C1136" s="1" t="n">
        <v>46142</v>
      </c>
      <c r="D1136" t="inlineStr">
        <is>
          <t>GÄVLEBORGS LÄN</t>
        </is>
      </c>
      <c r="E1136" t="inlineStr">
        <is>
          <t>OCKELBO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63966-2025</t>
        </is>
      </c>
      <c r="B1137" s="1" t="n">
        <v>46021</v>
      </c>
      <c r="C1137" s="1" t="n">
        <v>46142</v>
      </c>
      <c r="D1137" t="inlineStr">
        <is>
          <t>GÄVLEBORGS LÄN</t>
        </is>
      </c>
      <c r="E1137" t="inlineStr">
        <is>
          <t>OCKELBO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64035-2025</t>
        </is>
      </c>
      <c r="B1138" s="1" t="n">
        <v>46021</v>
      </c>
      <c r="C1138" s="1" t="n">
        <v>46142</v>
      </c>
      <c r="D1138" t="inlineStr">
        <is>
          <t>GÄVLEBORGS LÄN</t>
        </is>
      </c>
      <c r="E1138" t="inlineStr">
        <is>
          <t>OCKELBO</t>
        </is>
      </c>
      <c r="G1138" t="n">
        <v>21.9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63977-2025</t>
        </is>
      </c>
      <c r="B1139" s="1" t="n">
        <v>46021</v>
      </c>
      <c r="C1139" s="1" t="n">
        <v>46142</v>
      </c>
      <c r="D1139" t="inlineStr">
        <is>
          <t>GÄVLEBORGS LÄN</t>
        </is>
      </c>
      <c r="E1139" t="inlineStr">
        <is>
          <t>OCKELBO</t>
        </is>
      </c>
      <c r="G1139" t="n">
        <v>18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64125-2025</t>
        </is>
      </c>
      <c r="B1140" s="1" t="n">
        <v>46021</v>
      </c>
      <c r="C1140" s="1" t="n">
        <v>46142</v>
      </c>
      <c r="D1140" t="inlineStr">
        <is>
          <t>GÄVLEBORGS LÄN</t>
        </is>
      </c>
      <c r="E1140" t="inlineStr">
        <is>
          <t>OCKELBO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64006-2025</t>
        </is>
      </c>
      <c r="B1141" s="1" t="n">
        <v>46021</v>
      </c>
      <c r="C1141" s="1" t="n">
        <v>46142</v>
      </c>
      <c r="D1141" t="inlineStr">
        <is>
          <t>GÄVLEBORGS LÄN</t>
        </is>
      </c>
      <c r="E1141" t="inlineStr">
        <is>
          <t>OCKELBO</t>
        </is>
      </c>
      <c r="G1141" t="n">
        <v>13.6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142-2026</t>
        </is>
      </c>
      <c r="B1142" s="1" t="n">
        <v>46024</v>
      </c>
      <c r="C1142" s="1" t="n">
        <v>46142</v>
      </c>
      <c r="D1142" t="inlineStr">
        <is>
          <t>GÄVLEBORGS LÄN</t>
        </is>
      </c>
      <c r="E1142" t="inlineStr">
        <is>
          <t>OCKELBO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17-2026</t>
        </is>
      </c>
      <c r="B1143" s="1" t="n">
        <v>46023.67790509259</v>
      </c>
      <c r="C1143" s="1" t="n">
        <v>46142</v>
      </c>
      <c r="D1143" t="inlineStr">
        <is>
          <t>GÄVLEBORGS LÄN</t>
        </is>
      </c>
      <c r="E1143" t="inlineStr">
        <is>
          <t>OCKELBO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327-2026</t>
        </is>
      </c>
      <c r="B1144" s="1" t="n">
        <v>46027.59274305555</v>
      </c>
      <c r="C1144" s="1" t="n">
        <v>46142</v>
      </c>
      <c r="D1144" t="inlineStr">
        <is>
          <t>GÄVLEBORGS LÄN</t>
        </is>
      </c>
      <c r="E1144" t="inlineStr">
        <is>
          <t>OCKELBO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288-2026</t>
        </is>
      </c>
      <c r="B1145" s="1" t="n">
        <v>46027.49688657407</v>
      </c>
      <c r="C1145" s="1" t="n">
        <v>46142</v>
      </c>
      <c r="D1145" t="inlineStr">
        <is>
          <t>GÄVLEBORGS LÄN</t>
        </is>
      </c>
      <c r="E1145" t="inlineStr">
        <is>
          <t>OCKELBO</t>
        </is>
      </c>
      <c r="G1145" t="n">
        <v>11.8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244-2026</t>
        </is>
      </c>
      <c r="B1146" s="1" t="n">
        <v>46027.39123842592</v>
      </c>
      <c r="C1146" s="1" t="n">
        <v>46142</v>
      </c>
      <c r="D1146" t="inlineStr">
        <is>
          <t>GÄVLEBORGS LÄN</t>
        </is>
      </c>
      <c r="E1146" t="inlineStr">
        <is>
          <t>OCKELBO</t>
        </is>
      </c>
      <c r="G1146" t="n">
        <v>9.300000000000001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335-2026</t>
        </is>
      </c>
      <c r="B1147" s="1" t="n">
        <v>46027.59798611111</v>
      </c>
      <c r="C1147" s="1" t="n">
        <v>46142</v>
      </c>
      <c r="D1147" t="inlineStr">
        <is>
          <t>GÄVLEBORGS LÄN</t>
        </is>
      </c>
      <c r="E1147" t="inlineStr">
        <is>
          <t>OCKELBO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342-2026</t>
        </is>
      </c>
      <c r="B1148" s="1" t="n">
        <v>46027.61108796296</v>
      </c>
      <c r="C1148" s="1" t="n">
        <v>46142</v>
      </c>
      <c r="D1148" t="inlineStr">
        <is>
          <t>GÄVLEBORGS LÄN</t>
        </is>
      </c>
      <c r="E1148" t="inlineStr">
        <is>
          <t>OCKELBO</t>
        </is>
      </c>
      <c r="G1148" t="n">
        <v>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350-2026</t>
        </is>
      </c>
      <c r="B1149" s="1" t="n">
        <v>46027.63125</v>
      </c>
      <c r="C1149" s="1" t="n">
        <v>46142</v>
      </c>
      <c r="D1149" t="inlineStr">
        <is>
          <t>GÄVLEBORGS LÄN</t>
        </is>
      </c>
      <c r="E1149" t="inlineStr">
        <is>
          <t>OCKELBO</t>
        </is>
      </c>
      <c r="G1149" t="n">
        <v>16.2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346-2026</t>
        </is>
      </c>
      <c r="B1150" s="1" t="n">
        <v>46027.61621527778</v>
      </c>
      <c r="C1150" s="1" t="n">
        <v>46142</v>
      </c>
      <c r="D1150" t="inlineStr">
        <is>
          <t>GÄVLEBORGS LÄN</t>
        </is>
      </c>
      <c r="E1150" t="inlineStr">
        <is>
          <t>OCKELBO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292-2026</t>
        </is>
      </c>
      <c r="B1151" s="1" t="n">
        <v>46027.50319444444</v>
      </c>
      <c r="C1151" s="1" t="n">
        <v>46142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299-2026</t>
        </is>
      </c>
      <c r="B1152" s="1" t="n">
        <v>46027.51408564814</v>
      </c>
      <c r="C1152" s="1" t="n">
        <v>46142</v>
      </c>
      <c r="D1152" t="inlineStr">
        <is>
          <t>GÄVLEBORGS LÄN</t>
        </is>
      </c>
      <c r="E1152" t="inlineStr">
        <is>
          <t>OCKELBO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463-2026</t>
        </is>
      </c>
      <c r="B1153" s="1" t="n">
        <v>46029.38326388889</v>
      </c>
      <c r="C1153" s="1" t="n">
        <v>46142</v>
      </c>
      <c r="D1153" t="inlineStr">
        <is>
          <t>GÄVLEBORGS LÄN</t>
        </is>
      </c>
      <c r="E1153" t="inlineStr">
        <is>
          <t>OCKELBO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465-2026</t>
        </is>
      </c>
      <c r="B1154" s="1" t="n">
        <v>46029.38519675926</v>
      </c>
      <c r="C1154" s="1" t="n">
        <v>46142</v>
      </c>
      <c r="D1154" t="inlineStr">
        <is>
          <t>GÄVLEBORGS LÄN</t>
        </is>
      </c>
      <c r="E1154" t="inlineStr">
        <is>
          <t>OCKELBO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419-2026</t>
        </is>
      </c>
      <c r="B1155" s="1" t="n">
        <v>46028.81819444444</v>
      </c>
      <c r="C1155" s="1" t="n">
        <v>46142</v>
      </c>
      <c r="D1155" t="inlineStr">
        <is>
          <t>GÄVLEBORGS LÄN</t>
        </is>
      </c>
      <c r="E1155" t="inlineStr">
        <is>
          <t>OCKELBO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710-2026</t>
        </is>
      </c>
      <c r="B1156" s="1" t="n">
        <v>46029.6222337963</v>
      </c>
      <c r="C1156" s="1" t="n">
        <v>46142</v>
      </c>
      <c r="D1156" t="inlineStr">
        <is>
          <t>GÄVLEBORGS LÄN</t>
        </is>
      </c>
      <c r="E1156" t="inlineStr">
        <is>
          <t>OCKELBO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421-2026</t>
        </is>
      </c>
      <c r="B1157" s="1" t="n">
        <v>46028.85481481482</v>
      </c>
      <c r="C1157" s="1" t="n">
        <v>46142</v>
      </c>
      <c r="D1157" t="inlineStr">
        <is>
          <t>GÄVLEBORGS LÄN</t>
        </is>
      </c>
      <c r="E1157" t="inlineStr">
        <is>
          <t>OCKELBO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423-2026</t>
        </is>
      </c>
      <c r="B1158" s="1" t="n">
        <v>46028.86578703704</v>
      </c>
      <c r="C1158" s="1" t="n">
        <v>46142</v>
      </c>
      <c r="D1158" t="inlineStr">
        <is>
          <t>GÄVLEBORGS LÄN</t>
        </is>
      </c>
      <c r="E1158" t="inlineStr">
        <is>
          <t>OCKELBO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461-2026</t>
        </is>
      </c>
      <c r="B1159" s="1" t="n">
        <v>46029.38126157408</v>
      </c>
      <c r="C1159" s="1" t="n">
        <v>46142</v>
      </c>
      <c r="D1159" t="inlineStr">
        <is>
          <t>GÄVLEBORGS LÄN</t>
        </is>
      </c>
      <c r="E1159" t="inlineStr">
        <is>
          <t>OCKELBO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417-2026</t>
        </is>
      </c>
      <c r="B1160" s="1" t="n">
        <v>46028.80164351852</v>
      </c>
      <c r="C1160" s="1" t="n">
        <v>46142</v>
      </c>
      <c r="D1160" t="inlineStr">
        <is>
          <t>GÄVLEBORGS LÄN</t>
        </is>
      </c>
      <c r="E1160" t="inlineStr">
        <is>
          <t>OCKELBO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443-2026</t>
        </is>
      </c>
      <c r="B1161" s="1" t="n">
        <v>46029.34457175926</v>
      </c>
      <c r="C1161" s="1" t="n">
        <v>46142</v>
      </c>
      <c r="D1161" t="inlineStr">
        <is>
          <t>GÄVLEBORGS LÄN</t>
        </is>
      </c>
      <c r="E1161" t="inlineStr">
        <is>
          <t>OCKELBO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479-2026</t>
        </is>
      </c>
      <c r="B1162" s="1" t="n">
        <v>46029.40497685185</v>
      </c>
      <c r="C1162" s="1" t="n">
        <v>46142</v>
      </c>
      <c r="D1162" t="inlineStr">
        <is>
          <t>GÄVLEBORGS LÄN</t>
        </is>
      </c>
      <c r="E1162" t="inlineStr">
        <is>
          <t>OCKELBO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469-2026</t>
        </is>
      </c>
      <c r="B1163" s="1" t="n">
        <v>46029.38788194444</v>
      </c>
      <c r="C1163" s="1" t="n">
        <v>46142</v>
      </c>
      <c r="D1163" t="inlineStr">
        <is>
          <t>GÄVLEBORGS LÄN</t>
        </is>
      </c>
      <c r="E1163" t="inlineStr">
        <is>
          <t>OCKELBO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4226-2023</t>
        </is>
      </c>
      <c r="B1164" s="1" t="n">
        <v>44953</v>
      </c>
      <c r="C1164" s="1" t="n">
        <v>46142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136-2026</t>
        </is>
      </c>
      <c r="B1165" s="1" t="n">
        <v>46024</v>
      </c>
      <c r="C1165" s="1" t="n">
        <v>46142</v>
      </c>
      <c r="D1165" t="inlineStr">
        <is>
          <t>GÄVLEBORGS LÄN</t>
        </is>
      </c>
      <c r="E1165" t="inlineStr">
        <is>
          <t>OCKELBO</t>
        </is>
      </c>
      <c r="G1165" t="n">
        <v>12.9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1319-2026</t>
        </is>
      </c>
      <c r="B1166" s="1" t="n">
        <v>46031.54403935185</v>
      </c>
      <c r="C1166" s="1" t="n">
        <v>46142</v>
      </c>
      <c r="D1166" t="inlineStr">
        <is>
          <t>GÄVLEBORGS LÄN</t>
        </is>
      </c>
      <c r="E1166" t="inlineStr">
        <is>
          <t>OCKELBO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10326-2026</t>
        </is>
      </c>
      <c r="B1167" s="1" t="n">
        <v>46076.66048611111</v>
      </c>
      <c r="C1167" s="1" t="n">
        <v>46142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öst AB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1623-2026</t>
        </is>
      </c>
      <c r="B1168" s="1" t="n">
        <v>46034.48016203703</v>
      </c>
      <c r="C1168" s="1" t="n">
        <v>46142</v>
      </c>
      <c r="D1168" t="inlineStr">
        <is>
          <t>GÄVLEBORGS LÄN</t>
        </is>
      </c>
      <c r="E1168" t="inlineStr">
        <is>
          <t>OCKELBO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10145-2026</t>
        </is>
      </c>
      <c r="B1169" s="1" t="n">
        <v>46076.35378472223</v>
      </c>
      <c r="C1169" s="1" t="n">
        <v>46142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öst AB</t>
        </is>
      </c>
      <c r="G1169" t="n">
        <v>10.5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HYPERLINK("https://klasma.github.io/Logging_2101/knärot/A 10145-2026 karta knärot.png", "A 10145-2026")</f>
        <v/>
      </c>
      <c r="V1169">
        <f>HYPERLINK("https://klasma.github.io/Logging_2101/klagomål/A 10145-2026 FSC-klagomål.docx", "A 10145-2026")</f>
        <v/>
      </c>
      <c r="W1169">
        <f>HYPERLINK("https://klasma.github.io/Logging_2101/klagomålsmail/A 10145-2026 FSC-klagomål mail.docx", "A 10145-2026")</f>
        <v/>
      </c>
      <c r="X1169">
        <f>HYPERLINK("https://klasma.github.io/Logging_2101/tillsyn/A 10145-2026 tillsynsbegäran.docx", "A 10145-2026")</f>
        <v/>
      </c>
      <c r="Y1169">
        <f>HYPERLINK("https://klasma.github.io/Logging_2101/tillsynsmail/A 10145-2026 tillsynsbegäran mail.docx", "A 10145-2026")</f>
        <v/>
      </c>
    </row>
    <row r="1170" ht="15" customHeight="1">
      <c r="A1170" t="inlineStr">
        <is>
          <t>A 1738-2026</t>
        </is>
      </c>
      <c r="B1170" s="1" t="n">
        <v>46034.64438657407</v>
      </c>
      <c r="C1170" s="1" t="n">
        <v>46142</v>
      </c>
      <c r="D1170" t="inlineStr">
        <is>
          <t>GÄVLEBORGS LÄN</t>
        </is>
      </c>
      <c r="E1170" t="inlineStr">
        <is>
          <t>OCKELBO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1693-2026</t>
        </is>
      </c>
      <c r="B1171" s="1" t="n">
        <v>46034.59131944444</v>
      </c>
      <c r="C1171" s="1" t="n">
        <v>46142</v>
      </c>
      <c r="D1171" t="inlineStr">
        <is>
          <t>GÄVLEBORGS LÄN</t>
        </is>
      </c>
      <c r="E1171" t="inlineStr">
        <is>
          <t>OCKELBO</t>
        </is>
      </c>
      <c r="G1171" t="n">
        <v>9.300000000000001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33617-2023</t>
        </is>
      </c>
      <c r="B1172" s="1" t="n">
        <v>45132.37506944445</v>
      </c>
      <c r="C1172" s="1" t="n">
        <v>46142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1290-2026</t>
        </is>
      </c>
      <c r="B1173" s="1" t="n">
        <v>46031.50452546297</v>
      </c>
      <c r="C1173" s="1" t="n">
        <v>46142</v>
      </c>
      <c r="D1173" t="inlineStr">
        <is>
          <t>GÄVLEBORGS LÄN</t>
        </is>
      </c>
      <c r="E1173" t="inlineStr">
        <is>
          <t>OCKELBO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1726-2026</t>
        </is>
      </c>
      <c r="B1174" s="1" t="n">
        <v>46034.62466435185</v>
      </c>
      <c r="C1174" s="1" t="n">
        <v>46142</v>
      </c>
      <c r="D1174" t="inlineStr">
        <is>
          <t>GÄVLEBORGS LÄN</t>
        </is>
      </c>
      <c r="E1174" t="inlineStr">
        <is>
          <t>OCKELBO</t>
        </is>
      </c>
      <c r="G1174" t="n">
        <v>9.4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1730-2026</t>
        </is>
      </c>
      <c r="B1175" s="1" t="n">
        <v>46034.63491898148</v>
      </c>
      <c r="C1175" s="1" t="n">
        <v>46142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10290-2026</t>
        </is>
      </c>
      <c r="B1176" s="1" t="n">
        <v>46076.60409722223</v>
      </c>
      <c r="C1176" s="1" t="n">
        <v>46142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öst AB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10268-2026</t>
        </is>
      </c>
      <c r="B1177" s="1" t="n">
        <v>46076.57734953704</v>
      </c>
      <c r="C1177" s="1" t="n">
        <v>46142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öst AB</t>
        </is>
      </c>
      <c r="G1177" t="n">
        <v>7.7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1529-2026</t>
        </is>
      </c>
      <c r="B1178" s="1" t="n">
        <v>46034.3709837963</v>
      </c>
      <c r="C1178" s="1" t="n">
        <v>46142</v>
      </c>
      <c r="D1178" t="inlineStr">
        <is>
          <t>GÄVLEBORGS LÄN</t>
        </is>
      </c>
      <c r="E1178" t="inlineStr">
        <is>
          <t>OCKELBO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34444-2023</t>
        </is>
      </c>
      <c r="B1179" s="1" t="n">
        <v>45139.6669212963</v>
      </c>
      <c r="C1179" s="1" t="n">
        <v>46142</v>
      </c>
      <c r="D1179" t="inlineStr">
        <is>
          <t>GÄVLEBORGS LÄN</t>
        </is>
      </c>
      <c r="E1179" t="inlineStr">
        <is>
          <t>OCKELBO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1456-2026</t>
        </is>
      </c>
      <c r="B1180" s="1" t="n">
        <v>46033.53333333333</v>
      </c>
      <c r="C1180" s="1" t="n">
        <v>46142</v>
      </c>
      <c r="D1180" t="inlineStr">
        <is>
          <t>GÄVLEBORGS LÄN</t>
        </is>
      </c>
      <c r="E1180" t="inlineStr">
        <is>
          <t>OCKELBO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3626-2023</t>
        </is>
      </c>
      <c r="B1181" s="1" t="n">
        <v>44950</v>
      </c>
      <c r="C1181" s="1" t="n">
        <v>46142</v>
      </c>
      <c r="D1181" t="inlineStr">
        <is>
          <t>GÄVLEBORGS LÄN</t>
        </is>
      </c>
      <c r="E1181" t="inlineStr">
        <is>
          <t>OCKELBO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1722-2026</t>
        </is>
      </c>
      <c r="B1182" s="1" t="n">
        <v>46034.61875</v>
      </c>
      <c r="C1182" s="1" t="n">
        <v>46142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1724-2026</t>
        </is>
      </c>
      <c r="B1183" s="1" t="n">
        <v>46034.62362268518</v>
      </c>
      <c r="C1183" s="1" t="n">
        <v>46142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1349-2026</t>
        </is>
      </c>
      <c r="B1184" s="1" t="n">
        <v>46031.59362268518</v>
      </c>
      <c r="C1184" s="1" t="n">
        <v>46142</v>
      </c>
      <c r="D1184" t="inlineStr">
        <is>
          <t>GÄVLEBORGS LÄN</t>
        </is>
      </c>
      <c r="E1184" t="inlineStr">
        <is>
          <t>OCKELBO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10309-2026</t>
        </is>
      </c>
      <c r="B1185" s="1" t="n">
        <v>46076.64421296296</v>
      </c>
      <c r="C1185" s="1" t="n">
        <v>46142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öst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1865-2026</t>
        </is>
      </c>
      <c r="B1186" s="1" t="n">
        <v>46035.44954861111</v>
      </c>
      <c r="C1186" s="1" t="n">
        <v>46142</v>
      </c>
      <c r="D1186" t="inlineStr">
        <is>
          <t>GÄVLEBORGS LÄN</t>
        </is>
      </c>
      <c r="E1186" t="inlineStr">
        <is>
          <t>OCKELBO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50197-2024</t>
        </is>
      </c>
      <c r="B1187" s="1" t="n">
        <v>45600.48857638889</v>
      </c>
      <c r="C1187" s="1" t="n">
        <v>46142</v>
      </c>
      <c r="D1187" t="inlineStr">
        <is>
          <t>GÄVLEBORGS LÄN</t>
        </is>
      </c>
      <c r="E1187" t="inlineStr">
        <is>
          <t>OCKELBO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2388-2026</t>
        </is>
      </c>
      <c r="B1188" s="1" t="n">
        <v>46036.67384259259</v>
      </c>
      <c r="C1188" s="1" t="n">
        <v>46142</v>
      </c>
      <c r="D1188" t="inlineStr">
        <is>
          <t>GÄVLEBORGS LÄN</t>
        </is>
      </c>
      <c r="E1188" t="inlineStr">
        <is>
          <t>OCKELBO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2392-2026</t>
        </is>
      </c>
      <c r="B1189" s="1" t="n">
        <v>46036.67746527777</v>
      </c>
      <c r="C1189" s="1" t="n">
        <v>46142</v>
      </c>
      <c r="D1189" t="inlineStr">
        <is>
          <t>GÄVLEBORGS LÄN</t>
        </is>
      </c>
      <c r="E1189" t="inlineStr">
        <is>
          <t>OCKELBO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2204-2026</t>
        </is>
      </c>
      <c r="B1190" s="1" t="n">
        <v>46036.48025462963</v>
      </c>
      <c r="C1190" s="1" t="n">
        <v>46142</v>
      </c>
      <c r="D1190" t="inlineStr">
        <is>
          <t>GÄVLEBORGS LÄN</t>
        </is>
      </c>
      <c r="E1190" t="inlineStr">
        <is>
          <t>OCKELBO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1866-2026</t>
        </is>
      </c>
      <c r="B1191" s="1" t="n">
        <v>46035.450625</v>
      </c>
      <c r="C1191" s="1" t="n">
        <v>46142</v>
      </c>
      <c r="D1191" t="inlineStr">
        <is>
          <t>GÄVLEBORGS LÄN</t>
        </is>
      </c>
      <c r="E1191" t="inlineStr">
        <is>
          <t>OCKELBO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2353-2026</t>
        </is>
      </c>
      <c r="B1192" s="1" t="n">
        <v>46036.63581018519</v>
      </c>
      <c r="C1192" s="1" t="n">
        <v>46142</v>
      </c>
      <c r="D1192" t="inlineStr">
        <is>
          <t>GÄVLEBORGS LÄN</t>
        </is>
      </c>
      <c r="E1192" t="inlineStr">
        <is>
          <t>OCKELBO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2187-2026</t>
        </is>
      </c>
      <c r="B1193" s="1" t="n">
        <v>46036.46466435185</v>
      </c>
      <c r="C1193" s="1" t="n">
        <v>46142</v>
      </c>
      <c r="D1193" t="inlineStr">
        <is>
          <t>GÄVLEBORGS LÄN</t>
        </is>
      </c>
      <c r="E1193" t="inlineStr">
        <is>
          <t>OCKELBO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10457-2026</t>
        </is>
      </c>
      <c r="B1194" s="1" t="n">
        <v>46077.45247685185</v>
      </c>
      <c r="C1194" s="1" t="n">
        <v>46142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öst AB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2178-2026</t>
        </is>
      </c>
      <c r="B1195" s="1" t="n">
        <v>46036.45693287037</v>
      </c>
      <c r="C1195" s="1" t="n">
        <v>46142</v>
      </c>
      <c r="D1195" t="inlineStr">
        <is>
          <t>GÄVLEBORGS LÄN</t>
        </is>
      </c>
      <c r="E1195" t="inlineStr">
        <is>
          <t>OCKELBO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2201-2026</t>
        </is>
      </c>
      <c r="B1196" s="1" t="n">
        <v>46036.47611111111</v>
      </c>
      <c r="C1196" s="1" t="n">
        <v>46142</v>
      </c>
      <c r="D1196" t="inlineStr">
        <is>
          <t>GÄVLEBORGS LÄN</t>
        </is>
      </c>
      <c r="E1196" t="inlineStr">
        <is>
          <t>OCKELBO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2211-2026</t>
        </is>
      </c>
      <c r="B1197" s="1" t="n">
        <v>46036.49285879629</v>
      </c>
      <c r="C1197" s="1" t="n">
        <v>46142</v>
      </c>
      <c r="D1197" t="inlineStr">
        <is>
          <t>GÄVLEBORGS LÄN</t>
        </is>
      </c>
      <c r="E1197" t="inlineStr">
        <is>
          <t>OCKELBO</t>
        </is>
      </c>
      <c r="G1197" t="n">
        <v>13.2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52330-2024</t>
        </is>
      </c>
      <c r="B1198" s="1" t="n">
        <v>45609.31627314815</v>
      </c>
      <c r="C1198" s="1" t="n">
        <v>46142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2285-2026</t>
        </is>
      </c>
      <c r="B1199" s="1" t="n">
        <v>46036</v>
      </c>
      <c r="C1199" s="1" t="n">
        <v>46142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10.3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1984-2026</t>
        </is>
      </c>
      <c r="B1200" s="1" t="n">
        <v>46035.65653935185</v>
      </c>
      <c r="C1200" s="1" t="n">
        <v>46142</v>
      </c>
      <c r="D1200" t="inlineStr">
        <is>
          <t>GÄVLEBORGS LÄN</t>
        </is>
      </c>
      <c r="E1200" t="inlineStr">
        <is>
          <t>OCKELBO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2304-2026</t>
        </is>
      </c>
      <c r="B1201" s="1" t="n">
        <v>46036.59059027778</v>
      </c>
      <c r="C1201" s="1" t="n">
        <v>46142</v>
      </c>
      <c r="D1201" t="inlineStr">
        <is>
          <t>GÄVLEBORGS LÄN</t>
        </is>
      </c>
      <c r="E1201" t="inlineStr">
        <is>
          <t>OCKELBO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2319-2026</t>
        </is>
      </c>
      <c r="B1202" s="1" t="n">
        <v>46036.60131944445</v>
      </c>
      <c r="C1202" s="1" t="n">
        <v>46142</v>
      </c>
      <c r="D1202" t="inlineStr">
        <is>
          <t>GÄVLEBORGS LÄN</t>
        </is>
      </c>
      <c r="E1202" t="inlineStr">
        <is>
          <t>OCKELBO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2106-2026</t>
        </is>
      </c>
      <c r="B1203" s="1" t="n">
        <v>46036.37615740741</v>
      </c>
      <c r="C1203" s="1" t="n">
        <v>46142</v>
      </c>
      <c r="D1203" t="inlineStr">
        <is>
          <t>GÄVLEBORGS LÄN</t>
        </is>
      </c>
      <c r="E1203" t="inlineStr">
        <is>
          <t>OCKELBO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2360-2026</t>
        </is>
      </c>
      <c r="B1204" s="1" t="n">
        <v>46036</v>
      </c>
      <c r="C1204" s="1" t="n">
        <v>46142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2371-2026</t>
        </is>
      </c>
      <c r="B1205" s="1" t="n">
        <v>46036</v>
      </c>
      <c r="C1205" s="1" t="n">
        <v>46142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32.7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1981-2026</t>
        </is>
      </c>
      <c r="B1206" s="1" t="n">
        <v>46035.65622685185</v>
      </c>
      <c r="C1206" s="1" t="n">
        <v>46142</v>
      </c>
      <c r="D1206" t="inlineStr">
        <is>
          <t>GÄVLEBORGS LÄN</t>
        </is>
      </c>
      <c r="E1206" t="inlineStr">
        <is>
          <t>OCKELBO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1884-2026</t>
        </is>
      </c>
      <c r="B1207" s="1" t="n">
        <v>46035.48829861111</v>
      </c>
      <c r="C1207" s="1" t="n">
        <v>46142</v>
      </c>
      <c r="D1207" t="inlineStr">
        <is>
          <t>GÄVLEBORGS LÄN</t>
        </is>
      </c>
      <c r="E1207" t="inlineStr">
        <is>
          <t>OCKELBO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2207-2026</t>
        </is>
      </c>
      <c r="B1208" s="1" t="n">
        <v>46036.48780092593</v>
      </c>
      <c r="C1208" s="1" t="n">
        <v>46142</v>
      </c>
      <c r="D1208" t="inlineStr">
        <is>
          <t>GÄVLEBORGS LÄN</t>
        </is>
      </c>
      <c r="E1208" t="inlineStr">
        <is>
          <t>OCKELBO</t>
        </is>
      </c>
      <c r="G1208" t="n">
        <v>16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2171-2026</t>
        </is>
      </c>
      <c r="B1209" s="1" t="n">
        <v>46036.44969907407</v>
      </c>
      <c r="C1209" s="1" t="n">
        <v>46142</v>
      </c>
      <c r="D1209" t="inlineStr">
        <is>
          <t>GÄVLEBORGS LÄN</t>
        </is>
      </c>
      <c r="E1209" t="inlineStr">
        <is>
          <t>OCKELBO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28918-2021</t>
        </is>
      </c>
      <c r="B1210" s="1" t="n">
        <v>44358</v>
      </c>
      <c r="C1210" s="1" t="n">
        <v>46142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60148-2023</t>
        </is>
      </c>
      <c r="B1211" s="1" t="n">
        <v>45258.52659722222</v>
      </c>
      <c r="C1211" s="1" t="n">
        <v>46142</v>
      </c>
      <c r="D1211" t="inlineStr">
        <is>
          <t>GÄVLEBORGS LÄN</t>
        </is>
      </c>
      <c r="E1211" t="inlineStr">
        <is>
          <t>OCKELBO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38292-2021</t>
        </is>
      </c>
      <c r="B1212" s="1" t="n">
        <v>44406.33724537037</v>
      </c>
      <c r="C1212" s="1" t="n">
        <v>46142</v>
      </c>
      <c r="D1212" t="inlineStr">
        <is>
          <t>GÄVLEBORGS LÄN</t>
        </is>
      </c>
      <c r="E1212" t="inlineStr">
        <is>
          <t>OCKELBO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33278-2021</t>
        </is>
      </c>
      <c r="B1213" s="1" t="n">
        <v>44377</v>
      </c>
      <c r="C1213" s="1" t="n">
        <v>46142</v>
      </c>
      <c r="D1213" t="inlineStr">
        <is>
          <t>GÄVLEBORGS LÄN</t>
        </is>
      </c>
      <c r="E1213" t="inlineStr">
        <is>
          <t>OCKELBO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61116-2023</t>
        </is>
      </c>
      <c r="B1214" s="1" t="n">
        <v>45261</v>
      </c>
      <c r="C1214" s="1" t="n">
        <v>46142</v>
      </c>
      <c r="D1214" t="inlineStr">
        <is>
          <t>GÄVLEBORGS LÄN</t>
        </is>
      </c>
      <c r="E1214" t="inlineStr">
        <is>
          <t>OCKELBO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61130-2022</t>
        </is>
      </c>
      <c r="B1215" s="1" t="n">
        <v>44915</v>
      </c>
      <c r="C1215" s="1" t="n">
        <v>46142</v>
      </c>
      <c r="D1215" t="inlineStr">
        <is>
          <t>GÄVLEBORGS LÄN</t>
        </is>
      </c>
      <c r="E1215" t="inlineStr">
        <is>
          <t>OCKELBO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22179-2023</t>
        </is>
      </c>
      <c r="B1216" s="1" t="n">
        <v>45069</v>
      </c>
      <c r="C1216" s="1" t="n">
        <v>46142</v>
      </c>
      <c r="D1216" t="inlineStr">
        <is>
          <t>GÄVLEBORGS LÄN</t>
        </is>
      </c>
      <c r="E1216" t="inlineStr">
        <is>
          <t>OCKELBO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44281-2022</t>
        </is>
      </c>
      <c r="B1217" s="1" t="n">
        <v>44839</v>
      </c>
      <c r="C1217" s="1" t="n">
        <v>46142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12767-2025</t>
        </is>
      </c>
      <c r="B1218" s="1" t="n">
        <v>45733.57708333333</v>
      </c>
      <c r="C1218" s="1" t="n">
        <v>46142</v>
      </c>
      <c r="D1218" t="inlineStr">
        <is>
          <t>GÄVLEBORGS LÄN</t>
        </is>
      </c>
      <c r="E1218" t="inlineStr">
        <is>
          <t>OCKELBO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15325-2025</t>
        </is>
      </c>
      <c r="B1219" s="1" t="n">
        <v>45747.33708333333</v>
      </c>
      <c r="C1219" s="1" t="n">
        <v>46142</v>
      </c>
      <c r="D1219" t="inlineStr">
        <is>
          <t>GÄVLEBORGS LÄN</t>
        </is>
      </c>
      <c r="E1219" t="inlineStr">
        <is>
          <t>OCKELBO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29687-2023</t>
        </is>
      </c>
      <c r="B1220" s="1" t="n">
        <v>45107.38415509259</v>
      </c>
      <c r="C1220" s="1" t="n">
        <v>46142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37442-2023</t>
        </is>
      </c>
      <c r="B1221" s="1" t="n">
        <v>45156</v>
      </c>
      <c r="C1221" s="1" t="n">
        <v>46142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3620-2023</t>
        </is>
      </c>
      <c r="B1222" s="1" t="n">
        <v>44950</v>
      </c>
      <c r="C1222" s="1" t="n">
        <v>46142</v>
      </c>
      <c r="D1222" t="inlineStr">
        <is>
          <t>GÄVLEBORGS LÄN</t>
        </is>
      </c>
      <c r="E1222" t="inlineStr">
        <is>
          <t>OCKELBO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53702-2024</t>
        </is>
      </c>
      <c r="B1223" s="1" t="n">
        <v>45615.39707175926</v>
      </c>
      <c r="C1223" s="1" t="n">
        <v>46142</v>
      </c>
      <c r="D1223" t="inlineStr">
        <is>
          <t>GÄVLEBORGS LÄN</t>
        </is>
      </c>
      <c r="E1223" t="inlineStr">
        <is>
          <t>OCKELBO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19886-2023</t>
        </is>
      </c>
      <c r="B1224" s="1" t="n">
        <v>45054.36821759259</v>
      </c>
      <c r="C1224" s="1" t="n">
        <v>46142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33879-2023</t>
        </is>
      </c>
      <c r="B1225" s="1" t="n">
        <v>45134.05142361111</v>
      </c>
      <c r="C1225" s="1" t="n">
        <v>46142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33987-2023</t>
        </is>
      </c>
      <c r="B1226" s="1" t="n">
        <v>45134</v>
      </c>
      <c r="C1226" s="1" t="n">
        <v>46142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29963-2024</t>
        </is>
      </c>
      <c r="B1227" s="1" t="n">
        <v>45488.46547453704</v>
      </c>
      <c r="C1227" s="1" t="n">
        <v>46142</v>
      </c>
      <c r="D1227" t="inlineStr">
        <is>
          <t>GÄVLEBORGS LÄN</t>
        </is>
      </c>
      <c r="E1227" t="inlineStr">
        <is>
          <t>OCKELBO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52241-2024</t>
        </is>
      </c>
      <c r="B1228" s="1" t="n">
        <v>45608.61949074074</v>
      </c>
      <c r="C1228" s="1" t="n">
        <v>46142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52243-2024</t>
        </is>
      </c>
      <c r="B1229" s="1" t="n">
        <v>45608.62261574074</v>
      </c>
      <c r="C1229" s="1" t="n">
        <v>46142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34440-2023</t>
        </is>
      </c>
      <c r="B1230" s="1" t="n">
        <v>45139.65960648148</v>
      </c>
      <c r="C1230" s="1" t="n">
        <v>46142</v>
      </c>
      <c r="D1230" t="inlineStr">
        <is>
          <t>GÄVLEBORGS LÄN</t>
        </is>
      </c>
      <c r="E1230" t="inlineStr">
        <is>
          <t>OCKELBO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29968-2024</t>
        </is>
      </c>
      <c r="B1231" s="1" t="n">
        <v>45488.47298611111</v>
      </c>
      <c r="C1231" s="1" t="n">
        <v>46142</v>
      </c>
      <c r="D1231" t="inlineStr">
        <is>
          <t>GÄVLEBORGS LÄN</t>
        </is>
      </c>
      <c r="E1231" t="inlineStr">
        <is>
          <t>OCKELBO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51989-2023</t>
        </is>
      </c>
      <c r="B1232" s="1" t="n">
        <v>45223.58224537037</v>
      </c>
      <c r="C1232" s="1" t="n">
        <v>46142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21900-2023</t>
        </is>
      </c>
      <c r="B1233" s="1" t="n">
        <v>45068.53083333333</v>
      </c>
      <c r="C1233" s="1" t="n">
        <v>46142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3034-2025</t>
        </is>
      </c>
      <c r="B1234" s="1" t="n">
        <v>45678.59506944445</v>
      </c>
      <c r="C1234" s="1" t="n">
        <v>46142</v>
      </c>
      <c r="D1234" t="inlineStr">
        <is>
          <t>GÄVLEBORGS LÄN</t>
        </is>
      </c>
      <c r="E1234" t="inlineStr">
        <is>
          <t>OCKELBO</t>
        </is>
      </c>
      <c r="G1234" t="n">
        <v>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56741-2024</t>
        </is>
      </c>
      <c r="B1235" s="1" t="n">
        <v>45628.36787037037</v>
      </c>
      <c r="C1235" s="1" t="n">
        <v>46142</v>
      </c>
      <c r="D1235" t="inlineStr">
        <is>
          <t>GÄVLEBORGS LÄN</t>
        </is>
      </c>
      <c r="E1235" t="inlineStr">
        <is>
          <t>OCKELBO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55146-2024</t>
        </is>
      </c>
      <c r="B1236" s="1" t="n">
        <v>45621.48976851852</v>
      </c>
      <c r="C1236" s="1" t="n">
        <v>46142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49448-2023</t>
        </is>
      </c>
      <c r="B1237" s="1" t="n">
        <v>45211</v>
      </c>
      <c r="C1237" s="1" t="n">
        <v>46142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19772-2025</t>
        </is>
      </c>
      <c r="B1238" s="1" t="n">
        <v>45771.4179050926</v>
      </c>
      <c r="C1238" s="1" t="n">
        <v>46142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19774-2025</t>
        </is>
      </c>
      <c r="B1239" s="1" t="n">
        <v>45771.42100694445</v>
      </c>
      <c r="C1239" s="1" t="n">
        <v>46142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46074-2024</t>
        </is>
      </c>
      <c r="B1240" s="1" t="n">
        <v>45581</v>
      </c>
      <c r="C1240" s="1" t="n">
        <v>46142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21878-2023</t>
        </is>
      </c>
      <c r="B1241" s="1" t="n">
        <v>45068.47928240741</v>
      </c>
      <c r="C1241" s="1" t="n">
        <v>46142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39430-2024</t>
        </is>
      </c>
      <c r="B1242" s="1" t="n">
        <v>45551.59668981482</v>
      </c>
      <c r="C1242" s="1" t="n">
        <v>46142</v>
      </c>
      <c r="D1242" t="inlineStr">
        <is>
          <t>GÄVLEBORGS LÄN</t>
        </is>
      </c>
      <c r="E1242" t="inlineStr">
        <is>
          <t>OCKELBO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55070-2023</t>
        </is>
      </c>
      <c r="B1243" s="1" t="n">
        <v>45237</v>
      </c>
      <c r="C1243" s="1" t="n">
        <v>46142</v>
      </c>
      <c r="D1243" t="inlineStr">
        <is>
          <t>GÄVLEBORGS LÄN</t>
        </is>
      </c>
      <c r="E1243" t="inlineStr">
        <is>
          <t>OCKELBO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61319-2024</t>
        </is>
      </c>
      <c r="B1244" s="1" t="n">
        <v>45646.33236111111</v>
      </c>
      <c r="C1244" s="1" t="n">
        <v>46142</v>
      </c>
      <c r="D1244" t="inlineStr">
        <is>
          <t>GÄVLEBORGS LÄN</t>
        </is>
      </c>
      <c r="E1244" t="inlineStr">
        <is>
          <t>OCKELBO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40218-2023</t>
        </is>
      </c>
      <c r="B1245" s="1" t="n">
        <v>45169.45846064815</v>
      </c>
      <c r="C1245" s="1" t="n">
        <v>46142</v>
      </c>
      <c r="D1245" t="inlineStr">
        <is>
          <t>GÄVLEBORGS LÄN</t>
        </is>
      </c>
      <c r="E1245" t="inlineStr">
        <is>
          <t>OCKELBO</t>
        </is>
      </c>
      <c r="G1245" t="n">
        <v>13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6128-2024</t>
        </is>
      </c>
      <c r="B1246" s="1" t="n">
        <v>45337</v>
      </c>
      <c r="C1246" s="1" t="n">
        <v>46142</v>
      </c>
      <c r="D1246" t="inlineStr">
        <is>
          <t>GÄVLEBORGS LÄN</t>
        </is>
      </c>
      <c r="E1246" t="inlineStr">
        <is>
          <t>OCKELBO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19178-2023</t>
        </is>
      </c>
      <c r="B1247" s="1" t="n">
        <v>45048.62515046296</v>
      </c>
      <c r="C1247" s="1" t="n">
        <v>46142</v>
      </c>
      <c r="D1247" t="inlineStr">
        <is>
          <t>GÄVLEBORGS LÄN</t>
        </is>
      </c>
      <c r="E1247" t="inlineStr">
        <is>
          <t>OCKELBO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29885-2023</t>
        </is>
      </c>
      <c r="B1248" s="1" t="n">
        <v>45107.63166666667</v>
      </c>
      <c r="C1248" s="1" t="n">
        <v>46142</v>
      </c>
      <c r="D1248" t="inlineStr">
        <is>
          <t>GÄVLEBORGS LÄN</t>
        </is>
      </c>
      <c r="E1248" t="inlineStr">
        <is>
          <t>OCKELBO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37386-2023</t>
        </is>
      </c>
      <c r="B1249" s="1" t="n">
        <v>45156</v>
      </c>
      <c r="C1249" s="1" t="n">
        <v>46142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2556-2025</t>
        </is>
      </c>
      <c r="B1250" s="1" t="n">
        <v>45674.64923611111</v>
      </c>
      <c r="C1250" s="1" t="n">
        <v>46142</v>
      </c>
      <c r="D1250" t="inlineStr">
        <is>
          <t>GÄVLEBORGS LÄN</t>
        </is>
      </c>
      <c r="E1250" t="inlineStr">
        <is>
          <t>OCKELBO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59063-2023</t>
        </is>
      </c>
      <c r="B1251" s="1" t="n">
        <v>45252.81868055555</v>
      </c>
      <c r="C1251" s="1" t="n">
        <v>46142</v>
      </c>
      <c r="D1251" t="inlineStr">
        <is>
          <t>GÄVLEBORGS LÄN</t>
        </is>
      </c>
      <c r="E1251" t="inlineStr">
        <is>
          <t>OCKELBO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10150-2023</t>
        </is>
      </c>
      <c r="B1252" s="1" t="n">
        <v>44986</v>
      </c>
      <c r="C1252" s="1" t="n">
        <v>46142</v>
      </c>
      <c r="D1252" t="inlineStr">
        <is>
          <t>GÄVLEBORGS LÄN</t>
        </is>
      </c>
      <c r="E1252" t="inlineStr">
        <is>
          <t>OCKELBO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10326-2023</t>
        </is>
      </c>
      <c r="B1253" s="1" t="n">
        <v>44987.31462962963</v>
      </c>
      <c r="C1253" s="1" t="n">
        <v>46142</v>
      </c>
      <c r="D1253" t="inlineStr">
        <is>
          <t>GÄVLEBORGS LÄN</t>
        </is>
      </c>
      <c r="E1253" t="inlineStr">
        <is>
          <t>OCKELBO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37845-2024</t>
        </is>
      </c>
      <c r="B1254" s="1" t="n">
        <v>45544.3700462963</v>
      </c>
      <c r="C1254" s="1" t="n">
        <v>46142</v>
      </c>
      <c r="D1254" t="inlineStr">
        <is>
          <t>GÄVLEBORGS LÄN</t>
        </is>
      </c>
      <c r="E1254" t="inlineStr">
        <is>
          <t>OCKELBO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11385-2025</t>
        </is>
      </c>
      <c r="B1255" s="1" t="n">
        <v>45726.56340277778</v>
      </c>
      <c r="C1255" s="1" t="n">
        <v>46142</v>
      </c>
      <c r="D1255" t="inlineStr">
        <is>
          <t>GÄVLEBORGS LÄN</t>
        </is>
      </c>
      <c r="E1255" t="inlineStr">
        <is>
          <t>OCKELBO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14661-2025</t>
        </is>
      </c>
      <c r="B1256" s="1" t="n">
        <v>45742.53079861111</v>
      </c>
      <c r="C1256" s="1" t="n">
        <v>46142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20775-2025</t>
        </is>
      </c>
      <c r="B1257" s="1" t="n">
        <v>45776.59355324074</v>
      </c>
      <c r="C1257" s="1" t="n">
        <v>46142</v>
      </c>
      <c r="D1257" t="inlineStr">
        <is>
          <t>GÄVLEBORGS LÄN</t>
        </is>
      </c>
      <c r="E1257" t="inlineStr">
        <is>
          <t>OCKELBO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20782-2025</t>
        </is>
      </c>
      <c r="B1258" s="1" t="n">
        <v>45776</v>
      </c>
      <c r="C1258" s="1" t="n">
        <v>46142</v>
      </c>
      <c r="D1258" t="inlineStr">
        <is>
          <t>GÄVLEBORGS LÄN</t>
        </is>
      </c>
      <c r="E1258" t="inlineStr">
        <is>
          <t>OCKELBO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21886-2025</t>
        </is>
      </c>
      <c r="B1259" s="1" t="n">
        <v>45784.42454861111</v>
      </c>
      <c r="C1259" s="1" t="n">
        <v>46142</v>
      </c>
      <c r="D1259" t="inlineStr">
        <is>
          <t>GÄVLEBORGS LÄN</t>
        </is>
      </c>
      <c r="E1259" t="inlineStr">
        <is>
          <t>OCKELBO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22105-2025</t>
        </is>
      </c>
      <c r="B1260" s="1" t="n">
        <v>45785.48791666667</v>
      </c>
      <c r="C1260" s="1" t="n">
        <v>46142</v>
      </c>
      <c r="D1260" t="inlineStr">
        <is>
          <t>GÄVLEBORGS LÄN</t>
        </is>
      </c>
      <c r="E1260" t="inlineStr">
        <is>
          <t>OCKELBO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52273-2024</t>
        </is>
      </c>
      <c r="B1261" s="1" t="n">
        <v>45608.66064814815</v>
      </c>
      <c r="C1261" s="1" t="n">
        <v>46142</v>
      </c>
      <c r="D1261" t="inlineStr">
        <is>
          <t>GÄVLEBORGS LÄN</t>
        </is>
      </c>
      <c r="E1261" t="inlineStr">
        <is>
          <t>OCKELBO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54323-2024</t>
        </is>
      </c>
      <c r="B1262" s="1" t="n">
        <v>45617.35549768519</v>
      </c>
      <c r="C1262" s="1" t="n">
        <v>46142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22376-2025</t>
        </is>
      </c>
      <c r="B1263" s="1" t="n">
        <v>45786.48606481482</v>
      </c>
      <c r="C1263" s="1" t="n">
        <v>46142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11.1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60253-2023</t>
        </is>
      </c>
      <c r="B1264" s="1" t="n">
        <v>45258</v>
      </c>
      <c r="C1264" s="1" t="n">
        <v>46142</v>
      </c>
      <c r="D1264" t="inlineStr">
        <is>
          <t>GÄVLEBORGS LÄN</t>
        </is>
      </c>
      <c r="E1264" t="inlineStr">
        <is>
          <t>OCKELBO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33384-2024</t>
        </is>
      </c>
      <c r="B1265" s="1" t="n">
        <v>45519.47035879629</v>
      </c>
      <c r="C1265" s="1" t="n">
        <v>46142</v>
      </c>
      <c r="D1265" t="inlineStr">
        <is>
          <t>GÄVLEBORGS LÄN</t>
        </is>
      </c>
      <c r="E1265" t="inlineStr">
        <is>
          <t>OCKELBO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37848-2024</t>
        </is>
      </c>
      <c r="B1266" s="1" t="n">
        <v>45544.3709837963</v>
      </c>
      <c r="C1266" s="1" t="n">
        <v>46142</v>
      </c>
      <c r="D1266" t="inlineStr">
        <is>
          <t>GÄVLEBORGS LÄN</t>
        </is>
      </c>
      <c r="E1266" t="inlineStr">
        <is>
          <t>OCKELBO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22387-2025</t>
        </is>
      </c>
      <c r="B1267" s="1" t="n">
        <v>45786.50910879629</v>
      </c>
      <c r="C1267" s="1" t="n">
        <v>46142</v>
      </c>
      <c r="D1267" t="inlineStr">
        <is>
          <t>GÄVLEBORGS LÄN</t>
        </is>
      </c>
      <c r="E1267" t="inlineStr">
        <is>
          <t>OCKELBO</t>
        </is>
      </c>
      <c r="F1267" t="inlineStr">
        <is>
          <t>Bergvik skog väst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23780-2024</t>
        </is>
      </c>
      <c r="B1268" s="1" t="n">
        <v>45455.39258101852</v>
      </c>
      <c r="C1268" s="1" t="n">
        <v>46142</v>
      </c>
      <c r="D1268" t="inlineStr">
        <is>
          <t>GÄVLEBORGS LÄN</t>
        </is>
      </c>
      <c r="E1268" t="inlineStr">
        <is>
          <t>OCKELBO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22385-2025</t>
        </is>
      </c>
      <c r="B1269" s="1" t="n">
        <v>45786.50641203704</v>
      </c>
      <c r="C1269" s="1" t="n">
        <v>46142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28584-2024</t>
        </is>
      </c>
      <c r="B1270" s="1" t="n">
        <v>45478</v>
      </c>
      <c r="C1270" s="1" t="n">
        <v>46142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28181-2022</t>
        </is>
      </c>
      <c r="B1271" s="1" t="n">
        <v>44746.58283564815</v>
      </c>
      <c r="C1271" s="1" t="n">
        <v>46142</v>
      </c>
      <c r="D1271" t="inlineStr">
        <is>
          <t>GÄVLEBORGS LÄN</t>
        </is>
      </c>
      <c r="E1271" t="inlineStr">
        <is>
          <t>OCKELBO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23255-2024</t>
        </is>
      </c>
      <c r="B1272" s="1" t="n">
        <v>45453.36412037037</v>
      </c>
      <c r="C1272" s="1" t="n">
        <v>46142</v>
      </c>
      <c r="D1272" t="inlineStr">
        <is>
          <t>GÄVLEBORGS LÄN</t>
        </is>
      </c>
      <c r="E1272" t="inlineStr">
        <is>
          <t>OCKELBO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23004-2025</t>
        </is>
      </c>
      <c r="B1273" s="1" t="n">
        <v>45790.60747685185</v>
      </c>
      <c r="C1273" s="1" t="n">
        <v>46142</v>
      </c>
      <c r="D1273" t="inlineStr">
        <is>
          <t>GÄVLEBORGS LÄN</t>
        </is>
      </c>
      <c r="E1273" t="inlineStr">
        <is>
          <t>OCKELBO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48803-2024</t>
        </is>
      </c>
      <c r="B1274" s="1" t="n">
        <v>45593.66165509259</v>
      </c>
      <c r="C1274" s="1" t="n">
        <v>46142</v>
      </c>
      <c r="D1274" t="inlineStr">
        <is>
          <t>GÄVLEBORGS LÄN</t>
        </is>
      </c>
      <c r="E1274" t="inlineStr">
        <is>
          <t>OCKELBO</t>
        </is>
      </c>
      <c r="G1274" t="n">
        <v>9.4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23541-2025</t>
        </is>
      </c>
      <c r="B1275" s="1" t="n">
        <v>45792.55434027778</v>
      </c>
      <c r="C1275" s="1" t="n">
        <v>46142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23316-2025</t>
        </is>
      </c>
      <c r="B1276" s="1" t="n">
        <v>45791.61199074074</v>
      </c>
      <c r="C1276" s="1" t="n">
        <v>46142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20689-2025</t>
        </is>
      </c>
      <c r="B1277" s="1" t="n">
        <v>45776.45578703703</v>
      </c>
      <c r="C1277" s="1" t="n">
        <v>46142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16.2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64924-2023</t>
        </is>
      </c>
      <c r="B1278" s="1" t="n">
        <v>45282</v>
      </c>
      <c r="C1278" s="1" t="n">
        <v>46142</v>
      </c>
      <c r="D1278" t="inlineStr">
        <is>
          <t>GÄVLEBORGS LÄN</t>
        </is>
      </c>
      <c r="E1278" t="inlineStr">
        <is>
          <t>OCKELBO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20207-2024</t>
        </is>
      </c>
      <c r="B1279" s="1" t="n">
        <v>45434.65519675926</v>
      </c>
      <c r="C1279" s="1" t="n">
        <v>46142</v>
      </c>
      <c r="D1279" t="inlineStr">
        <is>
          <t>GÄVLEBORGS LÄN</t>
        </is>
      </c>
      <c r="E1279" t="inlineStr">
        <is>
          <t>OCKELBO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55011-2024</t>
        </is>
      </c>
      <c r="B1280" s="1" t="n">
        <v>45621.34652777778</v>
      </c>
      <c r="C1280" s="1" t="n">
        <v>46142</v>
      </c>
      <c r="D1280" t="inlineStr">
        <is>
          <t>GÄVLEBORGS LÄN</t>
        </is>
      </c>
      <c r="E1280" t="inlineStr">
        <is>
          <t>OCKELBO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15403-2022</t>
        </is>
      </c>
      <c r="B1281" s="1" t="n">
        <v>44659</v>
      </c>
      <c r="C1281" s="1" t="n">
        <v>46142</v>
      </c>
      <c r="D1281" t="inlineStr">
        <is>
          <t>GÄVLEBORGS LÄN</t>
        </is>
      </c>
      <c r="E1281" t="inlineStr">
        <is>
          <t>OCKELBO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26085-2024</t>
        </is>
      </c>
      <c r="B1282" s="1" t="n">
        <v>45468.38417824074</v>
      </c>
      <c r="C1282" s="1" t="n">
        <v>46142</v>
      </c>
      <c r="D1282" t="inlineStr">
        <is>
          <t>GÄVLEBORGS LÄN</t>
        </is>
      </c>
      <c r="E1282" t="inlineStr">
        <is>
          <t>OCKELBO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16752-2025</t>
        </is>
      </c>
      <c r="B1283" s="1" t="n">
        <v>45754.56815972222</v>
      </c>
      <c r="C1283" s="1" t="n">
        <v>46142</v>
      </c>
      <c r="D1283" t="inlineStr">
        <is>
          <t>GÄVLEBORGS LÄN</t>
        </is>
      </c>
      <c r="E1283" t="inlineStr">
        <is>
          <t>OCKELBO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15502-2025</t>
        </is>
      </c>
      <c r="B1284" s="1" t="n">
        <v>45747.58980324074</v>
      </c>
      <c r="C1284" s="1" t="n">
        <v>46142</v>
      </c>
      <c r="D1284" t="inlineStr">
        <is>
          <t>GÄVLEBORGS LÄN</t>
        </is>
      </c>
      <c r="E1284" t="inlineStr">
        <is>
          <t>OCKELBO</t>
        </is>
      </c>
      <c r="F1284" t="inlineStr">
        <is>
          <t>Bergvik skog väst AB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49470-2024</t>
        </is>
      </c>
      <c r="B1285" s="1" t="n">
        <v>45596.34179398148</v>
      </c>
      <c r="C1285" s="1" t="n">
        <v>46142</v>
      </c>
      <c r="D1285" t="inlineStr">
        <is>
          <t>GÄVLEBORGS LÄN</t>
        </is>
      </c>
      <c r="E1285" t="inlineStr">
        <is>
          <t>OCKELBO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25246-2025</t>
        </is>
      </c>
      <c r="B1286" s="1" t="n">
        <v>45800.49399305556</v>
      </c>
      <c r="C1286" s="1" t="n">
        <v>46142</v>
      </c>
      <c r="D1286" t="inlineStr">
        <is>
          <t>GÄVLEBORGS LÄN</t>
        </is>
      </c>
      <c r="E1286" t="inlineStr">
        <is>
          <t>OCKELBO</t>
        </is>
      </c>
      <c r="F1286" t="inlineStr">
        <is>
          <t>Bergvik skog väst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25250-2025</t>
        </is>
      </c>
      <c r="B1287" s="1" t="n">
        <v>45800.49899305555</v>
      </c>
      <c r="C1287" s="1" t="n">
        <v>46142</v>
      </c>
      <c r="D1287" t="inlineStr">
        <is>
          <t>GÄVLEBORGS LÄN</t>
        </is>
      </c>
      <c r="E1287" t="inlineStr">
        <is>
          <t>OCKELBO</t>
        </is>
      </c>
      <c r="F1287" t="inlineStr">
        <is>
          <t>Bergvik skog väst AB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25248-2025</t>
        </is>
      </c>
      <c r="B1288" s="1" t="n">
        <v>45800.49638888889</v>
      </c>
      <c r="C1288" s="1" t="n">
        <v>46142</v>
      </c>
      <c r="D1288" t="inlineStr">
        <is>
          <t>GÄVLEBORGS LÄN</t>
        </is>
      </c>
      <c r="E1288" t="inlineStr">
        <is>
          <t>OCKELBO</t>
        </is>
      </c>
      <c r="F1288" t="inlineStr">
        <is>
          <t>Bergvik skog väst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25191-2025</t>
        </is>
      </c>
      <c r="B1289" s="1" t="n">
        <v>45800.45778935185</v>
      </c>
      <c r="C1289" s="1" t="n">
        <v>46142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25233-2025</t>
        </is>
      </c>
      <c r="B1290" s="1" t="n">
        <v>45800.48542824074</v>
      </c>
      <c r="C1290" s="1" t="n">
        <v>46142</v>
      </c>
      <c r="D1290" t="inlineStr">
        <is>
          <t>GÄVLEBORGS LÄN</t>
        </is>
      </c>
      <c r="E1290" t="inlineStr">
        <is>
          <t>OCKELBO</t>
        </is>
      </c>
      <c r="F1290" t="inlineStr">
        <is>
          <t>Bergvik skog väst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25234-2025</t>
        </is>
      </c>
      <c r="B1291" s="1" t="n">
        <v>45800.48849537037</v>
      </c>
      <c r="C1291" s="1" t="n">
        <v>46142</v>
      </c>
      <c r="D1291" t="inlineStr">
        <is>
          <t>GÄVLEBORGS LÄN</t>
        </is>
      </c>
      <c r="E1291" t="inlineStr">
        <is>
          <t>OCKELBO</t>
        </is>
      </c>
      <c r="F1291" t="inlineStr">
        <is>
          <t>Bergvik skog väst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25168-2025</t>
        </is>
      </c>
      <c r="B1292" s="1" t="n">
        <v>45800.43626157408</v>
      </c>
      <c r="C1292" s="1" t="n">
        <v>46142</v>
      </c>
      <c r="D1292" t="inlineStr">
        <is>
          <t>GÄVLEBORGS LÄN</t>
        </is>
      </c>
      <c r="E1292" t="inlineStr">
        <is>
          <t>OCKELBO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25404-2025</t>
        </is>
      </c>
      <c r="B1293" s="1" t="n">
        <v>45800.65675925926</v>
      </c>
      <c r="C1293" s="1" t="n">
        <v>46142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11.1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25564-2025</t>
        </is>
      </c>
      <c r="B1294" s="1" t="n">
        <v>45803.45716435185</v>
      </c>
      <c r="C1294" s="1" t="n">
        <v>46142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11.7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25518-2025</t>
        </is>
      </c>
      <c r="B1295" s="1" t="n">
        <v>45803.38435185186</v>
      </c>
      <c r="C1295" s="1" t="n">
        <v>46142</v>
      </c>
      <c r="D1295" t="inlineStr">
        <is>
          <t>GÄVLEBORGS LÄN</t>
        </is>
      </c>
      <c r="E1295" t="inlineStr">
        <is>
          <t>OCKELBO</t>
        </is>
      </c>
      <c r="F1295" t="inlineStr">
        <is>
          <t>Bergvik skog väst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25512-2025</t>
        </is>
      </c>
      <c r="B1296" s="1" t="n">
        <v>45803.36275462963</v>
      </c>
      <c r="C1296" s="1" t="n">
        <v>46142</v>
      </c>
      <c r="D1296" t="inlineStr">
        <is>
          <t>GÄVLEBORGS LÄN</t>
        </is>
      </c>
      <c r="E1296" t="inlineStr">
        <is>
          <t>OCKELBO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25640-2025</t>
        </is>
      </c>
      <c r="B1297" s="1" t="n">
        <v>45803.60325231482</v>
      </c>
      <c r="C1297" s="1" t="n">
        <v>46142</v>
      </c>
      <c r="D1297" t="inlineStr">
        <is>
          <t>GÄVLEBORGS LÄN</t>
        </is>
      </c>
      <c r="E1297" t="inlineStr">
        <is>
          <t>OCKELBO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2026-04-30T11:08:54Z</dcterms:created>
  <dcterms:modified xmlns:dcterms="http://purl.org/dc/terms/" xmlns:xsi="http://www.w3.org/2001/XMLSchema-instance" xsi:type="dcterms:W3CDTF">2026-04-30T11:08:55Z</dcterms:modified>
</cp:coreProperties>
</file>