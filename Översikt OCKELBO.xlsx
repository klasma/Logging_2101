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46267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46267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46267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46267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46267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46267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46267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46267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46267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46267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46267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46267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46267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46267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Tjäder
Revlummer</t>
        </is>
      </c>
      <c r="W27">
        <f>HYPERLINK("https://klasma.github.io/Logging_2101/artfynd/A 4180-2026 artfynd.xlsx", "A 4180-2026")</f>
        <v/>
      </c>
      <c r="X27">
        <f>HYPERLINK("https://klasma.github.io/Logging_2101/kartor/A 4180-2026 karta.png", "A 4180-2026")</f>
        <v/>
      </c>
      <c r="Y27">
        <f>HYPERLINK("https://klasma.github.io/Logging_2101/kartor_geotiff/A 4180-2026 georefererad karta.tif", "A 4180-2026")</f>
        <v/>
      </c>
      <c r="AA27">
        <f>HYPERLINK("https://klasma.github.io/Logging_2101/klagomål/A 4180-2026 FSC-klagomål.docx", "A 4180-2026")</f>
        <v/>
      </c>
      <c r="AB27">
        <f>HYPERLINK("https://klasma.github.io/Logging_2101/klagomålsmail/A 4180-2026 FSC-klagomål mail.docx", "A 4180-2026")</f>
        <v/>
      </c>
      <c r="AC27">
        <f>HYPERLINK("https://klasma.github.io/Logging_2101/tillsyn/A 4180-2026 tillsynsbegäran.docx", "A 4180-2026")</f>
        <v/>
      </c>
      <c r="AD27">
        <f>HYPERLINK("https://klasma.github.io/Logging_2101/tillsynsmail/A 4180-2026 tillsynsbegäran mail.docx", "A 4180-2026")</f>
        <v/>
      </c>
      <c r="AE27">
        <f>HYPERLINK("https://klasma.github.io/Logging_2101/fåglar/A 4180-2026 prioriterade fågelarter.docx", "A 4180-2026")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46267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46267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46267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46267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46267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57946-2023 artfynd.xlsx", "A 57946-2023")</f>
        <v/>
      </c>
      <c r="X37">
        <f>HYPERLINK("https://klasma.github.io/Logging_2101/kartor/A 57946-2023 karta.png", "A 57946-2023")</f>
        <v/>
      </c>
      <c r="Y37">
        <f>HYPERLINK("https://klasma.github.io/Logging_2101/kartor_geotiff/A 57946-2023 georefererad karta.tif", "A 57946-2023")</f>
        <v/>
      </c>
      <c r="AA37">
        <f>HYPERLINK("https://klasma.github.io/Logging_2101/klagomål/A 57946-2023 FSC-klagomål.docx", "A 57946-2023")</f>
        <v/>
      </c>
      <c r="AB37">
        <f>HYPERLINK("https://klasma.github.io/Logging_2101/klagomålsmail/A 57946-2023 FSC-klagomål mail.docx", "A 57946-2023")</f>
        <v/>
      </c>
      <c r="AC37">
        <f>HYPERLINK("https://klasma.github.io/Logging_2101/tillsyn/A 57946-2023 tillsynsbegäran.docx", "A 57946-2023")</f>
        <v/>
      </c>
      <c r="AD37">
        <f>HYPERLINK("https://klasma.github.io/Logging_2101/tillsynsmail/A 57946-2023 tillsynsbegäran mail.docx", "A 57946-2023")</f>
        <v/>
      </c>
    </row>
    <row r="38" ht="15" customHeight="1">
      <c r="A38" t="inlineStr">
        <is>
          <t>A 6121-2026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46053</v>
      </c>
      <c r="E38" s="1" t="n">
        <v>46267</v>
      </c>
      <c r="F38" t="inlineStr">
        <is>
          <t>GÄVLEBORGS LÄN</t>
        </is>
      </c>
      <c r="G38" t="inlineStr">
        <is>
          <t>OCKELBO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HYPERLINK("https://klasma.github.io/Logging_2101/artfynd/A 6121-2026 artfynd.xlsx", "A 6121-2026")</f>
        <v/>
      </c>
      <c r="X38">
        <f>HYPERLINK("https://klasma.github.io/Logging_2101/kartor/A 6121-2026 karta.png", "A 6121-2026")</f>
        <v/>
      </c>
      <c r="Y38">
        <f>HYPERLINK("https://klasma.github.io/Logging_2101/kartor_geotiff/A 6121-2026 georefererad karta.tif", "A 6121-2026")</f>
        <v/>
      </c>
      <c r="AA38">
        <f>HYPERLINK("https://klasma.github.io/Logging_2101/klagomål/A 6121-2026 FSC-klagomål.docx", "A 6121-2026")</f>
        <v/>
      </c>
      <c r="AB38">
        <f>HYPERLINK("https://klasma.github.io/Logging_2101/klagomålsmail/A 6121-2026 FSC-klagomål mail.docx", "A 6121-2026")</f>
        <v/>
      </c>
      <c r="AC38">
        <f>HYPERLINK("https://klasma.github.io/Logging_2101/tillsyn/A 6121-2026 tillsynsbegäran.docx", "A 6121-2026")</f>
        <v/>
      </c>
      <c r="AD38">
        <f>HYPERLINK("https://klasma.github.io/Logging_2101/tillsynsmail/A 6121-2026 tillsynsbegäran mail.docx", "A 6121-2026")</f>
        <v/>
      </c>
      <c r="AE38">
        <f>HYPERLINK("https://klasma.github.io/Logging_2101/fåglar/A 6121-2026 prioriterade fågelarter.docx", "A 6121-2026")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46267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46267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HYPERLINK("https://klasma.github.io/Logging_2101/artfynd/A 6586-2026 artfynd.xlsx", "A 6586-2026")</f>
        <v/>
      </c>
      <c r="X40">
        <f>HYPERLINK("https://klasma.github.io/Logging_2101/kartor/A 6586-2026 karta.png", "A 6586-2026")</f>
        <v/>
      </c>
      <c r="Y40">
        <f>HYPERLINK("https://klasma.github.io/Logging_2101/kartor_geotiff/A 6586-2026 georefererad karta.tif", "A 6586-2026")</f>
        <v/>
      </c>
      <c r="AA40">
        <f>HYPERLINK("https://klasma.github.io/Logging_2101/klagomål/A 6586-2026 FSC-klagomål.docx", "A 6586-2026")</f>
        <v/>
      </c>
      <c r="AB40">
        <f>HYPERLINK("https://klasma.github.io/Logging_2101/klagomålsmail/A 6586-2026 FSC-klagomål mail.docx", "A 6586-2026")</f>
        <v/>
      </c>
      <c r="AC40">
        <f>HYPERLINK("https://klasma.github.io/Logging_2101/tillsyn/A 6586-2026 tillsynsbegäran.docx", "A 6586-2026")</f>
        <v/>
      </c>
      <c r="AD40">
        <f>HYPERLINK("https://klasma.github.io/Logging_2101/tillsynsmail/A 6586-2026 tillsynsbegäran mail.docx", "A 6586-2026")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46267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10484-2026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46077</v>
      </c>
      <c r="E42" s="1" t="n">
        <v>46267</v>
      </c>
      <c r="F42" t="inlineStr">
        <is>
          <t>GÄVLEBORGS LÄN</t>
        </is>
      </c>
      <c r="G42" t="inlineStr">
        <is>
          <t>OCKELBO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Ullticka</t>
        </is>
      </c>
      <c r="W42">
        <f>HYPERLINK("https://klasma.github.io/Logging_2101/artfynd/A 10484-2026 artfynd.xlsx", "A 10484-2026")</f>
        <v/>
      </c>
      <c r="X42">
        <f>HYPERLINK("https://klasma.github.io/Logging_2101/kartor/A 10484-2026 karta.png", "A 10484-2026")</f>
        <v/>
      </c>
      <c r="Y42">
        <f>HYPERLINK("https://klasma.github.io/Logging_2101/kartor_geotiff/A 10484-2026 georefererad karta.tif", "A 10484-2026")</f>
        <v/>
      </c>
      <c r="AA42">
        <f>HYPERLINK("https://klasma.github.io/Logging_2101/klagomål/A 10484-2026 FSC-klagomål.docx", "A 10484-2026")</f>
        <v/>
      </c>
      <c r="AB42">
        <f>HYPERLINK("https://klasma.github.io/Logging_2101/klagomålsmail/A 10484-2026 FSC-klagomål mail.docx", "A 10484-2026")</f>
        <v/>
      </c>
      <c r="AC42">
        <f>HYPERLINK("https://klasma.github.io/Logging_2101/tillsyn/A 10484-2026 tillsynsbegäran.docx", "A 10484-2026")</f>
        <v/>
      </c>
      <c r="AD42">
        <f>HYPERLINK("https://klasma.github.io/Logging_2101/tillsynsmail/A 10484-2026 tillsynsbegäran mail.docx", "A 10484-2026")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46267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HYPERLINK("https://klasma.github.io/Logging_2101/artfynd/A 55778-2025 artfynd.xlsx", "A 55778-2025")</f>
        <v/>
      </c>
      <c r="X43">
        <f>HYPERLINK("https://klasma.github.io/Logging_2101/kartor/A 55778-2025 karta.png", "A 55778-2025")</f>
        <v/>
      </c>
      <c r="Y43">
        <f>HYPERLINK("https://klasma.github.io/Logging_2101/kartor_geotiff/A 55778-2025 georefererad karta.tif", "A 55778-2025")</f>
        <v/>
      </c>
      <c r="AA43">
        <f>HYPERLINK("https://klasma.github.io/Logging_2101/klagomål/A 55778-2025 FSC-klagomål.docx", "A 55778-2025")</f>
        <v/>
      </c>
      <c r="AB43">
        <f>HYPERLINK("https://klasma.github.io/Logging_2101/klagomålsmail/A 55778-2025 FSC-klagomål mail.docx", "A 55778-2025")</f>
        <v/>
      </c>
      <c r="AC43">
        <f>HYPERLINK("https://klasma.github.io/Logging_2101/tillsyn/A 55778-2025 tillsynsbegäran.docx", "A 55778-2025")</f>
        <v/>
      </c>
      <c r="AD43">
        <f>HYPERLINK("https://klasma.github.io/Logging_2101/tillsynsmail/A 55778-2025 tillsynsbegäran mail.docx", "A 55778-2025")</f>
        <v/>
      </c>
    </row>
    <row r="44" ht="15" customHeight="1">
      <c r="A44" t="inlineStr">
        <is>
          <t>A 15841-2023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45022</v>
      </c>
      <c r="E44" s="1" t="n">
        <v>46267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Havsörn</t>
        </is>
      </c>
      <c r="W44">
        <f>HYPERLINK("https://klasma.github.io/Logging_2101/artfynd/A 15841-2023 artfynd.xlsx", "A 15841-2023")</f>
        <v/>
      </c>
      <c r="X44">
        <f>HYPERLINK("https://klasma.github.io/Logging_2101/kartor/A 15841-2023 karta.png", "A 15841-2023")</f>
        <v/>
      </c>
      <c r="Y44">
        <f>HYPERLINK("https://klasma.github.io/Logging_2101/kartor_geotiff/A 15841-2023 georefererad karta.tif", "A 15841-2023")</f>
        <v/>
      </c>
      <c r="AA44">
        <f>HYPERLINK("https://klasma.github.io/Logging_2101/klagomål/A 15841-2023 FSC-klagomål.docx", "A 15841-2023")</f>
        <v/>
      </c>
      <c r="AB44">
        <f>HYPERLINK("https://klasma.github.io/Logging_2101/klagomålsmail/A 15841-2023 FSC-klagomål mail.docx", "A 15841-2023")</f>
        <v/>
      </c>
      <c r="AC44">
        <f>HYPERLINK("https://klasma.github.io/Logging_2101/tillsyn/A 15841-2023 tillsynsbegäran.docx", "A 15841-2023")</f>
        <v/>
      </c>
      <c r="AD44">
        <f>HYPERLINK("https://klasma.github.io/Logging_2101/tillsynsmail/A 15841-2023 tillsynsbegäran mail.docx", "A 15841-2023")</f>
        <v/>
      </c>
      <c r="AE44">
        <f>HYPERLINK("https://klasma.github.io/Logging_2101/fåglar/A 15841-2023 prioriterade fågelarter.docx", "A 15841-2023")</f>
        <v/>
      </c>
    </row>
    <row r="45" ht="15" customHeight="1">
      <c r="A45" t="inlineStr">
        <is>
          <t>A 13640-2026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46097</v>
      </c>
      <c r="E45" s="1" t="n">
        <v>46267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HYPERLINK("https://klasma.github.io/Logging_2101/artfynd/A 13640-2026 artfynd.xlsx", "A 13640-2026")</f>
        <v/>
      </c>
      <c r="X45">
        <f>HYPERLINK("https://klasma.github.io/Logging_2101/kartor/A 13640-2026 karta.png", "A 13640-2026")</f>
        <v/>
      </c>
      <c r="Y45">
        <f>HYPERLINK("https://klasma.github.io/Logging_2101/kartor_geotiff/A 13640-2026 georefererad karta.tif", "A 13640-2026")</f>
        <v/>
      </c>
      <c r="AA45">
        <f>HYPERLINK("https://klasma.github.io/Logging_2101/klagomål/A 13640-2026 FSC-klagomål.docx", "A 13640-2026")</f>
        <v/>
      </c>
      <c r="AB45">
        <f>HYPERLINK("https://klasma.github.io/Logging_2101/klagomålsmail/A 13640-2026 FSC-klagomål mail.docx", "A 13640-2026")</f>
        <v/>
      </c>
      <c r="AC45">
        <f>HYPERLINK("https://klasma.github.io/Logging_2101/tillsyn/A 13640-2026 tillsynsbegäran.docx", "A 13640-2026")</f>
        <v/>
      </c>
      <c r="AD45">
        <f>HYPERLINK("https://klasma.github.io/Logging_2101/tillsynsmail/A 13640-2026 tillsynsbegäran mail.docx", "A 13640-2026")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46267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HYPERLINK("https://klasma.github.io/Logging_2101/artfynd/A 62989-2025 artfynd.xlsx", "A 62989-2025")</f>
        <v/>
      </c>
      <c r="X46">
        <f>HYPERLINK("https://klasma.github.io/Logging_2101/kartor/A 62989-2025 karta.png", "A 62989-2025")</f>
        <v/>
      </c>
      <c r="Y46">
        <f>HYPERLINK("https://klasma.github.io/Logging_2101/kartor_geotiff/A 62989-2025 georefererad karta.tif", "A 62989-2025")</f>
        <v/>
      </c>
      <c r="AA46">
        <f>HYPERLINK("https://klasma.github.io/Logging_2101/klagomål/A 62989-2025 FSC-klagomål.docx", "A 62989-2025")</f>
        <v/>
      </c>
      <c r="AB46">
        <f>HYPERLINK("https://klasma.github.io/Logging_2101/klagomålsmail/A 62989-2025 FSC-klagomål mail.docx", "A 62989-2025")</f>
        <v/>
      </c>
      <c r="AC46">
        <f>HYPERLINK("https://klasma.github.io/Logging_2101/tillsyn/A 62989-2025 tillsynsbegäran.docx", "A 62989-2025")</f>
        <v/>
      </c>
      <c r="AD46">
        <f>HYPERLINK("https://klasma.github.io/Logging_2101/tillsynsmail/A 62989-2025 tillsynsbegäran mail.docx", "A 62989-2025")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46267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14479-2026 artfynd.xlsx", "A 14479-2026")</f>
        <v/>
      </c>
      <c r="X47">
        <f>HYPERLINK("https://klasma.github.io/Logging_2101/kartor/A 14479-2026 karta.png", "A 14479-2026")</f>
        <v/>
      </c>
      <c r="Y47">
        <f>HYPERLINK("https://klasma.github.io/Logging_2101/kartor_geotiff/A 14479-2026 georefererad karta.tif", "A 14479-2026")</f>
        <v/>
      </c>
      <c r="AA47">
        <f>HYPERLINK("https://klasma.github.io/Logging_2101/klagomål/A 14479-2026 FSC-klagomål.docx", "A 14479-2026")</f>
        <v/>
      </c>
      <c r="AB47">
        <f>HYPERLINK("https://klasma.github.io/Logging_2101/klagomålsmail/A 14479-2026 FSC-klagomål mail.docx", "A 14479-2026")</f>
        <v/>
      </c>
      <c r="AC47">
        <f>HYPERLINK("https://klasma.github.io/Logging_2101/tillsyn/A 14479-2026 tillsynsbegäran.docx", "A 14479-2026")</f>
        <v/>
      </c>
      <c r="AD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46101</v>
      </c>
      <c r="E48" s="1" t="n">
        <v>46267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Tjäder</t>
        </is>
      </c>
      <c r="W48">
        <f>HYPERLINK("https://klasma.github.io/Logging_2101/artfynd/A 14664-2026 artfynd.xlsx", "A 14664-2026")</f>
        <v/>
      </c>
      <c r="X48">
        <f>HYPERLINK("https://klasma.github.io/Logging_2101/kartor/A 14664-2026 karta.png", "A 14664-2026")</f>
        <v/>
      </c>
      <c r="Y48">
        <f>HYPERLINK("https://klasma.github.io/Logging_2101/kartor_geotiff/A 14664-2026 georefererad karta.tif", "A 14664-2026")</f>
        <v/>
      </c>
      <c r="AA48">
        <f>HYPERLINK("https://klasma.github.io/Logging_2101/klagomål/A 14664-2026 FSC-klagomål.docx", "A 14664-2026")</f>
        <v/>
      </c>
      <c r="AB48">
        <f>HYPERLINK("https://klasma.github.io/Logging_2101/klagomålsmail/A 14664-2026 FSC-klagomål mail.docx", "A 14664-2026")</f>
        <v/>
      </c>
      <c r="AC48">
        <f>HYPERLINK("https://klasma.github.io/Logging_2101/tillsyn/A 14664-2026 tillsynsbegäran.docx", "A 14664-2026")</f>
        <v/>
      </c>
      <c r="AD48">
        <f>HYPERLINK("https://klasma.github.io/Logging_2101/tillsynsmail/A 14664-2026 tillsynsbegäran mail.docx", "A 14664-2026")</f>
        <v/>
      </c>
      <c r="AE48">
        <f>HYPERLINK("https://klasma.github.io/Logging_2101/fåglar/A 14664-2026 prioriterade fågelarter.docx", "A 14664-2026")</f>
        <v/>
      </c>
    </row>
    <row r="49" ht="15" customHeight="1">
      <c r="A49" t="inlineStr">
        <is>
          <t>A 2923-2026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46038</v>
      </c>
      <c r="E49" s="1" t="n">
        <v>46267</v>
      </c>
      <c r="F49" t="inlineStr">
        <is>
          <t>GÄVLEBORGS LÄN</t>
        </is>
      </c>
      <c r="G49" t="inlineStr">
        <is>
          <t>OCKELBO</t>
        </is>
      </c>
      <c r="I49" t="n">
        <v>2.8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HYPERLINK("https://klasma.github.io/Logging_2101/artfynd/A 2923-2026 artfynd.xlsx", "A 2923-2026")</f>
        <v/>
      </c>
      <c r="X49">
        <f>HYPERLINK("https://klasma.github.io/Logging_2101/kartor/A 2923-2026 karta.png", "A 2923-2026")</f>
        <v/>
      </c>
      <c r="Y49">
        <f>HYPERLINK("https://klasma.github.io/Logging_2101/kartor_geotiff/A 2923-2026 georefererad karta.tif", "A 2923-2026")</f>
        <v/>
      </c>
      <c r="Z49">
        <f>HYPERLINK("https://klasma.github.io/Logging_2101/knärot/A 2923-2026 karta knärot.png", "A 2923-2026")</f>
        <v/>
      </c>
      <c r="AA49">
        <f>HYPERLINK("https://klasma.github.io/Logging_2101/klagomål/A 2923-2026 FSC-klagomål.docx", "A 2923-2026")</f>
        <v/>
      </c>
      <c r="AB49">
        <f>HYPERLINK("https://klasma.github.io/Logging_2101/klagomålsmail/A 2923-2026 FSC-klagomål mail.docx", "A 2923-2026")</f>
        <v/>
      </c>
      <c r="AC49">
        <f>HYPERLINK("https://klasma.github.io/Logging_2101/tillsyn/A 2923-2026 tillsynsbegäran.docx", "A 2923-2026")</f>
        <v/>
      </c>
      <c r="AD49">
        <f>HYPERLINK("https://klasma.github.io/Logging_2101/tillsynsmail/A 2923-2026 tillsynsbegäran mail.docx", "A 2923-2026")</f>
        <v/>
      </c>
    </row>
    <row r="50" ht="15" customHeight="1">
      <c r="A50" t="inlineStr">
        <is>
          <t>A 18188-2026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46125</v>
      </c>
      <c r="E50" s="1" t="n">
        <v>46267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Järpe</t>
        </is>
      </c>
      <c r="W50">
        <f>HYPERLINK("https://klasma.github.io/Logging_2101/artfynd/A 18188-2026 artfynd.xlsx", "A 18188-2026")</f>
        <v/>
      </c>
      <c r="X50">
        <f>HYPERLINK("https://klasma.github.io/Logging_2101/kartor/A 18188-2026 karta.png", "A 18188-2026")</f>
        <v/>
      </c>
      <c r="Y50">
        <f>HYPERLINK("https://klasma.github.io/Logging_2101/kartor_geotiff/A 18188-2026 georefererad karta.tif", "A 18188-2026")</f>
        <v/>
      </c>
      <c r="AA50">
        <f>HYPERLINK("https://klasma.github.io/Logging_2101/klagomål/A 18188-2026 FSC-klagomål.docx", "A 18188-2026")</f>
        <v/>
      </c>
      <c r="AB50">
        <f>HYPERLINK("https://klasma.github.io/Logging_2101/klagomålsmail/A 18188-2026 FSC-klagomål mail.docx", "A 18188-2026")</f>
        <v/>
      </c>
      <c r="AC50">
        <f>HYPERLINK("https://klasma.github.io/Logging_2101/tillsyn/A 18188-2026 tillsynsbegäran.docx", "A 18188-2026")</f>
        <v/>
      </c>
      <c r="AD50">
        <f>HYPERLINK("https://klasma.github.io/Logging_2101/tillsynsmail/A 18188-2026 tillsynsbegäran mail.docx", "A 18188-2026")</f>
        <v/>
      </c>
      <c r="AE50">
        <f>HYPERLINK("https://klasma.github.io/Logging_2101/fåglar/A 18188-2026 prioriterade fågelarter.docx", "A 18188-2026")</f>
        <v/>
      </c>
    </row>
    <row r="51" ht="15" customHeight="1">
      <c r="A51" t="inlineStr">
        <is>
          <t>A 12777-2026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46091</v>
      </c>
      <c r="E51" s="1" t="n">
        <v>46267</v>
      </c>
      <c r="F51" t="inlineStr">
        <is>
          <t>GÄVLEBORGS LÄN</t>
        </is>
      </c>
      <c r="G51" t="inlineStr">
        <is>
          <t>OCKELBO</t>
        </is>
      </c>
      <c r="I51" t="n">
        <v>4.2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HYPERLINK("https://klasma.github.io/Logging_2101/artfynd/A 12777-2026 artfynd.xlsx", "A 12777-2026")</f>
        <v/>
      </c>
      <c r="X51">
        <f>HYPERLINK("https://klasma.github.io/Logging_2101/kartor/A 12777-2026 karta.png", "A 12777-2026")</f>
        <v/>
      </c>
      <c r="Y51">
        <f>HYPERLINK("https://klasma.github.io/Logging_2101/kartor_geotiff/A 12777-2026 georefererad karta.tif", "A 12777-2026")</f>
        <v/>
      </c>
      <c r="AA51">
        <f>HYPERLINK("https://klasma.github.io/Logging_2101/klagomål/A 12777-2026 FSC-klagomål.docx", "A 12777-2026")</f>
        <v/>
      </c>
      <c r="AB51">
        <f>HYPERLINK("https://klasma.github.io/Logging_2101/klagomålsmail/A 12777-2026 FSC-klagomål mail.docx", "A 12777-2026")</f>
        <v/>
      </c>
      <c r="AC51">
        <f>HYPERLINK("https://klasma.github.io/Logging_2101/tillsyn/A 12777-2026 tillsynsbegäran.docx", "A 12777-2026")</f>
        <v/>
      </c>
      <c r="AD51">
        <f>HYPERLINK("https://klasma.github.io/Logging_2101/tillsynsmail/A 12777-2026 tillsynsbegäran mail.docx", "A 12777-2026")</f>
        <v/>
      </c>
      <c r="AE51">
        <f>HYPERLINK("https://klasma.github.io/Logging_2101/fåglar/A 12777-2026 prioriterade fågelarter.docx", "A 12777-2026")</f>
        <v/>
      </c>
    </row>
    <row r="52" ht="15" customHeight="1">
      <c r="A52" t="inlineStr">
        <is>
          <t>A 10145-2026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46076</v>
      </c>
      <c r="E52" s="1" t="n">
        <v>46267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öst AB</t>
        </is>
      </c>
      <c r="I52" t="n">
        <v>10.5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Fläcknycklar</t>
        </is>
      </c>
      <c r="W52">
        <f>HYPERLINK("https://klasma.github.io/Logging_2101/artfynd/A 10145-2026 artfynd.xlsx", "A 10145-2026")</f>
        <v/>
      </c>
      <c r="X52">
        <f>HYPERLINK("https://klasma.github.io/Logging_2101/kartor/A 10145-2026 karta.png", "A 10145-2026")</f>
        <v/>
      </c>
      <c r="Y52">
        <f>HYPERLINK("https://klasma.github.io/Logging_2101/kartor_geotiff/A 10145-2026 georefererad karta.tif", "A 10145-2026")</f>
        <v/>
      </c>
      <c r="Z52">
        <f>HYPERLINK("https://klasma.github.io/Logging_2101/knärot/A 10145-2026 karta knärot.png", "A 10145-2026")</f>
        <v/>
      </c>
      <c r="AA52">
        <f>HYPERLINK("https://klasma.github.io/Logging_2101/klagomål/A 10145-2026 FSC-klagomål.docx", "A 10145-2026")</f>
        <v/>
      </c>
      <c r="AB52">
        <f>HYPERLINK("https://klasma.github.io/Logging_2101/klagomålsmail/A 10145-2026 FSC-klagomål mail.docx", "A 10145-2026")</f>
        <v/>
      </c>
      <c r="AC52">
        <f>HYPERLINK("https://klasma.github.io/Logging_2101/tillsyn/A 10145-2026 tillsynsbegäran.docx", "A 10145-2026")</f>
        <v/>
      </c>
      <c r="AD52">
        <f>HYPERLINK("https://klasma.github.io/Logging_2101/tillsynsmail/A 10145-2026 tillsynsbegäran mail.docx", "A 10145-2026")</f>
        <v/>
      </c>
    </row>
    <row r="53" ht="15" customHeight="1">
      <c r="A53" t="inlineStr">
        <is>
          <t>A 9155-2026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46070</v>
      </c>
      <c r="E53" s="1" t="n">
        <v>46267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Kolflarnlav</t>
        </is>
      </c>
      <c r="W53">
        <f>HYPERLINK("https://klasma.github.io/Logging_2101/artfynd/A 9155-2026 artfynd.xlsx", "A 9155-2026")</f>
        <v/>
      </c>
      <c r="X53">
        <f>HYPERLINK("https://klasma.github.io/Logging_2101/kartor/A 9155-2026 karta.png", "A 9155-2026")</f>
        <v/>
      </c>
      <c r="Y53">
        <f>HYPERLINK("https://klasma.github.io/Logging_2101/kartor_geotiff/A 9155-2026 georefererad karta.tif", "A 9155-2026")</f>
        <v/>
      </c>
      <c r="AA53">
        <f>HYPERLINK("https://klasma.github.io/Logging_2101/klagomål/A 9155-2026 FSC-klagomål.docx", "A 9155-2026")</f>
        <v/>
      </c>
      <c r="AB53">
        <f>HYPERLINK("https://klasma.github.io/Logging_2101/klagomålsmail/A 9155-2026 FSC-klagomål mail.docx", "A 9155-2026")</f>
        <v/>
      </c>
      <c r="AC53">
        <f>HYPERLINK("https://klasma.github.io/Logging_2101/tillsyn/A 9155-2026 tillsynsbegäran.docx", "A 9155-2026")</f>
        <v/>
      </c>
      <c r="AD53">
        <f>HYPERLINK("https://klasma.github.io/Logging_2101/tillsynsmail/A 9155-2026 tillsynsbegäran mail.docx", "A 9155-2026")</f>
        <v/>
      </c>
    </row>
    <row r="54" ht="15" customHeight="1">
      <c r="A54" t="inlineStr">
        <is>
          <t>A 20233-2026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46267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17.9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Tibast</t>
        </is>
      </c>
      <c r="W54">
        <f>HYPERLINK("https://klasma.github.io/Logging_2101/artfynd/A 20233-2026 artfynd.xlsx", "A 20233-2026")</f>
        <v/>
      </c>
      <c r="X54">
        <f>HYPERLINK("https://klasma.github.io/Logging_2101/kartor/A 20233-2026 karta.png", "A 20233-2026")</f>
        <v/>
      </c>
      <c r="Y54">
        <f>HYPERLINK("https://klasma.github.io/Logging_2101/kartor_geotiff/A 20233-2026 georefererad karta.tif", "A 20233-2026")</f>
        <v/>
      </c>
      <c r="AA54">
        <f>HYPERLINK("https://klasma.github.io/Logging_2101/klagomål/A 20233-2026 FSC-klagomål.docx", "A 20233-2026")</f>
        <v/>
      </c>
      <c r="AB54">
        <f>HYPERLINK("https://klasma.github.io/Logging_2101/klagomålsmail/A 20233-2026 FSC-klagomål mail.docx", "A 20233-2026")</f>
        <v/>
      </c>
      <c r="AC54">
        <f>HYPERLINK("https://klasma.github.io/Logging_2101/tillsyn/A 20233-2026 tillsynsbegäran.docx", "A 20233-2026")</f>
        <v/>
      </c>
      <c r="AD54">
        <f>HYPERLINK("https://klasma.github.io/Logging_2101/tillsynsmail/A 20233-2026 tillsynsbegäran mail.docx", "A 20233-2026")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46267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46267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46267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46267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46267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16738-2025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46267</v>
      </c>
      <c r="F60" t="inlineStr">
        <is>
          <t>GÄVLEBORGS LÄN</t>
        </is>
      </c>
      <c r="G60" t="inlineStr">
        <is>
          <t>OCKELBO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HYPERLINK("https://klasma.github.io/Logging_2101/artfynd/A 16738-2025 artfynd.xlsx", "A 16738-2025")</f>
        <v/>
      </c>
      <c r="X60">
        <f>HYPERLINK("https://klasma.github.io/Logging_2101/kartor/A 16738-2025 karta.png", "A 16738-2025")</f>
        <v/>
      </c>
      <c r="Y60">
        <f>HYPERLINK("https://klasma.github.io/Logging_2101/kartor_geotiff/A 16738-2025 georefererad karta.tif", "A 16738-2025")</f>
        <v/>
      </c>
      <c r="AA60">
        <f>HYPERLINK("https://klasma.github.io/Logging_2101/klagomål/A 16738-2025 FSC-klagomål.docx", "A 16738-2025")</f>
        <v/>
      </c>
      <c r="AB60">
        <f>HYPERLINK("https://klasma.github.io/Logging_2101/klagomålsmail/A 16738-2025 FSC-klagomål mail.docx", "A 16738-2025")</f>
        <v/>
      </c>
      <c r="AC60">
        <f>HYPERLINK("https://klasma.github.io/Logging_2101/tillsyn/A 16738-2025 tillsynsbegäran.docx", "A 16738-2025")</f>
        <v/>
      </c>
      <c r="AD60">
        <f>HYPERLINK("https://klasma.github.io/Logging_2101/tillsynsmail/A 16738-2025 tillsynsbegäran mail.docx", "A 16738-2025")</f>
        <v/>
      </c>
    </row>
    <row r="61" ht="15" customHeight="1">
      <c r="A61" t="inlineStr">
        <is>
          <t>A 4226-2023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44953</v>
      </c>
      <c r="E61" s="1" t="n">
        <v>46267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Skogsknipprot</t>
        </is>
      </c>
      <c r="W61">
        <f>HYPERLINK("https://klasma.github.io/Logging_2101/artfynd/A 4226-2023 artfynd.xlsx", "A 4226-2023")</f>
        <v/>
      </c>
      <c r="X61">
        <f>HYPERLINK("https://klasma.github.io/Logging_2101/kartor/A 4226-2023 karta.png", "A 4226-2023")</f>
        <v/>
      </c>
      <c r="Y61">
        <f>HYPERLINK("https://klasma.github.io/Logging_2101/kartor_geotiff/A 4226-2023 georefererad karta.tif", "A 4226-2023")</f>
        <v/>
      </c>
      <c r="AA61">
        <f>HYPERLINK("https://klasma.github.io/Logging_2101/klagomål/A 4226-2023 FSC-klagomål.docx", "A 4226-2023")</f>
        <v/>
      </c>
      <c r="AB61">
        <f>HYPERLINK("https://klasma.github.io/Logging_2101/klagomålsmail/A 4226-2023 FSC-klagomål mail.docx", "A 4226-2023")</f>
        <v/>
      </c>
      <c r="AC61">
        <f>HYPERLINK("https://klasma.github.io/Logging_2101/tillsyn/A 4226-2023 tillsynsbegäran.docx", "A 4226-2023")</f>
        <v/>
      </c>
      <c r="AD61">
        <f>HYPERLINK("https://klasma.github.io/Logging_2101/tillsynsmail/A 4226-2023 tillsynsbegäran mail.docx", "A 4226-2023")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46267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46267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46267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46267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46267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46267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46267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46267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46267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46267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46267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46267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46267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46267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46267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46267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46267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46267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46267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51708-2021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46267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46267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46267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46267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46267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46267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46267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46267</v>
      </c>
      <c r="F89" t="inlineStr">
        <is>
          <t>GÄVLEBORGS LÄN</t>
        </is>
      </c>
      <c r="G89" t="inlineStr">
        <is>
          <t>OCKELBO</t>
        </is>
      </c>
      <c r="I89" t="n">
        <v>7.6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44663</v>
      </c>
      <c r="E90" s="1" t="n">
        <v>46267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46267</v>
      </c>
      <c r="F91" t="inlineStr">
        <is>
          <t>GÄVLEBORGS LÄN</t>
        </is>
      </c>
      <c r="G91" t="inlineStr">
        <is>
          <t>OCKELBO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46267</v>
      </c>
      <c r="F92" t="inlineStr">
        <is>
          <t>GÄVLEBORGS LÄN</t>
        </is>
      </c>
      <c r="G92" t="inlineStr">
        <is>
          <t>OCKELBO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46267</v>
      </c>
      <c r="F93" t="inlineStr">
        <is>
          <t>GÄVLEBORGS LÄN</t>
        </is>
      </c>
      <c r="G93" t="inlineStr">
        <is>
          <t>OCKELBO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46267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46267</v>
      </c>
      <c r="F95" t="inlineStr">
        <is>
          <t>GÄVLEBORGS LÄN</t>
        </is>
      </c>
      <c r="G95" t="inlineStr">
        <is>
          <t>OCKELBO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46267</v>
      </c>
      <c r="F96" t="inlineStr">
        <is>
          <t>GÄVLEBORGS LÄN</t>
        </is>
      </c>
      <c r="G96" t="inlineStr">
        <is>
          <t>OCKELBO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45527</v>
      </c>
      <c r="E97" s="1" t="n">
        <v>46267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12.2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46267</v>
      </c>
      <c r="F98" t="inlineStr">
        <is>
          <t>GÄVLEBORGS LÄN</t>
        </is>
      </c>
      <c r="G98" t="inlineStr">
        <is>
          <t>OCKELBO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46267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44893</v>
      </c>
      <c r="E100" s="1" t="n">
        <v>46267</v>
      </c>
      <c r="F100" t="inlineStr">
        <is>
          <t>GÄVLEBORGS LÄN</t>
        </is>
      </c>
      <c r="G100" t="inlineStr">
        <is>
          <t>OCKELBO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46267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46267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44887</v>
      </c>
      <c r="E103" s="1" t="n">
        <v>46267</v>
      </c>
      <c r="F103" t="inlineStr">
        <is>
          <t>GÄVLEBORGS LÄN</t>
        </is>
      </c>
      <c r="G103" t="inlineStr">
        <is>
          <t>OCKELBO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45434</v>
      </c>
      <c r="E104" s="1" t="n">
        <v>46267</v>
      </c>
      <c r="F104" t="inlineStr">
        <is>
          <t>GÄVLEBORGS LÄN</t>
        </is>
      </c>
      <c r="G104" t="inlineStr">
        <is>
          <t>OCKELBO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45450</v>
      </c>
      <c r="E105" s="1" t="n">
        <v>46267</v>
      </c>
      <c r="F105" t="inlineStr">
        <is>
          <t>GÄVLEBORGS LÄN</t>
        </is>
      </c>
      <c r="G105" t="inlineStr">
        <is>
          <t>OCKELBO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21878-2024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46267</v>
      </c>
      <c r="F106" t="inlineStr">
        <is>
          <t>GÄVLEBORGS LÄN</t>
        </is>
      </c>
      <c r="G106" t="inlineStr">
        <is>
          <t>OCKELBO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45334</v>
      </c>
      <c r="E107" s="1" t="n">
        <v>46267</v>
      </c>
      <c r="F107" t="inlineStr">
        <is>
          <t>GÄVLEBORGS LÄN</t>
        </is>
      </c>
      <c r="G107" t="inlineStr">
        <is>
          <t>OCKELBO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46267</v>
      </c>
      <c r="F108" t="inlineStr">
        <is>
          <t>GÄVLEBORGS LÄN</t>
        </is>
      </c>
      <c r="G108" t="inlineStr">
        <is>
          <t>OCKELBO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45481</v>
      </c>
      <c r="E109" s="1" t="n">
        <v>46267</v>
      </c>
      <c r="F109" t="inlineStr">
        <is>
          <t>GÄVLEBORGS LÄN</t>
        </is>
      </c>
      <c r="G109" t="inlineStr">
        <is>
          <t>OCKELBO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45490</v>
      </c>
      <c r="E110" s="1" t="n">
        <v>46267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45366</v>
      </c>
      <c r="E111" s="1" t="n">
        <v>46267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46267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46267</v>
      </c>
      <c r="F113" t="inlineStr">
        <is>
          <t>GÄVLEBORGS LÄN</t>
        </is>
      </c>
      <c r="G113" t="inlineStr">
        <is>
          <t>OCKELBO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46267</v>
      </c>
      <c r="F114" t="inlineStr">
        <is>
          <t>GÄVLEBORGS LÄN</t>
        </is>
      </c>
      <c r="G114" t="inlineStr">
        <is>
          <t>OCKELBO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45134</v>
      </c>
      <c r="E115" s="1" t="n">
        <v>46267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45239</v>
      </c>
      <c r="E116" s="1" t="n">
        <v>46267</v>
      </c>
      <c r="F116" t="inlineStr">
        <is>
          <t>GÄVLEBORGS LÄN</t>
        </is>
      </c>
      <c r="G116" t="inlineStr">
        <is>
          <t>OCKELBO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46267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46267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46267</v>
      </c>
      <c r="F119" t="inlineStr">
        <is>
          <t>GÄVLEBORGS LÄN</t>
        </is>
      </c>
      <c r="G119" t="inlineStr">
        <is>
          <t>OCKELBO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45184</v>
      </c>
      <c r="E120" s="1" t="n">
        <v>46267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46267</v>
      </c>
      <c r="F121" t="inlineStr">
        <is>
          <t>GÄVLEBORGS LÄN</t>
        </is>
      </c>
      <c r="G121" t="inlineStr">
        <is>
          <t>OCKELBO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46267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46267</v>
      </c>
      <c r="F123" t="inlineStr">
        <is>
          <t>GÄVLEBORGS LÄN</t>
        </is>
      </c>
      <c r="G123" t="inlineStr">
        <is>
          <t>OCKELBO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64367-2023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46267</v>
      </c>
      <c r="F124" t="inlineStr">
        <is>
          <t>GÄVLEBORGS LÄN</t>
        </is>
      </c>
      <c r="G124" t="inlineStr">
        <is>
          <t>OCKELBO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46041</v>
      </c>
      <c r="E125" s="1" t="n">
        <v>46267</v>
      </c>
      <c r="F125" t="inlineStr">
        <is>
          <t>GÄVLEBORGS LÄN</t>
        </is>
      </c>
      <c r="G125" t="inlineStr">
        <is>
          <t>OCKELBO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46267</v>
      </c>
      <c r="F126" t="inlineStr">
        <is>
          <t>GÄVLEBORGS LÄN</t>
        </is>
      </c>
      <c r="G126" t="inlineStr">
        <is>
          <t>OCKELBO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46267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46041</v>
      </c>
      <c r="E128" s="1" t="n">
        <v>46267</v>
      </c>
      <c r="F128" t="inlineStr">
        <is>
          <t>GÄVLEBORGS LÄN</t>
        </is>
      </c>
      <c r="G128" t="inlineStr">
        <is>
          <t>OCKELBO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46267</v>
      </c>
      <c r="F129" t="inlineStr">
        <is>
          <t>GÄVLEBORGS LÄN</t>
        </is>
      </c>
      <c r="G129" t="inlineStr">
        <is>
          <t>OCKELBO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45817</v>
      </c>
      <c r="E130" s="1" t="n">
        <v>46267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45817</v>
      </c>
      <c r="E131" s="1" t="n">
        <v>46267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46267</v>
      </c>
      <c r="F132" t="inlineStr">
        <is>
          <t>GÄVLEBORGS LÄN</t>
        </is>
      </c>
      <c r="G132" t="inlineStr">
        <is>
          <t>OCKELBO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45817</v>
      </c>
      <c r="E133" s="1" t="n">
        <v>46267</v>
      </c>
      <c r="F133" t="inlineStr">
        <is>
          <t>GÄVLEBORGS LÄN</t>
        </is>
      </c>
      <c r="G133" t="inlineStr">
        <is>
          <t>OCKELBO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45819</v>
      </c>
      <c r="E134" s="1" t="n">
        <v>46267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45819</v>
      </c>
      <c r="E135" s="1" t="n">
        <v>46267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46267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39142-2025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46267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46043</v>
      </c>
      <c r="E138" s="1" t="n">
        <v>46267</v>
      </c>
      <c r="F138" t="inlineStr">
        <is>
          <t>GÄVLEBORGS LÄN</t>
        </is>
      </c>
      <c r="G138" t="inlineStr">
        <is>
          <t>OCKELBO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46043</v>
      </c>
      <c r="E139" s="1" t="n">
        <v>46267</v>
      </c>
      <c r="F139" t="inlineStr">
        <is>
          <t>GÄVLEBORGS LÄN</t>
        </is>
      </c>
      <c r="G139" t="inlineStr">
        <is>
          <t>OCKELBO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46267</v>
      </c>
      <c r="F140" t="inlineStr">
        <is>
          <t>GÄVLEBORGS LÄN</t>
        </is>
      </c>
      <c r="G140" t="inlineStr">
        <is>
          <t>OCKELBO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46267</v>
      </c>
      <c r="F141" t="inlineStr">
        <is>
          <t>GÄVLEBORGS LÄN</t>
        </is>
      </c>
      <c r="G141" t="inlineStr">
        <is>
          <t>OCKELBO</t>
        </is>
      </c>
      <c r="H141" t="inlineStr">
        <is>
          <t>Kyrkan</t>
        </is>
      </c>
      <c r="I141" t="n">
        <v>12.5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46267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46267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46267</v>
      </c>
      <c r="F144" t="inlineStr">
        <is>
          <t>GÄVLEBORGS LÄN</t>
        </is>
      </c>
      <c r="G144" t="inlineStr">
        <is>
          <t>OCKELBO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46267</v>
      </c>
      <c r="F145" t="inlineStr">
        <is>
          <t>GÄVLEBORGS LÄN</t>
        </is>
      </c>
      <c r="G145" t="inlineStr">
        <is>
          <t>OCKELBO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46267</v>
      </c>
      <c r="F146" t="inlineStr">
        <is>
          <t>GÄVLEBORGS LÄN</t>
        </is>
      </c>
      <c r="G146" t="inlineStr">
        <is>
          <t>OCKELBO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46267</v>
      </c>
      <c r="F147" t="inlineStr">
        <is>
          <t>GÄVLEBORGS LÄN</t>
        </is>
      </c>
      <c r="G147" t="inlineStr">
        <is>
          <t>OCKELBO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46267</v>
      </c>
      <c r="F148" t="inlineStr">
        <is>
          <t>GÄVLEBORGS LÄN</t>
        </is>
      </c>
      <c r="G148" t="inlineStr">
        <is>
          <t>OCKELBO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46267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45827</v>
      </c>
      <c r="E150" s="1" t="n">
        <v>46267</v>
      </c>
      <c r="F150" t="inlineStr">
        <is>
          <t>GÄVLEBORGS LÄN</t>
        </is>
      </c>
      <c r="G150" t="inlineStr">
        <is>
          <t>OCKELBO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45497</v>
      </c>
      <c r="E151" s="1" t="n">
        <v>46267</v>
      </c>
      <c r="F151" t="inlineStr">
        <is>
          <t>GÄVLEBORGS LÄN</t>
        </is>
      </c>
      <c r="G151" t="inlineStr">
        <is>
          <t>OCKELBO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46267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46267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45827</v>
      </c>
      <c r="E154" s="1" t="n">
        <v>46267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46267</v>
      </c>
      <c r="F155" t="inlineStr">
        <is>
          <t>GÄVLEBORGS LÄN</t>
        </is>
      </c>
      <c r="G155" t="inlineStr">
        <is>
          <t>OCKELBO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46267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40148-2025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46267</v>
      </c>
      <c r="F157" t="inlineStr">
        <is>
          <t>GÄVLEBORGS LÄN</t>
        </is>
      </c>
      <c r="G157" t="inlineStr">
        <is>
          <t>OCKELBO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46267</v>
      </c>
      <c r="F158" t="inlineStr">
        <is>
          <t>GÄVLEBORGS LÄN</t>
        </is>
      </c>
      <c r="G158" t="inlineStr">
        <is>
          <t>OCKELBO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46267</v>
      </c>
      <c r="F159" t="inlineStr">
        <is>
          <t>GÄVLEBORGS LÄN</t>
        </is>
      </c>
      <c r="G159" t="inlineStr">
        <is>
          <t>OCKELBO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46267</v>
      </c>
      <c r="F160" t="inlineStr">
        <is>
          <t>GÄVLEBORGS LÄN</t>
        </is>
      </c>
      <c r="G160" t="inlineStr">
        <is>
          <t>OCKELBO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49207-2023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45210</v>
      </c>
      <c r="E161" s="1" t="n">
        <v>46267</v>
      </c>
      <c r="F161" t="inlineStr">
        <is>
          <t>GÄVLEBORGS LÄN</t>
        </is>
      </c>
      <c r="G161" t="inlineStr">
        <is>
          <t>OCKELBO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46267</v>
      </c>
      <c r="F162" t="inlineStr">
        <is>
          <t>GÄVLEBORGS LÄN</t>
        </is>
      </c>
      <c r="G162" t="inlineStr">
        <is>
          <t>OCKELBO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46267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45840</v>
      </c>
      <c r="E164" s="1" t="n">
        <v>46267</v>
      </c>
      <c r="F164" t="inlineStr">
        <is>
          <t>GÄVLEBORGS LÄN</t>
        </is>
      </c>
      <c r="G164" t="inlineStr">
        <is>
          <t>OCKELBO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46267</v>
      </c>
      <c r="F165" t="inlineStr">
        <is>
          <t>GÄVLEBORGS LÄN</t>
        </is>
      </c>
      <c r="G165" t="inlineStr">
        <is>
          <t>OCKELBO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46267</v>
      </c>
      <c r="F166" t="inlineStr">
        <is>
          <t>GÄVLEBORGS LÄN</t>
        </is>
      </c>
      <c r="G166" t="inlineStr">
        <is>
          <t>OCKELBO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46267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44950</v>
      </c>
      <c r="E168" s="1" t="n">
        <v>46267</v>
      </c>
      <c r="F168" t="inlineStr">
        <is>
          <t>GÄVLEBORGS LÄN</t>
        </is>
      </c>
      <c r="G168" t="inlineStr">
        <is>
          <t>OCKELBO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46267</v>
      </c>
      <c r="F169" t="inlineStr">
        <is>
          <t>GÄVLEBORGS LÄN</t>
        </is>
      </c>
      <c r="G169" t="inlineStr">
        <is>
          <t>OCKELBO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46267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46267</v>
      </c>
      <c r="F171" t="inlineStr">
        <is>
          <t>GÄVLEBORGS LÄN</t>
        </is>
      </c>
      <c r="G171" t="inlineStr">
        <is>
          <t>OCKELBO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45109</v>
      </c>
      <c r="E172" s="1" t="n">
        <v>46267</v>
      </c>
      <c r="F172" t="inlineStr">
        <is>
          <t>GÄVLEBORGS LÄN</t>
        </is>
      </c>
      <c r="G172" t="inlineStr">
        <is>
          <t>OCKELBO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46267</v>
      </c>
      <c r="F173" t="inlineStr">
        <is>
          <t>GÄVLEBORGS LÄN</t>
        </is>
      </c>
      <c r="G173" t="inlineStr">
        <is>
          <t>OCKELBO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46050</v>
      </c>
      <c r="E174" s="1" t="n">
        <v>46267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7.8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46267</v>
      </c>
      <c r="F175" t="inlineStr">
        <is>
          <t>GÄVLEBORGS LÄN</t>
        </is>
      </c>
      <c r="G175" t="inlineStr">
        <is>
          <t>OCKELBO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45073</v>
      </c>
      <c r="E176" s="1" t="n">
        <v>46267</v>
      </c>
      <c r="F176" t="inlineStr">
        <is>
          <t>GÄVLEBORGS LÄN</t>
        </is>
      </c>
      <c r="G176" t="inlineStr">
        <is>
          <t>OCKELBO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46267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46267</v>
      </c>
      <c r="F178" t="inlineStr">
        <is>
          <t>GÄVLEBORGS LÄN</t>
        </is>
      </c>
      <c r="G178" t="inlineStr">
        <is>
          <t>OCKELBO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46267</v>
      </c>
      <c r="F179" t="inlineStr">
        <is>
          <t>GÄVLEBORGS LÄN</t>
        </is>
      </c>
      <c r="G179" t="inlineStr">
        <is>
          <t>OCKELBO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45398</v>
      </c>
      <c r="E180" s="1" t="n">
        <v>46267</v>
      </c>
      <c r="F180" t="inlineStr">
        <is>
          <t>GÄVLEBORGS LÄN</t>
        </is>
      </c>
      <c r="G180" t="inlineStr">
        <is>
          <t>OCKELBO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22824-2024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45448</v>
      </c>
      <c r="E181" s="1" t="n">
        <v>46267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46267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35017-2025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45851</v>
      </c>
      <c r="E183" s="1" t="n">
        <v>46267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45777</v>
      </c>
      <c r="E184" s="1" t="n">
        <v>46267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43423-2025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46267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46267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46267</v>
      </c>
      <c r="F187" t="inlineStr">
        <is>
          <t>GÄVLEBORGS LÄN</t>
        </is>
      </c>
      <c r="G187" t="inlineStr">
        <is>
          <t>OCKELBO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46267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46267</v>
      </c>
      <c r="F189" t="inlineStr">
        <is>
          <t>GÄVLEBORGS LÄN</t>
        </is>
      </c>
      <c r="G189" t="inlineStr">
        <is>
          <t>OCKELBO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46267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45291</v>
      </c>
      <c r="E191" s="1" t="n">
        <v>46267</v>
      </c>
      <c r="F191" t="inlineStr">
        <is>
          <t>GÄVLEBORGS LÄN</t>
        </is>
      </c>
      <c r="G191" t="inlineStr">
        <is>
          <t>OCKELBO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46267</v>
      </c>
      <c r="F192" t="inlineStr">
        <is>
          <t>GÄVLEBORGS LÄN</t>
        </is>
      </c>
      <c r="G192" t="inlineStr">
        <is>
          <t>OCKELBO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46267</v>
      </c>
      <c r="F193" t="inlineStr">
        <is>
          <t>GÄVLEBORGS LÄN</t>
        </is>
      </c>
      <c r="G193" t="inlineStr">
        <is>
          <t>OCKELBO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46267</v>
      </c>
      <c r="F194" t="inlineStr">
        <is>
          <t>GÄVLEBORGS LÄN</t>
        </is>
      </c>
      <c r="G194" t="inlineStr">
        <is>
          <t>OCKELBO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46267</v>
      </c>
      <c r="F195" t="inlineStr">
        <is>
          <t>GÄVLEBORGS LÄN</t>
        </is>
      </c>
      <c r="G195" t="inlineStr">
        <is>
          <t>OCKELBO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45106</v>
      </c>
      <c r="E196" s="1" t="n">
        <v>46267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46267</v>
      </c>
      <c r="F197" t="inlineStr">
        <is>
          <t>GÄVLEBORGS LÄN</t>
        </is>
      </c>
      <c r="G197" t="inlineStr">
        <is>
          <t>OCKELBO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52335-2024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45609</v>
      </c>
      <c r="E198" s="1" t="n">
        <v>46267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46267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46267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45674</v>
      </c>
      <c r="E201" s="1" t="n">
        <v>46267</v>
      </c>
      <c r="F201" t="inlineStr">
        <is>
          <t>GÄVLEBORGS LÄN</t>
        </is>
      </c>
      <c r="G201" t="inlineStr">
        <is>
          <t>OCKELBO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46267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öst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46056</v>
      </c>
      <c r="E203" s="1" t="n">
        <v>46267</v>
      </c>
      <c r="F203" t="inlineStr">
        <is>
          <t>GÄVLEBORGS LÄN</t>
        </is>
      </c>
      <c r="G203" t="inlineStr">
        <is>
          <t>OCKELBO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46267</v>
      </c>
      <c r="F204" t="inlineStr">
        <is>
          <t>GÄVLEBORGS LÄN</t>
        </is>
      </c>
      <c r="G204" t="inlineStr">
        <is>
          <t>OCKELBO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46053</v>
      </c>
      <c r="E205" s="1" t="n">
        <v>46267</v>
      </c>
      <c r="F205" t="inlineStr">
        <is>
          <t>GÄVLEBORGS LÄN</t>
        </is>
      </c>
      <c r="G205" t="inlineStr">
        <is>
          <t>OCKELBO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46267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46267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46267</v>
      </c>
      <c r="F208" t="inlineStr">
        <is>
          <t>GÄVLEBORGS LÄN</t>
        </is>
      </c>
      <c r="G208" t="inlineStr">
        <is>
          <t>OCKELBO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46267</v>
      </c>
      <c r="F209" t="inlineStr">
        <is>
          <t>GÄVLEBORGS LÄN</t>
        </is>
      </c>
      <c r="G209" t="inlineStr">
        <is>
          <t>OCKELBO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46056</v>
      </c>
      <c r="E210" s="1" t="n">
        <v>46267</v>
      </c>
      <c r="F210" t="inlineStr">
        <is>
          <t>GÄVLEBORGS LÄN</t>
        </is>
      </c>
      <c r="G210" t="inlineStr">
        <is>
          <t>OCKELBO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46056</v>
      </c>
      <c r="E211" s="1" t="n">
        <v>46267</v>
      </c>
      <c r="F211" t="inlineStr">
        <is>
          <t>GÄVLEBORGS LÄN</t>
        </is>
      </c>
      <c r="G211" t="inlineStr">
        <is>
          <t>OCKELBO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46267</v>
      </c>
      <c r="F212" t="inlineStr">
        <is>
          <t>GÄVLEBORGS LÄN</t>
        </is>
      </c>
      <c r="G212" t="inlineStr">
        <is>
          <t>OCKELBO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44845</v>
      </c>
      <c r="E213" s="1" t="n">
        <v>46267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46267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54454-2024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46267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46267</v>
      </c>
      <c r="F216" t="inlineStr">
        <is>
          <t>GÄVLEBORGS LÄN</t>
        </is>
      </c>
      <c r="G216" t="inlineStr">
        <is>
          <t>OCKELBO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61622-2021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46267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40283-2024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45554</v>
      </c>
      <c r="E218" s="1" t="n">
        <v>46267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46267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67768-2021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44525</v>
      </c>
      <c r="E220" s="1" t="n">
        <v>46267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46267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46267</v>
      </c>
      <c r="F222" t="inlineStr">
        <is>
          <t>GÄVLEBORGS LÄN</t>
        </is>
      </c>
      <c r="G222" t="inlineStr">
        <is>
          <t>OCKELBO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46267</v>
      </c>
      <c r="F223" t="inlineStr">
        <is>
          <t>GÄVLEBORGS LÄN</t>
        </is>
      </c>
      <c r="G223" t="inlineStr">
        <is>
          <t>OCKELBO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46267</v>
      </c>
      <c r="F224" t="inlineStr">
        <is>
          <t>GÄVLEBORGS LÄN</t>
        </is>
      </c>
      <c r="G224" t="inlineStr">
        <is>
          <t>OCKELBO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45602</v>
      </c>
      <c r="E225" s="1" t="n">
        <v>46267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45602</v>
      </c>
      <c r="E226" s="1" t="n">
        <v>46267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45602</v>
      </c>
      <c r="E227" s="1" t="n">
        <v>46267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38893-2022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46267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46267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45027</v>
      </c>
      <c r="E230" s="1" t="n">
        <v>46267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45608</v>
      </c>
      <c r="E231" s="1" t="n">
        <v>46267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9.800000000000001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40281-2024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46267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45644</v>
      </c>
      <c r="E233" s="1" t="n">
        <v>46267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45216</v>
      </c>
      <c r="E234" s="1" t="n">
        <v>46267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66825-2021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44522</v>
      </c>
      <c r="E235" s="1" t="n">
        <v>46267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46267</v>
      </c>
      <c r="F236" t="inlineStr">
        <is>
          <t>GÄVLEBORGS LÄN</t>
        </is>
      </c>
      <c r="G236" t="inlineStr">
        <is>
          <t>OCKELBO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46267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46267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46267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46267</v>
      </c>
      <c r="F240" t="inlineStr">
        <is>
          <t>GÄVLEBORGS LÄN</t>
        </is>
      </c>
      <c r="G240" t="inlineStr">
        <is>
          <t>OCKELBO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32011-2024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45510</v>
      </c>
      <c r="E241" s="1" t="n">
        <v>46267</v>
      </c>
      <c r="F241" t="inlineStr">
        <is>
          <t>GÄVLEBORGS LÄN</t>
        </is>
      </c>
      <c r="G241" t="inlineStr">
        <is>
          <t>OCKELBO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46267</v>
      </c>
      <c r="F242" t="inlineStr">
        <is>
          <t>GÄVLEBORGS LÄN</t>
        </is>
      </c>
      <c r="G242" t="inlineStr">
        <is>
          <t>OCKELBO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45511</v>
      </c>
      <c r="E243" s="1" t="n">
        <v>46267</v>
      </c>
      <c r="F243" t="inlineStr">
        <is>
          <t>GÄVLEBORGS LÄN</t>
        </is>
      </c>
      <c r="G243" t="inlineStr">
        <is>
          <t>OCKELBO</t>
        </is>
      </c>
      <c r="I243" t="n">
        <v>11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46059</v>
      </c>
      <c r="E244" s="1" t="n">
        <v>46267</v>
      </c>
      <c r="F244" t="inlineStr">
        <is>
          <t>GÄVLEBORGS LÄN</t>
        </is>
      </c>
      <c r="G244" t="inlineStr">
        <is>
          <t>OCKELBO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46267</v>
      </c>
      <c r="F245" t="inlineStr">
        <is>
          <t>GÄVLEBORGS LÄN</t>
        </is>
      </c>
      <c r="G245" t="inlineStr">
        <is>
          <t>OCKELBO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46062</v>
      </c>
      <c r="E246" s="1" t="n">
        <v>46267</v>
      </c>
      <c r="F246" t="inlineStr">
        <is>
          <t>GÄVLEBORGS LÄN</t>
        </is>
      </c>
      <c r="G246" t="inlineStr">
        <is>
          <t>OCKELBO</t>
        </is>
      </c>
      <c r="H246" t="inlineStr">
        <is>
          <t>Kyrkan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46267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45070</v>
      </c>
      <c r="E248" s="1" t="n">
        <v>46267</v>
      </c>
      <c r="F248" t="inlineStr">
        <is>
          <t>GÄVLEBORGS LÄN</t>
        </is>
      </c>
      <c r="G248" t="inlineStr">
        <is>
          <t>OCKELBO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46267</v>
      </c>
      <c r="F249" t="inlineStr">
        <is>
          <t>GÄVLEBORGS LÄN</t>
        </is>
      </c>
      <c r="G249" t="inlineStr">
        <is>
          <t>OCKELBO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46267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46267</v>
      </c>
      <c r="F251" t="inlineStr">
        <is>
          <t>GÄVLEBORGS LÄN</t>
        </is>
      </c>
      <c r="G251" t="inlineStr">
        <is>
          <t>OCKELBO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46267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45645</v>
      </c>
      <c r="E253" s="1" t="n">
        <v>46267</v>
      </c>
      <c r="F253" t="inlineStr">
        <is>
          <t>GÄVLEBORGS LÄN</t>
        </is>
      </c>
      <c r="G253" t="inlineStr">
        <is>
          <t>OCKELBO</t>
        </is>
      </c>
      <c r="H253" t="inlineStr">
        <is>
          <t>Kyrkan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46267</v>
      </c>
      <c r="F254" t="inlineStr">
        <is>
          <t>GÄVLEBORGS LÄN</t>
        </is>
      </c>
      <c r="G254" t="inlineStr">
        <is>
          <t>OCKELBO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7769-2026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46267</v>
      </c>
      <c r="F255" t="inlineStr">
        <is>
          <t>GÄVLEBORGS LÄN</t>
        </is>
      </c>
      <c r="G255" t="inlineStr">
        <is>
          <t>OCKELBO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46267</v>
      </c>
      <c r="F256" t="inlineStr">
        <is>
          <t>GÄVLEBORGS LÄN</t>
        </is>
      </c>
      <c r="G256" t="inlineStr">
        <is>
          <t>OCKELBO</t>
        </is>
      </c>
      <c r="I256" t="n">
        <v>11.1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46267</v>
      </c>
      <c r="F257" t="inlineStr">
        <is>
          <t>GÄVLEBORGS LÄN</t>
        </is>
      </c>
      <c r="G257" t="inlineStr">
        <is>
          <t>OCKELBO</t>
        </is>
      </c>
      <c r="I257" t="n">
        <v>11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8351-2026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46267</v>
      </c>
      <c r="F258" t="inlineStr">
        <is>
          <t>GÄVLEBORGS LÄN</t>
        </is>
      </c>
      <c r="G258" t="inlineStr">
        <is>
          <t>OCKELBO</t>
        </is>
      </c>
      <c r="I258" t="n">
        <v>17.4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46064</v>
      </c>
      <c r="E259" s="1" t="n">
        <v>46267</v>
      </c>
      <c r="F259" t="inlineStr">
        <is>
          <t>GÄVLEBORGS LÄN</t>
        </is>
      </c>
      <c r="G259" t="inlineStr">
        <is>
          <t>OCKELBO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46064</v>
      </c>
      <c r="E260" s="1" t="n">
        <v>46267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46267</v>
      </c>
      <c r="F261" t="inlineStr">
        <is>
          <t>GÄVLEBORGS LÄN</t>
        </is>
      </c>
      <c r="G261" t="inlineStr">
        <is>
          <t>OCKELBO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46267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45699</v>
      </c>
      <c r="E263" s="1" t="n">
        <v>46267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29567-2024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45484</v>
      </c>
      <c r="E264" s="1" t="n">
        <v>46267</v>
      </c>
      <c r="F264" t="inlineStr">
        <is>
          <t>GÄVLEBORGS LÄN</t>
        </is>
      </c>
      <c r="G264" t="inlineStr">
        <is>
          <t>OCKELBO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46065</v>
      </c>
      <c r="E265" s="1" t="n">
        <v>46267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46065</v>
      </c>
      <c r="E266" s="1" t="n">
        <v>46267</v>
      </c>
      <c r="F266" t="inlineStr">
        <is>
          <t>GÄVLEBORGS LÄN</t>
        </is>
      </c>
      <c r="G266" t="inlineStr">
        <is>
          <t>OCKELBO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45534</v>
      </c>
      <c r="E267" s="1" t="n">
        <v>46267</v>
      </c>
      <c r="F267" t="inlineStr">
        <is>
          <t>GÄVLEBORGS LÄN</t>
        </is>
      </c>
      <c r="G267" t="inlineStr">
        <is>
          <t>OCKELBO</t>
        </is>
      </c>
      <c r="H267" t="inlineStr">
        <is>
          <t>Kyrkan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45952</v>
      </c>
      <c r="E268" s="1" t="n">
        <v>46267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46267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45953</v>
      </c>
      <c r="E270" s="1" t="n">
        <v>46267</v>
      </c>
      <c r="F270" t="inlineStr">
        <is>
          <t>GÄVLEBORGS LÄN</t>
        </is>
      </c>
      <c r="G270" t="inlineStr">
        <is>
          <t>OCKELBO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45954</v>
      </c>
      <c r="E271" s="1" t="n">
        <v>46267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46267</v>
      </c>
      <c r="F272" t="inlineStr">
        <is>
          <t>GÄVLEBORGS LÄN</t>
        </is>
      </c>
      <c r="G272" t="inlineStr">
        <is>
          <t>OCKELBO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46069</v>
      </c>
      <c r="E273" s="1" t="n">
        <v>46267</v>
      </c>
      <c r="F273" t="inlineStr">
        <is>
          <t>GÄVLEBORGS LÄN</t>
        </is>
      </c>
      <c r="G273" t="inlineStr">
        <is>
          <t>OCKELBO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46267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46267</v>
      </c>
      <c r="F275" t="inlineStr">
        <is>
          <t>GÄVLEBORGS LÄN</t>
        </is>
      </c>
      <c r="G275" t="inlineStr">
        <is>
          <t>OCKELBO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46267</v>
      </c>
      <c r="F276" t="inlineStr">
        <is>
          <t>GÄVLEBORGS LÄN</t>
        </is>
      </c>
      <c r="G276" t="inlineStr">
        <is>
          <t>OCKELBO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45957</v>
      </c>
      <c r="E277" s="1" t="n">
        <v>46267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46267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9464-2026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46267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9507-2026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46267</v>
      </c>
      <c r="F280" t="inlineStr">
        <is>
          <t>GÄVLEBORGS LÄN</t>
        </is>
      </c>
      <c r="G280" t="inlineStr">
        <is>
          <t>OCKELBO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46072</v>
      </c>
      <c r="E281" s="1" t="n">
        <v>46267</v>
      </c>
      <c r="F281" t="inlineStr">
        <is>
          <t>GÄVLEBORGS LÄN</t>
        </is>
      </c>
      <c r="G281" t="inlineStr">
        <is>
          <t>OCKELBO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45698</v>
      </c>
      <c r="E282" s="1" t="n">
        <v>46267</v>
      </c>
      <c r="F282" t="inlineStr">
        <is>
          <t>GÄVLEBORGS LÄN</t>
        </is>
      </c>
      <c r="G282" t="inlineStr">
        <is>
          <t>OCKELBO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46267</v>
      </c>
      <c r="F283" t="inlineStr">
        <is>
          <t>GÄVLEBORGS LÄN</t>
        </is>
      </c>
      <c r="G283" t="inlineStr">
        <is>
          <t>OCKELBO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9727-2026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46267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46267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46267</v>
      </c>
      <c r="F286" t="inlineStr">
        <is>
          <t>GÄVLEBORGS LÄN</t>
        </is>
      </c>
      <c r="G286" t="inlineStr">
        <is>
          <t>OCKELBO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46267</v>
      </c>
      <c r="F287" t="inlineStr">
        <is>
          <t>GÄVLEBORGS LÄN</t>
        </is>
      </c>
      <c r="G287" t="inlineStr">
        <is>
          <t>OCKELBO</t>
        </is>
      </c>
      <c r="I287" t="n">
        <v>10.4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46267</v>
      </c>
      <c r="F288" t="inlineStr">
        <is>
          <t>GÄVLEBORGS LÄN</t>
        </is>
      </c>
      <c r="G288" t="inlineStr">
        <is>
          <t>OCKELBO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46267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46267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46267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46077</v>
      </c>
      <c r="E292" s="1" t="n">
        <v>46267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10418-2026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46267</v>
      </c>
      <c r="F293" t="inlineStr">
        <is>
          <t>GÄVLEBORGS LÄN</t>
        </is>
      </c>
      <c r="G293" t="inlineStr">
        <is>
          <t>OCKELBO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46267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46077</v>
      </c>
      <c r="E295" s="1" t="n">
        <v>46267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46267</v>
      </c>
      <c r="F296" t="inlineStr">
        <is>
          <t>GÄVLEBORGS LÄN</t>
        </is>
      </c>
      <c r="G296" t="inlineStr">
        <is>
          <t>OCKELBO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46267</v>
      </c>
      <c r="F297" t="inlineStr">
        <is>
          <t>GÄVLEBORGS LÄN</t>
        </is>
      </c>
      <c r="G297" t="inlineStr">
        <is>
          <t>OCKELBO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46267</v>
      </c>
      <c r="F298" t="inlineStr">
        <is>
          <t>GÄVLEBORGS LÄN</t>
        </is>
      </c>
      <c r="G298" t="inlineStr">
        <is>
          <t>OCKELBO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46267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öst AB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46077</v>
      </c>
      <c r="E300" s="1" t="n">
        <v>46267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öst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45022</v>
      </c>
      <c r="E301" s="1" t="n">
        <v>46267</v>
      </c>
      <c r="F301" t="inlineStr">
        <is>
          <t>GÄVLEBORGS LÄN</t>
        </is>
      </c>
      <c r="G301" t="inlineStr">
        <is>
          <t>OCKELBO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46267</v>
      </c>
      <c r="F302" t="inlineStr">
        <is>
          <t>GÄVLEBORGS LÄN</t>
        </is>
      </c>
      <c r="G302" t="inlineStr">
        <is>
          <t>OCKELBO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46267</v>
      </c>
      <c r="F303" t="inlineStr">
        <is>
          <t>GÄVLEBORGS LÄN</t>
        </is>
      </c>
      <c r="G303" t="inlineStr">
        <is>
          <t>OCKELBO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46267</v>
      </c>
      <c r="F304" t="inlineStr">
        <is>
          <t>GÄVLEBORGS LÄN</t>
        </is>
      </c>
      <c r="G304" t="inlineStr">
        <is>
          <t>OCKELBO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46267</v>
      </c>
      <c r="F305" t="inlineStr">
        <is>
          <t>GÄVLEBORGS LÄN</t>
        </is>
      </c>
      <c r="G305" t="inlineStr">
        <is>
          <t>OCKELBO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46077</v>
      </c>
      <c r="E306" s="1" t="n">
        <v>46267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öst AB</t>
        </is>
      </c>
      <c r="I306" t="n">
        <v>45.7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46267</v>
      </c>
      <c r="F307" t="inlineStr">
        <is>
          <t>GÄVLEBORGS LÄN</t>
        </is>
      </c>
      <c r="G307" t="inlineStr">
        <is>
          <t>OCKELBO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10682-2026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46267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46267</v>
      </c>
      <c r="F309" t="inlineStr">
        <is>
          <t>GÄVLEBORGS LÄN</t>
        </is>
      </c>
      <c r="G309" t="inlineStr">
        <is>
          <t>OCKELBO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47849-2021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44448</v>
      </c>
      <c r="E310" s="1" t="n">
        <v>46267</v>
      </c>
      <c r="F310" t="inlineStr">
        <is>
          <t>GÄVLEBORGS LÄN</t>
        </is>
      </c>
      <c r="G310" t="inlineStr">
        <is>
          <t>OCKELBO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44883</v>
      </c>
      <c r="E311" s="1" t="n">
        <v>46267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46267</v>
      </c>
      <c r="F312" t="inlineStr">
        <is>
          <t>GÄVLEBORGS LÄN</t>
        </is>
      </c>
      <c r="G312" t="inlineStr">
        <is>
          <t>OCKELBO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55726-2025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45972</v>
      </c>
      <c r="E313" s="1" t="n">
        <v>46267</v>
      </c>
      <c r="F313" t="inlineStr">
        <is>
          <t>GÄVLEBORGS LÄN</t>
        </is>
      </c>
      <c r="G313" t="inlineStr">
        <is>
          <t>OCKELBO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46267</v>
      </c>
      <c r="F314" t="inlineStr">
        <is>
          <t>GÄVLEBORGS LÄN</t>
        </is>
      </c>
      <c r="G314" t="inlineStr">
        <is>
          <t>OCKELBO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46267</v>
      </c>
      <c r="F315" t="inlineStr">
        <is>
          <t>GÄVLEBORGS LÄN</t>
        </is>
      </c>
      <c r="G315" t="inlineStr">
        <is>
          <t>OCKELBO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46267</v>
      </c>
      <c r="F316" t="inlineStr">
        <is>
          <t>GÄVLEBORGS LÄN</t>
        </is>
      </c>
      <c r="G316" t="inlineStr">
        <is>
          <t>OCKELBO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46267</v>
      </c>
      <c r="F317" t="inlineStr">
        <is>
          <t>GÄVLEBORGS LÄN</t>
        </is>
      </c>
      <c r="G317" t="inlineStr">
        <is>
          <t>OCKELBO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46267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46267</v>
      </c>
      <c r="F319" t="inlineStr">
        <is>
          <t>GÄVLEBORGS LÄN</t>
        </is>
      </c>
      <c r="G319" t="inlineStr">
        <is>
          <t>OCKELBO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55911-2025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45973</v>
      </c>
      <c r="E320" s="1" t="n">
        <v>46267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22151-2022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46267</v>
      </c>
      <c r="F321" t="inlineStr">
        <is>
          <t>GÄVLEBORGS LÄN</t>
        </is>
      </c>
      <c r="G321" t="inlineStr">
        <is>
          <t>OCKELBO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45134</v>
      </c>
      <c r="E322" s="1" t="n">
        <v>46267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46267</v>
      </c>
      <c r="F323" t="inlineStr">
        <is>
          <t>GÄVLEBORGS LÄN</t>
        </is>
      </c>
      <c r="G323" t="inlineStr">
        <is>
          <t>OCKELBO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46267</v>
      </c>
      <c r="F324" t="inlineStr">
        <is>
          <t>GÄVLEBORGS LÄN</t>
        </is>
      </c>
      <c r="G324" t="inlineStr">
        <is>
          <t>OCKELBO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46267</v>
      </c>
      <c r="F325" t="inlineStr">
        <is>
          <t>GÄVLEBORGS LÄN</t>
        </is>
      </c>
      <c r="G325" t="inlineStr">
        <is>
          <t>OCKELBO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46267</v>
      </c>
      <c r="F326" t="inlineStr">
        <is>
          <t>GÄVLEBORGS LÄN</t>
        </is>
      </c>
      <c r="G326" t="inlineStr">
        <is>
          <t>OCKELBO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46267</v>
      </c>
      <c r="F327" t="inlineStr">
        <is>
          <t>GÄVLEBORGS LÄN</t>
        </is>
      </c>
      <c r="G327" t="inlineStr">
        <is>
          <t>OCKELBO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46267</v>
      </c>
      <c r="F328" t="inlineStr">
        <is>
          <t>GÄVLEBORGS LÄN</t>
        </is>
      </c>
      <c r="G328" t="inlineStr">
        <is>
          <t>OCKELBO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46267</v>
      </c>
      <c r="F329" t="inlineStr">
        <is>
          <t>GÄVLEBORGS LÄN</t>
        </is>
      </c>
      <c r="G329" t="inlineStr">
        <is>
          <t>OCKELBO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46267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36362-2024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45534</v>
      </c>
      <c r="E331" s="1" t="n">
        <v>46267</v>
      </c>
      <c r="F331" t="inlineStr">
        <is>
          <t>GÄVLEBORGS LÄN</t>
        </is>
      </c>
      <c r="G331" t="inlineStr">
        <is>
          <t>OCKELBO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46267</v>
      </c>
      <c r="F332" t="inlineStr">
        <is>
          <t>GÄVLEBORGS LÄN</t>
        </is>
      </c>
      <c r="G332" t="inlineStr">
        <is>
          <t>OCKELBO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46267</v>
      </c>
      <c r="F333" t="inlineStr">
        <is>
          <t>GÄVLEBORGS LÄN</t>
        </is>
      </c>
      <c r="G333" t="inlineStr">
        <is>
          <t>OCKELBO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46267</v>
      </c>
      <c r="F334" t="inlineStr">
        <is>
          <t>GÄVLEBORGS LÄN</t>
        </is>
      </c>
      <c r="G334" t="inlineStr">
        <is>
          <t>OCKELBO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46267</v>
      </c>
      <c r="F335" t="inlineStr">
        <is>
          <t>GÄVLEBORGS LÄN</t>
        </is>
      </c>
      <c r="G335" t="inlineStr">
        <is>
          <t>OCKELBO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46083</v>
      </c>
      <c r="E336" s="1" t="n">
        <v>46267</v>
      </c>
      <c r="F336" t="inlineStr">
        <is>
          <t>GÄVLEBORGS LÄN</t>
        </is>
      </c>
      <c r="G336" t="inlineStr">
        <is>
          <t>OCKELBO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46267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46080</v>
      </c>
      <c r="E338" s="1" t="n">
        <v>46267</v>
      </c>
      <c r="F338" t="inlineStr">
        <is>
          <t>GÄVLEBORGS LÄN</t>
        </is>
      </c>
      <c r="G338" t="inlineStr">
        <is>
          <t>OCKELBO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58770-2025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45986</v>
      </c>
      <c r="E339" s="1" t="n">
        <v>46267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58727-2025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46267</v>
      </c>
      <c r="F340" t="inlineStr">
        <is>
          <t>GÄVLEBORGS LÄN</t>
        </is>
      </c>
      <c r="G340" t="inlineStr">
        <is>
          <t>OCKELBO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58295-2025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46267</v>
      </c>
      <c r="F341" t="inlineStr">
        <is>
          <t>GÄVLEBORGS LÄN</t>
        </is>
      </c>
      <c r="G341" t="inlineStr">
        <is>
          <t>OCKELBO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46267</v>
      </c>
      <c r="F342" t="inlineStr">
        <is>
          <t>GÄVLEBORGS LÄN</t>
        </is>
      </c>
      <c r="G342" t="inlineStr">
        <is>
          <t>OCKELBO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18326-2026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46126</v>
      </c>
      <c r="E343" s="1" t="n">
        <v>46267</v>
      </c>
      <c r="F343" t="inlineStr">
        <is>
          <t>GÄVLEBORGS LÄN</t>
        </is>
      </c>
      <c r="G343" t="inlineStr">
        <is>
          <t>OCKELBO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46267</v>
      </c>
      <c r="F344" t="inlineStr">
        <is>
          <t>GÄVLEBORGS LÄN</t>
        </is>
      </c>
      <c r="G344" t="inlineStr">
        <is>
          <t>OCKELBO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46267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45754</v>
      </c>
      <c r="E346" s="1" t="n">
        <v>46267</v>
      </c>
      <c r="F346" t="inlineStr">
        <is>
          <t>GÄVLEBORGS LÄN</t>
        </is>
      </c>
      <c r="G346" t="inlineStr">
        <is>
          <t>OCKELBO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12341-2026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46087</v>
      </c>
      <c r="E347" s="1" t="n">
        <v>46267</v>
      </c>
      <c r="F347" t="inlineStr">
        <is>
          <t>GÄVLEBORGS LÄN</t>
        </is>
      </c>
      <c r="G347" t="inlineStr">
        <is>
          <t>OCKELBO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12370-2026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46089</v>
      </c>
      <c r="E348" s="1" t="n">
        <v>46267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29.9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60183-2025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45994</v>
      </c>
      <c r="E349" s="1" t="n">
        <v>46267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46267</v>
      </c>
      <c r="F350" t="inlineStr">
        <is>
          <t>GÄVLEBORGS LÄN</t>
        </is>
      </c>
      <c r="G350" t="inlineStr">
        <is>
          <t>OCKELBO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45996</v>
      </c>
      <c r="E351" s="1" t="n">
        <v>46267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46267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45995</v>
      </c>
      <c r="E353" s="1" t="n">
        <v>46267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12716-2026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46091</v>
      </c>
      <c r="E354" s="1" t="n">
        <v>46267</v>
      </c>
      <c r="F354" t="inlineStr">
        <is>
          <t>GÄVLEBORGS LÄN</t>
        </is>
      </c>
      <c r="G354" t="inlineStr">
        <is>
          <t>OCKELBO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61148-2025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46267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46267</v>
      </c>
      <c r="F356" t="inlineStr">
        <is>
          <t>GÄVLEBORGS LÄN</t>
        </is>
      </c>
      <c r="G356" t="inlineStr">
        <is>
          <t>OCKELBO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46267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46092</v>
      </c>
      <c r="E358" s="1" t="n">
        <v>46267</v>
      </c>
      <c r="F358" t="inlineStr">
        <is>
          <t>GÄVLEBORGS LÄN</t>
        </is>
      </c>
      <c r="G358" t="inlineStr">
        <is>
          <t>OCKELBO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46267</v>
      </c>
      <c r="F359" t="inlineStr">
        <is>
          <t>GÄVLEBORGS LÄN</t>
        </is>
      </c>
      <c r="G359" t="inlineStr">
        <is>
          <t>OCKELBO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46267</v>
      </c>
      <c r="F360" t="inlineStr">
        <is>
          <t>GÄVLEBORGS LÄN</t>
        </is>
      </c>
      <c r="G360" t="inlineStr">
        <is>
          <t>OCKELBO</t>
        </is>
      </c>
      <c r="H360" t="inlineStr">
        <is>
          <t>Naturvårdsverket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13621-2026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46097</v>
      </c>
      <c r="E361" s="1" t="n">
        <v>46267</v>
      </c>
      <c r="F361" t="inlineStr">
        <is>
          <t>GÄVLEBORGS LÄN</t>
        </is>
      </c>
      <c r="G361" t="inlineStr">
        <is>
          <t>OCKELBO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13321-2026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46267</v>
      </c>
      <c r="F362" t="inlineStr">
        <is>
          <t>GÄVLEBORGS LÄN</t>
        </is>
      </c>
      <c r="G362" t="inlineStr">
        <is>
          <t>OCKELBO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46006</v>
      </c>
      <c r="E363" s="1" t="n">
        <v>46267</v>
      </c>
      <c r="F363" t="inlineStr">
        <is>
          <t>GÄVLEBORGS LÄN</t>
        </is>
      </c>
      <c r="G363" t="inlineStr">
        <is>
          <t>OCKELBO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46267</v>
      </c>
      <c r="F364" t="inlineStr">
        <is>
          <t>GÄVLEBORGS LÄN</t>
        </is>
      </c>
      <c r="G364" t="inlineStr">
        <is>
          <t>OCKELBO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46267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46267</v>
      </c>
      <c r="F366" t="inlineStr">
        <is>
          <t>GÄVLEBORGS LÄN</t>
        </is>
      </c>
      <c r="G366" t="inlineStr">
        <is>
          <t>OCKELBO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46267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46098</v>
      </c>
      <c r="E368" s="1" t="n">
        <v>46267</v>
      </c>
      <c r="F368" t="inlineStr">
        <is>
          <t>GÄVLEBORGS LÄN</t>
        </is>
      </c>
      <c r="G368" t="inlineStr">
        <is>
          <t>OCKELBO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14232-2026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46267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46267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46267</v>
      </c>
      <c r="F371" t="inlineStr">
        <is>
          <t>GÄVLEBORGS LÄN</t>
        </is>
      </c>
      <c r="G371" t="inlineStr">
        <is>
          <t>OCKELBO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46013</v>
      </c>
      <c r="E372" s="1" t="n">
        <v>46267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63616-2025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46014</v>
      </c>
      <c r="E373" s="1" t="n">
        <v>46267</v>
      </c>
      <c r="F373" t="inlineStr">
        <is>
          <t>GÄVLEBORGS LÄN</t>
        </is>
      </c>
      <c r="G373" t="inlineStr">
        <is>
          <t>OCKELBO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63224-2025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46010</v>
      </c>
      <c r="E374" s="1" t="n">
        <v>46267</v>
      </c>
      <c r="F374" t="inlineStr">
        <is>
          <t>GÄVLEBORGS LÄN</t>
        </is>
      </c>
      <c r="G374" t="inlineStr">
        <is>
          <t>OCKELBO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46267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46098</v>
      </c>
      <c r="E376" s="1" t="n">
        <v>46267</v>
      </c>
      <c r="F376" t="inlineStr">
        <is>
          <t>GÄVLEBORGS LÄN</t>
        </is>
      </c>
      <c r="G376" t="inlineStr">
        <is>
          <t>OCKELBO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46009</v>
      </c>
      <c r="E377" s="1" t="n">
        <v>46267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46267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36.6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45156</v>
      </c>
      <c r="E379" s="1" t="n">
        <v>46267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46267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14037-2026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46098</v>
      </c>
      <c r="E381" s="1" t="n">
        <v>46267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46267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46099</v>
      </c>
      <c r="E383" s="1" t="n">
        <v>46267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46267</v>
      </c>
      <c r="F384" t="inlineStr">
        <is>
          <t>GÄVLEBORGS LÄN</t>
        </is>
      </c>
      <c r="G384" t="inlineStr">
        <is>
          <t>OCKELBO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46024</v>
      </c>
      <c r="E385" s="1" t="n">
        <v>46267</v>
      </c>
      <c r="F385" t="inlineStr">
        <is>
          <t>GÄVLEBORGS LÄN</t>
        </is>
      </c>
      <c r="G385" t="inlineStr">
        <is>
          <t>OCKELBO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46027</v>
      </c>
      <c r="E386" s="1" t="n">
        <v>46267</v>
      </c>
      <c r="F386" t="inlineStr">
        <is>
          <t>GÄVLEBORGS LÄN</t>
        </is>
      </c>
      <c r="G386" t="inlineStr">
        <is>
          <t>OCKELBO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46100</v>
      </c>
      <c r="E387" s="1" t="n">
        <v>46267</v>
      </c>
      <c r="F387" t="inlineStr">
        <is>
          <t>GÄVLEBORGS LÄN</t>
        </is>
      </c>
      <c r="G387" t="inlineStr">
        <is>
          <t>OCKELBO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46267</v>
      </c>
      <c r="F388" t="inlineStr">
        <is>
          <t>GÄVLEBORGS LÄN</t>
        </is>
      </c>
      <c r="G388" t="inlineStr">
        <is>
          <t>OCKELBO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46267</v>
      </c>
      <c r="F389" t="inlineStr">
        <is>
          <t>GÄVLEBORGS LÄN</t>
        </is>
      </c>
      <c r="G389" t="inlineStr">
        <is>
          <t>OCKELBO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46267</v>
      </c>
      <c r="F390" t="inlineStr">
        <is>
          <t>GÄVLEBORGS LÄN</t>
        </is>
      </c>
      <c r="G390" t="inlineStr">
        <is>
          <t>OCKELBO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46267</v>
      </c>
      <c r="F391" t="inlineStr">
        <is>
          <t>GÄVLEBORGS LÄN</t>
        </is>
      </c>
      <c r="G391" t="inlineStr">
        <is>
          <t>OCKELBO</t>
        </is>
      </c>
      <c r="I391" t="n">
        <v>16.2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46027</v>
      </c>
      <c r="E392" s="1" t="n">
        <v>46267</v>
      </c>
      <c r="F392" t="inlineStr">
        <is>
          <t>GÄVLEBORGS LÄN</t>
        </is>
      </c>
      <c r="G392" t="inlineStr">
        <is>
          <t>OCKELBO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46027</v>
      </c>
      <c r="E393" s="1" t="n">
        <v>46267</v>
      </c>
      <c r="F393" t="inlineStr">
        <is>
          <t>GÄVLEBORGS LÄN</t>
        </is>
      </c>
      <c r="G393" t="inlineStr">
        <is>
          <t>OCKELBO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46267</v>
      </c>
      <c r="F394" t="inlineStr">
        <is>
          <t>GÄVLEBORGS LÄN</t>
        </is>
      </c>
      <c r="G394" t="inlineStr">
        <is>
          <t>OCKELBO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46028</v>
      </c>
      <c r="E395" s="1" t="n">
        <v>46267</v>
      </c>
      <c r="F395" t="inlineStr">
        <is>
          <t>GÄVLEBORGS LÄN</t>
        </is>
      </c>
      <c r="G395" t="inlineStr">
        <is>
          <t>OCKELBO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46267</v>
      </c>
      <c r="F396" t="inlineStr">
        <is>
          <t>GÄVLEBORGS LÄN</t>
        </is>
      </c>
      <c r="G396" t="inlineStr">
        <is>
          <t>OCKELBO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14684-2026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46101</v>
      </c>
      <c r="E397" s="1" t="n">
        <v>46267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46028</v>
      </c>
      <c r="E398" s="1" t="n">
        <v>46267</v>
      </c>
      <c r="F398" t="inlineStr">
        <is>
          <t>GÄVLEBORGS LÄN</t>
        </is>
      </c>
      <c r="G398" t="inlineStr">
        <is>
          <t>OCKELBO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46267</v>
      </c>
      <c r="F399" t="inlineStr">
        <is>
          <t>GÄVLEBORGS LÄN</t>
        </is>
      </c>
      <c r="G399" t="inlineStr">
        <is>
          <t>OCKELBO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46267</v>
      </c>
      <c r="F400" t="inlineStr">
        <is>
          <t>GÄVLEBORGS LÄN</t>
        </is>
      </c>
      <c r="G400" t="inlineStr">
        <is>
          <t>OCKELBO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14756-2026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46101</v>
      </c>
      <c r="E401" s="1" t="n">
        <v>46267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46267</v>
      </c>
      <c r="F402" t="inlineStr">
        <is>
          <t>GÄVLEBORGS LÄN</t>
        </is>
      </c>
      <c r="G402" t="inlineStr">
        <is>
          <t>OCKELBO</t>
        </is>
      </c>
      <c r="I402" t="n">
        <v>12.9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46267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46031</v>
      </c>
      <c r="E404" s="1" t="n">
        <v>46267</v>
      </c>
      <c r="F404" t="inlineStr">
        <is>
          <t>GÄVLEBORGS LÄN</t>
        </is>
      </c>
      <c r="G404" t="inlineStr">
        <is>
          <t>OCKELBO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46267</v>
      </c>
      <c r="F405" t="inlineStr">
        <is>
          <t>GÄVLEBORGS LÄN</t>
        </is>
      </c>
      <c r="G405" t="inlineStr">
        <is>
          <t>OCKELBO</t>
        </is>
      </c>
      <c r="I405" t="n">
        <v>9.4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46267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öst AB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46267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46033</v>
      </c>
      <c r="E408" s="1" t="n">
        <v>46267</v>
      </c>
      <c r="F408" t="inlineStr">
        <is>
          <t>GÄVLEBORGS LÄN</t>
        </is>
      </c>
      <c r="G408" t="inlineStr">
        <is>
          <t>OCKELBO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46267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46267</v>
      </c>
      <c r="F410" t="inlineStr">
        <is>
          <t>GÄVLEBORGS LÄN</t>
        </is>
      </c>
      <c r="G410" t="inlineStr">
        <is>
          <t>OCKELBO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46267</v>
      </c>
      <c r="F411" t="inlineStr">
        <is>
          <t>GÄVLEBORGS LÄN</t>
        </is>
      </c>
      <c r="G411" t="inlineStr">
        <is>
          <t>OCKELBO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46267</v>
      </c>
      <c r="F412" t="inlineStr">
        <is>
          <t>GÄVLEBORGS LÄN</t>
        </is>
      </c>
      <c r="G412" t="inlineStr">
        <is>
          <t>OCKELBO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46035</v>
      </c>
      <c r="E413" s="1" t="n">
        <v>46267</v>
      </c>
      <c r="F413" t="inlineStr">
        <is>
          <t>GÄVLEBORGS LÄN</t>
        </is>
      </c>
      <c r="G413" t="inlineStr">
        <is>
          <t>OCKELBO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46104</v>
      </c>
      <c r="E414" s="1" t="n">
        <v>46267</v>
      </c>
      <c r="F414" t="inlineStr">
        <is>
          <t>GÄVLEBORGS LÄN</t>
        </is>
      </c>
      <c r="G414" t="inlineStr">
        <is>
          <t>OCKELBO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46267</v>
      </c>
      <c r="F415" t="inlineStr">
        <is>
          <t>GÄVLEBORGS LÄN</t>
        </is>
      </c>
      <c r="G415" t="inlineStr">
        <is>
          <t>OCKELBO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46035</v>
      </c>
      <c r="E416" s="1" t="n">
        <v>46267</v>
      </c>
      <c r="F416" t="inlineStr">
        <is>
          <t>GÄVLEBORGS LÄN</t>
        </is>
      </c>
      <c r="G416" t="inlineStr">
        <is>
          <t>OCKELBO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46267</v>
      </c>
      <c r="F417" t="inlineStr">
        <is>
          <t>GÄVLEBORGS LÄN</t>
        </is>
      </c>
      <c r="G417" t="inlineStr">
        <is>
          <t>OCKELBO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46267</v>
      </c>
      <c r="F418" t="inlineStr">
        <is>
          <t>GÄVLEBORGS LÄN</t>
        </is>
      </c>
      <c r="G418" t="inlineStr">
        <is>
          <t>OCKELBO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15029-2026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46267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46267</v>
      </c>
      <c r="F420" t="inlineStr">
        <is>
          <t>GÄVLEBORGS LÄN</t>
        </is>
      </c>
      <c r="G420" t="inlineStr">
        <is>
          <t>OCKELBO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46036</v>
      </c>
      <c r="E421" s="1" t="n">
        <v>46267</v>
      </c>
      <c r="F421" t="inlineStr">
        <is>
          <t>GÄVLEBORGS LÄN</t>
        </is>
      </c>
      <c r="G421" t="inlineStr">
        <is>
          <t>OCKELBO</t>
        </is>
      </c>
      <c r="I421" t="n">
        <v>16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46038</v>
      </c>
      <c r="E422" s="1" t="n">
        <v>46267</v>
      </c>
      <c r="F422" t="inlineStr">
        <is>
          <t>GÄVLEBORGS LÄN</t>
        </is>
      </c>
      <c r="G422" t="inlineStr">
        <is>
          <t>OCKELBO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45593</v>
      </c>
      <c r="E423" s="1" t="n">
        <v>46267</v>
      </c>
      <c r="F423" t="inlineStr">
        <is>
          <t>GÄVLEBORGS LÄN</t>
        </is>
      </c>
      <c r="G423" t="inlineStr">
        <is>
          <t>OCKELBO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46267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46267</v>
      </c>
      <c r="F425" t="inlineStr">
        <is>
          <t>GÄVLEBORGS LÄN</t>
        </is>
      </c>
      <c r="G425" t="inlineStr">
        <is>
          <t>OCKELBO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46267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46267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46267</v>
      </c>
      <c r="F428" t="inlineStr">
        <is>
          <t>GÄVLEBORGS LÄN</t>
        </is>
      </c>
      <c r="G428" t="inlineStr">
        <is>
          <t>OCKELBO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45041</v>
      </c>
      <c r="E429" s="1" t="n">
        <v>46267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46267</v>
      </c>
      <c r="F430" t="inlineStr">
        <is>
          <t>GÄVLEBORGS LÄN</t>
        </is>
      </c>
      <c r="G430" t="inlineStr">
        <is>
          <t>OCKELBO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14169-2026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46267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46267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46267</v>
      </c>
      <c r="F433" t="inlineStr">
        <is>
          <t>GÄVLEBORGS LÄN</t>
        </is>
      </c>
      <c r="G433" t="inlineStr">
        <is>
          <t>OCKELBO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46267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46267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46267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46267</v>
      </c>
      <c r="F437" t="inlineStr">
        <is>
          <t>GÄVLEBORGS LÄN</t>
        </is>
      </c>
      <c r="G437" t="inlineStr">
        <is>
          <t>OCKELBO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46111</v>
      </c>
      <c r="E438" s="1" t="n">
        <v>46267</v>
      </c>
      <c r="F438" t="inlineStr">
        <is>
          <t>GÄVLEBORGS LÄN</t>
        </is>
      </c>
      <c r="G438" t="inlineStr">
        <is>
          <t>OCKELBO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46267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46108</v>
      </c>
      <c r="E440" s="1" t="n">
        <v>46267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9.699999999999999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53137-2024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45611</v>
      </c>
      <c r="E441" s="1" t="n">
        <v>46267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16388-2026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46267</v>
      </c>
      <c r="F442" t="inlineStr">
        <is>
          <t>GÄVLEBORGS LÄN</t>
        </is>
      </c>
      <c r="G442" t="inlineStr">
        <is>
          <t>OCKELBO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16667-2026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46267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46267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46267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16981-2026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46114</v>
      </c>
      <c r="E446" s="1" t="n">
        <v>46267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46114</v>
      </c>
      <c r="E447" s="1" t="n">
        <v>46267</v>
      </c>
      <c r="F447" t="inlineStr">
        <is>
          <t>GÄVLEBORGS LÄN</t>
        </is>
      </c>
      <c r="G447" t="inlineStr">
        <is>
          <t>OCKELBO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16991-2026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46267</v>
      </c>
      <c r="F448" t="inlineStr">
        <is>
          <t>GÄVLEBORGS LÄN</t>
        </is>
      </c>
      <c r="G448" t="inlineStr">
        <is>
          <t>OCKELBO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46267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17115-2026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46267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17224-2026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46267</v>
      </c>
      <c r="F451" t="inlineStr">
        <is>
          <t>GÄVLEBORGS LÄN</t>
        </is>
      </c>
      <c r="G451" t="inlineStr">
        <is>
          <t>OCKELBO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46267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46118</v>
      </c>
      <c r="E453" s="1" t="n">
        <v>46267</v>
      </c>
      <c r="F453" t="inlineStr">
        <is>
          <t>GÄVLEBORGS LÄN</t>
        </is>
      </c>
      <c r="G453" t="inlineStr">
        <is>
          <t>OCKELBO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17709-2026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46267</v>
      </c>
      <c r="F454" t="inlineStr">
        <is>
          <t>GÄVLEBORGS LÄN</t>
        </is>
      </c>
      <c r="G454" t="inlineStr">
        <is>
          <t>OCKELBO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10290-2026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46267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öst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46267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öst AB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46267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öst AB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46267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öst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46267</v>
      </c>
      <c r="F459" t="inlineStr">
        <is>
          <t>GÄVLEBORGS LÄN</t>
        </is>
      </c>
      <c r="G459" t="inlineStr">
        <is>
          <t>OCKELBO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17600-2026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46267</v>
      </c>
      <c r="F460" t="inlineStr">
        <is>
          <t>GÄVLEBORGS LÄN</t>
        </is>
      </c>
      <c r="G460" t="inlineStr">
        <is>
          <t>OCKELBO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46267</v>
      </c>
      <c r="F461" t="inlineStr">
        <is>
          <t>GÄVLEBORGS LÄN</t>
        </is>
      </c>
      <c r="G461" t="inlineStr">
        <is>
          <t>OCKELBO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46267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öst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44970</v>
      </c>
      <c r="E463" s="1" t="n">
        <v>46267</v>
      </c>
      <c r="F463" t="inlineStr">
        <is>
          <t>GÄVLEBORGS LÄN</t>
        </is>
      </c>
      <c r="G463" t="inlineStr">
        <is>
          <t>OCKELBO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61732-2024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45649</v>
      </c>
      <c r="E464" s="1" t="n">
        <v>46267</v>
      </c>
      <c r="F464" t="inlineStr">
        <is>
          <t>GÄVLEBORGS LÄN</t>
        </is>
      </c>
      <c r="G464" t="inlineStr">
        <is>
          <t>OCKELBO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18133-2026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46125</v>
      </c>
      <c r="E465" s="1" t="n">
        <v>46267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15581-2026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46267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öst AB</t>
        </is>
      </c>
      <c r="I466" t="n">
        <v>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46126</v>
      </c>
      <c r="E467" s="1" t="n">
        <v>46267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46105</v>
      </c>
      <c r="E468" s="1" t="n">
        <v>46267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18234-2026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46126</v>
      </c>
      <c r="E469" s="1" t="n">
        <v>46267</v>
      </c>
      <c r="F469" t="inlineStr">
        <is>
          <t>GÄVLEBORGS LÄN</t>
        </is>
      </c>
      <c r="G469" t="inlineStr">
        <is>
          <t>OCKELBO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18457-2026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46127</v>
      </c>
      <c r="E470" s="1" t="n">
        <v>46267</v>
      </c>
      <c r="F470" t="inlineStr">
        <is>
          <t>GÄVLEBORGS LÄN</t>
        </is>
      </c>
      <c r="G470" t="inlineStr">
        <is>
          <t>OCKELBO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46127</v>
      </c>
      <c r="E471" s="1" t="n">
        <v>46267</v>
      </c>
      <c r="F471" t="inlineStr">
        <is>
          <t>GÄVLEBORGS LÄN</t>
        </is>
      </c>
      <c r="G471" t="inlineStr">
        <is>
          <t>OCKELBO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46127</v>
      </c>
      <c r="E472" s="1" t="n">
        <v>46267</v>
      </c>
      <c r="F472" t="inlineStr">
        <is>
          <t>GÄVLEBORGS LÄN</t>
        </is>
      </c>
      <c r="G472" t="inlineStr">
        <is>
          <t>OCKELBO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46267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46267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46132</v>
      </c>
      <c r="E475" s="1" t="n">
        <v>46267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46267</v>
      </c>
      <c r="F476" t="inlineStr">
        <is>
          <t>GÄVLEBORGS LÄN</t>
        </is>
      </c>
      <c r="G476" t="inlineStr">
        <is>
          <t>OCKELBO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46267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45072</v>
      </c>
      <c r="E478" s="1" t="n">
        <v>46267</v>
      </c>
      <c r="F478" t="inlineStr">
        <is>
          <t>GÄVLEBORGS LÄN</t>
        </is>
      </c>
      <c r="G478" t="inlineStr">
        <is>
          <t>OCKELBO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46267</v>
      </c>
      <c r="F479" t="inlineStr">
        <is>
          <t>GÄVLEBORGS LÄN</t>
        </is>
      </c>
      <c r="G479" t="inlineStr">
        <is>
          <t>OCKELBO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46112</v>
      </c>
      <c r="E480" s="1" t="n">
        <v>46267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16530-2026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46112</v>
      </c>
      <c r="E481" s="1" t="n">
        <v>46267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46267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46267</v>
      </c>
      <c r="F483" t="inlineStr">
        <is>
          <t>GÄVLEBORGS LÄN</t>
        </is>
      </c>
      <c r="G483" t="inlineStr">
        <is>
          <t>OCKELBO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54977-2024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45620</v>
      </c>
      <c r="E484" s="1" t="n">
        <v>46267</v>
      </c>
      <c r="F484" t="inlineStr">
        <is>
          <t>GÄVLEBORGS LÄN</t>
        </is>
      </c>
      <c r="G484" t="inlineStr">
        <is>
          <t>OCKELBO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18669-2026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46128</v>
      </c>
      <c r="E485" s="1" t="n">
        <v>46267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49529-2024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45596</v>
      </c>
      <c r="E486" s="1" t="n">
        <v>46267</v>
      </c>
      <c r="F486" t="inlineStr">
        <is>
          <t>GÄVLEBORGS LÄN</t>
        </is>
      </c>
      <c r="G486" t="inlineStr">
        <is>
          <t>OCKELBO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6568-2024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45341</v>
      </c>
      <c r="E487" s="1" t="n">
        <v>46267</v>
      </c>
      <c r="F487" t="inlineStr">
        <is>
          <t>GÄVLEBORGS LÄN</t>
        </is>
      </c>
      <c r="G487" t="inlineStr">
        <is>
          <t>OCKELBO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19040-2026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46267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46267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19491-2026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46267</v>
      </c>
      <c r="F490" t="inlineStr">
        <is>
          <t>GÄVLEBORGS LÄN</t>
        </is>
      </c>
      <c r="G490" t="inlineStr">
        <is>
          <t>OCKELBO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50194-2024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45600</v>
      </c>
      <c r="E491" s="1" t="n">
        <v>46267</v>
      </c>
      <c r="F491" t="inlineStr">
        <is>
          <t>GÄVLEBORGS LÄN</t>
        </is>
      </c>
      <c r="G491" t="inlineStr">
        <is>
          <t>OCKELBO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46134</v>
      </c>
      <c r="E492" s="1" t="n">
        <v>46267</v>
      </c>
      <c r="F492" t="inlineStr">
        <is>
          <t>GÄVLEBORGS LÄN</t>
        </is>
      </c>
      <c r="G492" t="inlineStr">
        <is>
          <t>OCKELBO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19531-2026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46267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19431-2026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46267</v>
      </c>
      <c r="F494" t="inlineStr">
        <is>
          <t>GÄVLEBORGS LÄN</t>
        </is>
      </c>
      <c r="G494" t="inlineStr">
        <is>
          <t>OCKELBO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46267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19277-2026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46267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19424-2026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46267</v>
      </c>
      <c r="F497" t="inlineStr">
        <is>
          <t>GÄVLEBORGS LÄN</t>
        </is>
      </c>
      <c r="G497" t="inlineStr">
        <is>
          <t>OCKELBO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19924-2026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46136</v>
      </c>
      <c r="E498" s="1" t="n">
        <v>46267</v>
      </c>
      <c r="F498" t="inlineStr">
        <is>
          <t>GÄVLEBORGS LÄN</t>
        </is>
      </c>
      <c r="G498" t="inlineStr">
        <is>
          <t>OCKELBO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54309-2024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45617</v>
      </c>
      <c r="E499" s="1" t="n">
        <v>46267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45656</v>
      </c>
      <c r="E500" s="1" t="n">
        <v>46267</v>
      </c>
      <c r="F500" t="inlineStr">
        <is>
          <t>GÄVLEBORGS LÄN</t>
        </is>
      </c>
      <c r="G500" t="inlineStr">
        <is>
          <t>OCKELBO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42585-2023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45181</v>
      </c>
      <c r="E501" s="1" t="n">
        <v>46267</v>
      </c>
      <c r="F501" t="inlineStr">
        <is>
          <t>GÄVLEBORGS LÄN</t>
        </is>
      </c>
      <c r="G501" t="inlineStr">
        <is>
          <t>OCKELBO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56352-2024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45624</v>
      </c>
      <c r="E502" s="1" t="n">
        <v>46267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4.6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46267</v>
      </c>
      <c r="F503" t="inlineStr">
        <is>
          <t>GÄVLEBORGS LÄN</t>
        </is>
      </c>
      <c r="G503" t="inlineStr">
        <is>
          <t>OCKELBO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19945-2026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46136</v>
      </c>
      <c r="E504" s="1" t="n">
        <v>46267</v>
      </c>
      <c r="F504" t="inlineStr">
        <is>
          <t>GÄVLEBORGS LÄN</t>
        </is>
      </c>
      <c r="G504" t="inlineStr">
        <is>
          <t>OCKELBO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46121</v>
      </c>
      <c r="E505" s="1" t="n">
        <v>46267</v>
      </c>
      <c r="F505" t="inlineStr">
        <is>
          <t>GÄVLEBORGS LÄN</t>
        </is>
      </c>
      <c r="G505" t="inlineStr">
        <is>
          <t>OCKELBO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46267</v>
      </c>
      <c r="F506" t="inlineStr">
        <is>
          <t>GÄVLEBORGS LÄN</t>
        </is>
      </c>
      <c r="G506" t="inlineStr">
        <is>
          <t>OCKELBO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46267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45712</v>
      </c>
      <c r="E508" s="1" t="n">
        <v>46267</v>
      </c>
      <c r="F508" t="inlineStr">
        <is>
          <t>GÄVLEBORGS LÄN</t>
        </is>
      </c>
      <c r="G508" t="inlineStr">
        <is>
          <t>OCKELBO</t>
        </is>
      </c>
      <c r="I508" t="n">
        <v>14.7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60915-2024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45645</v>
      </c>
      <c r="E509" s="1" t="n">
        <v>46267</v>
      </c>
      <c r="F509" t="inlineStr">
        <is>
          <t>GÄVLEBORGS LÄN</t>
        </is>
      </c>
      <c r="G509" t="inlineStr">
        <is>
          <t>OCKELBO</t>
        </is>
      </c>
      <c r="H509" t="inlineStr">
        <is>
          <t>Kyrkan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46140</v>
      </c>
      <c r="E510" s="1" t="n">
        <v>46267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9556-2026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46267</v>
      </c>
      <c r="F511" t="inlineStr">
        <is>
          <t>GÄVLEBORGS LÄN</t>
        </is>
      </c>
      <c r="G511" t="inlineStr">
        <is>
          <t>OCKELBO</t>
        </is>
      </c>
      <c r="I511" t="n">
        <v>11.9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45840</v>
      </c>
      <c r="E512" s="1" t="n">
        <v>46267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4675-2026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46048</v>
      </c>
      <c r="E513" s="1" t="n">
        <v>46267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9.1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46267</v>
      </c>
      <c r="F514" t="inlineStr">
        <is>
          <t>GÄVLEBORGS LÄN</t>
        </is>
      </c>
      <c r="G514" t="inlineStr">
        <is>
          <t>OCKELBO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46267</v>
      </c>
      <c r="F515" t="inlineStr">
        <is>
          <t>GÄVLEBORGS LÄN</t>
        </is>
      </c>
      <c r="G515" t="inlineStr">
        <is>
          <t>OCKELBO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20467-2026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46267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20149-2026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46137</v>
      </c>
      <c r="E517" s="1" t="n">
        <v>46267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46137</v>
      </c>
      <c r="E518" s="1" t="n">
        <v>46267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45152</v>
      </c>
      <c r="E519" s="1" t="n">
        <v>46267</v>
      </c>
      <c r="F519" t="inlineStr">
        <is>
          <t>GÄVLEBORGS LÄN</t>
        </is>
      </c>
      <c r="G519" t="inlineStr">
        <is>
          <t>OCKELBO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19762-2024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46267</v>
      </c>
      <c r="F520" t="inlineStr">
        <is>
          <t>GÄVLEBORGS LÄN</t>
        </is>
      </c>
      <c r="G520" t="inlineStr">
        <is>
          <t>OCKELBO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20502-2026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46267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45441</v>
      </c>
      <c r="E522" s="1" t="n">
        <v>46267</v>
      </c>
      <c r="F522" t="inlineStr">
        <is>
          <t>GÄVLEBORGS LÄN</t>
        </is>
      </c>
      <c r="G522" t="inlineStr">
        <is>
          <t>OCKELBO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45111</v>
      </c>
      <c r="E523" s="1" t="n">
        <v>46267</v>
      </c>
      <c r="F523" t="inlineStr">
        <is>
          <t>GÄVLEBORGS LÄN</t>
        </is>
      </c>
      <c r="G523" t="inlineStr">
        <is>
          <t>OCKELBO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20251-2026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46267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2353-2026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46036</v>
      </c>
      <c r="E525" s="1" t="n">
        <v>46267</v>
      </c>
      <c r="F525" t="inlineStr">
        <is>
          <t>GÄVLEBORGS LÄN</t>
        </is>
      </c>
      <c r="G525" t="inlineStr">
        <is>
          <t>OCKELBO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28966-2025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45821</v>
      </c>
      <c r="E526" s="1" t="n">
        <v>46267</v>
      </c>
      <c r="F526" t="inlineStr">
        <is>
          <t>GÄVLEBORGS LÄN</t>
        </is>
      </c>
      <c r="G526" t="inlineStr">
        <is>
          <t>OCKELBO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45671</v>
      </c>
      <c r="E527" s="1" t="n">
        <v>46267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45946</v>
      </c>
      <c r="E528" s="1" t="n">
        <v>46267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46267</v>
      </c>
      <c r="F529" t="inlineStr">
        <is>
          <t>GÄVLEBORGS LÄN</t>
        </is>
      </c>
      <c r="G529" t="inlineStr">
        <is>
          <t>OCKELBO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46267</v>
      </c>
      <c r="F530" t="inlineStr">
        <is>
          <t>GÄVLEBORGS LÄN</t>
        </is>
      </c>
      <c r="G530" t="inlineStr">
        <is>
          <t>OCKELBO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29953-2024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45488</v>
      </c>
      <c r="E531" s="1" t="n">
        <v>46267</v>
      </c>
      <c r="F531" t="inlineStr">
        <is>
          <t>GÄVLEBORGS LÄN</t>
        </is>
      </c>
      <c r="G531" t="inlineStr">
        <is>
          <t>OCKELBO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7907-2026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46267</v>
      </c>
      <c r="F532" t="inlineStr">
        <is>
          <t>GÄVLEBORGS LÄN</t>
        </is>
      </c>
      <c r="G532" t="inlineStr">
        <is>
          <t>OCKELBO</t>
        </is>
      </c>
      <c r="I532" t="n">
        <v>11.5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17548-2025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45757</v>
      </c>
      <c r="E533" s="1" t="n">
        <v>46267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46042</v>
      </c>
      <c r="E534" s="1" t="n">
        <v>46267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45705</v>
      </c>
      <c r="E535" s="1" t="n">
        <v>46267</v>
      </c>
      <c r="F535" t="inlineStr">
        <is>
          <t>GÄVLEBORGS LÄN</t>
        </is>
      </c>
      <c r="G535" t="inlineStr">
        <is>
          <t>OCKELBO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46267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17.1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46063</v>
      </c>
      <c r="E537" s="1" t="n">
        <v>46267</v>
      </c>
      <c r="F537" t="inlineStr">
        <is>
          <t>GÄVLEBORGS LÄN</t>
        </is>
      </c>
      <c r="G537" t="inlineStr">
        <is>
          <t>OCKELBO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46267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46138</v>
      </c>
      <c r="E539" s="1" t="n">
        <v>46267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46267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46267</v>
      </c>
      <c r="F541" t="inlineStr">
        <is>
          <t>GÄVLEBORGS LÄN</t>
        </is>
      </c>
      <c r="G541" t="inlineStr">
        <is>
          <t>OCKELBO</t>
        </is>
      </c>
      <c r="I541" t="n">
        <v>36.1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45526</v>
      </c>
      <c r="E542" s="1" t="n">
        <v>46267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46098</v>
      </c>
      <c r="E543" s="1" t="n">
        <v>46267</v>
      </c>
      <c r="F543" t="inlineStr">
        <is>
          <t>GÄVLEBORGS LÄN</t>
        </is>
      </c>
      <c r="G543" t="inlineStr">
        <is>
          <t>OCKELBO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46079</v>
      </c>
      <c r="E544" s="1" t="n">
        <v>46267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12983-2022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44643</v>
      </c>
      <c r="E545" s="1" t="n">
        <v>46267</v>
      </c>
      <c r="F545" t="inlineStr">
        <is>
          <t>GÄVLEBORGS LÄN</t>
        </is>
      </c>
      <c r="G545" t="inlineStr">
        <is>
          <t>OCKELBO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46267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46267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45817</v>
      </c>
      <c r="E548" s="1" t="n">
        <v>46267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25564-2025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45803</v>
      </c>
      <c r="E549" s="1" t="n">
        <v>46267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46267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37391-2023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45156</v>
      </c>
      <c r="E551" s="1" t="n">
        <v>46267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63977-2025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46021</v>
      </c>
      <c r="E552" s="1" t="n">
        <v>46267</v>
      </c>
      <c r="F552" t="inlineStr">
        <is>
          <t>GÄVLEBORGS LÄN</t>
        </is>
      </c>
      <c r="G552" t="inlineStr">
        <is>
          <t>OCKELBO</t>
        </is>
      </c>
      <c r="I552" t="n">
        <v>18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46140</v>
      </c>
      <c r="E553" s="1" t="n">
        <v>46267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46267</v>
      </c>
      <c r="F554" t="inlineStr">
        <is>
          <t>GÄVLEBORGS LÄN</t>
        </is>
      </c>
      <c r="G554" t="inlineStr">
        <is>
          <t>OCKELBO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46052</v>
      </c>
      <c r="E555" s="1" t="n">
        <v>46267</v>
      </c>
      <c r="F555" t="inlineStr">
        <is>
          <t>GÄVLEBORGS LÄN</t>
        </is>
      </c>
      <c r="G555" t="inlineStr">
        <is>
          <t>OCKELBO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36604-2025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45870</v>
      </c>
      <c r="E556" s="1" t="n">
        <v>46267</v>
      </c>
      <c r="F556" t="inlineStr">
        <is>
          <t>GÄVLEBORGS LÄN</t>
        </is>
      </c>
      <c r="G556" t="inlineStr">
        <is>
          <t>OCKELBO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25404-2025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45800</v>
      </c>
      <c r="E557" s="1" t="n">
        <v>46267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56634-2023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46267</v>
      </c>
      <c r="F558" t="inlineStr">
        <is>
          <t>GÄVLEBORGS LÄN</t>
        </is>
      </c>
      <c r="G558" t="inlineStr">
        <is>
          <t>OCKELBO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45254</v>
      </c>
      <c r="E559" s="1" t="n">
        <v>46267</v>
      </c>
      <c r="F559" t="inlineStr">
        <is>
          <t>GÄVLEBORGS LÄN</t>
        </is>
      </c>
      <c r="G559" t="inlineStr">
        <is>
          <t>OCKELBO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46267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45800</v>
      </c>
      <c r="E561" s="1" t="n">
        <v>46267</v>
      </c>
      <c r="F561" t="inlineStr">
        <is>
          <t>GÄVLEBORGS LÄN</t>
        </is>
      </c>
      <c r="G561" t="inlineStr">
        <is>
          <t>OCKELBO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46267</v>
      </c>
      <c r="F562" t="inlineStr">
        <is>
          <t>GÄVLEBORGS LÄN</t>
        </is>
      </c>
      <c r="G562" t="inlineStr">
        <is>
          <t>OCKELBO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46267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20151-2026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46137</v>
      </c>
      <c r="E564" s="1" t="n">
        <v>46267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36521-2022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44804</v>
      </c>
      <c r="E565" s="1" t="n">
        <v>46267</v>
      </c>
      <c r="F565" t="inlineStr">
        <is>
          <t>GÄVLEBORGS LÄN</t>
        </is>
      </c>
      <c r="G565" t="inlineStr">
        <is>
          <t>OCKELBO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46316-2025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45925</v>
      </c>
      <c r="E566" s="1" t="n">
        <v>46267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24228-2022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44725</v>
      </c>
      <c r="E567" s="1" t="n">
        <v>46267</v>
      </c>
      <c r="F567" t="inlineStr">
        <is>
          <t>GÄVLEBORGS LÄN</t>
        </is>
      </c>
      <c r="G567" t="inlineStr">
        <is>
          <t>OCKELBO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46267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8253-2026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46064</v>
      </c>
      <c r="E569" s="1" t="n">
        <v>46267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15694-2022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44663</v>
      </c>
      <c r="E570" s="1" t="n">
        <v>46267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8521-2026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46267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46267</v>
      </c>
      <c r="F572" t="inlineStr">
        <is>
          <t>GÄVLEBORGS LÄN</t>
        </is>
      </c>
      <c r="G572" t="inlineStr">
        <is>
          <t>OCKELBO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32301-2022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44781</v>
      </c>
      <c r="E573" s="1" t="n">
        <v>46267</v>
      </c>
      <c r="F573" t="inlineStr">
        <is>
          <t>GÄVLEBORGS LÄN</t>
        </is>
      </c>
      <c r="G573" t="inlineStr">
        <is>
          <t>OCKELBO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61335-2022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44915</v>
      </c>
      <c r="E574" s="1" t="n">
        <v>46267</v>
      </c>
      <c r="F574" t="inlineStr">
        <is>
          <t>GÄVLEBORGS LÄN</t>
        </is>
      </c>
      <c r="G574" t="inlineStr">
        <is>
          <t>OCKELBO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46267</v>
      </c>
      <c r="F575" t="inlineStr">
        <is>
          <t>GÄVLEBORGS LÄN</t>
        </is>
      </c>
      <c r="G575" t="inlineStr">
        <is>
          <t>OCKELBO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46267</v>
      </c>
      <c r="F576" t="inlineStr">
        <is>
          <t>GÄVLEBORGS LÄN</t>
        </is>
      </c>
      <c r="G576" t="inlineStr">
        <is>
          <t>OCKELBO</t>
        </is>
      </c>
      <c r="I576" t="n">
        <v>10.3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45204</v>
      </c>
      <c r="E577" s="1" t="n">
        <v>46267</v>
      </c>
      <c r="F577" t="inlineStr">
        <is>
          <t>GÄVLEBORGS LÄN</t>
        </is>
      </c>
      <c r="G577" t="inlineStr">
        <is>
          <t>OCKELBO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1693-2026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46034</v>
      </c>
      <c r="E578" s="1" t="n">
        <v>46267</v>
      </c>
      <c r="F578" t="inlineStr">
        <is>
          <t>GÄVLEBORGS LÄN</t>
        </is>
      </c>
      <c r="G578" t="inlineStr">
        <is>
          <t>OCKELBO</t>
        </is>
      </c>
      <c r="I578" t="n">
        <v>9.300000000000001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46035</v>
      </c>
      <c r="E579" s="1" t="n">
        <v>46267</v>
      </c>
      <c r="F579" t="inlineStr">
        <is>
          <t>GÄVLEBORGS LÄN</t>
        </is>
      </c>
      <c r="G579" t="inlineStr">
        <is>
          <t>OCKELBO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33985-2023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45134</v>
      </c>
      <c r="E580" s="1" t="n">
        <v>46267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12708-2026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46091</v>
      </c>
      <c r="E581" s="1" t="n">
        <v>46267</v>
      </c>
      <c r="F581" t="inlineStr">
        <is>
          <t>GÄVLEBORGS LÄN</t>
        </is>
      </c>
      <c r="G581" t="inlineStr">
        <is>
          <t>OCKELBO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8683-2026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46066</v>
      </c>
      <c r="E582" s="1" t="n">
        <v>46267</v>
      </c>
      <c r="F582" t="inlineStr">
        <is>
          <t>GÄVLEBORGS LÄN</t>
        </is>
      </c>
      <c r="G582" t="inlineStr">
        <is>
          <t>OCKELBO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46106</v>
      </c>
      <c r="E583" s="1" t="n">
        <v>46267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46077</v>
      </c>
      <c r="E584" s="1" t="n">
        <v>46267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45111</v>
      </c>
      <c r="E585" s="1" t="n">
        <v>46267</v>
      </c>
      <c r="F585" t="inlineStr">
        <is>
          <t>GÄVLEBORGS LÄN</t>
        </is>
      </c>
      <c r="G585" t="inlineStr">
        <is>
          <t>OCKELBO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46267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46267</v>
      </c>
      <c r="F587" t="inlineStr">
        <is>
          <t>GÄVLEBORGS LÄN</t>
        </is>
      </c>
      <c r="G587" t="inlineStr">
        <is>
          <t>OCKELBO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60117-2025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45994</v>
      </c>
      <c r="E588" s="1" t="n">
        <v>46267</v>
      </c>
      <c r="F588" t="inlineStr">
        <is>
          <t>GÄVLEBORGS LÄN</t>
        </is>
      </c>
      <c r="G588" t="inlineStr">
        <is>
          <t>OCKELBO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8348-2026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46064</v>
      </c>
      <c r="E589" s="1" t="n">
        <v>46267</v>
      </c>
      <c r="F589" t="inlineStr">
        <is>
          <t>GÄVLEBORGS LÄN</t>
        </is>
      </c>
      <c r="G589" t="inlineStr">
        <is>
          <t>OCKELBO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20660-2022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44700</v>
      </c>
      <c r="E590" s="1" t="n">
        <v>46267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46267</v>
      </c>
      <c r="F591" t="inlineStr">
        <is>
          <t>GÄVLEBORGS LÄN</t>
        </is>
      </c>
      <c r="G591" t="inlineStr">
        <is>
          <t>OCKELBO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46267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61750-2023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45265</v>
      </c>
      <c r="E593" s="1" t="n">
        <v>46267</v>
      </c>
      <c r="F593" t="inlineStr">
        <is>
          <t>GÄVLEBORGS LÄN</t>
        </is>
      </c>
      <c r="G593" t="inlineStr">
        <is>
          <t>OCKELBO</t>
        </is>
      </c>
      <c r="I593" t="n">
        <v>11.2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18191-2026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46125</v>
      </c>
      <c r="E594" s="1" t="n">
        <v>46267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46267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46027</v>
      </c>
      <c r="E596" s="1" t="n">
        <v>46267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15247-2025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45744</v>
      </c>
      <c r="E597" s="1" t="n">
        <v>46267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9401-2026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46267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10083-2026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46073</v>
      </c>
      <c r="E599" s="1" t="n">
        <v>46267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20984-2026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46142</v>
      </c>
      <c r="E600" s="1" t="n">
        <v>46267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46146</v>
      </c>
      <c r="E601" s="1" t="n">
        <v>46267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35054-2022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44797</v>
      </c>
      <c r="E602" s="1" t="n">
        <v>46267</v>
      </c>
      <c r="F602" t="inlineStr">
        <is>
          <t>GÄVLEBORGS LÄN</t>
        </is>
      </c>
      <c r="G602" t="inlineStr">
        <is>
          <t>OCKELBO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14905-2026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46104</v>
      </c>
      <c r="E603" s="1" t="n">
        <v>46267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17951-2026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46122</v>
      </c>
      <c r="E604" s="1" t="n">
        <v>46267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46127</v>
      </c>
      <c r="E605" s="1" t="n">
        <v>46267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18097-2026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46125</v>
      </c>
      <c r="E606" s="1" t="n">
        <v>46267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46267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46267</v>
      </c>
      <c r="F608" t="inlineStr">
        <is>
          <t>GÄVLEBORGS LÄN</t>
        </is>
      </c>
      <c r="G608" t="inlineStr">
        <is>
          <t>OCKELBO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20059-2025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45772</v>
      </c>
      <c r="E609" s="1" t="n">
        <v>46267</v>
      </c>
      <c r="F609" t="inlineStr">
        <is>
          <t>GÄVLEBORGS LÄN</t>
        </is>
      </c>
      <c r="G609" t="inlineStr">
        <is>
          <t>OCKELBO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46107</v>
      </c>
      <c r="E610" s="1" t="n">
        <v>46267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öst AB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46267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46267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55112-2023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45237</v>
      </c>
      <c r="E613" s="1" t="n">
        <v>46267</v>
      </c>
      <c r="F613" t="inlineStr">
        <is>
          <t>GÄVLEBORGS LÄN</t>
        </is>
      </c>
      <c r="G613" t="inlineStr">
        <is>
          <t>OCKELBO</t>
        </is>
      </c>
      <c r="I613" t="n">
        <v>14.6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46267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öst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46119</v>
      </c>
      <c r="E615" s="1" t="n">
        <v>46267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46267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59978-2023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46267</v>
      </c>
      <c r="F617" t="inlineStr">
        <is>
          <t>GÄVLEBORGS LÄN</t>
        </is>
      </c>
      <c r="G617" t="inlineStr">
        <is>
          <t>OCKELBO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21461-2026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46267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21459-2026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46148</v>
      </c>
      <c r="E619" s="1" t="n">
        <v>46267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53488-2023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45230</v>
      </c>
      <c r="E620" s="1" t="n">
        <v>46267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46100</v>
      </c>
      <c r="E621" s="1" t="n">
        <v>46267</v>
      </c>
      <c r="F621" t="inlineStr">
        <is>
          <t>GÄVLEBORGS LÄN</t>
        </is>
      </c>
      <c r="G621" t="inlineStr">
        <is>
          <t>OCKELBO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21640-2026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46149</v>
      </c>
      <c r="E622" s="1" t="n">
        <v>46267</v>
      </c>
      <c r="F622" t="inlineStr">
        <is>
          <t>GÄVLEBORGS LÄN</t>
        </is>
      </c>
      <c r="G622" t="inlineStr">
        <is>
          <t>OCKELBO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22057-2026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46267</v>
      </c>
      <c r="F623" t="inlineStr">
        <is>
          <t>GÄVLEBORGS LÄN</t>
        </is>
      </c>
      <c r="G623" t="inlineStr">
        <is>
          <t>OCKELBO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18645-2026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46128</v>
      </c>
      <c r="E624" s="1" t="n">
        <v>46267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56034-2023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45240</v>
      </c>
      <c r="E625" s="1" t="n">
        <v>46267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46267</v>
      </c>
      <c r="F626" t="inlineStr">
        <is>
          <t>GÄVLEBORGS LÄN</t>
        </is>
      </c>
      <c r="G626" t="inlineStr">
        <is>
          <t>OCKELBO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46267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17221-2026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46267</v>
      </c>
      <c r="F628" t="inlineStr">
        <is>
          <t>GÄVLEBORGS LÄN</t>
        </is>
      </c>
      <c r="G628" t="inlineStr">
        <is>
          <t>OCKELBO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46267</v>
      </c>
      <c r="F629" t="inlineStr">
        <is>
          <t>GÄVLEBORGS LÄN</t>
        </is>
      </c>
      <c r="G629" t="inlineStr">
        <is>
          <t>OCKELBO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12352-2026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46088</v>
      </c>
      <c r="E630" s="1" t="n">
        <v>46267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9.199999999999999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46267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9.1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46071</v>
      </c>
      <c r="E632" s="1" t="n">
        <v>46267</v>
      </c>
      <c r="F632" t="inlineStr">
        <is>
          <t>GÄVLEBORGS LÄN</t>
        </is>
      </c>
      <c r="G632" t="inlineStr">
        <is>
          <t>OCKELBO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43071-2025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45909</v>
      </c>
      <c r="E633" s="1" t="n">
        <v>46267</v>
      </c>
      <c r="F633" t="inlineStr">
        <is>
          <t>GÄVLEBORGS LÄN</t>
        </is>
      </c>
      <c r="G633" t="inlineStr">
        <is>
          <t>OCKELBO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58718-2025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46267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46153</v>
      </c>
      <c r="E635" s="1" t="n">
        <v>46267</v>
      </c>
      <c r="F635" t="inlineStr">
        <is>
          <t>GÄVLEBORGS LÄN</t>
        </is>
      </c>
      <c r="G635" t="inlineStr">
        <is>
          <t>OCKELBO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3697-2026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46267</v>
      </c>
      <c r="F636" t="inlineStr">
        <is>
          <t>GÄVLEBORGS LÄN</t>
        </is>
      </c>
      <c r="G636" t="inlineStr">
        <is>
          <t>OCKELBO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15034-2026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46267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22329-2026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46154</v>
      </c>
      <c r="E638" s="1" t="n">
        <v>46267</v>
      </c>
      <c r="F638" t="inlineStr">
        <is>
          <t>GÄVLEBORGS LÄN</t>
        </is>
      </c>
      <c r="G638" t="inlineStr">
        <is>
          <t>OCKELBO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8408-2026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46267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8865-2026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46066</v>
      </c>
      <c r="E640" s="1" t="n">
        <v>46267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5164-2026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46267</v>
      </c>
      <c r="F641" t="inlineStr">
        <is>
          <t>GÄVLEBORGS LÄN</t>
        </is>
      </c>
      <c r="G641" t="inlineStr">
        <is>
          <t>OCKELBO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46267</v>
      </c>
      <c r="F642" t="inlineStr">
        <is>
          <t>GÄVLEBORGS LÄN</t>
        </is>
      </c>
      <c r="G642" t="inlineStr">
        <is>
          <t>OCKELBO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60122-2025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45994</v>
      </c>
      <c r="E643" s="1" t="n">
        <v>46267</v>
      </c>
      <c r="F643" t="inlineStr">
        <is>
          <t>GÄVLEBORGS LÄN</t>
        </is>
      </c>
      <c r="G643" t="inlineStr">
        <is>
          <t>OCKELBO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22569-2026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46155</v>
      </c>
      <c r="E644" s="1" t="n">
        <v>46267</v>
      </c>
      <c r="F644" t="inlineStr">
        <is>
          <t>GÄVLEBORGS LÄN</t>
        </is>
      </c>
      <c r="G644" t="inlineStr">
        <is>
          <t>OCKELBO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22712-2026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46156</v>
      </c>
      <c r="E645" s="1" t="n">
        <v>46267</v>
      </c>
      <c r="F645" t="inlineStr">
        <is>
          <t>GÄVLEBORGS LÄN</t>
        </is>
      </c>
      <c r="G645" t="inlineStr">
        <is>
          <t>OCKELBO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60120-2025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45994</v>
      </c>
      <c r="E646" s="1" t="n">
        <v>46267</v>
      </c>
      <c r="F646" t="inlineStr">
        <is>
          <t>GÄVLEBORGS LÄN</t>
        </is>
      </c>
      <c r="G646" t="inlineStr">
        <is>
          <t>OCKELBO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46267</v>
      </c>
      <c r="F647" t="inlineStr">
        <is>
          <t>GÄVLEBORGS LÄN</t>
        </is>
      </c>
      <c r="G647" t="inlineStr">
        <is>
          <t>OCKELBO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46609-2025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45926</v>
      </c>
      <c r="E648" s="1" t="n">
        <v>46267</v>
      </c>
      <c r="F648" t="inlineStr">
        <is>
          <t>GÄVLEBORGS LÄN</t>
        </is>
      </c>
      <c r="G648" t="inlineStr">
        <is>
          <t>OCKELBO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46267</v>
      </c>
      <c r="F649" t="inlineStr">
        <is>
          <t>GÄVLEBORGS LÄN</t>
        </is>
      </c>
      <c r="G649" t="inlineStr">
        <is>
          <t>OCKELBO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46267</v>
      </c>
      <c r="F650" t="inlineStr">
        <is>
          <t>GÄVLEBORGS LÄN</t>
        </is>
      </c>
      <c r="G650" t="inlineStr">
        <is>
          <t>OCKELBO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14474-2026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46267</v>
      </c>
      <c r="F651" t="inlineStr">
        <is>
          <t>GÄVLEBORGS LÄN</t>
        </is>
      </c>
      <c r="G651" t="inlineStr">
        <is>
          <t>OCKELBO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46267</v>
      </c>
      <c r="F652" t="inlineStr">
        <is>
          <t>GÄVLEBORGS LÄN</t>
        </is>
      </c>
      <c r="G652" t="inlineStr">
        <is>
          <t>OCKELBO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45301</v>
      </c>
      <c r="E653" s="1" t="n">
        <v>46267</v>
      </c>
      <c r="F653" t="inlineStr">
        <is>
          <t>GÄVLEBORGS LÄN</t>
        </is>
      </c>
      <c r="G653" t="inlineStr">
        <is>
          <t>OCKELBO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22843-2026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46160</v>
      </c>
      <c r="E654" s="1" t="n">
        <v>46267</v>
      </c>
      <c r="F654" t="inlineStr">
        <is>
          <t>GÄVLEBORGS LÄN</t>
        </is>
      </c>
      <c r="G654" t="inlineStr">
        <is>
          <t>OCKELBO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17862-2026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46122</v>
      </c>
      <c r="E655" s="1" t="n">
        <v>46267</v>
      </c>
      <c r="F655" t="inlineStr">
        <is>
          <t>GÄVLEBORGS LÄN</t>
        </is>
      </c>
      <c r="G655" t="inlineStr">
        <is>
          <t>OCKELBO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23040-2026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46161</v>
      </c>
      <c r="E656" s="1" t="n">
        <v>46267</v>
      </c>
      <c r="F656" t="inlineStr">
        <is>
          <t>GÄVLEBORGS LÄN</t>
        </is>
      </c>
      <c r="G656" t="inlineStr">
        <is>
          <t>OCKELBO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46161</v>
      </c>
      <c r="E657" s="1" t="n">
        <v>46267</v>
      </c>
      <c r="F657" t="inlineStr">
        <is>
          <t>GÄVLEBORGS LÄN</t>
        </is>
      </c>
      <c r="G657" t="inlineStr">
        <is>
          <t>OCKELBO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9859-2025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45716</v>
      </c>
      <c r="E658" s="1" t="n">
        <v>46267</v>
      </c>
      <c r="F658" t="inlineStr">
        <is>
          <t>GÄVLEBORGS LÄN</t>
        </is>
      </c>
      <c r="G658" t="inlineStr">
        <is>
          <t>OCKELBO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23060-2026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46267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17.6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23513-2026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46267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23786-2026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46164</v>
      </c>
      <c r="E661" s="1" t="n">
        <v>46267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23663-2026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46164</v>
      </c>
      <c r="E662" s="1" t="n">
        <v>46267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39710-2023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45167</v>
      </c>
      <c r="E663" s="1" t="n">
        <v>46267</v>
      </c>
      <c r="F663" t="inlineStr">
        <is>
          <t>GÄVLEBORGS LÄN</t>
        </is>
      </c>
      <c r="G663" t="inlineStr">
        <is>
          <t>OCKELBO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55906-2024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45623</v>
      </c>
      <c r="E664" s="1" t="n">
        <v>46267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24059-2026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46168</v>
      </c>
      <c r="E665" s="1" t="n">
        <v>46267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34449-2023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45139</v>
      </c>
      <c r="E666" s="1" t="n">
        <v>46267</v>
      </c>
      <c r="F666" t="inlineStr">
        <is>
          <t>GÄVLEBORGS LÄN</t>
        </is>
      </c>
      <c r="G666" t="inlineStr">
        <is>
          <t>OCKELBO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24185-2026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46168</v>
      </c>
      <c r="E667" s="1" t="n">
        <v>46267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46267</v>
      </c>
      <c r="F668" t="inlineStr">
        <is>
          <t>GÄVLEBORGS LÄN</t>
        </is>
      </c>
      <c r="G668" t="inlineStr">
        <is>
          <t>OCKELBO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24063-2026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46168</v>
      </c>
      <c r="E669" s="1" t="n">
        <v>46267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39062-2024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45548</v>
      </c>
      <c r="E670" s="1" t="n">
        <v>46267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10.1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46267</v>
      </c>
      <c r="F671" t="inlineStr">
        <is>
          <t>GÄVLEBORGS LÄN</t>
        </is>
      </c>
      <c r="G671" t="inlineStr">
        <is>
          <t>OCKELBO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46267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46267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24333-2026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46267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24409-2026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46267</v>
      </c>
      <c r="F675" t="inlineStr">
        <is>
          <t>GÄVLEBORGS LÄN</t>
        </is>
      </c>
      <c r="G675" t="inlineStr">
        <is>
          <t>OCKELBO</t>
        </is>
      </c>
      <c r="I675" t="n">
        <v>8.1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46085</v>
      </c>
      <c r="E676" s="1" t="n">
        <v>46267</v>
      </c>
      <c r="F676" t="inlineStr">
        <is>
          <t>GÄVLEBORGS LÄN</t>
        </is>
      </c>
      <c r="G676" t="inlineStr">
        <is>
          <t>OCKELBO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46023</v>
      </c>
      <c r="E677" s="1" t="n">
        <v>46267</v>
      </c>
      <c r="F677" t="inlineStr">
        <is>
          <t>GÄVLEBORGS LÄN</t>
        </is>
      </c>
      <c r="G677" t="inlineStr">
        <is>
          <t>OCKELBO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46170</v>
      </c>
      <c r="E678" s="1" t="n">
        <v>46267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24578-2026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46170</v>
      </c>
      <c r="E679" s="1" t="n">
        <v>46267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54944-2025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45967</v>
      </c>
      <c r="E680" s="1" t="n">
        <v>46267</v>
      </c>
      <c r="F680" t="inlineStr">
        <is>
          <t>GÄVLEBORGS LÄN</t>
        </is>
      </c>
      <c r="G680" t="inlineStr">
        <is>
          <t>OCKELBO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46267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46267</v>
      </c>
      <c r="F682" t="inlineStr">
        <is>
          <t>GÄVLEBORGS LÄN</t>
        </is>
      </c>
      <c r="G682" t="inlineStr">
        <is>
          <t>OCKELBO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46267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46170</v>
      </c>
      <c r="E684" s="1" t="n">
        <v>46267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46171</v>
      </c>
      <c r="E685" s="1" t="n">
        <v>46267</v>
      </c>
      <c r="F685" t="inlineStr">
        <is>
          <t>GÄVLEBORGS LÄN</t>
        </is>
      </c>
      <c r="G685" t="inlineStr">
        <is>
          <t>OCKELBO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24598-2026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46267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25128-2026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46175</v>
      </c>
      <c r="E687" s="1" t="n">
        <v>46267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25133-2026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46175</v>
      </c>
      <c r="E688" s="1" t="n">
        <v>46267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24974-2026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46267</v>
      </c>
      <c r="F689" t="inlineStr">
        <is>
          <t>GÄVLEBORGS LÄN</t>
        </is>
      </c>
      <c r="G689" t="inlineStr">
        <is>
          <t>OCKELBO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24952-2026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46174</v>
      </c>
      <c r="E690" s="1" t="n">
        <v>46267</v>
      </c>
      <c r="F690" t="inlineStr">
        <is>
          <t>GÄVLEBORGS LÄN</t>
        </is>
      </c>
      <c r="G690" t="inlineStr">
        <is>
          <t>OCKELBO</t>
        </is>
      </c>
      <c r="I690" t="n">
        <v>7.9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45132</v>
      </c>
      <c r="E691" s="1" t="n">
        <v>46267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46267</v>
      </c>
      <c r="F692" t="inlineStr">
        <is>
          <t>GÄVLEBORGS LÄN</t>
        </is>
      </c>
      <c r="G692" t="inlineStr">
        <is>
          <t>OCKELBO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45139</v>
      </c>
      <c r="E693" s="1" t="n">
        <v>46267</v>
      </c>
      <c r="F693" t="inlineStr">
        <is>
          <t>GÄVLEBORGS LÄN</t>
        </is>
      </c>
      <c r="G693" t="inlineStr">
        <is>
          <t>OCKELBO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50968-2024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46267</v>
      </c>
      <c r="F694" t="inlineStr">
        <is>
          <t>GÄVLEBORGS LÄN</t>
        </is>
      </c>
      <c r="G694" t="inlineStr">
        <is>
          <t>OCKELBO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25525-2026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46267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25599-2026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46267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44950</v>
      </c>
      <c r="E697" s="1" t="n">
        <v>46267</v>
      </c>
      <c r="F697" t="inlineStr">
        <is>
          <t>GÄVLEBORGS LÄN</t>
        </is>
      </c>
      <c r="G697" t="inlineStr">
        <is>
          <t>OCKELBO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50197-2024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45600</v>
      </c>
      <c r="E698" s="1" t="n">
        <v>46267</v>
      </c>
      <c r="F698" t="inlineStr">
        <is>
          <t>GÄVLEBORGS LÄN</t>
        </is>
      </c>
      <c r="G698" t="inlineStr">
        <is>
          <t>OCKELBO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52330-2024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45609</v>
      </c>
      <c r="E699" s="1" t="n">
        <v>46267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5.6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31591-2026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46224</v>
      </c>
      <c r="E700" s="1" t="n">
        <v>46267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46267</v>
      </c>
      <c r="F701" t="inlineStr">
        <is>
          <t>GÄVLEBORGS LÄN</t>
        </is>
      </c>
      <c r="G701" t="inlineStr">
        <is>
          <t>OCKELBO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46224</v>
      </c>
      <c r="E702" s="1" t="n">
        <v>46267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60148-2023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45258</v>
      </c>
      <c r="E703" s="1" t="n">
        <v>46267</v>
      </c>
      <c r="F703" t="inlineStr">
        <is>
          <t>GÄVLEBORGS LÄN</t>
        </is>
      </c>
      <c r="G703" t="inlineStr">
        <is>
          <t>OCKELBO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22692-2026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46156</v>
      </c>
      <c r="E704" s="1" t="n">
        <v>46267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61116-2023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45261</v>
      </c>
      <c r="E705" s="1" t="n">
        <v>46267</v>
      </c>
      <c r="F705" t="inlineStr">
        <is>
          <t>GÄVLEBORGS LÄN</t>
        </is>
      </c>
      <c r="G705" t="inlineStr">
        <is>
          <t>OCKELBO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26808-2026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46267</v>
      </c>
      <c r="F706" t="inlineStr">
        <is>
          <t>GÄVLEBORGS LÄN</t>
        </is>
      </c>
      <c r="G706" t="inlineStr">
        <is>
          <t>OCKELBO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26861-2026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46267</v>
      </c>
      <c r="F707" t="inlineStr">
        <is>
          <t>GÄVLEBORGS LÄN</t>
        </is>
      </c>
      <c r="G707" t="inlineStr">
        <is>
          <t>OCKELBO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44281-2022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44839</v>
      </c>
      <c r="E708" s="1" t="n">
        <v>46267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26843-2026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46267</v>
      </c>
      <c r="F709" t="inlineStr">
        <is>
          <t>GÄVLEBORGS LÄN</t>
        </is>
      </c>
      <c r="G709" t="inlineStr">
        <is>
          <t>OCKELBO</t>
        </is>
      </c>
      <c r="I709" t="n">
        <v>14.6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26845-2026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46185</v>
      </c>
      <c r="E710" s="1" t="n">
        <v>46267</v>
      </c>
      <c r="F710" t="inlineStr">
        <is>
          <t>GÄVLEBORGS LÄN</t>
        </is>
      </c>
      <c r="G710" t="inlineStr">
        <is>
          <t>OCKELBO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15325-2025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45747</v>
      </c>
      <c r="E711" s="1" t="n">
        <v>46267</v>
      </c>
      <c r="F711" t="inlineStr">
        <is>
          <t>GÄVLEBORGS LÄN</t>
        </is>
      </c>
      <c r="G711" t="inlineStr">
        <is>
          <t>OCKELBO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29687-2023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45107</v>
      </c>
      <c r="E712" s="1" t="n">
        <v>46267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37442-2023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45156</v>
      </c>
      <c r="E713" s="1" t="n">
        <v>46267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26924-2026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46185</v>
      </c>
      <c r="E714" s="1" t="n">
        <v>46267</v>
      </c>
      <c r="F714" t="inlineStr">
        <is>
          <t>GÄVLEBORGS LÄN</t>
        </is>
      </c>
      <c r="G714" t="inlineStr">
        <is>
          <t>OCKELBO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31804-2026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46230</v>
      </c>
      <c r="E715" s="1" t="n">
        <v>46267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44950</v>
      </c>
      <c r="E716" s="1" t="n">
        <v>46267</v>
      </c>
      <c r="F716" t="inlineStr">
        <is>
          <t>GÄVLEBORGS LÄN</t>
        </is>
      </c>
      <c r="G716" t="inlineStr">
        <is>
          <t>OCKELBO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46267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27381-2026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46189</v>
      </c>
      <c r="E718" s="1" t="n">
        <v>46267</v>
      </c>
      <c r="F718" t="inlineStr">
        <is>
          <t>GÄVLEBORGS LÄN</t>
        </is>
      </c>
      <c r="G718" t="inlineStr">
        <is>
          <t>OCKELBO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46267</v>
      </c>
      <c r="F719" t="inlineStr">
        <is>
          <t>GÄVLEBORGS LÄN</t>
        </is>
      </c>
      <c r="G719" t="inlineStr">
        <is>
          <t>OCKELBO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46267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33879-2023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45134</v>
      </c>
      <c r="E721" s="1" t="n">
        <v>46267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33987-2023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45134</v>
      </c>
      <c r="E722" s="1" t="n">
        <v>46267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53702-2024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45615</v>
      </c>
      <c r="E723" s="1" t="n">
        <v>46267</v>
      </c>
      <c r="F723" t="inlineStr">
        <is>
          <t>GÄVLEBORGS LÄN</t>
        </is>
      </c>
      <c r="G723" t="inlineStr">
        <is>
          <t>OCKELBO</t>
        </is>
      </c>
      <c r="I723" t="n">
        <v>5.8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27272-2026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46188</v>
      </c>
      <c r="E724" s="1" t="n">
        <v>46267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27379-2026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46189</v>
      </c>
      <c r="E725" s="1" t="n">
        <v>46267</v>
      </c>
      <c r="F725" t="inlineStr">
        <is>
          <t>GÄVLEBORGS LÄN</t>
        </is>
      </c>
      <c r="G725" t="inlineStr">
        <is>
          <t>OCKELBO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27382-2026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46189</v>
      </c>
      <c r="E726" s="1" t="n">
        <v>46267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57614-2025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45981</v>
      </c>
      <c r="E727" s="1" t="n">
        <v>46267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27231-2026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46188</v>
      </c>
      <c r="E728" s="1" t="n">
        <v>46267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31971-2026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46232</v>
      </c>
      <c r="E729" s="1" t="n">
        <v>46267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6377-2026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46267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27620-2026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46190</v>
      </c>
      <c r="E731" s="1" t="n">
        <v>46267</v>
      </c>
      <c r="F731" t="inlineStr">
        <is>
          <t>GÄVLEBORGS LÄN</t>
        </is>
      </c>
      <c r="G731" t="inlineStr">
        <is>
          <t>OCKELBO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46190</v>
      </c>
      <c r="E732" s="1" t="n">
        <v>46267</v>
      </c>
      <c r="F732" t="inlineStr">
        <is>
          <t>GÄVLEBORGS LÄN</t>
        </is>
      </c>
      <c r="G732" t="inlineStr">
        <is>
          <t>OCKELBO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46190</v>
      </c>
      <c r="E733" s="1" t="n">
        <v>46267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27562-2026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46190</v>
      </c>
      <c r="E734" s="1" t="n">
        <v>46267</v>
      </c>
      <c r="F734" t="inlineStr">
        <is>
          <t>GÄVLEBORGS LÄN</t>
        </is>
      </c>
      <c r="G734" t="inlineStr">
        <is>
          <t>OCKELBO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27889-2026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46191</v>
      </c>
      <c r="E735" s="1" t="n">
        <v>46267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29963-2024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45488</v>
      </c>
      <c r="E736" s="1" t="n">
        <v>46267</v>
      </c>
      <c r="F736" t="inlineStr">
        <is>
          <t>GÄVLEBORGS LÄN</t>
        </is>
      </c>
      <c r="G736" t="inlineStr">
        <is>
          <t>OCKELBO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52241-2024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45608</v>
      </c>
      <c r="E737" s="1" t="n">
        <v>46267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7.7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52243-2024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45608</v>
      </c>
      <c r="E738" s="1" t="n">
        <v>46267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27995-2026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46195</v>
      </c>
      <c r="E739" s="1" t="n">
        <v>46267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34440-2023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45139</v>
      </c>
      <c r="E740" s="1" t="n">
        <v>46267</v>
      </c>
      <c r="F740" t="inlineStr">
        <is>
          <t>GÄVLEBORGS LÄN</t>
        </is>
      </c>
      <c r="G740" t="inlineStr">
        <is>
          <t>OCKELBO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29968-2024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45488</v>
      </c>
      <c r="E741" s="1" t="n">
        <v>46267</v>
      </c>
      <c r="F741" t="inlineStr">
        <is>
          <t>GÄVLEBORGS LÄN</t>
        </is>
      </c>
      <c r="G741" t="inlineStr">
        <is>
          <t>OCKELBO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51989-2023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45223</v>
      </c>
      <c r="E742" s="1" t="n">
        <v>46267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21900-2023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45068</v>
      </c>
      <c r="E743" s="1" t="n">
        <v>46267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28289-2026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46267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28318-2026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46196</v>
      </c>
      <c r="E745" s="1" t="n">
        <v>46267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45678</v>
      </c>
      <c r="E746" s="1" t="n">
        <v>46267</v>
      </c>
      <c r="F746" t="inlineStr">
        <is>
          <t>GÄVLEBORGS LÄN</t>
        </is>
      </c>
      <c r="G746" t="inlineStr">
        <is>
          <t>OCKELBO</t>
        </is>
      </c>
      <c r="I746" t="n">
        <v>8.1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56741-2024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45628</v>
      </c>
      <c r="E747" s="1" t="n">
        <v>46267</v>
      </c>
      <c r="F747" t="inlineStr">
        <is>
          <t>GÄVLEBORGS LÄN</t>
        </is>
      </c>
      <c r="G747" t="inlineStr">
        <is>
          <t>OCKELBO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28317-2026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46196</v>
      </c>
      <c r="E748" s="1" t="n">
        <v>46267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49448-2023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45211</v>
      </c>
      <c r="E749" s="1" t="n">
        <v>46267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46267</v>
      </c>
      <c r="F750" t="inlineStr">
        <is>
          <t>GÄVLEBORGS LÄN</t>
        </is>
      </c>
      <c r="G750" t="inlineStr">
        <is>
          <t>OCKELBO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19772-2025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45771</v>
      </c>
      <c r="E751" s="1" t="n">
        <v>46267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19774-2025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45771</v>
      </c>
      <c r="E752" s="1" t="n">
        <v>46267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4257-2026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46045</v>
      </c>
      <c r="E753" s="1" t="n">
        <v>46267</v>
      </c>
      <c r="F753" t="inlineStr">
        <is>
          <t>GÄVLEBORGS LÄN</t>
        </is>
      </c>
      <c r="G753" t="inlineStr">
        <is>
          <t>OCKELBO</t>
        </is>
      </c>
      <c r="I753" t="n">
        <v>6.8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45581</v>
      </c>
      <c r="E754" s="1" t="n">
        <v>46267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46267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21878-2023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45068</v>
      </c>
      <c r="E756" s="1" t="n">
        <v>46267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46267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28725-2026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46267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39430-2024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45551</v>
      </c>
      <c r="E759" s="1" t="n">
        <v>46267</v>
      </c>
      <c r="F759" t="inlineStr">
        <is>
          <t>GÄVLEBORGS LÄN</t>
        </is>
      </c>
      <c r="G759" t="inlineStr">
        <is>
          <t>OCKELBO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29001-2026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46199</v>
      </c>
      <c r="E760" s="1" t="n">
        <v>46267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55070-2023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45237</v>
      </c>
      <c r="E761" s="1" t="n">
        <v>46267</v>
      </c>
      <c r="F761" t="inlineStr">
        <is>
          <t>GÄVLEBORGS LÄN</t>
        </is>
      </c>
      <c r="G761" t="inlineStr">
        <is>
          <t>OCKELBO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46198</v>
      </c>
      <c r="E762" s="1" t="n">
        <v>46267</v>
      </c>
      <c r="F762" t="inlineStr">
        <is>
          <t>GÄVLEBORGS LÄN</t>
        </is>
      </c>
      <c r="G762" t="inlineStr">
        <is>
          <t>OCKELBO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33176-2026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46245</v>
      </c>
      <c r="E763" s="1" t="n">
        <v>46267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40218-2023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45169</v>
      </c>
      <c r="E764" s="1" t="n">
        <v>46267</v>
      </c>
      <c r="F764" t="inlineStr">
        <is>
          <t>GÄVLEBORGS LÄN</t>
        </is>
      </c>
      <c r="G764" t="inlineStr">
        <is>
          <t>OCKELBO</t>
        </is>
      </c>
      <c r="I764" t="n">
        <v>13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29386-2026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46203</v>
      </c>
      <c r="E765" s="1" t="n">
        <v>46267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29437-2026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46203</v>
      </c>
      <c r="E766" s="1" t="n">
        <v>46267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29415-2026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46203</v>
      </c>
      <c r="E767" s="1" t="n">
        <v>46267</v>
      </c>
      <c r="F767" t="inlineStr">
        <is>
          <t>GÄVLEBORGS LÄN</t>
        </is>
      </c>
      <c r="G767" t="inlineStr">
        <is>
          <t>OCKELBO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19178-2023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45048</v>
      </c>
      <c r="E768" s="1" t="n">
        <v>46267</v>
      </c>
      <c r="F768" t="inlineStr">
        <is>
          <t>GÄVLEBORGS LÄN</t>
        </is>
      </c>
      <c r="G768" t="inlineStr">
        <is>
          <t>OCKELBO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46205</v>
      </c>
      <c r="E769" s="1" t="n">
        <v>46267</v>
      </c>
      <c r="F769" t="inlineStr">
        <is>
          <t>GÄVLEBORGS LÄN</t>
        </is>
      </c>
      <c r="G769" t="inlineStr">
        <is>
          <t>OCKELBO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29849-2026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46205</v>
      </c>
      <c r="E770" s="1" t="n">
        <v>46267</v>
      </c>
      <c r="F770" t="inlineStr">
        <is>
          <t>GÄVLEBORGS LÄN</t>
        </is>
      </c>
      <c r="G770" t="inlineStr">
        <is>
          <t>OCKELBO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37386-2023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45156</v>
      </c>
      <c r="E771" s="1" t="n">
        <v>46267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29611-2026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46267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29789-2026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46205</v>
      </c>
      <c r="E773" s="1" t="n">
        <v>46267</v>
      </c>
      <c r="F773" t="inlineStr">
        <is>
          <t>GÄVLEBORGS LÄN</t>
        </is>
      </c>
      <c r="G773" t="inlineStr">
        <is>
          <t>OCKELBO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2556-2025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45674</v>
      </c>
      <c r="E774" s="1" t="n">
        <v>46267</v>
      </c>
      <c r="F774" t="inlineStr">
        <is>
          <t>GÄVLEBORGS LÄN</t>
        </is>
      </c>
      <c r="G774" t="inlineStr">
        <is>
          <t>OCKELBO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14827-2026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46104</v>
      </c>
      <c r="E775" s="1" t="n">
        <v>46267</v>
      </c>
      <c r="F775" t="inlineStr">
        <is>
          <t>GÄVLEBORGS LÄN</t>
        </is>
      </c>
      <c r="G775" t="inlineStr">
        <is>
          <t>OCKELBO</t>
        </is>
      </c>
      <c r="I775" t="n">
        <v>4.6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59063-2023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45252</v>
      </c>
      <c r="E776" s="1" t="n">
        <v>46267</v>
      </c>
      <c r="F776" t="inlineStr">
        <is>
          <t>GÄVLEBORGS LÄN</t>
        </is>
      </c>
      <c r="G776" t="inlineStr">
        <is>
          <t>OCKELBO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10150-2023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44986</v>
      </c>
      <c r="E777" s="1" t="n">
        <v>46267</v>
      </c>
      <c r="F777" t="inlineStr">
        <is>
          <t>GÄVLEBORGS LÄN</t>
        </is>
      </c>
      <c r="G777" t="inlineStr">
        <is>
          <t>OCKELBO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37845-2024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45544</v>
      </c>
      <c r="E778" s="1" t="n">
        <v>46267</v>
      </c>
      <c r="F778" t="inlineStr">
        <is>
          <t>GÄVLEBORGS LÄN</t>
        </is>
      </c>
      <c r="G778" t="inlineStr">
        <is>
          <t>OCKELBO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30031-2026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46206</v>
      </c>
      <c r="E779" s="1" t="n">
        <v>46267</v>
      </c>
      <c r="F779" t="inlineStr">
        <is>
          <t>GÄVLEBORGS LÄN</t>
        </is>
      </c>
      <c r="G779" t="inlineStr">
        <is>
          <t>OCKELBO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34391-2026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46254</v>
      </c>
      <c r="E780" s="1" t="n">
        <v>46267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20775-2025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45776</v>
      </c>
      <c r="E781" s="1" t="n">
        <v>46267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34765-2026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46258</v>
      </c>
      <c r="E782" s="1" t="n">
        <v>46267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52273-2024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45608</v>
      </c>
      <c r="E783" s="1" t="n">
        <v>46267</v>
      </c>
      <c r="F783" t="inlineStr">
        <is>
          <t>GÄVLEBORGS LÄN</t>
        </is>
      </c>
      <c r="G783" t="inlineStr">
        <is>
          <t>OCKELBO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54323-2024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45617</v>
      </c>
      <c r="E784" s="1" t="n">
        <v>46267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60253-2023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45258</v>
      </c>
      <c r="E785" s="1" t="n">
        <v>46267</v>
      </c>
      <c r="F785" t="inlineStr">
        <is>
          <t>GÄVLEBORGS LÄN</t>
        </is>
      </c>
      <c r="G785" t="inlineStr">
        <is>
          <t>OCKELBO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37848-2024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45544</v>
      </c>
      <c r="E786" s="1" t="n">
        <v>46267</v>
      </c>
      <c r="F786" t="inlineStr">
        <is>
          <t>GÄVLEBORGS LÄN</t>
        </is>
      </c>
      <c r="G786" t="inlineStr">
        <is>
          <t>OCKELBO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45786</v>
      </c>
      <c r="E787" s="1" t="n">
        <v>46267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23780-2024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45455</v>
      </c>
      <c r="E788" s="1" t="n">
        <v>46267</v>
      </c>
      <c r="F788" t="inlineStr">
        <is>
          <t>GÄVLEBORGS LÄN</t>
        </is>
      </c>
      <c r="G788" t="inlineStr">
        <is>
          <t>OCKELBO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30990-2026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46213</v>
      </c>
      <c r="E789" s="1" t="n">
        <v>46267</v>
      </c>
      <c r="F789" t="inlineStr">
        <is>
          <t>GÄVLEBORGS LÄN</t>
        </is>
      </c>
      <c r="G789" t="inlineStr">
        <is>
          <t>OCKELBO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22385-2025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45786</v>
      </c>
      <c r="E790" s="1" t="n">
        <v>46267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46267</v>
      </c>
      <c r="F791" t="inlineStr">
        <is>
          <t>GÄVLEBORGS LÄN</t>
        </is>
      </c>
      <c r="G791" t="inlineStr">
        <is>
          <t>OCKELBO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28584-2024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45478</v>
      </c>
      <c r="E792" s="1" t="n">
        <v>46267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28181-2022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44746</v>
      </c>
      <c r="E793" s="1" t="n">
        <v>46267</v>
      </c>
      <c r="F793" t="inlineStr">
        <is>
          <t>GÄVLEBORGS LÄN</t>
        </is>
      </c>
      <c r="G793" t="inlineStr">
        <is>
          <t>OCKELBO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35155-2026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46260</v>
      </c>
      <c r="E794" s="1" t="n">
        <v>46267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46267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23004-2025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45790</v>
      </c>
      <c r="E796" s="1" t="n">
        <v>46267</v>
      </c>
      <c r="F796" t="inlineStr">
        <is>
          <t>GÄVLEBORGS LÄN</t>
        </is>
      </c>
      <c r="G796" t="inlineStr">
        <is>
          <t>OCKELBO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48803-2024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45593</v>
      </c>
      <c r="E797" s="1" t="n">
        <v>46267</v>
      </c>
      <c r="F797" t="inlineStr">
        <is>
          <t>GÄVLEBORGS LÄN</t>
        </is>
      </c>
      <c r="G797" t="inlineStr">
        <is>
          <t>OCKELBO</t>
        </is>
      </c>
      <c r="I797" t="n">
        <v>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20689-2025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45776</v>
      </c>
      <c r="E798" s="1" t="n">
        <v>46267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16.2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64924-2023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45282</v>
      </c>
      <c r="E799" s="1" t="n">
        <v>46267</v>
      </c>
      <c r="F799" t="inlineStr">
        <is>
          <t>GÄVLEBORGS LÄN</t>
        </is>
      </c>
      <c r="G799" t="inlineStr">
        <is>
          <t>OCKELBO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31277-2026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46218</v>
      </c>
      <c r="E800" s="1" t="n">
        <v>46267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20207-2024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45434</v>
      </c>
      <c r="E801" s="1" t="n">
        <v>46267</v>
      </c>
      <c r="F801" t="inlineStr">
        <is>
          <t>GÄVLEBORGS LÄN</t>
        </is>
      </c>
      <c r="G801" t="inlineStr">
        <is>
          <t>OCKELBO</t>
        </is>
      </c>
      <c r="I801" t="n">
        <v>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55011-2024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45621</v>
      </c>
      <c r="E802" s="1" t="n">
        <v>46267</v>
      </c>
      <c r="F802" t="inlineStr">
        <is>
          <t>GÄVLEBORGS LÄN</t>
        </is>
      </c>
      <c r="G802" t="inlineStr">
        <is>
          <t>OCKELBO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15403-2022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44659</v>
      </c>
      <c r="E803" s="1" t="n">
        <v>46267</v>
      </c>
      <c r="F803" t="inlineStr">
        <is>
          <t>GÄVLEBORGS LÄN</t>
        </is>
      </c>
      <c r="G803" t="inlineStr">
        <is>
          <t>OCKELBO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26085-2024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45468</v>
      </c>
      <c r="E804" s="1" t="n">
        <v>46267</v>
      </c>
      <c r="F804" t="inlineStr">
        <is>
          <t>GÄVLEBORGS LÄN</t>
        </is>
      </c>
      <c r="G804" t="inlineStr">
        <is>
          <t>OCKELBO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16752-2025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45754</v>
      </c>
      <c r="E805" s="1" t="n">
        <v>46267</v>
      </c>
      <c r="F805" t="inlineStr">
        <is>
          <t>GÄVLEBORGS LÄN</t>
        </is>
      </c>
      <c r="G805" t="inlineStr">
        <is>
          <t>OCKELBO</t>
        </is>
      </c>
      <c r="I805" t="n">
        <v>4.5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15502-2025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45747</v>
      </c>
      <c r="E806" s="1" t="n">
        <v>46267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5.7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49470-2024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45596</v>
      </c>
      <c r="E807" s="1" t="n">
        <v>46267</v>
      </c>
      <c r="F807" t="inlineStr">
        <is>
          <t>GÄVLEBORGS LÄN</t>
        </is>
      </c>
      <c r="G807" t="inlineStr">
        <is>
          <t>OCKELBO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31443-2026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46220</v>
      </c>
      <c r="E808" s="1" t="n">
        <v>46267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31519-2026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46223</v>
      </c>
      <c r="E809" s="1" t="n">
        <v>46267</v>
      </c>
      <c r="F809" t="inlineStr">
        <is>
          <t>GÄVLEBORGS LÄN</t>
        </is>
      </c>
      <c r="G809" t="inlineStr">
        <is>
          <t>OCKELBO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25246-2025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45800</v>
      </c>
      <c r="E810" s="1" t="n">
        <v>46267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25250-2025</t>
        </is>
      </c>
      <c r="B811" t="inlineStr">
        <is>
          <t>avverkningsanmälan</t>
        </is>
      </c>
      <c r="C811" t="inlineStr">
        <is>
          <t>Avverkning för att bevara och utveckla /försöksver</t>
        </is>
      </c>
      <c r="D811" s="1" t="n">
        <v>45800</v>
      </c>
      <c r="E811" s="1" t="n">
        <v>46267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46267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25191-2025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45800</v>
      </c>
      <c r="E813" s="1" t="n">
        <v>46267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25233-2025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46267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25234-2025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46267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31517-2026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46223</v>
      </c>
      <c r="E816" s="1" t="n">
        <v>46267</v>
      </c>
      <c r="F816" t="inlineStr">
        <is>
          <t>GÄVLEBORGS LÄN</t>
        </is>
      </c>
      <c r="G816" t="inlineStr">
        <is>
          <t>OCKELBO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58156-2025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45982</v>
      </c>
      <c r="E817" s="1" t="n">
        <v>46267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25640-2025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45803</v>
      </c>
      <c r="E818" s="1" t="n">
        <v>46267</v>
      </c>
      <c r="F818" t="inlineStr">
        <is>
          <t>GÄVLEBORGS LÄN</t>
        </is>
      </c>
      <c r="G818" t="inlineStr">
        <is>
          <t>OCKELBO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13931-2026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46098</v>
      </c>
      <c r="E819" s="1" t="n">
        <v>46267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46267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9461-2026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46071</v>
      </c>
      <c r="E821" s="1" t="n">
        <v>46267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282-2024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45323</v>
      </c>
      <c r="E822" s="1" t="n">
        <v>46267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5063-2024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45638</v>
      </c>
      <c r="E823" s="1" t="n">
        <v>46267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154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195-2024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45315</v>
      </c>
      <c r="E824" s="1" t="n">
        <v>46267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öst AB</t>
        </is>
      </c>
      <c r="I824" t="n">
        <v>46.4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411-2025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45699</v>
      </c>
      <c r="E825" s="1" t="n">
        <v>46267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24.3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7041-2022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44904</v>
      </c>
      <c r="E826" s="1" t="n">
        <v>46267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297-2026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46058</v>
      </c>
      <c r="E827" s="1" t="n">
        <v>46267</v>
      </c>
      <c r="F827" t="inlineStr">
        <is>
          <t>GÄVLEBORGS LÄN</t>
        </is>
      </c>
      <c r="G827" t="inlineStr">
        <is>
          <t>OCKELBO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657-2026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46089</v>
      </c>
      <c r="E828" s="1" t="n">
        <v>46267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131.3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1344-2026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46148</v>
      </c>
      <c r="E829" s="1" t="n">
        <v>46267</v>
      </c>
      <c r="F829" t="inlineStr">
        <is>
          <t>GÄVLEBORGS LÄN</t>
        </is>
      </c>
      <c r="G829" t="inlineStr">
        <is>
          <t>OCKELBO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1345-2026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46148</v>
      </c>
      <c r="E830" s="1" t="n">
        <v>46267</v>
      </c>
      <c r="F830" t="inlineStr">
        <is>
          <t>GÄVLEBORGS LÄN</t>
        </is>
      </c>
      <c r="G830" t="inlineStr">
        <is>
          <t>OCKELBO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190-2026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46048</v>
      </c>
      <c r="E831" s="1" t="n">
        <v>46267</v>
      </c>
      <c r="F831" t="inlineStr">
        <is>
          <t>GÄVLEBORGS LÄN</t>
        </is>
      </c>
      <c r="G831" t="inlineStr">
        <is>
          <t>OCKELBO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2026-09-02T02:07:41Z</dcterms:created>
  <dcterms:modified xmlns:dcterms="http://purl.org/dc/terms/" xmlns:xsi="http://www.w3.org/2001/XMLSchema-instance" xsi:type="dcterms:W3CDTF">2026-09-02T02:07:42Z</dcterms:modified>
</cp:coreProperties>
</file>