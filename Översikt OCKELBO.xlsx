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46257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46257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46257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46257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46257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t="n">
        <v>10</v>
      </c>
      <c r="V6" s="2" t="inlineStr">
        <is>
          <t>Vårärt
Skogsknipprot
Tibast
Blåsippa
Fläcknycklar
Lopplummer (aggregat)
Revlummer</t>
        </is>
      </c>
      <c r="W6">
        <f>HYPERLINK("https://klasma.github.io/Logging_2101/artfynd/A 29544-2023 artfynd.xlsx", "A 29544-2023")</f>
        <v/>
      </c>
      <c r="X6">
        <f>HYPERLINK("https://klasma.github.io/Logging_2101/kartor/A 29544-2023 karta.png", "A 29544-2023")</f>
        <v/>
      </c>
      <c r="Y6">
        <f>HYPERLINK("https://klasma.github.io/Logging_2101/kartor_geotiff/A 29544-2023 georefererad karta.tif", "A 29544-2023")</f>
        <v/>
      </c>
      <c r="AA6">
        <f>HYPERLINK("https://klasma.github.io/Logging_2101/klagomål/A 29544-2023 FSC-klagomål.docx", "A 29544-2023")</f>
        <v/>
      </c>
      <c r="AB6">
        <f>HYPERLINK("https://klasma.github.io/Logging_2101/klagomålsmail/A 29544-2023 FSC-klagomål mail.docx", "A 29544-2023")</f>
        <v/>
      </c>
      <c r="AC6">
        <f>HYPERLINK("https://klasma.github.io/Logging_2101/tillsyn/A 29544-2023 tillsynsbegäran.docx", "A 29544-2023")</f>
        <v/>
      </c>
      <c r="AD6">
        <f>HYPERLINK("https://klasma.github.io/Logging_2101/tillsynsmail/A 29544-2023 tillsynsbegäran mail.docx", "A 29544-2023")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46257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46257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46257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46257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46257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46257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46257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46257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46257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46257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46257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46257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31449-2026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46257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4.2</v>
      </c>
      <c r="J19" t="n">
        <v>1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6</v>
      </c>
      <c r="U19" t="n">
        <v>0</v>
      </c>
      <c r="V19" s="2" t="inlineStr">
        <is>
          <t>Läderlappslav
Korallblylav
Slanklav
Hårklomossa</t>
        </is>
      </c>
      <c r="W19">
        <f>HYPERLINK("https://klasma.github.io/Logging_2101/artfynd/A 31449-2026 artfynd.xlsx", "A 31449-2026")</f>
        <v/>
      </c>
      <c r="X19">
        <f>HYPERLINK("https://klasma.github.io/Logging_2101/kartor/A 31449-2026 karta.png", "A 31449-2026")</f>
        <v/>
      </c>
      <c r="Y19">
        <f>HYPERLINK("https://klasma.github.io/Logging_2101/kartor_geotiff/A 31449-2026 georefererad karta.tif", "A 31449-2026")</f>
        <v/>
      </c>
      <c r="AA19">
        <f>HYPERLINK("https://klasma.github.io/Logging_2101/klagomål/A 31449-2026 FSC-klagomål.docx", "A 31449-2026")</f>
        <v/>
      </c>
      <c r="AB19">
        <f>HYPERLINK("https://klasma.github.io/Logging_2101/klagomålsmail/A 31449-2026 FSC-klagomål mail.docx", "A 31449-2026")</f>
        <v/>
      </c>
      <c r="AC19">
        <f>HYPERLINK("https://klasma.github.io/Logging_2101/tillsyn/A 31449-2026 tillsynsbegäran.docx", "A 31449-2026")</f>
        <v/>
      </c>
      <c r="AD19">
        <f>HYPERLINK("https://klasma.github.io/Logging_2101/tillsynsmail/A 31449-2026 tillsynsbegäran mail.docx", "A 31449-2026")</f>
        <v/>
      </c>
    </row>
    <row r="20" ht="15" customHeight="1">
      <c r="A20" t="inlineStr">
        <is>
          <t>A 14115-2026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46257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10.7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Lunglav
Vedskivlav
Bårdlav
Stuplav</t>
        </is>
      </c>
      <c r="W20">
        <f>HYPERLINK("https://klasma.github.io/Logging_2101/artfynd/A 14115-2026 artfynd.xlsx", "A 14115-2026")</f>
        <v/>
      </c>
      <c r="X20">
        <f>HYPERLINK("https://klasma.github.io/Logging_2101/kartor/A 14115-2026 karta.png", "A 14115-2026")</f>
        <v/>
      </c>
      <c r="Y20">
        <f>HYPERLINK("https://klasma.github.io/Logging_2101/kartor_geotiff/A 14115-2026 georefererad karta.tif", "A 14115-2026")</f>
        <v/>
      </c>
      <c r="AA20">
        <f>HYPERLINK("https://klasma.github.io/Logging_2101/klagomål/A 14115-2026 FSC-klagomål.docx", "A 14115-2026")</f>
        <v/>
      </c>
      <c r="AB20">
        <f>HYPERLINK("https://klasma.github.io/Logging_2101/klagomålsmail/A 14115-2026 FSC-klagomål mail.docx", "A 14115-2026")</f>
        <v/>
      </c>
      <c r="AC20">
        <f>HYPERLINK("https://klasma.github.io/Logging_2101/tillsyn/A 14115-2026 tillsynsbegäran.docx", "A 14115-2026")</f>
        <v/>
      </c>
      <c r="AD20">
        <f>HYPERLINK("https://klasma.github.io/Logging_2101/tillsynsmail/A 14115-2026 tillsynsbegäran mail.docx", "A 14115-2026")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46257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46257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t="n">
        <v>0</v>
      </c>
      <c r="V22" s="2" t="inlineStr">
        <is>
          <t>Vanlig groda
Vanlig padda
Fläcknycklar</t>
        </is>
      </c>
      <c r="W22">
        <f>HYPERLINK("https://klasma.github.io/Logging_2101/artfynd/A 18091-2026 artfynd.xlsx", "A 18091-2026")</f>
        <v/>
      </c>
      <c r="X22">
        <f>HYPERLINK("https://klasma.github.io/Logging_2101/kartor/A 18091-2026 karta.png", "A 18091-2026")</f>
        <v/>
      </c>
      <c r="Y22">
        <f>HYPERLINK("https://klasma.github.io/Logging_2101/kartor_geotiff/A 18091-2026 georefererad karta.tif", "A 18091-2026")</f>
        <v/>
      </c>
      <c r="AA22">
        <f>HYPERLINK("https://klasma.github.io/Logging_2101/klagomål/A 18091-2026 FSC-klagomål.docx", "A 18091-2026")</f>
        <v/>
      </c>
      <c r="AB22">
        <f>HYPERLINK("https://klasma.github.io/Logging_2101/klagomålsmail/A 18091-2026 FSC-klagomål mail.docx", "A 18091-2026")</f>
        <v/>
      </c>
      <c r="AC22">
        <f>HYPERLINK("https://klasma.github.io/Logging_2101/tillsyn/A 18091-2026 tillsynsbegäran.docx", "A 18091-2026")</f>
        <v/>
      </c>
      <c r="AD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46257</v>
      </c>
      <c r="F23" t="inlineStr">
        <is>
          <t>GÄVLEBORGS LÄN</t>
        </is>
      </c>
      <c r="G23" t="inlineStr">
        <is>
          <t>OCKELBO</t>
        </is>
      </c>
      <c r="I23" t="n">
        <v>1.7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Korallrot
Spindelblomster
Fläcknycklar</t>
        </is>
      </c>
      <c r="W23">
        <f>HYPERLINK("https://klasma.github.io/Logging_2101/artfynd/A 26870-2026 artfynd.xlsx", "A 26870-2026")</f>
        <v/>
      </c>
      <c r="X23">
        <f>HYPERLINK("https://klasma.github.io/Logging_2101/kartor/A 26870-2026 karta.png", "A 26870-2026")</f>
        <v/>
      </c>
      <c r="Y23">
        <f>HYPERLINK("https://klasma.github.io/Logging_2101/kartor_geotiff/A 26870-2026 georefererad karta.tif", "A 26870-2026")</f>
        <v/>
      </c>
      <c r="AA23">
        <f>HYPERLINK("https://klasma.github.io/Logging_2101/klagomål/A 26870-2026 FSC-klagomål.docx", "A 26870-2026")</f>
        <v/>
      </c>
      <c r="AB23">
        <f>HYPERLINK("https://klasma.github.io/Logging_2101/klagomålsmail/A 26870-2026 FSC-klagomål mail.docx", "A 26870-2026")</f>
        <v/>
      </c>
      <c r="AC23">
        <f>HYPERLINK("https://klasma.github.io/Logging_2101/tillsyn/A 26870-2026 tillsynsbegäran.docx", "A 26870-2026")</f>
        <v/>
      </c>
      <c r="AD23">
        <f>HYPERLINK("https://klasma.github.io/Logging_2101/tillsynsmail/A 26870-2026 tillsynsbegäran mail.docx", "A 26870-2026")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46257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46257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Dropptaggsvamp
Mattlummer</t>
        </is>
      </c>
      <c r="W25">
        <f>HYPERLINK("https://klasma.github.io/Logging_2101/artfynd/A 27199-2025 artfynd.xlsx", "A 27199-2025")</f>
        <v/>
      </c>
      <c r="X25">
        <f>HYPERLINK("https://klasma.github.io/Logging_2101/kartor/A 27199-2025 karta.png", "A 27199-2025")</f>
        <v/>
      </c>
      <c r="Y25">
        <f>HYPERLINK("https://klasma.github.io/Logging_2101/kartor_geotiff/A 27199-2025 georefererad karta.tif", "A 27199-2025")</f>
        <v/>
      </c>
      <c r="Z25">
        <f>HYPERLINK("https://klasma.github.io/Logging_2101/knärot/A 27199-2025 karta knärot.png", "A 27199-2025")</f>
        <v/>
      </c>
      <c r="AA25">
        <f>HYPERLINK("https://klasma.github.io/Logging_2101/klagomål/A 27199-2025 FSC-klagomål.docx", "A 27199-2025")</f>
        <v/>
      </c>
      <c r="AB25">
        <f>HYPERLINK("https://klasma.github.io/Logging_2101/klagomålsmail/A 27199-2025 FSC-klagomål mail.docx", "A 27199-2025")</f>
        <v/>
      </c>
      <c r="AC25">
        <f>HYPERLINK("https://klasma.github.io/Logging_2101/tillsyn/A 27199-2025 tillsynsbegäran.docx", "A 27199-2025")</f>
        <v/>
      </c>
      <c r="AD25">
        <f>HYPERLINK("https://klasma.github.io/Logging_2101/tillsynsmail/A 27199-2025 tillsynsbegäran mail.docx", "A 27199-2025")</f>
        <v/>
      </c>
    </row>
    <row r="26" ht="15" customHeight="1">
      <c r="A26" t="inlineStr">
        <is>
          <t>A 13474-2026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46094</v>
      </c>
      <c r="E26" s="1" t="n">
        <v>46257</v>
      </c>
      <c r="F26" t="inlineStr">
        <is>
          <t>GÄVLEBORGS LÄN</t>
        </is>
      </c>
      <c r="G26" t="inlineStr">
        <is>
          <t>OCKELBO</t>
        </is>
      </c>
      <c r="H26" t="inlineStr">
        <is>
          <t>Naturvårdsverket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Orange taggsvamp
Ullticka
Vedtrappmossa</t>
        </is>
      </c>
      <c r="W26">
        <f>HYPERLINK("https://klasma.github.io/Logging_2101/artfynd/A 13474-2026 artfynd.xlsx", "A 13474-2026")</f>
        <v/>
      </c>
      <c r="X26">
        <f>HYPERLINK("https://klasma.github.io/Logging_2101/kartor/A 13474-2026 karta.png", "A 13474-2026")</f>
        <v/>
      </c>
      <c r="Y26">
        <f>HYPERLINK("https://klasma.github.io/Logging_2101/kartor_geotiff/A 13474-2026 georefererad karta.tif", "A 13474-2026")</f>
        <v/>
      </c>
      <c r="AA26">
        <f>HYPERLINK("https://klasma.github.io/Logging_2101/klagomål/A 13474-2026 FSC-klagomål.docx", "A 13474-2026")</f>
        <v/>
      </c>
      <c r="AB26">
        <f>HYPERLINK("https://klasma.github.io/Logging_2101/klagomålsmail/A 13474-2026 FSC-klagomål mail.docx", "A 13474-2026")</f>
        <v/>
      </c>
      <c r="AC26">
        <f>HYPERLINK("https://klasma.github.io/Logging_2101/tillsyn/A 13474-2026 tillsynsbegäran.docx", "A 13474-2026")</f>
        <v/>
      </c>
      <c r="AD26">
        <f>HYPERLINK("https://klasma.github.io/Logging_2101/tillsynsmail/A 13474-2026 tillsynsbegäran mail.docx", "A 13474-2026")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46257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46257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46257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46257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46257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46257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46257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46257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46257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46257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60615-2021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46257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Vanlig padda</t>
        </is>
      </c>
      <c r="W37">
        <f>HYPERLINK("https://klasma.github.io/Logging_2101/artfynd/A 60615-2021 artfynd.xlsx", "A 60615-2021")</f>
        <v/>
      </c>
      <c r="X37">
        <f>HYPERLINK("https://klasma.github.io/Logging_2101/kartor/A 60615-2021 karta.png", "A 60615-2021")</f>
        <v/>
      </c>
      <c r="Y37">
        <f>HYPERLINK("https://klasma.github.io/Logging_2101/kartor_geotiff/A 60615-2021 georefererad karta.tif", "A 60615-2021")</f>
        <v/>
      </c>
      <c r="AA37">
        <f>HYPERLINK("https://klasma.github.io/Logging_2101/klagomål/A 60615-2021 FSC-klagomål.docx", "A 60615-2021")</f>
        <v/>
      </c>
      <c r="AB37">
        <f>HYPERLINK("https://klasma.github.io/Logging_2101/klagomålsmail/A 60615-2021 FSC-klagomål mail.docx", "A 60615-2021")</f>
        <v/>
      </c>
      <c r="AC37">
        <f>HYPERLINK("https://klasma.github.io/Logging_2101/tillsyn/A 60615-2021 tillsynsbegäran.docx", "A 60615-2021")</f>
        <v/>
      </c>
      <c r="AD37">
        <f>HYPERLINK("https://klasma.github.io/Logging_2101/tillsynsmail/A 60615-2021 tillsynsbegäran mail.docx", "A 60615-2021")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46257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46257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15841-2023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45022</v>
      </c>
      <c r="E40" s="1" t="n">
        <v>46257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Havsörn</t>
        </is>
      </c>
      <c r="W40">
        <f>HYPERLINK("https://klasma.github.io/Logging_2101/artfynd/A 15841-2023 artfynd.xlsx", "A 15841-2023")</f>
        <v/>
      </c>
      <c r="X40">
        <f>HYPERLINK("https://klasma.github.io/Logging_2101/kartor/A 15841-2023 karta.png", "A 15841-2023")</f>
        <v/>
      </c>
      <c r="Y40">
        <f>HYPERLINK("https://klasma.github.io/Logging_2101/kartor_geotiff/A 15841-2023 georefererad karta.tif", "A 15841-2023")</f>
        <v/>
      </c>
      <c r="AA40">
        <f>HYPERLINK("https://klasma.github.io/Logging_2101/klagomål/A 15841-2023 FSC-klagomål.docx", "A 15841-2023")</f>
        <v/>
      </c>
      <c r="AB40">
        <f>HYPERLINK("https://klasma.github.io/Logging_2101/klagomålsmail/A 15841-2023 FSC-klagomål mail.docx", "A 15841-2023")</f>
        <v/>
      </c>
      <c r="AC40">
        <f>HYPERLINK("https://klasma.github.io/Logging_2101/tillsyn/A 15841-2023 tillsynsbegäran.docx", "A 15841-2023")</f>
        <v/>
      </c>
      <c r="AD40">
        <f>HYPERLINK("https://klasma.github.io/Logging_2101/tillsynsmail/A 15841-2023 tillsynsbegäran mail.docx", "A 15841-2023")</f>
        <v/>
      </c>
      <c r="AE40">
        <f>HYPERLINK("https://klasma.github.io/Logging_2101/fåglar/A 15841-2023 prioriterade fågelarter.docx", "A 15841-2023")</f>
        <v/>
      </c>
    </row>
    <row r="41" ht="15" customHeight="1">
      <c r="A41" t="inlineStr">
        <is>
          <t>A 16738-2025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46257</v>
      </c>
      <c r="F41" t="inlineStr">
        <is>
          <t>GÄVLEBORGS LÄN</t>
        </is>
      </c>
      <c r="G41" t="inlineStr">
        <is>
          <t>OCKELBO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HYPERLINK("https://klasma.github.io/Logging_2101/artfynd/A 16738-2025 artfynd.xlsx", "A 16738-2025")</f>
        <v/>
      </c>
      <c r="X41">
        <f>HYPERLINK("https://klasma.github.io/Logging_2101/kartor/A 16738-2025 karta.png", "A 16738-2025")</f>
        <v/>
      </c>
      <c r="Y41">
        <f>HYPERLINK("https://klasma.github.io/Logging_2101/kartor_geotiff/A 16738-2025 georefererad karta.tif", "A 16738-2025")</f>
        <v/>
      </c>
      <c r="AA41">
        <f>HYPERLINK("https://klasma.github.io/Logging_2101/klagomål/A 16738-2025 FSC-klagomål.docx", "A 16738-2025")</f>
        <v/>
      </c>
      <c r="AB41">
        <f>HYPERLINK("https://klasma.github.io/Logging_2101/klagomålsmail/A 16738-2025 FSC-klagomål mail.docx", "A 16738-2025")</f>
        <v/>
      </c>
      <c r="AC41">
        <f>HYPERLINK("https://klasma.github.io/Logging_2101/tillsyn/A 16738-2025 tillsynsbegäran.docx", "A 16738-2025")</f>
        <v/>
      </c>
      <c r="AD41">
        <f>HYPERLINK("https://klasma.github.io/Logging_2101/tillsynsmail/A 16738-2025 tillsynsbegäran mail.docx", "A 16738-2025")</f>
        <v/>
      </c>
    </row>
    <row r="42" ht="15" customHeight="1">
      <c r="A42" t="inlineStr">
        <is>
          <t>A 55778-2025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45972</v>
      </c>
      <c r="E42" s="1" t="n">
        <v>46257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HYPERLINK("https://klasma.github.io/Logging_2101/artfynd/A 55778-2025 artfynd.xlsx", "A 55778-2025")</f>
        <v/>
      </c>
      <c r="X42">
        <f>HYPERLINK("https://klasma.github.io/Logging_2101/kartor/A 55778-2025 karta.png", "A 55778-2025")</f>
        <v/>
      </c>
      <c r="Y42">
        <f>HYPERLINK("https://klasma.github.io/Logging_2101/kartor_geotiff/A 55778-2025 georefererad karta.tif", "A 55778-2025")</f>
        <v/>
      </c>
      <c r="AA42">
        <f>HYPERLINK("https://klasma.github.io/Logging_2101/klagomål/A 55778-2025 FSC-klagomål.docx", "A 55778-2025")</f>
        <v/>
      </c>
      <c r="AB42">
        <f>HYPERLINK("https://klasma.github.io/Logging_2101/klagomålsmail/A 55778-2025 FSC-klagomål mail.docx", "A 55778-2025")</f>
        <v/>
      </c>
      <c r="AC42">
        <f>HYPERLINK("https://klasma.github.io/Logging_2101/tillsyn/A 55778-2025 tillsynsbegäran.docx", "A 55778-2025")</f>
        <v/>
      </c>
      <c r="AD42">
        <f>HYPERLINK("https://klasma.github.io/Logging_2101/tillsynsmail/A 55778-2025 tillsynsbegäran mail.docx", "A 55778-2025")</f>
        <v/>
      </c>
    </row>
    <row r="43" ht="15" customHeight="1">
      <c r="A43" t="inlineStr">
        <is>
          <t>A 62989-2025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46257</v>
      </c>
      <c r="F43" t="inlineStr">
        <is>
          <t>GÄVLEBORGS LÄN</t>
        </is>
      </c>
      <c r="G43" t="inlineStr">
        <is>
          <t>OCKELBO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HYPERLINK("https://klasma.github.io/Logging_2101/artfynd/A 62989-2025 artfynd.xlsx", "A 62989-2025")</f>
        <v/>
      </c>
      <c r="X43">
        <f>HYPERLINK("https://klasma.github.io/Logging_2101/kartor/A 62989-2025 karta.png", "A 62989-2025")</f>
        <v/>
      </c>
      <c r="Y43">
        <f>HYPERLINK("https://klasma.github.io/Logging_2101/kartor_geotiff/A 62989-2025 georefererad karta.tif", "A 62989-2025")</f>
        <v/>
      </c>
      <c r="AA43">
        <f>HYPERLINK("https://klasma.github.io/Logging_2101/klagomål/A 62989-2025 FSC-klagomål.docx", "A 62989-2025")</f>
        <v/>
      </c>
      <c r="AB43">
        <f>HYPERLINK("https://klasma.github.io/Logging_2101/klagomålsmail/A 62989-2025 FSC-klagomål mail.docx", "A 62989-2025")</f>
        <v/>
      </c>
      <c r="AC43">
        <f>HYPERLINK("https://klasma.github.io/Logging_2101/tillsyn/A 62989-2025 tillsynsbegäran.docx", "A 62989-2025")</f>
        <v/>
      </c>
      <c r="AD43">
        <f>HYPERLINK("https://klasma.github.io/Logging_2101/tillsynsmail/A 62989-2025 tillsynsbegäran mail.docx", "A 62989-2025")</f>
        <v/>
      </c>
    </row>
    <row r="44" ht="15" customHeight="1">
      <c r="A44" t="inlineStr">
        <is>
          <t>A 2923-2026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46038</v>
      </c>
      <c r="E44" s="1" t="n">
        <v>46257</v>
      </c>
      <c r="F44" t="inlineStr">
        <is>
          <t>GÄVLEBORGS LÄN</t>
        </is>
      </c>
      <c r="G44" t="inlineStr">
        <is>
          <t>OCKELBO</t>
        </is>
      </c>
      <c r="I44" t="n">
        <v>2.8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HYPERLINK("https://klasma.github.io/Logging_2101/artfynd/A 2923-2026 artfynd.xlsx", "A 2923-2026")</f>
        <v/>
      </c>
      <c r="X44">
        <f>HYPERLINK("https://klasma.github.io/Logging_2101/kartor/A 2923-2026 karta.png", "A 2923-2026")</f>
        <v/>
      </c>
      <c r="Y44">
        <f>HYPERLINK("https://klasma.github.io/Logging_2101/kartor_geotiff/A 2923-2026 georefererad karta.tif", "A 2923-2026")</f>
        <v/>
      </c>
      <c r="Z44">
        <f>HYPERLINK("https://klasma.github.io/Logging_2101/knärot/A 2923-2026 karta knärot.png", "A 2923-2026")</f>
        <v/>
      </c>
      <c r="AA44">
        <f>HYPERLINK("https://klasma.github.io/Logging_2101/klagomål/A 2923-2026 FSC-klagomål.docx", "A 2923-2026")</f>
        <v/>
      </c>
      <c r="AB44">
        <f>HYPERLINK("https://klasma.github.io/Logging_2101/klagomålsmail/A 2923-2026 FSC-klagomål mail.docx", "A 2923-2026")</f>
        <v/>
      </c>
      <c r="AC44">
        <f>HYPERLINK("https://klasma.github.io/Logging_2101/tillsyn/A 2923-2026 tillsynsbegäran.docx", "A 2923-2026")</f>
        <v/>
      </c>
      <c r="AD44">
        <f>HYPERLINK("https://klasma.github.io/Logging_2101/tillsynsmail/A 2923-2026 tillsynsbegäran mail.docx", "A 2923-2026")</f>
        <v/>
      </c>
    </row>
    <row r="45" ht="15" customHeight="1">
      <c r="A45" t="inlineStr">
        <is>
          <t>A 6121-2026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46053</v>
      </c>
      <c r="E45" s="1" t="n">
        <v>46257</v>
      </c>
      <c r="F45" t="inlineStr">
        <is>
          <t>GÄVLEBORGS LÄN</t>
        </is>
      </c>
      <c r="G45" t="inlineStr">
        <is>
          <t>OCKELBO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6121-2026 artfynd.xlsx", "A 6121-2026")</f>
        <v/>
      </c>
      <c r="X45">
        <f>HYPERLINK("https://klasma.github.io/Logging_2101/kartor/A 6121-2026 karta.png", "A 6121-2026")</f>
        <v/>
      </c>
      <c r="Y45">
        <f>HYPERLINK("https://klasma.github.io/Logging_2101/kartor_geotiff/A 6121-2026 georefererad karta.tif", "A 6121-2026")</f>
        <v/>
      </c>
      <c r="AA45">
        <f>HYPERLINK("https://klasma.github.io/Logging_2101/klagomål/A 6121-2026 FSC-klagomål.docx", "A 6121-2026")</f>
        <v/>
      </c>
      <c r="AB45">
        <f>HYPERLINK("https://klasma.github.io/Logging_2101/klagomålsmail/A 6121-2026 FSC-klagomål mail.docx", "A 6121-2026")</f>
        <v/>
      </c>
      <c r="AC45">
        <f>HYPERLINK("https://klasma.github.io/Logging_2101/tillsyn/A 6121-2026 tillsynsbegäran.docx", "A 6121-2026")</f>
        <v/>
      </c>
      <c r="AD45">
        <f>HYPERLINK("https://klasma.github.io/Logging_2101/tillsynsmail/A 6121-2026 tillsynsbegäran mail.docx", "A 6121-2026")</f>
        <v/>
      </c>
      <c r="AE45">
        <f>HYPERLINK("https://klasma.github.io/Logging_2101/fåglar/A 6121-2026 prioriterade fågelarter.docx", "A 6121-2026")</f>
        <v/>
      </c>
    </row>
    <row r="46" ht="15" customHeight="1">
      <c r="A46" t="inlineStr">
        <is>
          <t>A 6586-2026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46056</v>
      </c>
      <c r="E46" s="1" t="n">
        <v>46257</v>
      </c>
      <c r="F46" t="inlineStr">
        <is>
          <t>GÄVLEBORGS LÄN</t>
        </is>
      </c>
      <c r="G46" t="inlineStr">
        <is>
          <t>OCKELBO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6586-2026 artfynd.xlsx", "A 6586-2026")</f>
        <v/>
      </c>
      <c r="X46">
        <f>HYPERLINK("https://klasma.github.io/Logging_2101/kartor/A 6586-2026 karta.png", "A 6586-2026")</f>
        <v/>
      </c>
      <c r="Y46">
        <f>HYPERLINK("https://klasma.github.io/Logging_2101/kartor_geotiff/A 6586-2026 georefererad karta.tif", "A 6586-2026")</f>
        <v/>
      </c>
      <c r="AA46">
        <f>HYPERLINK("https://klasma.github.io/Logging_2101/klagomål/A 6586-2026 FSC-klagomål.docx", "A 6586-2026")</f>
        <v/>
      </c>
      <c r="AB46">
        <f>HYPERLINK("https://klasma.github.io/Logging_2101/klagomålsmail/A 6586-2026 FSC-klagomål mail.docx", "A 6586-2026")</f>
        <v/>
      </c>
      <c r="AC46">
        <f>HYPERLINK("https://klasma.github.io/Logging_2101/tillsyn/A 6586-2026 tillsynsbegäran.docx", "A 6586-2026")</f>
        <v/>
      </c>
      <c r="AD46">
        <f>HYPERLINK("https://klasma.github.io/Logging_2101/tillsynsmail/A 6586-2026 tillsynsbegäran mail.docx", "A 6586-2026")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46257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46257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46257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14479-2026 artfynd.xlsx", "A 14479-2026")</f>
        <v/>
      </c>
      <c r="X49">
        <f>HYPERLINK("https://klasma.github.io/Logging_2101/kartor/A 14479-2026 karta.png", "A 14479-2026")</f>
        <v/>
      </c>
      <c r="Y49">
        <f>HYPERLINK("https://klasma.github.io/Logging_2101/kartor_geotiff/A 14479-2026 georefererad karta.tif", "A 14479-2026")</f>
        <v/>
      </c>
      <c r="AA49">
        <f>HYPERLINK("https://klasma.github.io/Logging_2101/klagomål/A 14479-2026 FSC-klagomål.docx", "A 14479-2026")</f>
        <v/>
      </c>
      <c r="AB49">
        <f>HYPERLINK("https://klasma.github.io/Logging_2101/klagomålsmail/A 14479-2026 FSC-klagomål mail.docx", "A 14479-2026")</f>
        <v/>
      </c>
      <c r="AC49">
        <f>HYPERLINK("https://klasma.github.io/Logging_2101/tillsyn/A 14479-2026 tillsynsbegäran.docx", "A 14479-2026")</f>
        <v/>
      </c>
      <c r="AD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46257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Tjäder</t>
        </is>
      </c>
      <c r="W50">
        <f>HYPERLINK("https://klasma.github.io/Logging_2101/artfynd/A 14664-2026 artfynd.xlsx", "A 14664-2026")</f>
        <v/>
      </c>
      <c r="X50">
        <f>HYPERLINK("https://klasma.github.io/Logging_2101/kartor/A 14664-2026 karta.png", "A 14664-2026")</f>
        <v/>
      </c>
      <c r="Y50">
        <f>HYPERLINK("https://klasma.github.io/Logging_2101/kartor_geotiff/A 14664-2026 georefererad karta.tif", "A 14664-2026")</f>
        <v/>
      </c>
      <c r="AA50">
        <f>HYPERLINK("https://klasma.github.io/Logging_2101/klagomål/A 14664-2026 FSC-klagomål.docx", "A 14664-2026")</f>
        <v/>
      </c>
      <c r="AB50">
        <f>HYPERLINK("https://klasma.github.io/Logging_2101/klagomålsmail/A 14664-2026 FSC-klagomål mail.docx", "A 14664-2026")</f>
        <v/>
      </c>
      <c r="AC50">
        <f>HYPERLINK("https://klasma.github.io/Logging_2101/tillsyn/A 14664-2026 tillsynsbegäran.docx", "A 14664-2026")</f>
        <v/>
      </c>
      <c r="AD50">
        <f>HYPERLINK("https://klasma.github.io/Logging_2101/tillsynsmail/A 14664-2026 tillsynsbegäran mail.docx", "A 14664-2026")</f>
        <v/>
      </c>
      <c r="AE50">
        <f>HYPERLINK("https://klasma.github.io/Logging_2101/fåglar/A 14664-2026 prioriterade fågelarter.docx", "A 14664-2026")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46257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18188-2026 artfynd.xlsx", "A 18188-2026")</f>
        <v/>
      </c>
      <c r="X51">
        <f>HYPERLINK("https://klasma.github.io/Logging_2101/kartor/A 18188-2026 karta.png", "A 18188-2026")</f>
        <v/>
      </c>
      <c r="Y51">
        <f>HYPERLINK("https://klasma.github.io/Logging_2101/kartor_geotiff/A 18188-2026 georefererad karta.tif", "A 18188-2026")</f>
        <v/>
      </c>
      <c r="AA51">
        <f>HYPERLINK("https://klasma.github.io/Logging_2101/klagomål/A 18188-2026 FSC-klagomål.docx", "A 18188-2026")</f>
        <v/>
      </c>
      <c r="AB51">
        <f>HYPERLINK("https://klasma.github.io/Logging_2101/klagomålsmail/A 18188-2026 FSC-klagomål mail.docx", "A 18188-2026")</f>
        <v/>
      </c>
      <c r="AC51">
        <f>HYPERLINK("https://klasma.github.io/Logging_2101/tillsyn/A 18188-2026 tillsynsbegäran.docx", "A 18188-2026")</f>
        <v/>
      </c>
      <c r="AD51">
        <f>HYPERLINK("https://klasma.github.io/Logging_2101/tillsynsmail/A 18188-2026 tillsynsbegäran mail.docx", "A 18188-2026")</f>
        <v/>
      </c>
      <c r="AE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46257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HYPERLINK("https://klasma.github.io/Logging_2101/artfynd/A 12777-2026 artfynd.xlsx", "A 12777-2026")</f>
        <v/>
      </c>
      <c r="X52">
        <f>HYPERLINK("https://klasma.github.io/Logging_2101/kartor/A 12777-2026 karta.png", "A 12777-2026")</f>
        <v/>
      </c>
      <c r="Y52">
        <f>HYPERLINK("https://klasma.github.io/Logging_2101/kartor_geotiff/A 12777-2026 georefererad karta.tif", "A 12777-2026")</f>
        <v/>
      </c>
      <c r="AA52">
        <f>HYPERLINK("https://klasma.github.io/Logging_2101/klagomål/A 12777-2026 FSC-klagomål.docx", "A 12777-2026")</f>
        <v/>
      </c>
      <c r="AB52">
        <f>HYPERLINK("https://klasma.github.io/Logging_2101/klagomålsmail/A 12777-2026 FSC-klagomål mail.docx", "A 12777-2026")</f>
        <v/>
      </c>
      <c r="AC52">
        <f>HYPERLINK("https://klasma.github.io/Logging_2101/tillsyn/A 12777-2026 tillsynsbegäran.docx", "A 12777-2026")</f>
        <v/>
      </c>
      <c r="AD52">
        <f>HYPERLINK("https://klasma.github.io/Logging_2101/tillsynsmail/A 12777-2026 tillsynsbegäran mail.docx", "A 12777-2026")</f>
        <v/>
      </c>
      <c r="AE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46257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Fläcknycklar</t>
        </is>
      </c>
      <c r="W53">
        <f>HYPERLINK("https://klasma.github.io/Logging_2101/artfynd/A 10145-2026 artfynd.xlsx", "A 10145-2026")</f>
        <v/>
      </c>
      <c r="X53">
        <f>HYPERLINK("https://klasma.github.io/Logging_2101/kartor/A 10145-2026 karta.png", "A 10145-2026")</f>
        <v/>
      </c>
      <c r="Y53">
        <f>HYPERLINK("https://klasma.github.io/Logging_2101/kartor_geotiff/A 10145-2026 georefererad karta.tif", "A 10145-2026")</f>
        <v/>
      </c>
      <c r="Z53">
        <f>HYPERLINK("https://klasma.github.io/Logging_2101/knärot/A 10145-2026 karta knärot.png", "A 10145-2026")</f>
        <v/>
      </c>
      <c r="AA53">
        <f>HYPERLINK("https://klasma.github.io/Logging_2101/klagomål/A 10145-2026 FSC-klagomål.docx", "A 10145-2026")</f>
        <v/>
      </c>
      <c r="AB53">
        <f>HYPERLINK("https://klasma.github.io/Logging_2101/klagomålsmail/A 10145-2026 FSC-klagomål mail.docx", "A 10145-2026")</f>
        <v/>
      </c>
      <c r="AC53">
        <f>HYPERLINK("https://klasma.github.io/Logging_2101/tillsyn/A 10145-2026 tillsynsbegäran.docx", "A 10145-2026")</f>
        <v/>
      </c>
      <c r="AD53">
        <f>HYPERLINK("https://klasma.github.io/Logging_2101/tillsynsmail/A 10145-2026 tillsynsbegäran mail.docx", "A 10145-2026")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46257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9155-2026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46257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Kolflarnlav</t>
        </is>
      </c>
      <c r="W55">
        <f>HYPERLINK("https://klasma.github.io/Logging_2101/artfynd/A 9155-2026 artfynd.xlsx", "A 9155-2026")</f>
        <v/>
      </c>
      <c r="X55">
        <f>HYPERLINK("https://klasma.github.io/Logging_2101/kartor/A 9155-2026 karta.png", "A 9155-2026")</f>
        <v/>
      </c>
      <c r="Y55">
        <f>HYPERLINK("https://klasma.github.io/Logging_2101/kartor_geotiff/A 9155-2026 georefererad karta.tif", "A 9155-2026")</f>
        <v/>
      </c>
      <c r="AA55">
        <f>HYPERLINK("https://klasma.github.io/Logging_2101/klagomål/A 9155-2026 FSC-klagomål.docx", "A 9155-2026")</f>
        <v/>
      </c>
      <c r="AB55">
        <f>HYPERLINK("https://klasma.github.io/Logging_2101/klagomålsmail/A 9155-2026 FSC-klagomål mail.docx", "A 9155-2026")</f>
        <v/>
      </c>
      <c r="AC55">
        <f>HYPERLINK("https://klasma.github.io/Logging_2101/tillsyn/A 9155-2026 tillsynsbegäran.docx", "A 9155-2026")</f>
        <v/>
      </c>
      <c r="AD55">
        <f>HYPERLINK("https://klasma.github.io/Logging_2101/tillsynsmail/A 9155-2026 tillsynsbegäran mail.docx", "A 9155-2026")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46257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20233-2026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46257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17.9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Tibast</t>
        </is>
      </c>
      <c r="W57">
        <f>HYPERLINK("https://klasma.github.io/Logging_2101/artfynd/A 20233-2026 artfynd.xlsx", "A 20233-2026")</f>
        <v/>
      </c>
      <c r="X57">
        <f>HYPERLINK("https://klasma.github.io/Logging_2101/kartor/A 20233-2026 karta.png", "A 20233-2026")</f>
        <v/>
      </c>
      <c r="Y57">
        <f>HYPERLINK("https://klasma.github.io/Logging_2101/kartor_geotiff/A 20233-2026 georefererad karta.tif", "A 20233-2026")</f>
        <v/>
      </c>
      <c r="AA57">
        <f>HYPERLINK("https://klasma.github.io/Logging_2101/klagomål/A 20233-2026 FSC-klagomål.docx", "A 20233-2026")</f>
        <v/>
      </c>
      <c r="AB57">
        <f>HYPERLINK("https://klasma.github.io/Logging_2101/klagomålsmail/A 20233-2026 FSC-klagomål mail.docx", "A 20233-2026")</f>
        <v/>
      </c>
      <c r="AC57">
        <f>HYPERLINK("https://klasma.github.io/Logging_2101/tillsyn/A 20233-2026 tillsynsbegäran.docx", "A 20233-2026")</f>
        <v/>
      </c>
      <c r="AD57">
        <f>HYPERLINK("https://klasma.github.io/Logging_2101/tillsynsmail/A 20233-2026 tillsynsbegäran mail.docx", "A 20233-2026")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46257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46257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4226-2023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44953</v>
      </c>
      <c r="E60" s="1" t="n">
        <v>46257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Skogsknipprot</t>
        </is>
      </c>
      <c r="W60">
        <f>HYPERLINK("https://klasma.github.io/Logging_2101/artfynd/A 4226-2023 artfynd.xlsx", "A 4226-2023")</f>
        <v/>
      </c>
      <c r="X60">
        <f>HYPERLINK("https://klasma.github.io/Logging_2101/kartor/A 4226-2023 karta.png", "A 4226-2023")</f>
        <v/>
      </c>
      <c r="Y60">
        <f>HYPERLINK("https://klasma.github.io/Logging_2101/kartor_geotiff/A 4226-2023 georefererad karta.tif", "A 4226-2023")</f>
        <v/>
      </c>
      <c r="AA60">
        <f>HYPERLINK("https://klasma.github.io/Logging_2101/klagomål/A 4226-2023 FSC-klagomål.docx", "A 4226-2023")</f>
        <v/>
      </c>
      <c r="AB60">
        <f>HYPERLINK("https://klasma.github.io/Logging_2101/klagomålsmail/A 4226-2023 FSC-klagomål mail.docx", "A 4226-2023")</f>
        <v/>
      </c>
      <c r="AC60">
        <f>HYPERLINK("https://klasma.github.io/Logging_2101/tillsyn/A 4226-2023 tillsynsbegäran.docx", "A 4226-2023")</f>
        <v/>
      </c>
      <c r="AD60">
        <f>HYPERLINK("https://klasma.github.io/Logging_2101/tillsynsmail/A 4226-2023 tillsynsbegäran mail.docx", "A 4226-2023")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46257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46257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46257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46257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46257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46257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46257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46257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46257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46257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46257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46257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46257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46257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46257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46257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46257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46257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46257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46257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46257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46257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46257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46257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46257</v>
      </c>
      <c r="F85" t="inlineStr">
        <is>
          <t>GÄVLEBORGS LÄN</t>
        </is>
      </c>
      <c r="G85" t="inlineStr">
        <is>
          <t>OCKELBO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46257</v>
      </c>
      <c r="F86" t="inlineStr">
        <is>
          <t>GÄVLEBORGS LÄN</t>
        </is>
      </c>
      <c r="G86" t="inlineStr">
        <is>
          <t>OCKELBO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46257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46257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46257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46257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46257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46257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46257</v>
      </c>
      <c r="F93" t="inlineStr">
        <is>
          <t>GÄVLEBORGS LÄN</t>
        </is>
      </c>
      <c r="G93" t="inlineStr">
        <is>
          <t>OCKELBO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46257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46257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45803</v>
      </c>
      <c r="E96" s="1" t="n">
        <v>46257</v>
      </c>
      <c r="F96" t="inlineStr">
        <is>
          <t>GÄVLEBORGS LÄN</t>
        </is>
      </c>
      <c r="G96" t="inlineStr">
        <is>
          <t>OCKELBO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25233-2025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46257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46257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46257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25191-2025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46257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25234-2025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45800</v>
      </c>
      <c r="E101" s="1" t="n">
        <v>46257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51565-2021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46257</v>
      </c>
      <c r="F102" t="inlineStr">
        <is>
          <t>GÄVLEBORGS LÄN</t>
        </is>
      </c>
      <c r="G102" t="inlineStr">
        <is>
          <t>OCKELBO</t>
        </is>
      </c>
      <c r="I102" t="n">
        <v>8.800000000000001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25250-2025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45800</v>
      </c>
      <c r="E103" s="1" t="n">
        <v>46257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46257</v>
      </c>
      <c r="F104" t="inlineStr">
        <is>
          <t>GÄVLEBORGS LÄN</t>
        </is>
      </c>
      <c r="G104" t="inlineStr">
        <is>
          <t>OCKELBO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43538-2023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45184</v>
      </c>
      <c r="E105" s="1" t="n">
        <v>46257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45490</v>
      </c>
      <c r="E106" s="1" t="n">
        <v>46257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45139</v>
      </c>
      <c r="E107" s="1" t="n">
        <v>46257</v>
      </c>
      <c r="F107" t="inlineStr">
        <is>
          <t>GÄVLEBORGS LÄN</t>
        </is>
      </c>
      <c r="G107" t="inlineStr">
        <is>
          <t>OCKELBO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46257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45705</v>
      </c>
      <c r="E109" s="1" t="n">
        <v>46257</v>
      </c>
      <c r="F109" t="inlineStr">
        <is>
          <t>GÄVLEBORGS LÄN</t>
        </is>
      </c>
      <c r="G109" t="inlineStr">
        <is>
          <t>OCKELBO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46257</v>
      </c>
      <c r="F110" t="inlineStr">
        <is>
          <t>GÄVLEBORGS LÄN</t>
        </is>
      </c>
      <c r="G110" t="inlineStr">
        <is>
          <t>OCKELBO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45181</v>
      </c>
      <c r="E111" s="1" t="n">
        <v>46257</v>
      </c>
      <c r="F111" t="inlineStr">
        <is>
          <t>GÄVLEBORGS LÄN</t>
        </is>
      </c>
      <c r="G111" t="inlineStr">
        <is>
          <t>OCKELBO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46257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46257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44700</v>
      </c>
      <c r="E114" s="1" t="n">
        <v>46257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46257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46257</v>
      </c>
      <c r="F116" t="inlineStr">
        <is>
          <t>GÄVLEBORGS LÄN</t>
        </is>
      </c>
      <c r="G116" t="inlineStr">
        <is>
          <t>OCKELBO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45817</v>
      </c>
      <c r="E117" s="1" t="n">
        <v>46257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46257</v>
      </c>
      <c r="F118" t="inlineStr">
        <is>
          <t>GÄVLEBORGS LÄN</t>
        </is>
      </c>
      <c r="G118" t="inlineStr">
        <is>
          <t>OCKELBO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37386-2023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45156</v>
      </c>
      <c r="E119" s="1" t="n">
        <v>46257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46257</v>
      </c>
      <c r="F120" t="inlineStr">
        <is>
          <t>GÄVLEBORGS LÄN</t>
        </is>
      </c>
      <c r="G120" t="inlineStr">
        <is>
          <t>OCKELBO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46257</v>
      </c>
      <c r="F121" t="inlineStr">
        <is>
          <t>GÄVLEBORGS LÄN</t>
        </is>
      </c>
      <c r="G121" t="inlineStr">
        <is>
          <t>OCKELBO</t>
        </is>
      </c>
      <c r="H121" t="inlineStr">
        <is>
          <t>Kyrkan</t>
        </is>
      </c>
      <c r="I121" t="n">
        <v>12.5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46257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46257</v>
      </c>
      <c r="F123" t="inlineStr">
        <is>
          <t>GÄVLEBORGS LÄN</t>
        </is>
      </c>
      <c r="G123" t="inlineStr">
        <is>
          <t>OCKELBO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46257</v>
      </c>
      <c r="F124" t="inlineStr">
        <is>
          <t>GÄVLEBORGS LÄN</t>
        </is>
      </c>
      <c r="G124" t="inlineStr">
        <is>
          <t>OCKELBO</t>
        </is>
      </c>
      <c r="I124" t="n">
        <v>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46257</v>
      </c>
      <c r="F125" t="inlineStr">
        <is>
          <t>GÄVLEBORGS LÄN</t>
        </is>
      </c>
      <c r="G125" t="inlineStr">
        <is>
          <t>OCKELBO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46257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45744</v>
      </c>
      <c r="E127" s="1" t="n">
        <v>46257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45534</v>
      </c>
      <c r="E128" s="1" t="n">
        <v>46257</v>
      </c>
      <c r="F128" t="inlineStr">
        <is>
          <t>GÄVLEBORGS LÄN</t>
        </is>
      </c>
      <c r="G128" t="inlineStr">
        <is>
          <t>OCKELBO</t>
        </is>
      </c>
      <c r="H128" t="inlineStr">
        <is>
          <t>Kyrkan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46257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5571-2024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45334</v>
      </c>
      <c r="E130" s="1" t="n">
        <v>46257</v>
      </c>
      <c r="F130" t="inlineStr">
        <is>
          <t>GÄVLEBORGS LÄN</t>
        </is>
      </c>
      <c r="G130" t="inlineStr">
        <is>
          <t>OCKELBO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45645</v>
      </c>
      <c r="E131" s="1" t="n">
        <v>46257</v>
      </c>
      <c r="F131" t="inlineStr">
        <is>
          <t>GÄVLEBORGS LÄN</t>
        </is>
      </c>
      <c r="G131" t="inlineStr">
        <is>
          <t>OCKELBO</t>
        </is>
      </c>
      <c r="H131" t="inlineStr">
        <is>
          <t>Kyrkan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45180</v>
      </c>
      <c r="E132" s="1" t="n">
        <v>46257</v>
      </c>
      <c r="F132" t="inlineStr">
        <is>
          <t>GÄVLEBORGS LÄN</t>
        </is>
      </c>
      <c r="G132" t="inlineStr">
        <is>
          <t>OCKELBO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46257</v>
      </c>
      <c r="F133" t="inlineStr">
        <is>
          <t>GÄVLEBORGS LÄN</t>
        </is>
      </c>
      <c r="G133" t="inlineStr">
        <is>
          <t>OCKELBO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45478</v>
      </c>
      <c r="E134" s="1" t="n">
        <v>46257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45441</v>
      </c>
      <c r="E135" s="1" t="n">
        <v>46257</v>
      </c>
      <c r="F135" t="inlineStr">
        <is>
          <t>GÄVLEBORGS LÄN</t>
        </is>
      </c>
      <c r="G135" t="inlineStr">
        <is>
          <t>OCKELBO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46257</v>
      </c>
      <c r="F136" t="inlineStr">
        <is>
          <t>GÄVLEBORGS LÄN</t>
        </is>
      </c>
      <c r="G136" t="inlineStr">
        <is>
          <t>OCKELBO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46257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46257</v>
      </c>
      <c r="F138" t="inlineStr">
        <is>
          <t>GÄVLEBORGS LÄN</t>
        </is>
      </c>
      <c r="G138" t="inlineStr">
        <is>
          <t>OCKELBO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45611</v>
      </c>
      <c r="E139" s="1" t="n">
        <v>46257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46257</v>
      </c>
      <c r="F140" t="inlineStr">
        <is>
          <t>GÄVLEBORGS LÄN</t>
        </is>
      </c>
      <c r="G140" t="inlineStr">
        <is>
          <t>OCKELBO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45450</v>
      </c>
      <c r="E141" s="1" t="n">
        <v>46257</v>
      </c>
      <c r="F141" t="inlineStr">
        <is>
          <t>GÄVLEBORGS LÄN</t>
        </is>
      </c>
      <c r="G141" t="inlineStr">
        <is>
          <t>OCKELBO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46257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56232-2022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44890</v>
      </c>
      <c r="E143" s="1" t="n">
        <v>46257</v>
      </c>
      <c r="F143" t="inlineStr">
        <is>
          <t>GÄVLEBORGS LÄN</t>
        </is>
      </c>
      <c r="G143" t="inlineStr">
        <is>
          <t>OCKELBO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46257</v>
      </c>
      <c r="F144" t="inlineStr">
        <is>
          <t>GÄVLEBORGS LÄN</t>
        </is>
      </c>
      <c r="G144" t="inlineStr">
        <is>
          <t>OCKELBO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46257</v>
      </c>
      <c r="F145" t="inlineStr">
        <is>
          <t>GÄVLEBORGS LÄN</t>
        </is>
      </c>
      <c r="G145" t="inlineStr">
        <is>
          <t>OCKELBO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46257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46257</v>
      </c>
      <c r="F147" t="inlineStr">
        <is>
          <t>GÄVLEBORGS LÄN</t>
        </is>
      </c>
      <c r="G147" t="inlineStr">
        <is>
          <t>OCKELBO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44712</v>
      </c>
      <c r="E148" s="1" t="n">
        <v>46257</v>
      </c>
      <c r="F148" t="inlineStr">
        <is>
          <t>GÄVLEBORGS LÄN</t>
        </is>
      </c>
      <c r="G148" t="inlineStr">
        <is>
          <t>OCKELBO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46257</v>
      </c>
      <c r="F149" t="inlineStr">
        <is>
          <t>GÄVLEBORGS LÄN</t>
        </is>
      </c>
      <c r="G149" t="inlineStr">
        <is>
          <t>OCKELBO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45301</v>
      </c>
      <c r="E150" s="1" t="n">
        <v>46257</v>
      </c>
      <c r="F150" t="inlineStr">
        <is>
          <t>GÄVLEBORGS LÄN</t>
        </is>
      </c>
      <c r="G150" t="inlineStr">
        <is>
          <t>OCKELBO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46257</v>
      </c>
      <c r="F151" t="inlineStr">
        <is>
          <t>GÄVLEBORGS LÄN</t>
        </is>
      </c>
      <c r="G151" t="inlineStr">
        <is>
          <t>OCKELBO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46257</v>
      </c>
      <c r="F152" t="inlineStr">
        <is>
          <t>GÄVLEBORGS LÄN</t>
        </is>
      </c>
      <c r="G152" t="inlineStr">
        <is>
          <t>OCKELBO</t>
        </is>
      </c>
      <c r="I152" t="n">
        <v>14.6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46257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46257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46257</v>
      </c>
      <c r="F155" t="inlineStr">
        <is>
          <t>GÄVLEBORGS LÄN</t>
        </is>
      </c>
      <c r="G155" t="inlineStr">
        <is>
          <t>OCKELBO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45777</v>
      </c>
      <c r="E156" s="1" t="n">
        <v>46257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46257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46257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46257</v>
      </c>
      <c r="F159" t="inlineStr">
        <is>
          <t>GÄVLEBORGS LÄN</t>
        </is>
      </c>
      <c r="G159" t="inlineStr">
        <is>
          <t>OCKELBO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46257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45827</v>
      </c>
      <c r="E161" s="1" t="n">
        <v>46257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46257</v>
      </c>
      <c r="F162" t="inlineStr">
        <is>
          <t>GÄVLEBORGS LÄN</t>
        </is>
      </c>
      <c r="G162" t="inlineStr">
        <is>
          <t>OCKELBO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46257</v>
      </c>
      <c r="F163" t="inlineStr">
        <is>
          <t>GÄVLEBORGS LÄN</t>
        </is>
      </c>
      <c r="G163" t="inlineStr">
        <is>
          <t>OCKELBO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46257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24.8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45747</v>
      </c>
      <c r="E165" s="1" t="n">
        <v>46257</v>
      </c>
      <c r="F165" t="inlineStr">
        <is>
          <t>GÄVLEBORGS LÄN</t>
        </is>
      </c>
      <c r="G165" t="inlineStr">
        <is>
          <t>OCKELBO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46257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46257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45488</v>
      </c>
      <c r="E168" s="1" t="n">
        <v>46257</v>
      </c>
      <c r="F168" t="inlineStr">
        <is>
          <t>GÄVLEBORGS LÄN</t>
        </is>
      </c>
      <c r="G168" t="inlineStr">
        <is>
          <t>OCKELBO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46257</v>
      </c>
      <c r="F169" t="inlineStr">
        <is>
          <t>GÄVLEBORGS LÄN</t>
        </is>
      </c>
      <c r="G169" t="inlineStr">
        <is>
          <t>OCKELBO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46257</v>
      </c>
      <c r="F170" t="inlineStr">
        <is>
          <t>GÄVLEBORGS LÄN</t>
        </is>
      </c>
      <c r="G170" t="inlineStr">
        <is>
          <t>OCKELBO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46257</v>
      </c>
      <c r="F171" t="inlineStr">
        <is>
          <t>GÄVLEBORGS LÄN</t>
        </is>
      </c>
      <c r="G171" t="inlineStr">
        <is>
          <t>OCKELBO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46257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46257</v>
      </c>
      <c r="F173" t="inlineStr">
        <is>
          <t>GÄVLEBORGS LÄN</t>
        </is>
      </c>
      <c r="G173" t="inlineStr">
        <is>
          <t>OCKELBO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46257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45644</v>
      </c>
      <c r="E175" s="1" t="n">
        <v>46257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46257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45027</v>
      </c>
      <c r="E177" s="1" t="n">
        <v>46257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44970</v>
      </c>
      <c r="E178" s="1" t="n">
        <v>46257</v>
      </c>
      <c r="F178" t="inlineStr">
        <is>
          <t>GÄVLEBORGS LÄN</t>
        </is>
      </c>
      <c r="G178" t="inlineStr">
        <is>
          <t>OCKELBO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46257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46257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46257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9.800000000000001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46257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66825-2021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44522</v>
      </c>
      <c r="E183" s="1" t="n">
        <v>46257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34291-2025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45846</v>
      </c>
      <c r="E184" s="1" t="n">
        <v>46257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45554</v>
      </c>
      <c r="E185" s="1" t="n">
        <v>46257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45216</v>
      </c>
      <c r="E186" s="1" t="n">
        <v>46257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45554</v>
      </c>
      <c r="E187" s="1" t="n">
        <v>46257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44816</v>
      </c>
      <c r="E188" s="1" t="n">
        <v>46257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48221-2024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46257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46257</v>
      </c>
      <c r="F190" t="inlineStr">
        <is>
          <t>GÄVLEBORGS LÄN</t>
        </is>
      </c>
      <c r="G190" t="inlineStr">
        <is>
          <t>OCKELBO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46257</v>
      </c>
      <c r="F191" t="inlineStr">
        <is>
          <t>GÄVLEBORGS LÄN</t>
        </is>
      </c>
      <c r="G191" t="inlineStr">
        <is>
          <t>OCKELBO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61622-2021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44501</v>
      </c>
      <c r="E192" s="1" t="n">
        <v>46257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45617</v>
      </c>
      <c r="E193" s="1" t="n">
        <v>46257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44845</v>
      </c>
      <c r="E194" s="1" t="n">
        <v>46257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46257</v>
      </c>
      <c r="F195" t="inlineStr">
        <is>
          <t>GÄVLEBORGS LÄN</t>
        </is>
      </c>
      <c r="G195" t="inlineStr">
        <is>
          <t>OCKELBO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67768-2021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46257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46257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46257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46257</v>
      </c>
      <c r="F199" t="inlineStr">
        <is>
          <t>GÄVLEBORGS LÄN</t>
        </is>
      </c>
      <c r="G199" t="inlineStr">
        <is>
          <t>OCKELBO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46257</v>
      </c>
      <c r="F200" t="inlineStr">
        <is>
          <t>GÄVLEBORGS LÄN</t>
        </is>
      </c>
      <c r="G200" t="inlineStr">
        <is>
          <t>OCKELBO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46257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45645</v>
      </c>
      <c r="E202" s="1" t="n">
        <v>46257</v>
      </c>
      <c r="F202" t="inlineStr">
        <is>
          <t>GÄVLEBORGS LÄN</t>
        </is>
      </c>
      <c r="G202" t="inlineStr">
        <is>
          <t>OCKELBO</t>
        </is>
      </c>
      <c r="H202" t="inlineStr">
        <is>
          <t>Kyrkan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46257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46257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46257</v>
      </c>
      <c r="F205" t="inlineStr">
        <is>
          <t>GÄVLEBORGS LÄN</t>
        </is>
      </c>
      <c r="G205" t="inlineStr">
        <is>
          <t>OCKELBO</t>
        </is>
      </c>
      <c r="I205" t="n">
        <v>11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46257</v>
      </c>
      <c r="F206" t="inlineStr">
        <is>
          <t>GÄVLEBORGS LÄN</t>
        </is>
      </c>
      <c r="G206" t="inlineStr">
        <is>
          <t>OCKELBO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46257</v>
      </c>
      <c r="F207" t="inlineStr">
        <is>
          <t>GÄVLEBORGS LÄN</t>
        </is>
      </c>
      <c r="G207" t="inlineStr">
        <is>
          <t>OCKELBO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46257</v>
      </c>
      <c r="F208" t="inlineStr">
        <is>
          <t>GÄVLEBORGS LÄN</t>
        </is>
      </c>
      <c r="G208" t="inlineStr">
        <is>
          <t>OCKELBO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46257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46257</v>
      </c>
      <c r="F210" t="inlineStr">
        <is>
          <t>GÄVLEBORGS LÄN</t>
        </is>
      </c>
      <c r="G210" t="inlineStr">
        <is>
          <t>OCKELBO</t>
        </is>
      </c>
      <c r="I210" t="n">
        <v>11.1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45674</v>
      </c>
      <c r="E211" s="1" t="n">
        <v>46257</v>
      </c>
      <c r="F211" t="inlineStr">
        <is>
          <t>GÄVLEBORGS LÄN</t>
        </is>
      </c>
      <c r="G211" t="inlineStr">
        <is>
          <t>OCKELBO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46257</v>
      </c>
      <c r="F212" t="inlineStr">
        <is>
          <t>GÄVLEBORGS LÄN</t>
        </is>
      </c>
      <c r="G212" t="inlineStr">
        <is>
          <t>OCKELBO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46257</v>
      </c>
      <c r="F213" t="inlineStr">
        <is>
          <t>GÄVLEBORGS LÄN</t>
        </is>
      </c>
      <c r="G213" t="inlineStr">
        <is>
          <t>OCKELBO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46257</v>
      </c>
      <c r="F214" t="inlineStr">
        <is>
          <t>GÄVLEBORGS LÄN</t>
        </is>
      </c>
      <c r="G214" t="inlineStr">
        <is>
          <t>OCKELBO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44950</v>
      </c>
      <c r="E215" s="1" t="n">
        <v>46257</v>
      </c>
      <c r="F215" t="inlineStr">
        <is>
          <t>GÄVLEBORGS LÄN</t>
        </is>
      </c>
      <c r="G215" t="inlineStr">
        <is>
          <t>OCKELBO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45772</v>
      </c>
      <c r="E216" s="1" t="n">
        <v>46257</v>
      </c>
      <c r="F216" t="inlineStr">
        <is>
          <t>GÄVLEBORGS LÄN</t>
        </is>
      </c>
      <c r="G216" t="inlineStr">
        <is>
          <t>OCKELBO</t>
        </is>
      </c>
      <c r="I216" t="n">
        <v>14.8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33231-2025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46257</v>
      </c>
      <c r="F217" t="inlineStr">
        <is>
          <t>GÄVLEBORGS LÄN</t>
        </is>
      </c>
      <c r="G217" t="inlineStr">
        <is>
          <t>OCKELBO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46257</v>
      </c>
      <c r="F218" t="inlineStr">
        <is>
          <t>GÄVLEBORGS LÄN</t>
        </is>
      </c>
      <c r="G218" t="inlineStr">
        <is>
          <t>OCKELBO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65259-2023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45291</v>
      </c>
      <c r="E219" s="1" t="n">
        <v>46257</v>
      </c>
      <c r="F219" t="inlineStr">
        <is>
          <t>GÄVLEBORGS LÄN</t>
        </is>
      </c>
      <c r="G219" t="inlineStr">
        <is>
          <t>OCKELBO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46257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45953</v>
      </c>
      <c r="E221" s="1" t="n">
        <v>46257</v>
      </c>
      <c r="F221" t="inlineStr">
        <is>
          <t>GÄVLEBORGS LÄN</t>
        </is>
      </c>
      <c r="G221" t="inlineStr">
        <is>
          <t>OCKELBO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45551</v>
      </c>
      <c r="E222" s="1" t="n">
        <v>46257</v>
      </c>
      <c r="F222" t="inlineStr">
        <is>
          <t>GÄVLEBORGS LÄN</t>
        </is>
      </c>
      <c r="G222" t="inlineStr">
        <is>
          <t>OCKELBO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46257</v>
      </c>
      <c r="F223" t="inlineStr">
        <is>
          <t>GÄVLEBORGS LÄN</t>
        </is>
      </c>
      <c r="G223" t="inlineStr">
        <is>
          <t>OCKELBO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45952</v>
      </c>
      <c r="E224" s="1" t="n">
        <v>46257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46257</v>
      </c>
      <c r="F225" t="inlineStr">
        <is>
          <t>GÄVLEBORGS LÄN</t>
        </is>
      </c>
      <c r="G225" t="inlineStr">
        <is>
          <t>OCKELBO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45840</v>
      </c>
      <c r="E226" s="1" t="n">
        <v>46257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52880-2025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45957</v>
      </c>
      <c r="E227" s="1" t="n">
        <v>46257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52635-2025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46257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46257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45109</v>
      </c>
      <c r="E230" s="1" t="n">
        <v>46257</v>
      </c>
      <c r="F230" t="inlineStr">
        <is>
          <t>GÄVLEBORGS LÄN</t>
        </is>
      </c>
      <c r="G230" t="inlineStr">
        <is>
          <t>OCKELBO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45959</v>
      </c>
      <c r="E231" s="1" t="n">
        <v>46257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46257</v>
      </c>
      <c r="F232" t="inlineStr">
        <is>
          <t>GÄVLEBORGS LÄN</t>
        </is>
      </c>
      <c r="G232" t="inlineStr">
        <is>
          <t>OCKELBO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20231-2024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45434</v>
      </c>
      <c r="E233" s="1" t="n">
        <v>46257</v>
      </c>
      <c r="F233" t="inlineStr">
        <is>
          <t>GÄVLEBORGS LÄN</t>
        </is>
      </c>
      <c r="G233" t="inlineStr">
        <is>
          <t>OCKELBO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45073</v>
      </c>
      <c r="E234" s="1" t="n">
        <v>46257</v>
      </c>
      <c r="F234" t="inlineStr">
        <is>
          <t>GÄVLEBORGS LÄN</t>
        </is>
      </c>
      <c r="G234" t="inlineStr">
        <is>
          <t>OCKELBO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46257</v>
      </c>
      <c r="F235" t="inlineStr">
        <is>
          <t>GÄVLEBORGS LÄN</t>
        </is>
      </c>
      <c r="G235" t="inlineStr">
        <is>
          <t>OCKELBO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45649</v>
      </c>
      <c r="E236" s="1" t="n">
        <v>46257</v>
      </c>
      <c r="F236" t="inlineStr">
        <is>
          <t>GÄVLEBORGS LÄN</t>
        </is>
      </c>
      <c r="G236" t="inlineStr">
        <is>
          <t>OCKELBO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46257</v>
      </c>
      <c r="F237" t="inlineStr">
        <is>
          <t>GÄVLEBORGS LÄN</t>
        </is>
      </c>
      <c r="G237" t="inlineStr">
        <is>
          <t>OCKELBO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54879-2025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46257</v>
      </c>
      <c r="F238" t="inlineStr">
        <is>
          <t>GÄVLEBORGS LÄN</t>
        </is>
      </c>
      <c r="G238" t="inlineStr">
        <is>
          <t>OCKELBO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46257</v>
      </c>
      <c r="F239" t="inlineStr">
        <is>
          <t>GÄVLEBORGS LÄN</t>
        </is>
      </c>
      <c r="G239" t="inlineStr">
        <is>
          <t>OCKELBO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44986</v>
      </c>
      <c r="E240" s="1" t="n">
        <v>46257</v>
      </c>
      <c r="F240" t="inlineStr">
        <is>
          <t>GÄVLEBORGS LÄN</t>
        </is>
      </c>
      <c r="G240" t="inlineStr">
        <is>
          <t>OCKELBO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45618</v>
      </c>
      <c r="E241" s="1" t="n">
        <v>46257</v>
      </c>
      <c r="F241" t="inlineStr">
        <is>
          <t>GÄVLEBORGS LÄN</t>
        </is>
      </c>
      <c r="G241" t="inlineStr">
        <is>
          <t>OCKELBO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46257</v>
      </c>
      <c r="F242" t="inlineStr">
        <is>
          <t>GÄVLEBORGS LÄN</t>
        </is>
      </c>
      <c r="G242" t="inlineStr">
        <is>
          <t>OCKELBO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46257</v>
      </c>
      <c r="F243" t="inlineStr">
        <is>
          <t>GÄVLEBORGS LÄN</t>
        </is>
      </c>
      <c r="G243" t="inlineStr">
        <is>
          <t>OCKELBO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45611</v>
      </c>
      <c r="E244" s="1" t="n">
        <v>46257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45973</v>
      </c>
      <c r="E245" s="1" t="n">
        <v>46257</v>
      </c>
      <c r="F245" t="inlineStr">
        <is>
          <t>GÄVLEBORGS LÄN</t>
        </is>
      </c>
      <c r="G245" t="inlineStr">
        <is>
          <t>OCKELBO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45973</v>
      </c>
      <c r="E246" s="1" t="n">
        <v>46257</v>
      </c>
      <c r="F246" t="inlineStr">
        <is>
          <t>GÄVLEBORGS LÄN</t>
        </is>
      </c>
      <c r="G246" t="inlineStr">
        <is>
          <t>OCKELBO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46257</v>
      </c>
      <c r="F247" t="inlineStr">
        <is>
          <t>GÄVLEBORGS LÄN</t>
        </is>
      </c>
      <c r="G247" t="inlineStr">
        <is>
          <t>OCKELBO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33617-2023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45132</v>
      </c>
      <c r="E248" s="1" t="n">
        <v>46257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46257</v>
      </c>
      <c r="F249" t="inlineStr">
        <is>
          <t>GÄVLEBORGS LÄN</t>
        </is>
      </c>
      <c r="G249" t="inlineStr">
        <is>
          <t>OCKELBO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46257</v>
      </c>
      <c r="F250" t="inlineStr">
        <is>
          <t>GÄVLEBORGS LÄN</t>
        </is>
      </c>
      <c r="G250" t="inlineStr">
        <is>
          <t>OCKELBO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46257</v>
      </c>
      <c r="F251" t="inlineStr">
        <is>
          <t>GÄVLEBORGS LÄN</t>
        </is>
      </c>
      <c r="G251" t="inlineStr">
        <is>
          <t>OCKELBO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46257</v>
      </c>
      <c r="F252" t="inlineStr">
        <is>
          <t>GÄVLEBORGS LÄN</t>
        </is>
      </c>
      <c r="G252" t="inlineStr">
        <is>
          <t>OCKELBO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55911-2025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45973</v>
      </c>
      <c r="E253" s="1" t="n">
        <v>46257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45973</v>
      </c>
      <c r="E254" s="1" t="n">
        <v>46257</v>
      </c>
      <c r="F254" t="inlineStr">
        <is>
          <t>GÄVLEBORGS LÄN</t>
        </is>
      </c>
      <c r="G254" t="inlineStr">
        <is>
          <t>OCKELBO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45975</v>
      </c>
      <c r="E255" s="1" t="n">
        <v>46257</v>
      </c>
      <c r="F255" t="inlineStr">
        <is>
          <t>GÄVLEBORGS LÄN</t>
        </is>
      </c>
      <c r="G255" t="inlineStr">
        <is>
          <t>OCKELBO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46257</v>
      </c>
      <c r="F256" t="inlineStr">
        <is>
          <t>GÄVLEBORGS LÄN</t>
        </is>
      </c>
      <c r="G256" t="inlineStr">
        <is>
          <t>OCKELBO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46257</v>
      </c>
      <c r="F257" t="inlineStr">
        <is>
          <t>GÄVLEBORGS LÄN</t>
        </is>
      </c>
      <c r="G257" t="inlineStr">
        <is>
          <t>OCKELBO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46257</v>
      </c>
      <c r="F258" t="inlineStr">
        <is>
          <t>GÄVLEBORGS LÄN</t>
        </is>
      </c>
      <c r="G258" t="inlineStr">
        <is>
          <t>OCKELBO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46257</v>
      </c>
      <c r="F259" t="inlineStr">
        <is>
          <t>GÄVLEBORGS LÄN</t>
        </is>
      </c>
      <c r="G259" t="inlineStr">
        <is>
          <t>OCKELBO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46257</v>
      </c>
      <c r="F260" t="inlineStr">
        <is>
          <t>GÄVLEBORGS LÄN</t>
        </is>
      </c>
      <c r="G260" t="inlineStr">
        <is>
          <t>OCKELBO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46257</v>
      </c>
      <c r="F261" t="inlineStr">
        <is>
          <t>GÄVLEBORGS LÄN</t>
        </is>
      </c>
      <c r="G261" t="inlineStr">
        <is>
          <t>OCKELBO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46257</v>
      </c>
      <c r="F262" t="inlineStr">
        <is>
          <t>GÄVLEBORGS LÄN</t>
        </is>
      </c>
      <c r="G262" t="inlineStr">
        <is>
          <t>OCKELBO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45455</v>
      </c>
      <c r="E263" s="1" t="n">
        <v>46257</v>
      </c>
      <c r="F263" t="inlineStr">
        <is>
          <t>GÄVLEBORGS LÄN</t>
        </is>
      </c>
      <c r="G263" t="inlineStr">
        <is>
          <t>OCKELBO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44950</v>
      </c>
      <c r="E264" s="1" t="n">
        <v>46257</v>
      </c>
      <c r="F264" t="inlineStr">
        <is>
          <t>GÄVLEBORGS LÄN</t>
        </is>
      </c>
      <c r="G264" t="inlineStr">
        <is>
          <t>OCKELBO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35017-2025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45851</v>
      </c>
      <c r="E265" s="1" t="n">
        <v>46257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27.8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58295-2025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46257</v>
      </c>
      <c r="F266" t="inlineStr">
        <is>
          <t>GÄVLEBORGS LÄN</t>
        </is>
      </c>
      <c r="G266" t="inlineStr">
        <is>
          <t>OCKELBO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46257</v>
      </c>
      <c r="F267" t="inlineStr">
        <is>
          <t>GÄVLEBORGS LÄN</t>
        </is>
      </c>
      <c r="G267" t="inlineStr">
        <is>
          <t>OCKELBO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44883</v>
      </c>
      <c r="E268" s="1" t="n">
        <v>46257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46257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46257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46257</v>
      </c>
      <c r="F271" t="inlineStr">
        <is>
          <t>GÄVLEBORGS LÄN</t>
        </is>
      </c>
      <c r="G271" t="inlineStr">
        <is>
          <t>OCKELBO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40196-2024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45554</v>
      </c>
      <c r="E272" s="1" t="n">
        <v>46257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46257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45620</v>
      </c>
      <c r="E274" s="1" t="n">
        <v>46257</v>
      </c>
      <c r="F274" t="inlineStr">
        <is>
          <t>GÄVLEBORGS LÄN</t>
        </is>
      </c>
      <c r="G274" t="inlineStr">
        <is>
          <t>OCKELBO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46257</v>
      </c>
      <c r="F275" t="inlineStr">
        <is>
          <t>GÄVLEBORGS LÄN</t>
        </is>
      </c>
      <c r="G275" t="inlineStr">
        <is>
          <t>OCKELBO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45203</v>
      </c>
      <c r="E276" s="1" t="n">
        <v>46257</v>
      </c>
      <c r="F276" t="inlineStr">
        <is>
          <t>GÄVLEBORGS LÄN</t>
        </is>
      </c>
      <c r="G276" t="inlineStr">
        <is>
          <t>OCKELBO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46257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21878-2024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45443</v>
      </c>
      <c r="E278" s="1" t="n">
        <v>46257</v>
      </c>
      <c r="F278" t="inlineStr">
        <is>
          <t>GÄVLEBORGS LÄN</t>
        </is>
      </c>
      <c r="G278" t="inlineStr">
        <is>
          <t>OCKELBO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45995</v>
      </c>
      <c r="E279" s="1" t="n">
        <v>46257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60183-2025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45994</v>
      </c>
      <c r="E280" s="1" t="n">
        <v>46257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46257</v>
      </c>
      <c r="F281" t="inlineStr">
        <is>
          <t>GÄVLEBORGS LÄN</t>
        </is>
      </c>
      <c r="G281" t="inlineStr">
        <is>
          <t>OCKELBO</t>
        </is>
      </c>
      <c r="I281" t="n">
        <v>13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45996</v>
      </c>
      <c r="E282" s="1" t="n">
        <v>46257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46257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46257</v>
      </c>
      <c r="F284" t="inlineStr">
        <is>
          <t>GÄVLEBORGS LÄN</t>
        </is>
      </c>
      <c r="G284" t="inlineStr">
        <is>
          <t>OCKELBO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45134</v>
      </c>
      <c r="E285" s="1" t="n">
        <v>46257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33881-2023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45134</v>
      </c>
      <c r="E286" s="1" t="n">
        <v>46257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55422-2022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44887</v>
      </c>
      <c r="E287" s="1" t="n">
        <v>46257</v>
      </c>
      <c r="F287" t="inlineStr">
        <is>
          <t>GÄVLEBORGS LÄN</t>
        </is>
      </c>
      <c r="G287" t="inlineStr">
        <is>
          <t>OCKELBO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46257</v>
      </c>
      <c r="F288" t="inlineStr">
        <is>
          <t>GÄVLEBORGS LÄN</t>
        </is>
      </c>
      <c r="G288" t="inlineStr">
        <is>
          <t>OCKELBO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45757</v>
      </c>
      <c r="E289" s="1" t="n">
        <v>46257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44839</v>
      </c>
      <c r="E290" s="1" t="n">
        <v>46257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62196-2025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46006</v>
      </c>
      <c r="E291" s="1" t="n">
        <v>46257</v>
      </c>
      <c r="F291" t="inlineStr">
        <is>
          <t>GÄVLEBORGS LÄN</t>
        </is>
      </c>
      <c r="G291" t="inlineStr">
        <is>
          <t>OCKELBO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46257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46257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62914-2025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46257</v>
      </c>
      <c r="F294" t="inlineStr">
        <is>
          <t>GÄVLEBORGS LÄN</t>
        </is>
      </c>
      <c r="G294" t="inlineStr">
        <is>
          <t>OCKELBO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60497-2021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46257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45048</v>
      </c>
      <c r="E296" s="1" t="n">
        <v>46257</v>
      </c>
      <c r="F296" t="inlineStr">
        <is>
          <t>GÄVLEBORGS LÄN</t>
        </is>
      </c>
      <c r="G296" t="inlineStr">
        <is>
          <t>OCKELBO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46013</v>
      </c>
      <c r="E297" s="1" t="n">
        <v>46257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45488</v>
      </c>
      <c r="E298" s="1" t="n">
        <v>46257</v>
      </c>
      <c r="F298" t="inlineStr">
        <is>
          <t>GÄVLEBORGS LÄN</t>
        </is>
      </c>
      <c r="G298" t="inlineStr">
        <is>
          <t>OCKELBO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46257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46074-2024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45581</v>
      </c>
      <c r="E300" s="1" t="n">
        <v>46257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45041</v>
      </c>
      <c r="E301" s="1" t="n">
        <v>46257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63224-2025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46010</v>
      </c>
      <c r="E302" s="1" t="n">
        <v>46257</v>
      </c>
      <c r="F302" t="inlineStr">
        <is>
          <t>GÄVLEBORGS LÄN</t>
        </is>
      </c>
      <c r="G302" t="inlineStr">
        <is>
          <t>OCKELBO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45699</v>
      </c>
      <c r="E303" s="1" t="n">
        <v>46257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46257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63616-2025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46014</v>
      </c>
      <c r="E305" s="1" t="n">
        <v>46257</v>
      </c>
      <c r="F305" t="inlineStr">
        <is>
          <t>GÄVLEBORGS LÄN</t>
        </is>
      </c>
      <c r="G305" t="inlineStr">
        <is>
          <t>OCKELBO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46021</v>
      </c>
      <c r="E306" s="1" t="n">
        <v>46257</v>
      </c>
      <c r="F306" t="inlineStr">
        <is>
          <t>GÄVLEBORGS LÄN</t>
        </is>
      </c>
      <c r="G306" t="inlineStr">
        <is>
          <t>OCKELBO</t>
        </is>
      </c>
      <c r="I306" t="n">
        <v>13.6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45184</v>
      </c>
      <c r="E307" s="1" t="n">
        <v>46257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32011-2024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45510</v>
      </c>
      <c r="E308" s="1" t="n">
        <v>46257</v>
      </c>
      <c r="F308" t="inlineStr">
        <is>
          <t>GÄVLEBORGS LÄN</t>
        </is>
      </c>
      <c r="G308" t="inlineStr">
        <is>
          <t>OCKELBO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46027</v>
      </c>
      <c r="E309" s="1" t="n">
        <v>46257</v>
      </c>
      <c r="F309" t="inlineStr">
        <is>
          <t>GÄVLEBORGS LÄN</t>
        </is>
      </c>
      <c r="G309" t="inlineStr">
        <is>
          <t>OCKELBO</t>
        </is>
      </c>
      <c r="I309" t="n">
        <v>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46027</v>
      </c>
      <c r="E310" s="1" t="n">
        <v>46257</v>
      </c>
      <c r="F310" t="inlineStr">
        <is>
          <t>GÄVLEBORGS LÄN</t>
        </is>
      </c>
      <c r="G310" t="inlineStr">
        <is>
          <t>OCKELBO</t>
        </is>
      </c>
      <c r="I310" t="n">
        <v>16.2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46027</v>
      </c>
      <c r="E311" s="1" t="n">
        <v>46257</v>
      </c>
      <c r="F311" t="inlineStr">
        <is>
          <t>GÄVLEBORGS LÄN</t>
        </is>
      </c>
      <c r="G311" t="inlineStr">
        <is>
          <t>OCKELBO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46027</v>
      </c>
      <c r="E312" s="1" t="n">
        <v>46257</v>
      </c>
      <c r="F312" t="inlineStr">
        <is>
          <t>GÄVLEBORGS LÄN</t>
        </is>
      </c>
      <c r="G312" t="inlineStr">
        <is>
          <t>OCKELBO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46027</v>
      </c>
      <c r="E313" s="1" t="n">
        <v>46257</v>
      </c>
      <c r="F313" t="inlineStr">
        <is>
          <t>GÄVLEBORGS LÄN</t>
        </is>
      </c>
      <c r="G313" t="inlineStr">
        <is>
          <t>OCKELBO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46024</v>
      </c>
      <c r="E314" s="1" t="n">
        <v>46257</v>
      </c>
      <c r="F314" t="inlineStr">
        <is>
          <t>GÄVLEBORGS LÄN</t>
        </is>
      </c>
      <c r="G314" t="inlineStr">
        <is>
          <t>OCKELBO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46027</v>
      </c>
      <c r="E315" s="1" t="n">
        <v>46257</v>
      </c>
      <c r="F315" t="inlineStr">
        <is>
          <t>GÄVLEBORGS LÄN</t>
        </is>
      </c>
      <c r="G315" t="inlineStr">
        <is>
          <t>OCKELBO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45111</v>
      </c>
      <c r="E316" s="1" t="n">
        <v>46257</v>
      </c>
      <c r="F316" t="inlineStr">
        <is>
          <t>GÄVLEBORGS LÄN</t>
        </is>
      </c>
      <c r="G316" t="inlineStr">
        <is>
          <t>OCKELBO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46257</v>
      </c>
      <c r="F317" t="inlineStr">
        <is>
          <t>GÄVLEBORGS LÄN</t>
        </is>
      </c>
      <c r="G317" t="inlineStr">
        <is>
          <t>OCKELBO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46028</v>
      </c>
      <c r="E318" s="1" t="n">
        <v>46257</v>
      </c>
      <c r="F318" t="inlineStr">
        <is>
          <t>GÄVLEBORGS LÄN</t>
        </is>
      </c>
      <c r="G318" t="inlineStr">
        <is>
          <t>OCKELBO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46028</v>
      </c>
      <c r="E319" s="1" t="n">
        <v>46257</v>
      </c>
      <c r="F319" t="inlineStr">
        <is>
          <t>GÄVLEBORGS LÄN</t>
        </is>
      </c>
      <c r="G319" t="inlineStr">
        <is>
          <t>OCKELBO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46257</v>
      </c>
      <c r="F320" t="inlineStr">
        <is>
          <t>GÄVLEBORGS LÄN</t>
        </is>
      </c>
      <c r="G320" t="inlineStr">
        <is>
          <t>OCKELBO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46024</v>
      </c>
      <c r="E321" s="1" t="n">
        <v>46257</v>
      </c>
      <c r="F321" t="inlineStr">
        <is>
          <t>GÄVLEBORGS LÄN</t>
        </is>
      </c>
      <c r="G321" t="inlineStr">
        <is>
          <t>OCKELBO</t>
        </is>
      </c>
      <c r="I321" t="n">
        <v>12.9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46257</v>
      </c>
      <c r="F322" t="inlineStr">
        <is>
          <t>GÄVLEBORGS LÄN</t>
        </is>
      </c>
      <c r="G322" t="inlineStr">
        <is>
          <t>OCKELBO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46257</v>
      </c>
      <c r="F323" t="inlineStr">
        <is>
          <t>GÄVLEBORGS LÄN</t>
        </is>
      </c>
      <c r="G323" t="inlineStr">
        <is>
          <t>OCKELBO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46257</v>
      </c>
      <c r="F324" t="inlineStr">
        <is>
          <t>GÄVLEBORGS LÄN</t>
        </is>
      </c>
      <c r="G324" t="inlineStr">
        <is>
          <t>OCKELBO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46257</v>
      </c>
      <c r="F325" t="inlineStr">
        <is>
          <t>GÄVLEBORGS LÄN</t>
        </is>
      </c>
      <c r="G325" t="inlineStr">
        <is>
          <t>OCKELBO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46257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46257</v>
      </c>
      <c r="F327" t="inlineStr">
        <is>
          <t>GÄVLEBORGS LÄN</t>
        </is>
      </c>
      <c r="G327" t="inlineStr">
        <is>
          <t>OCKELBO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46033</v>
      </c>
      <c r="E328" s="1" t="n">
        <v>46257</v>
      </c>
      <c r="F328" t="inlineStr">
        <is>
          <t>GÄVLEBORGS LÄN</t>
        </is>
      </c>
      <c r="G328" t="inlineStr">
        <is>
          <t>OCKELBO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46257</v>
      </c>
      <c r="F329" t="inlineStr">
        <is>
          <t>GÄVLEBORGS LÄN</t>
        </is>
      </c>
      <c r="G329" t="inlineStr">
        <is>
          <t>OCKELBO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46257</v>
      </c>
      <c r="F330" t="inlineStr">
        <is>
          <t>GÄVLEBORGS LÄN</t>
        </is>
      </c>
      <c r="G330" t="inlineStr">
        <is>
          <t>OCKELBO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46257</v>
      </c>
      <c r="F331" t="inlineStr">
        <is>
          <t>GÄVLEBORGS LÄN</t>
        </is>
      </c>
      <c r="G331" t="inlineStr">
        <is>
          <t>OCKELBO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46257</v>
      </c>
      <c r="F332" t="inlineStr">
        <is>
          <t>GÄVLEBORGS LÄN</t>
        </is>
      </c>
      <c r="G332" t="inlineStr">
        <is>
          <t>OCKELBO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32123-2024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45511</v>
      </c>
      <c r="E333" s="1" t="n">
        <v>46257</v>
      </c>
      <c r="F333" t="inlineStr">
        <is>
          <t>GÄVLEBORGS LÄN</t>
        </is>
      </c>
      <c r="G333" t="inlineStr">
        <is>
          <t>OCKELBO</t>
        </is>
      </c>
      <c r="I333" t="n">
        <v>11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46257</v>
      </c>
      <c r="F334" t="inlineStr">
        <is>
          <t>GÄVLEBORGS LÄN</t>
        </is>
      </c>
      <c r="G334" t="inlineStr">
        <is>
          <t>OCKELBO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46257</v>
      </c>
      <c r="F335" t="inlineStr">
        <is>
          <t>GÄVLEBORGS LÄN</t>
        </is>
      </c>
      <c r="G335" t="inlineStr">
        <is>
          <t>OCKELBO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46257</v>
      </c>
      <c r="F336" t="inlineStr">
        <is>
          <t>GÄVLEBORGS LÄN</t>
        </is>
      </c>
      <c r="G336" t="inlineStr">
        <is>
          <t>OCKELBO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46257</v>
      </c>
      <c r="F337" t="inlineStr">
        <is>
          <t>GÄVLEBORGS LÄN</t>
        </is>
      </c>
      <c r="G337" t="inlineStr">
        <is>
          <t>OCKELBO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40140-2022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44820</v>
      </c>
      <c r="E338" s="1" t="n">
        <v>46257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45223</v>
      </c>
      <c r="E339" s="1" t="n">
        <v>46257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36343-2023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46257</v>
      </c>
      <c r="F340" t="inlineStr">
        <is>
          <t>GÄVLEBORGS LÄN</t>
        </is>
      </c>
      <c r="G340" t="inlineStr">
        <is>
          <t>OCKELBO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46036</v>
      </c>
      <c r="E341" s="1" t="n">
        <v>46257</v>
      </c>
      <c r="F341" t="inlineStr">
        <is>
          <t>GÄVLEBORGS LÄN</t>
        </is>
      </c>
      <c r="G341" t="inlineStr">
        <is>
          <t>OCKELBO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12983-2022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44643</v>
      </c>
      <c r="E342" s="1" t="n">
        <v>46257</v>
      </c>
      <c r="F342" t="inlineStr">
        <is>
          <t>GÄVLEBORGS LÄN</t>
        </is>
      </c>
      <c r="G342" t="inlineStr">
        <is>
          <t>OCKELBO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46257</v>
      </c>
      <c r="F343" t="inlineStr">
        <is>
          <t>GÄVLEBORGS LÄN</t>
        </is>
      </c>
      <c r="G343" t="inlineStr">
        <is>
          <t>OCKELBO</t>
        </is>
      </c>
      <c r="I343" t="n">
        <v>16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46257</v>
      </c>
      <c r="F344" t="inlineStr">
        <is>
          <t>GÄVLEBORGS LÄN</t>
        </is>
      </c>
      <c r="G344" t="inlineStr">
        <is>
          <t>OCKELBO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56631-2022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44893</v>
      </c>
      <c r="E345" s="1" t="n">
        <v>46257</v>
      </c>
      <c r="F345" t="inlineStr">
        <is>
          <t>GÄVLEBORGS LÄN</t>
        </is>
      </c>
      <c r="G345" t="inlineStr">
        <is>
          <t>OCKELBO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29687-2023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45107</v>
      </c>
      <c r="E346" s="1" t="n">
        <v>46257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46257</v>
      </c>
      <c r="F347" t="inlineStr">
        <is>
          <t>GÄVLEBORGS LÄN</t>
        </is>
      </c>
      <c r="G347" t="inlineStr">
        <is>
          <t>OCKELBO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46257</v>
      </c>
      <c r="F348" t="inlineStr">
        <is>
          <t>GÄVLEBORGS LÄN</t>
        </is>
      </c>
      <c r="G348" t="inlineStr">
        <is>
          <t>OCKELBO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46257</v>
      </c>
      <c r="F349" t="inlineStr">
        <is>
          <t>GÄVLEBORGS LÄN</t>
        </is>
      </c>
      <c r="G349" t="inlineStr">
        <is>
          <t>OCKELBO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46257</v>
      </c>
      <c r="F350" t="inlineStr">
        <is>
          <t>GÄVLEBORGS LÄN</t>
        </is>
      </c>
      <c r="G350" t="inlineStr">
        <is>
          <t>OCKELBO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46038</v>
      </c>
      <c r="E351" s="1" t="n">
        <v>46257</v>
      </c>
      <c r="F351" t="inlineStr">
        <is>
          <t>GÄVLEBORGS LÄN</t>
        </is>
      </c>
      <c r="G351" t="inlineStr">
        <is>
          <t>OCKELBO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46257</v>
      </c>
      <c r="F352" t="inlineStr">
        <is>
          <t>GÄVLEBORGS LÄN</t>
        </is>
      </c>
      <c r="G352" t="inlineStr">
        <is>
          <t>OCKELBO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46257</v>
      </c>
      <c r="F353" t="inlineStr">
        <is>
          <t>GÄVLEBORGS LÄN</t>
        </is>
      </c>
      <c r="G353" t="inlineStr">
        <is>
          <t>OCKELBO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46257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49207-2023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45210</v>
      </c>
      <c r="E355" s="1" t="n">
        <v>46257</v>
      </c>
      <c r="F355" t="inlineStr">
        <is>
          <t>GÄVLEBORGS LÄN</t>
        </is>
      </c>
      <c r="G355" t="inlineStr">
        <is>
          <t>OCKELBO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46257</v>
      </c>
      <c r="F356" t="inlineStr">
        <is>
          <t>GÄVLEBORGS LÄN</t>
        </is>
      </c>
      <c r="G356" t="inlineStr">
        <is>
          <t>OCKELBO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46257</v>
      </c>
      <c r="F357" t="inlineStr">
        <is>
          <t>GÄVLEBORGS LÄN</t>
        </is>
      </c>
      <c r="G357" t="inlineStr">
        <is>
          <t>OCKELBO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46257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46257</v>
      </c>
      <c r="F359" t="inlineStr">
        <is>
          <t>GÄVLEBORGS LÄN</t>
        </is>
      </c>
      <c r="G359" t="inlineStr">
        <is>
          <t>OCKELBO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46257</v>
      </c>
      <c r="F360" t="inlineStr">
        <is>
          <t>GÄVLEBORGS LÄN</t>
        </is>
      </c>
      <c r="G360" t="inlineStr">
        <is>
          <t>OCKELBO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46257</v>
      </c>
      <c r="F361" t="inlineStr">
        <is>
          <t>GÄVLEBORGS LÄN</t>
        </is>
      </c>
      <c r="G361" t="inlineStr">
        <is>
          <t>OCKELBO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46257</v>
      </c>
      <c r="F362" t="inlineStr">
        <is>
          <t>GÄVLEBORGS LÄN</t>
        </is>
      </c>
      <c r="G362" t="inlineStr">
        <is>
          <t>OCKELBO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46257</v>
      </c>
      <c r="F363" t="inlineStr">
        <is>
          <t>GÄVLEBORGS LÄN</t>
        </is>
      </c>
      <c r="G363" t="inlineStr">
        <is>
          <t>OCKELBO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46257</v>
      </c>
      <c r="F364" t="inlineStr">
        <is>
          <t>GÄVLEBORGS LÄN</t>
        </is>
      </c>
      <c r="G364" t="inlineStr">
        <is>
          <t>OCKELBO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46049</v>
      </c>
      <c r="E365" s="1" t="n">
        <v>46257</v>
      </c>
      <c r="F365" t="inlineStr">
        <is>
          <t>GÄVLEBORGS LÄN</t>
        </is>
      </c>
      <c r="G365" t="inlineStr">
        <is>
          <t>OCKELBO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46257</v>
      </c>
      <c r="F366" t="inlineStr">
        <is>
          <t>GÄVLEBORGS LÄN</t>
        </is>
      </c>
      <c r="G366" t="inlineStr">
        <is>
          <t>OCKELBO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46257</v>
      </c>
      <c r="F367" t="inlineStr">
        <is>
          <t>GÄVLEBORGS LÄN</t>
        </is>
      </c>
      <c r="G367" t="inlineStr">
        <is>
          <t>OCKELBO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46257</v>
      </c>
      <c r="F368" t="inlineStr">
        <is>
          <t>GÄVLEBORGS LÄN</t>
        </is>
      </c>
      <c r="G368" t="inlineStr">
        <is>
          <t>OCKELBO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46164</v>
      </c>
      <c r="E369" s="1" t="n">
        <v>46257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48804-2024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45593</v>
      </c>
      <c r="E370" s="1" t="n">
        <v>46257</v>
      </c>
      <c r="F370" t="inlineStr">
        <is>
          <t>GÄVLEBORGS LÄN</t>
        </is>
      </c>
      <c r="G370" t="inlineStr">
        <is>
          <t>OCKELBO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46050</v>
      </c>
      <c r="E371" s="1" t="n">
        <v>46257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5596-2026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46051</v>
      </c>
      <c r="E372" s="1" t="n">
        <v>46257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46257</v>
      </c>
      <c r="F373" t="inlineStr">
        <is>
          <t>GÄVLEBORGS LÄN</t>
        </is>
      </c>
      <c r="G373" t="inlineStr">
        <is>
          <t>OCKELBO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46257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46257</v>
      </c>
      <c r="F375" t="inlineStr">
        <is>
          <t>GÄVLEBORGS LÄN</t>
        </is>
      </c>
      <c r="G375" t="inlineStr">
        <is>
          <t>OCKELBO</t>
        </is>
      </c>
      <c r="I375" t="n">
        <v>8.1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46257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46257</v>
      </c>
      <c r="F377" t="inlineStr">
        <is>
          <t>GÄVLEBORGS LÄN</t>
        </is>
      </c>
      <c r="G377" t="inlineStr">
        <is>
          <t>OCKELBO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46257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46257</v>
      </c>
      <c r="F379" t="inlineStr">
        <is>
          <t>GÄVLEBORGS LÄN</t>
        </is>
      </c>
      <c r="G379" t="inlineStr">
        <is>
          <t>OCKELBO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46257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46257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46257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46053</v>
      </c>
      <c r="E383" s="1" t="n">
        <v>46257</v>
      </c>
      <c r="F383" t="inlineStr">
        <is>
          <t>GÄVLEBORGS LÄN</t>
        </is>
      </c>
      <c r="G383" t="inlineStr">
        <is>
          <t>OCKELBO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46257</v>
      </c>
      <c r="F384" t="inlineStr">
        <is>
          <t>GÄVLEBORGS LÄN</t>
        </is>
      </c>
      <c r="G384" t="inlineStr">
        <is>
          <t>OCKELBO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46257</v>
      </c>
      <c r="F385" t="inlineStr">
        <is>
          <t>GÄVLEBORGS LÄN</t>
        </is>
      </c>
      <c r="G385" t="inlineStr">
        <is>
          <t>OCKELBO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3034-2025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45678</v>
      </c>
      <c r="E386" s="1" t="n">
        <v>46257</v>
      </c>
      <c r="F386" t="inlineStr">
        <is>
          <t>GÄVLEBORGS LÄN</t>
        </is>
      </c>
      <c r="G386" t="inlineStr">
        <is>
          <t>OCKELBO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46257</v>
      </c>
      <c r="F387" t="inlineStr">
        <is>
          <t>GÄVLEBORGS LÄN</t>
        </is>
      </c>
      <c r="G387" t="inlineStr">
        <is>
          <t>OCKELBO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46257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46257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46257</v>
      </c>
      <c r="F390" t="inlineStr">
        <is>
          <t>GÄVLEBORGS LÄN</t>
        </is>
      </c>
      <c r="G390" t="inlineStr">
        <is>
          <t>OCKELBO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46257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46257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46257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46257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46257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46257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45719</v>
      </c>
      <c r="E397" s="1" t="n">
        <v>46257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öst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46257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46257</v>
      </c>
      <c r="F399" t="inlineStr">
        <is>
          <t>GÄVLEBORGS LÄN</t>
        </is>
      </c>
      <c r="G399" t="inlineStr">
        <is>
          <t>OCKELBO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46257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46257</v>
      </c>
      <c r="F401" t="inlineStr">
        <is>
          <t>GÄVLEBORGS LÄN</t>
        </is>
      </c>
      <c r="G401" t="inlineStr">
        <is>
          <t>OCKELBO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39424-2024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45551</v>
      </c>
      <c r="E402" s="1" t="n">
        <v>46257</v>
      </c>
      <c r="F402" t="inlineStr">
        <is>
          <t>GÄVLEBORGS LÄN</t>
        </is>
      </c>
      <c r="G402" t="inlineStr">
        <is>
          <t>OCKELBO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46257</v>
      </c>
      <c r="F403" t="inlineStr">
        <is>
          <t>GÄVLEBORGS LÄN</t>
        </is>
      </c>
      <c r="G403" t="inlineStr">
        <is>
          <t>OCKELBO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46216</v>
      </c>
      <c r="E404" s="1" t="n">
        <v>46257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45674</v>
      </c>
      <c r="E405" s="1" t="n">
        <v>46257</v>
      </c>
      <c r="F405" t="inlineStr">
        <is>
          <t>GÄVLEBORGS LÄN</t>
        </is>
      </c>
      <c r="G405" t="inlineStr">
        <is>
          <t>OCKELBO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46057</v>
      </c>
      <c r="E406" s="1" t="n">
        <v>46257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46023</v>
      </c>
      <c r="E407" s="1" t="n">
        <v>46257</v>
      </c>
      <c r="F407" t="inlineStr">
        <is>
          <t>GÄVLEBORGS LÄN</t>
        </is>
      </c>
      <c r="G407" t="inlineStr">
        <is>
          <t>OCKELBO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46257</v>
      </c>
      <c r="F408" t="inlineStr">
        <is>
          <t>GÄVLEBORGS LÄN</t>
        </is>
      </c>
      <c r="G408" t="inlineStr">
        <is>
          <t>OCKELBO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46257</v>
      </c>
      <c r="F409" t="inlineStr">
        <is>
          <t>GÄVLEBORGS LÄN</t>
        </is>
      </c>
      <c r="G409" t="inlineStr">
        <is>
          <t>OCKELBO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46257</v>
      </c>
      <c r="F410" t="inlineStr">
        <is>
          <t>GÄVLEBORGS LÄN</t>
        </is>
      </c>
      <c r="G410" t="inlineStr">
        <is>
          <t>OCKELBO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46257</v>
      </c>
      <c r="F411" t="inlineStr">
        <is>
          <t>GÄVLEBORGS LÄN</t>
        </is>
      </c>
      <c r="G411" t="inlineStr">
        <is>
          <t>OCKELBO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46257</v>
      </c>
      <c r="F412" t="inlineStr">
        <is>
          <t>GÄVLEBORGS LÄN</t>
        </is>
      </c>
      <c r="G412" t="inlineStr">
        <is>
          <t>OCKELBO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46257</v>
      </c>
      <c r="F413" t="inlineStr">
        <is>
          <t>GÄVLEBORGS LÄN</t>
        </is>
      </c>
      <c r="G413" t="inlineStr">
        <is>
          <t>OCKELBO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46257</v>
      </c>
      <c r="F414" t="inlineStr">
        <is>
          <t>GÄVLEBORGS LÄN</t>
        </is>
      </c>
      <c r="G414" t="inlineStr">
        <is>
          <t>OCKELBO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46059</v>
      </c>
      <c r="E415" s="1" t="n">
        <v>46257</v>
      </c>
      <c r="F415" t="inlineStr">
        <is>
          <t>GÄVLEBORGS LÄN</t>
        </is>
      </c>
      <c r="G415" t="inlineStr">
        <is>
          <t>OCKELBO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47100-2024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45586</v>
      </c>
      <c r="E416" s="1" t="n">
        <v>46257</v>
      </c>
      <c r="F416" t="inlineStr">
        <is>
          <t>GÄVLEBORGS LÄN</t>
        </is>
      </c>
      <c r="G416" t="inlineStr">
        <is>
          <t>OCKELBO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45967</v>
      </c>
      <c r="E417" s="1" t="n">
        <v>46257</v>
      </c>
      <c r="F417" t="inlineStr">
        <is>
          <t>GÄVLEBORGS LÄN</t>
        </is>
      </c>
      <c r="G417" t="inlineStr">
        <is>
          <t>OCKELBO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46257</v>
      </c>
      <c r="F418" t="inlineStr">
        <is>
          <t>GÄVLEBORGS LÄN</t>
        </is>
      </c>
      <c r="G418" t="inlineStr">
        <is>
          <t>OCKELBO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46257</v>
      </c>
      <c r="F419" t="inlineStr">
        <is>
          <t>GÄVLEBORGS LÄN</t>
        </is>
      </c>
      <c r="G419" t="inlineStr">
        <is>
          <t>OCKELBO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46171</v>
      </c>
      <c r="E420" s="1" t="n">
        <v>46257</v>
      </c>
      <c r="F420" t="inlineStr">
        <is>
          <t>GÄVLEBORGS LÄN</t>
        </is>
      </c>
      <c r="G420" t="inlineStr">
        <is>
          <t>OCKELBO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46257</v>
      </c>
      <c r="F421" t="inlineStr">
        <is>
          <t>GÄVLEBORGS LÄN</t>
        </is>
      </c>
      <c r="G421" t="inlineStr">
        <is>
          <t>OCKELBO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46062</v>
      </c>
      <c r="E422" s="1" t="n">
        <v>46257</v>
      </c>
      <c r="F422" t="inlineStr">
        <is>
          <t>GÄVLEBORGS LÄN</t>
        </is>
      </c>
      <c r="G422" t="inlineStr">
        <is>
          <t>OCKELBO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46062</v>
      </c>
      <c r="E423" s="1" t="n">
        <v>46257</v>
      </c>
      <c r="F423" t="inlineStr">
        <is>
          <t>GÄVLEBORGS LÄN</t>
        </is>
      </c>
      <c r="G423" t="inlineStr">
        <is>
          <t>OCKELBO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7681-2026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46257</v>
      </c>
      <c r="F424" t="inlineStr">
        <is>
          <t>GÄVLEBORGS LÄN</t>
        </is>
      </c>
      <c r="G424" t="inlineStr">
        <is>
          <t>OCKELBO</t>
        </is>
      </c>
      <c r="H424" t="inlineStr">
        <is>
          <t>Kyrkan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46257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46257</v>
      </c>
      <c r="F426" t="inlineStr">
        <is>
          <t>GÄVLEBORGS LÄN</t>
        </is>
      </c>
      <c r="G426" t="inlineStr">
        <is>
          <t>OCKELBO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45527</v>
      </c>
      <c r="E427" s="1" t="n">
        <v>46257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46257</v>
      </c>
      <c r="F428" t="inlineStr">
        <is>
          <t>GÄVLEBORGS LÄN</t>
        </is>
      </c>
      <c r="G428" t="inlineStr">
        <is>
          <t>OCKELBO</t>
        </is>
      </c>
      <c r="I428" t="n">
        <v>17.4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46257</v>
      </c>
      <c r="F429" t="inlineStr">
        <is>
          <t>GÄVLEBORGS LÄN</t>
        </is>
      </c>
      <c r="G429" t="inlineStr">
        <is>
          <t>OCKELBO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46218</v>
      </c>
      <c r="E430" s="1" t="n">
        <v>46257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46257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25128-2026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46257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46257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31530-2026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46223</v>
      </c>
      <c r="E434" s="1" t="n">
        <v>46257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8933-2026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46257</v>
      </c>
      <c r="F435" t="inlineStr">
        <is>
          <t>GÄVLEBORGS LÄN</t>
        </is>
      </c>
      <c r="G435" t="inlineStr">
        <is>
          <t>OCKELBO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32301-2022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44781</v>
      </c>
      <c r="E436" s="1" t="n">
        <v>46257</v>
      </c>
      <c r="F436" t="inlineStr">
        <is>
          <t>GÄVLEBORGS LÄN</t>
        </is>
      </c>
      <c r="G436" t="inlineStr">
        <is>
          <t>OCKELBO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9464-2026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46257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46257</v>
      </c>
      <c r="F438" t="inlineStr">
        <is>
          <t>GÄVLEBORGS LÄN</t>
        </is>
      </c>
      <c r="G438" t="inlineStr">
        <is>
          <t>OCKELBO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9461-2026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46071</v>
      </c>
      <c r="E439" s="1" t="n">
        <v>46257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46257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46257</v>
      </c>
      <c r="F441" t="inlineStr">
        <is>
          <t>GÄVLEBORGS LÄN</t>
        </is>
      </c>
      <c r="G441" t="inlineStr">
        <is>
          <t>OCKELBO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46257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9554-2026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46071</v>
      </c>
      <c r="E443" s="1" t="n">
        <v>46257</v>
      </c>
      <c r="F443" t="inlineStr">
        <is>
          <t>GÄVLEBORGS LÄN</t>
        </is>
      </c>
      <c r="G443" t="inlineStr">
        <is>
          <t>OCKELBO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46257</v>
      </c>
      <c r="F444" t="inlineStr">
        <is>
          <t>GÄVLEBORGS LÄN</t>
        </is>
      </c>
      <c r="G444" t="inlineStr">
        <is>
          <t>OCKELBO</t>
        </is>
      </c>
      <c r="I444" t="n">
        <v>10.4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9414-2026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46257</v>
      </c>
      <c r="F445" t="inlineStr">
        <is>
          <t>GÄVLEBORGS LÄN</t>
        </is>
      </c>
      <c r="G445" t="inlineStr">
        <is>
          <t>OCKELBO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46257</v>
      </c>
      <c r="F446" t="inlineStr">
        <is>
          <t>GÄVLEBORGS LÄN</t>
        </is>
      </c>
      <c r="G446" t="inlineStr">
        <is>
          <t>OCKELBO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61116-2023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45261</v>
      </c>
      <c r="E447" s="1" t="n">
        <v>46257</v>
      </c>
      <c r="F447" t="inlineStr">
        <is>
          <t>GÄVLEBORGS LÄN</t>
        </is>
      </c>
      <c r="G447" t="inlineStr">
        <is>
          <t>OCKELBO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6764-2026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46257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46220</v>
      </c>
      <c r="E449" s="1" t="n">
        <v>46257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46031</v>
      </c>
      <c r="E450" s="1" t="n">
        <v>46257</v>
      </c>
      <c r="F450" t="inlineStr">
        <is>
          <t>GÄVLEBORGS LÄN</t>
        </is>
      </c>
      <c r="G450" t="inlineStr">
        <is>
          <t>OCKELBO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46257</v>
      </c>
      <c r="F451" t="inlineStr">
        <is>
          <t>GÄVLEBORGS LÄN</t>
        </is>
      </c>
      <c r="G451" t="inlineStr">
        <is>
          <t>OCKELBO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46072</v>
      </c>
      <c r="E452" s="1" t="n">
        <v>46257</v>
      </c>
      <c r="F452" t="inlineStr">
        <is>
          <t>GÄVLEBORGS LÄN</t>
        </is>
      </c>
      <c r="G452" t="inlineStr">
        <is>
          <t>OCKELBO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46072</v>
      </c>
      <c r="E453" s="1" t="n">
        <v>46257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46257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46073</v>
      </c>
      <c r="E455" s="1" t="n">
        <v>46257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9997-2026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46073</v>
      </c>
      <c r="E456" s="1" t="n">
        <v>46257</v>
      </c>
      <c r="F456" t="inlineStr">
        <is>
          <t>GÄVLEBORGS LÄN</t>
        </is>
      </c>
      <c r="G456" t="inlineStr">
        <is>
          <t>OCKELBO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46077</v>
      </c>
      <c r="E457" s="1" t="n">
        <v>46257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10682-2026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46078</v>
      </c>
      <c r="E458" s="1" t="n">
        <v>46257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46257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9.4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25599-2026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46177</v>
      </c>
      <c r="E460" s="1" t="n">
        <v>46257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10529-2026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46077</v>
      </c>
      <c r="E461" s="1" t="n">
        <v>46257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öst AB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10437-2026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46077</v>
      </c>
      <c r="E462" s="1" t="n">
        <v>46257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10454-2026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46077</v>
      </c>
      <c r="E463" s="1" t="n">
        <v>46257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10.1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10456-2026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46077</v>
      </c>
      <c r="E464" s="1" t="n">
        <v>46257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öst AB</t>
        </is>
      </c>
      <c r="I464" t="n">
        <v>45.7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46257</v>
      </c>
      <c r="F465" t="inlineStr">
        <is>
          <t>GÄVLEBORGS LÄN</t>
        </is>
      </c>
      <c r="G465" t="inlineStr">
        <is>
          <t>OCKELBO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46257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10535-2026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46077</v>
      </c>
      <c r="E467" s="1" t="n">
        <v>46257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öst AB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46257</v>
      </c>
      <c r="F468" t="inlineStr">
        <is>
          <t>GÄVLEBORGS LÄN</t>
        </is>
      </c>
      <c r="G468" t="inlineStr">
        <is>
          <t>OCKELBO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46079</v>
      </c>
      <c r="E469" s="1" t="n">
        <v>46257</v>
      </c>
      <c r="F469" t="inlineStr">
        <is>
          <t>GÄVLEBORGS LÄN</t>
        </is>
      </c>
      <c r="G469" t="inlineStr">
        <is>
          <t>OCKELBO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46156</v>
      </c>
      <c r="E470" s="1" t="n">
        <v>46257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46080</v>
      </c>
      <c r="E471" s="1" t="n">
        <v>46257</v>
      </c>
      <c r="F471" t="inlineStr">
        <is>
          <t>GÄVLEBORGS LÄN</t>
        </is>
      </c>
      <c r="G471" t="inlineStr">
        <is>
          <t>OCKELBO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11234-2026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46080</v>
      </c>
      <c r="E472" s="1" t="n">
        <v>46257</v>
      </c>
      <c r="F472" t="inlineStr">
        <is>
          <t>GÄVLEBORGS LÄN</t>
        </is>
      </c>
      <c r="G472" t="inlineStr">
        <is>
          <t>OCKELBO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46080</v>
      </c>
      <c r="E473" s="1" t="n">
        <v>46257</v>
      </c>
      <c r="F473" t="inlineStr">
        <is>
          <t>GÄVLEBORGS LÄN</t>
        </is>
      </c>
      <c r="G473" t="inlineStr">
        <is>
          <t>OCKELBO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46079</v>
      </c>
      <c r="E474" s="1" t="n">
        <v>46257</v>
      </c>
      <c r="F474" t="inlineStr">
        <is>
          <t>GÄVLEBORGS LÄN</t>
        </is>
      </c>
      <c r="G474" t="inlineStr">
        <is>
          <t>OCKELBO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46224</v>
      </c>
      <c r="E475" s="1" t="n">
        <v>46257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46257</v>
      </c>
      <c r="F476" t="inlineStr">
        <is>
          <t>GÄVLEBORGS LÄN</t>
        </is>
      </c>
      <c r="G476" t="inlineStr">
        <is>
          <t>OCKELBO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46224</v>
      </c>
      <c r="E477" s="1" t="n">
        <v>46257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18326-2026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46126</v>
      </c>
      <c r="E478" s="1" t="n">
        <v>46257</v>
      </c>
      <c r="F478" t="inlineStr">
        <is>
          <t>GÄVLEBORGS LÄN</t>
        </is>
      </c>
      <c r="G478" t="inlineStr">
        <is>
          <t>OCKELBO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11496-2026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46083</v>
      </c>
      <c r="E479" s="1" t="n">
        <v>46257</v>
      </c>
      <c r="F479" t="inlineStr">
        <is>
          <t>GÄVLEBORGS LÄN</t>
        </is>
      </c>
      <c r="G479" t="inlineStr">
        <is>
          <t>OCKELBO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46257</v>
      </c>
      <c r="F480" t="inlineStr">
        <is>
          <t>GÄVLEBORGS LÄN</t>
        </is>
      </c>
      <c r="G480" t="inlineStr">
        <is>
          <t>OCKELBO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46083</v>
      </c>
      <c r="E481" s="1" t="n">
        <v>46257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46083</v>
      </c>
      <c r="E482" s="1" t="n">
        <v>46257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öst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11810-2026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46257</v>
      </c>
      <c r="F483" t="inlineStr">
        <is>
          <t>GÄVLEBORGS LÄN</t>
        </is>
      </c>
      <c r="G483" t="inlineStr">
        <is>
          <t>OCKELBO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12341-2026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46087</v>
      </c>
      <c r="E484" s="1" t="n">
        <v>46257</v>
      </c>
      <c r="F484" t="inlineStr">
        <is>
          <t>GÄVLEBORGS LÄN</t>
        </is>
      </c>
      <c r="G484" t="inlineStr">
        <is>
          <t>OCKELBO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46089</v>
      </c>
      <c r="E485" s="1" t="n">
        <v>46257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29.9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31804-2026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46230</v>
      </c>
      <c r="E486" s="1" t="n">
        <v>46257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46257</v>
      </c>
      <c r="F487" t="inlineStr">
        <is>
          <t>GÄVLEBORGS LÄN</t>
        </is>
      </c>
      <c r="G487" t="inlineStr">
        <is>
          <t>OCKELBO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12716-2026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46091</v>
      </c>
      <c r="E488" s="1" t="n">
        <v>46257</v>
      </c>
      <c r="F488" t="inlineStr">
        <is>
          <t>GÄVLEBORGS LÄN</t>
        </is>
      </c>
      <c r="G488" t="inlineStr">
        <is>
          <t>OCKELBO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26808-2026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46257</v>
      </c>
      <c r="F489" t="inlineStr">
        <is>
          <t>GÄVLEBORGS LÄN</t>
        </is>
      </c>
      <c r="G489" t="inlineStr">
        <is>
          <t>OCKELBO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46257</v>
      </c>
      <c r="F490" t="inlineStr">
        <is>
          <t>GÄVLEBORGS LÄN</t>
        </is>
      </c>
      <c r="G490" t="inlineStr">
        <is>
          <t>OCKELBO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46257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13271-2026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46093</v>
      </c>
      <c r="E492" s="1" t="n">
        <v>46257</v>
      </c>
      <c r="F492" t="inlineStr">
        <is>
          <t>GÄVLEBORGS LÄN</t>
        </is>
      </c>
      <c r="G492" t="inlineStr">
        <is>
          <t>OCKELBO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46094</v>
      </c>
      <c r="E493" s="1" t="n">
        <v>46257</v>
      </c>
      <c r="F493" t="inlineStr">
        <is>
          <t>GÄVLEBORGS LÄN</t>
        </is>
      </c>
      <c r="G493" t="inlineStr">
        <is>
          <t>OCKELBO</t>
        </is>
      </c>
      <c r="H493" t="inlineStr">
        <is>
          <t>Naturvårdsverket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46257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26924-2026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46257</v>
      </c>
      <c r="F495" t="inlineStr">
        <is>
          <t>GÄVLEBORGS LÄN</t>
        </is>
      </c>
      <c r="G495" t="inlineStr">
        <is>
          <t>OCKELBO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46185</v>
      </c>
      <c r="E496" s="1" t="n">
        <v>46257</v>
      </c>
      <c r="F496" t="inlineStr">
        <is>
          <t>GÄVLEBORGS LÄN</t>
        </is>
      </c>
      <c r="G496" t="inlineStr">
        <is>
          <t>OCKELBO</t>
        </is>
      </c>
      <c r="I496" t="n">
        <v>14.6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26845-2026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46185</v>
      </c>
      <c r="E497" s="1" t="n">
        <v>46257</v>
      </c>
      <c r="F497" t="inlineStr">
        <is>
          <t>GÄVLEBORGS LÄN</t>
        </is>
      </c>
      <c r="G497" t="inlineStr">
        <is>
          <t>OCKELBO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46257</v>
      </c>
      <c r="F498" t="inlineStr">
        <is>
          <t>GÄVLEBORGS LÄN</t>
        </is>
      </c>
      <c r="G498" t="inlineStr">
        <is>
          <t>OCKELBO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46257</v>
      </c>
      <c r="F499" t="inlineStr">
        <is>
          <t>GÄVLEBORGS LÄN</t>
        </is>
      </c>
      <c r="G499" t="inlineStr">
        <is>
          <t>OCKELBO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13321-2026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46257</v>
      </c>
      <c r="F500" t="inlineStr">
        <is>
          <t>GÄVLEBORGS LÄN</t>
        </is>
      </c>
      <c r="G500" t="inlineStr">
        <is>
          <t>OCKELBO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45758</v>
      </c>
      <c r="E501" s="1" t="n">
        <v>46257</v>
      </c>
      <c r="F501" t="inlineStr">
        <is>
          <t>GÄVLEBORGS LÄN</t>
        </is>
      </c>
      <c r="G501" t="inlineStr">
        <is>
          <t>OCKELBO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27562-2026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46257</v>
      </c>
      <c r="F502" t="inlineStr">
        <is>
          <t>GÄVLEBORGS LÄN</t>
        </is>
      </c>
      <c r="G502" t="inlineStr">
        <is>
          <t>OCKELBO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46093</v>
      </c>
      <c r="E503" s="1" t="n">
        <v>46257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36362-2024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45534</v>
      </c>
      <c r="E504" s="1" t="n">
        <v>46257</v>
      </c>
      <c r="F504" t="inlineStr">
        <is>
          <t>GÄVLEBORGS LÄN</t>
        </is>
      </c>
      <c r="G504" t="inlineStr">
        <is>
          <t>OCKELBO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45334</v>
      </c>
      <c r="E505" s="1" t="n">
        <v>46257</v>
      </c>
      <c r="F505" t="inlineStr">
        <is>
          <t>GÄVLEBORGS LÄN</t>
        </is>
      </c>
      <c r="G505" t="inlineStr">
        <is>
          <t>OCKELBO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31971-2026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46232</v>
      </c>
      <c r="E506" s="1" t="n">
        <v>46257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13882-2026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46098</v>
      </c>
      <c r="E507" s="1" t="n">
        <v>46257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46098</v>
      </c>
      <c r="E508" s="1" t="n">
        <v>46257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36.6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46257</v>
      </c>
      <c r="F509" t="inlineStr">
        <is>
          <t>GÄVLEBORGS LÄN</t>
        </is>
      </c>
      <c r="G509" t="inlineStr">
        <is>
          <t>OCKELBO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57614-2025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45981</v>
      </c>
      <c r="E510" s="1" t="n">
        <v>46257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52335-2024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45609</v>
      </c>
      <c r="E511" s="1" t="n">
        <v>46257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46257</v>
      </c>
      <c r="F512" t="inlineStr">
        <is>
          <t>GÄVLEBORGS LÄN</t>
        </is>
      </c>
      <c r="G512" t="inlineStr">
        <is>
          <t>OCKELBO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46098</v>
      </c>
      <c r="E513" s="1" t="n">
        <v>46257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10184-2026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46257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46097</v>
      </c>
      <c r="E515" s="1" t="n">
        <v>46257</v>
      </c>
      <c r="F515" t="inlineStr">
        <is>
          <t>GÄVLEBORGS LÄN</t>
        </is>
      </c>
      <c r="G515" t="inlineStr">
        <is>
          <t>OCKELBO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13931-2026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46257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46257</v>
      </c>
      <c r="F517" t="inlineStr">
        <is>
          <t>GÄVLEBORGS LÄN</t>
        </is>
      </c>
      <c r="G517" t="inlineStr">
        <is>
          <t>OCKELBO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27620-2026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46257</v>
      </c>
      <c r="F518" t="inlineStr">
        <is>
          <t>GÄVLEBORGS LÄN</t>
        </is>
      </c>
      <c r="G518" t="inlineStr">
        <is>
          <t>OCKELBO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46257</v>
      </c>
      <c r="F519" t="inlineStr">
        <is>
          <t>GÄVLEBORGS LÄN</t>
        </is>
      </c>
      <c r="G519" t="inlineStr">
        <is>
          <t>OCKELBO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46257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46099</v>
      </c>
      <c r="E521" s="1" t="n">
        <v>46257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53702-2024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45615</v>
      </c>
      <c r="E522" s="1" t="n">
        <v>46257</v>
      </c>
      <c r="F522" t="inlineStr">
        <is>
          <t>GÄVLEBORGS LÄN</t>
        </is>
      </c>
      <c r="G522" t="inlineStr">
        <is>
          <t>OCKELBO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27381-2026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46189</v>
      </c>
      <c r="E523" s="1" t="n">
        <v>46257</v>
      </c>
      <c r="F523" t="inlineStr">
        <is>
          <t>GÄVLEBORGS LÄN</t>
        </is>
      </c>
      <c r="G523" t="inlineStr">
        <is>
          <t>OCKELBO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46257</v>
      </c>
      <c r="F524" t="inlineStr">
        <is>
          <t>GÄVLEBORGS LÄN</t>
        </is>
      </c>
      <c r="G524" t="inlineStr">
        <is>
          <t>OCKELBO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27416-2026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46189</v>
      </c>
      <c r="E525" s="1" t="n">
        <v>46257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15966-2023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45022</v>
      </c>
      <c r="E526" s="1" t="n">
        <v>46257</v>
      </c>
      <c r="F526" t="inlineStr">
        <is>
          <t>GÄVLEBORGS LÄN</t>
        </is>
      </c>
      <c r="G526" t="inlineStr">
        <is>
          <t>OCKELBO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45139</v>
      </c>
      <c r="E527" s="1" t="n">
        <v>46257</v>
      </c>
      <c r="F527" t="inlineStr">
        <is>
          <t>GÄVLEBORGS LÄN</t>
        </is>
      </c>
      <c r="G527" t="inlineStr">
        <is>
          <t>OCKELBO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27379-2026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46189</v>
      </c>
      <c r="E528" s="1" t="n">
        <v>46257</v>
      </c>
      <c r="F528" t="inlineStr">
        <is>
          <t>GÄVLEBORGS LÄN</t>
        </is>
      </c>
      <c r="G528" t="inlineStr">
        <is>
          <t>OCKELBO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27382-2026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46189</v>
      </c>
      <c r="E529" s="1" t="n">
        <v>46257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14037-2026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46098</v>
      </c>
      <c r="E530" s="1" t="n">
        <v>46257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14038-2026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46257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46100</v>
      </c>
      <c r="E532" s="1" t="n">
        <v>46257</v>
      </c>
      <c r="F532" t="inlineStr">
        <is>
          <t>GÄVLEBORGS LÄN</t>
        </is>
      </c>
      <c r="G532" t="inlineStr">
        <is>
          <t>OCKELBO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46100</v>
      </c>
      <c r="E533" s="1" t="n">
        <v>46257</v>
      </c>
      <c r="F533" t="inlineStr">
        <is>
          <t>GÄVLEBORGS LÄN</t>
        </is>
      </c>
      <c r="G533" t="inlineStr">
        <is>
          <t>OCKELBO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14100-2026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46099</v>
      </c>
      <c r="E534" s="1" t="n">
        <v>46257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46104</v>
      </c>
      <c r="E535" s="1" t="n">
        <v>46257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46191</v>
      </c>
      <c r="E536" s="1" t="n">
        <v>46257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46257</v>
      </c>
      <c r="F537" t="inlineStr">
        <is>
          <t>GÄVLEBORGS LÄN</t>
        </is>
      </c>
      <c r="G537" t="inlineStr">
        <is>
          <t>OCKELBO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15052-2026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46104</v>
      </c>
      <c r="E538" s="1" t="n">
        <v>46257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46104</v>
      </c>
      <c r="E539" s="1" t="n">
        <v>46257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46257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15029-2026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46257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14972-2026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46257</v>
      </c>
      <c r="F542" t="inlineStr">
        <is>
          <t>GÄVLEBORGS LÄN</t>
        </is>
      </c>
      <c r="G542" t="inlineStr">
        <is>
          <t>OCKELBO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15067-2026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46257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14756-2026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46101</v>
      </c>
      <c r="E544" s="1" t="n">
        <v>46257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15042-2026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46104</v>
      </c>
      <c r="E545" s="1" t="n">
        <v>46257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46257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15575-2026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46257</v>
      </c>
      <c r="F547" t="inlineStr">
        <is>
          <t>GÄVLEBORGS LÄN</t>
        </is>
      </c>
      <c r="G547" t="inlineStr">
        <is>
          <t>OCKELBO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55070-2023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45237</v>
      </c>
      <c r="E548" s="1" t="n">
        <v>46257</v>
      </c>
      <c r="F548" t="inlineStr">
        <is>
          <t>GÄVLEBORGS LÄN</t>
        </is>
      </c>
      <c r="G548" t="inlineStr">
        <is>
          <t>OCKELBO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45698</v>
      </c>
      <c r="E549" s="1" t="n">
        <v>46257</v>
      </c>
      <c r="F549" t="inlineStr">
        <is>
          <t>GÄVLEBORGS LÄN</t>
        </is>
      </c>
      <c r="G549" t="inlineStr">
        <is>
          <t>OCKELBO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15572-2026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46257</v>
      </c>
      <c r="F550" t="inlineStr">
        <is>
          <t>GÄVLEBORGS LÄN</t>
        </is>
      </c>
      <c r="G550" t="inlineStr">
        <is>
          <t>OCKELBO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46099</v>
      </c>
      <c r="E551" s="1" t="n">
        <v>46257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46099</v>
      </c>
      <c r="E552" s="1" t="n">
        <v>46257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15151-2026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46105</v>
      </c>
      <c r="E553" s="1" t="n">
        <v>46257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öst AB</t>
        </is>
      </c>
      <c r="I553" t="n">
        <v>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46257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45727</v>
      </c>
      <c r="E555" s="1" t="n">
        <v>46257</v>
      </c>
      <c r="F555" t="inlineStr">
        <is>
          <t>GÄVLEBORGS LÄN</t>
        </is>
      </c>
      <c r="G555" t="inlineStr">
        <is>
          <t>OCKELBO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28318-2026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46196</v>
      </c>
      <c r="E556" s="1" t="n">
        <v>46257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15678-2026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46257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46106</v>
      </c>
      <c r="E558" s="1" t="n">
        <v>46257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28289-2026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46196</v>
      </c>
      <c r="E559" s="1" t="n">
        <v>46257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16006-2026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46108</v>
      </c>
      <c r="E560" s="1" t="n">
        <v>46257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9.699999999999999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46196</v>
      </c>
      <c r="E561" s="1" t="n">
        <v>46257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16054-2026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46108</v>
      </c>
      <c r="E562" s="1" t="n">
        <v>46257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27995-2026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46257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16296-2026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46111</v>
      </c>
      <c r="E564" s="1" t="n">
        <v>46257</v>
      </c>
      <c r="F564" t="inlineStr">
        <is>
          <t>GÄVLEBORGS LÄN</t>
        </is>
      </c>
      <c r="G564" t="inlineStr">
        <is>
          <t>OCKELBO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16535-2026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46112</v>
      </c>
      <c r="E565" s="1" t="n">
        <v>46257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14.3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16667-2026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46112</v>
      </c>
      <c r="E566" s="1" t="n">
        <v>46257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16481-2026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46112</v>
      </c>
      <c r="E567" s="1" t="n">
        <v>46257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16388-2026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46111</v>
      </c>
      <c r="E568" s="1" t="n">
        <v>46257</v>
      </c>
      <c r="F568" t="inlineStr">
        <is>
          <t>GÄVLEBORGS LÄN</t>
        </is>
      </c>
      <c r="G568" t="inlineStr">
        <is>
          <t>OCKELBO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30798-2024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45497</v>
      </c>
      <c r="E569" s="1" t="n">
        <v>46257</v>
      </c>
      <c r="F569" t="inlineStr">
        <is>
          <t>GÄVLEBORGS LÄN</t>
        </is>
      </c>
      <c r="G569" t="inlineStr">
        <is>
          <t>OCKELBO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16981-2026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46114</v>
      </c>
      <c r="E570" s="1" t="n">
        <v>46257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9.4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16991-2026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46114</v>
      </c>
      <c r="E571" s="1" t="n">
        <v>46257</v>
      </c>
      <c r="F571" t="inlineStr">
        <is>
          <t>GÄVLEBORGS LÄN</t>
        </is>
      </c>
      <c r="G571" t="inlineStr">
        <is>
          <t>OCKELBO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17115-2026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46114</v>
      </c>
      <c r="E572" s="1" t="n">
        <v>46257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16989-2026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46114</v>
      </c>
      <c r="E573" s="1" t="n">
        <v>46257</v>
      </c>
      <c r="F573" t="inlineStr">
        <is>
          <t>GÄVLEBORGS LÄN</t>
        </is>
      </c>
      <c r="G573" t="inlineStr">
        <is>
          <t>OCKELBO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13428-2026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46094</v>
      </c>
      <c r="E574" s="1" t="n">
        <v>46257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10268-2026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46257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öst AB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43799-2022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44838</v>
      </c>
      <c r="E576" s="1" t="n">
        <v>46257</v>
      </c>
      <c r="F576" t="inlineStr">
        <is>
          <t>GÄVLEBORGS LÄN</t>
        </is>
      </c>
      <c r="G576" t="inlineStr">
        <is>
          <t>OCKELBO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28672-2026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46198</v>
      </c>
      <c r="E577" s="1" t="n">
        <v>46257</v>
      </c>
      <c r="F577" t="inlineStr">
        <is>
          <t>GÄVLEBORGS LÄN</t>
        </is>
      </c>
      <c r="G577" t="inlineStr">
        <is>
          <t>OCKELBO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10290-2026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46076</v>
      </c>
      <c r="E578" s="1" t="n">
        <v>46257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öst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28725-2026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46198</v>
      </c>
      <c r="E579" s="1" t="n">
        <v>46257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10457-2026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46077</v>
      </c>
      <c r="E580" s="1" t="n">
        <v>46257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öst AB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28681-2026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46257</v>
      </c>
      <c r="F581" t="inlineStr">
        <is>
          <t>GÄVLEBORGS LÄN</t>
        </is>
      </c>
      <c r="G581" t="inlineStr">
        <is>
          <t>OCKELBO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17224-2026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46119</v>
      </c>
      <c r="E582" s="1" t="n">
        <v>46257</v>
      </c>
      <c r="F582" t="inlineStr">
        <is>
          <t>GÄVLEBORGS LÄN</t>
        </is>
      </c>
      <c r="G582" t="inlineStr">
        <is>
          <t>OCKELBO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10326-2026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46076</v>
      </c>
      <c r="E583" s="1" t="n">
        <v>46257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öst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17241-2026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46119</v>
      </c>
      <c r="E584" s="1" t="n">
        <v>46257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17202-2026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46118</v>
      </c>
      <c r="E585" s="1" t="n">
        <v>46257</v>
      </c>
      <c r="F585" t="inlineStr">
        <is>
          <t>GÄVLEBORGS LÄN</t>
        </is>
      </c>
      <c r="G585" t="inlineStr">
        <is>
          <t>OCKELBO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10309-2026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46257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öst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37391-2023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45156</v>
      </c>
      <c r="E587" s="1" t="n">
        <v>46257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46121</v>
      </c>
      <c r="E588" s="1" t="n">
        <v>46257</v>
      </c>
      <c r="F588" t="inlineStr">
        <is>
          <t>GÄVLEBORGS LÄN</t>
        </is>
      </c>
      <c r="G588" t="inlineStr">
        <is>
          <t>OCKELBO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17589-2026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46121</v>
      </c>
      <c r="E589" s="1" t="n">
        <v>46257</v>
      </c>
      <c r="F589" t="inlineStr">
        <is>
          <t>GÄVLEBORGS LÄN</t>
        </is>
      </c>
      <c r="G589" t="inlineStr">
        <is>
          <t>OCKELBO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17600-2026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46121</v>
      </c>
      <c r="E590" s="1" t="n">
        <v>46257</v>
      </c>
      <c r="F590" t="inlineStr">
        <is>
          <t>GÄVLEBORGS LÄN</t>
        </is>
      </c>
      <c r="G590" t="inlineStr">
        <is>
          <t>OCKELBO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46049</v>
      </c>
      <c r="E591" s="1" t="n">
        <v>46257</v>
      </c>
      <c r="F591" t="inlineStr">
        <is>
          <t>GÄVLEBORGS LÄN</t>
        </is>
      </c>
      <c r="G591" t="inlineStr">
        <is>
          <t>OCKELBO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18133-2026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46125</v>
      </c>
      <c r="E592" s="1" t="n">
        <v>46257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33987-2023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45134</v>
      </c>
      <c r="E593" s="1" t="n">
        <v>46257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46126</v>
      </c>
      <c r="E594" s="1" t="n">
        <v>46257</v>
      </c>
      <c r="F594" t="inlineStr">
        <is>
          <t>GÄVLEBORGS LÄN</t>
        </is>
      </c>
      <c r="G594" t="inlineStr">
        <is>
          <t>OCKELBO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45134</v>
      </c>
      <c r="E595" s="1" t="n">
        <v>46257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46126</v>
      </c>
      <c r="E596" s="1" t="n">
        <v>46257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46257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46199</v>
      </c>
      <c r="E598" s="1" t="n">
        <v>46257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47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18426-2026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46127</v>
      </c>
      <c r="E599" s="1" t="n">
        <v>46257</v>
      </c>
      <c r="F599" t="inlineStr">
        <is>
          <t>GÄVLEBORGS LÄN</t>
        </is>
      </c>
      <c r="G599" t="inlineStr">
        <is>
          <t>OCKELBO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15255-2026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46257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46257</v>
      </c>
      <c r="F601" t="inlineStr">
        <is>
          <t>GÄVLEBORGS LÄN</t>
        </is>
      </c>
      <c r="G601" t="inlineStr">
        <is>
          <t>OCKELBO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18513-2026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46127</v>
      </c>
      <c r="E602" s="1" t="n">
        <v>46257</v>
      </c>
      <c r="F602" t="inlineStr">
        <is>
          <t>GÄVLEBORGS LÄN</t>
        </is>
      </c>
      <c r="G602" t="inlineStr">
        <is>
          <t>OCKELBO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16572-2026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46257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18705-2026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46128</v>
      </c>
      <c r="E604" s="1" t="n">
        <v>46257</v>
      </c>
      <c r="F604" t="inlineStr">
        <is>
          <t>GÄVLEBORGS LÄN</t>
        </is>
      </c>
      <c r="G604" t="inlineStr">
        <is>
          <t>OCKELBO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16530-2026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46257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18669-2026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46128</v>
      </c>
      <c r="E606" s="1" t="n">
        <v>46257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46257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öst AB</t>
        </is>
      </c>
      <c r="I607" t="n">
        <v>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46127</v>
      </c>
      <c r="E608" s="1" t="n">
        <v>46257</v>
      </c>
      <c r="F608" t="inlineStr">
        <is>
          <t>GÄVLEBORGS LÄN</t>
        </is>
      </c>
      <c r="G608" t="inlineStr">
        <is>
          <t>OCKELBO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56034-2023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45240</v>
      </c>
      <c r="E609" s="1" t="n">
        <v>46257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19213-2026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46132</v>
      </c>
      <c r="E610" s="1" t="n">
        <v>46257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19271-2026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46257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19068-2026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46132</v>
      </c>
      <c r="E612" s="1" t="n">
        <v>46257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52330-2024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45609</v>
      </c>
      <c r="E613" s="1" t="n">
        <v>46257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5.6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19277-2026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46257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34449-2023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45139</v>
      </c>
      <c r="E615" s="1" t="n">
        <v>46257</v>
      </c>
      <c r="F615" t="inlineStr">
        <is>
          <t>GÄVLEBORGS LÄN</t>
        </is>
      </c>
      <c r="G615" t="inlineStr">
        <is>
          <t>OCKELBO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46132</v>
      </c>
      <c r="E616" s="1" t="n">
        <v>46257</v>
      </c>
      <c r="F616" t="inlineStr">
        <is>
          <t>GÄVLEBORGS LÄN</t>
        </is>
      </c>
      <c r="G616" t="inlineStr">
        <is>
          <t>OCKELBO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19040-2026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46132</v>
      </c>
      <c r="E617" s="1" t="n">
        <v>46257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19139-2026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46132</v>
      </c>
      <c r="E618" s="1" t="n">
        <v>46257</v>
      </c>
      <c r="F618" t="inlineStr">
        <is>
          <t>GÄVLEBORGS LÄN</t>
        </is>
      </c>
      <c r="G618" t="inlineStr">
        <is>
          <t>OCKELBO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19424-2026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46133</v>
      </c>
      <c r="E619" s="1" t="n">
        <v>46257</v>
      </c>
      <c r="F619" t="inlineStr">
        <is>
          <t>GÄVLEBORGS LÄN</t>
        </is>
      </c>
      <c r="G619" t="inlineStr">
        <is>
          <t>OCKELBO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19038-2026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46132</v>
      </c>
      <c r="E620" s="1" t="n">
        <v>46257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17.7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19146-2026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46257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29001-2026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46199</v>
      </c>
      <c r="E622" s="1" t="n">
        <v>46257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19142-2026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46132</v>
      </c>
      <c r="E623" s="1" t="n">
        <v>46257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19491-2026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46134</v>
      </c>
      <c r="E624" s="1" t="n">
        <v>46257</v>
      </c>
      <c r="F624" t="inlineStr">
        <is>
          <t>GÄVLEBORGS LÄN</t>
        </is>
      </c>
      <c r="G624" t="inlineStr">
        <is>
          <t>OCKELBO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19603-2026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46134</v>
      </c>
      <c r="E625" s="1" t="n">
        <v>46257</v>
      </c>
      <c r="F625" t="inlineStr">
        <is>
          <t>GÄVLEBORGS LÄN</t>
        </is>
      </c>
      <c r="G625" t="inlineStr">
        <is>
          <t>OCKELBO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46045</v>
      </c>
      <c r="E626" s="1" t="n">
        <v>46257</v>
      </c>
      <c r="F626" t="inlineStr">
        <is>
          <t>GÄVLEBORGS LÄN</t>
        </is>
      </c>
      <c r="G626" t="inlineStr">
        <is>
          <t>OCKELBO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46245</v>
      </c>
      <c r="E627" s="1" t="n">
        <v>46257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17117-2026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46114</v>
      </c>
      <c r="E628" s="1" t="n">
        <v>46257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17208-2026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46119</v>
      </c>
      <c r="E629" s="1" t="n">
        <v>46257</v>
      </c>
      <c r="F629" t="inlineStr">
        <is>
          <t>GÄVLEBORGS LÄN</t>
        </is>
      </c>
      <c r="G629" t="inlineStr">
        <is>
          <t>OCKELBO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26481-2026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46183</v>
      </c>
      <c r="E630" s="1" t="n">
        <v>46257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19431-2026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46257</v>
      </c>
      <c r="F631" t="inlineStr">
        <is>
          <t>GÄVLEBORGS LÄN</t>
        </is>
      </c>
      <c r="G631" t="inlineStr">
        <is>
          <t>OCKELBO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19531-2026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46257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14827-2026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46257</v>
      </c>
      <c r="F633" t="inlineStr">
        <is>
          <t>GÄVLEBORGS LÄN</t>
        </is>
      </c>
      <c r="G633" t="inlineStr">
        <is>
          <t>OCKELBO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17682-2026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46121</v>
      </c>
      <c r="E634" s="1" t="n">
        <v>46257</v>
      </c>
      <c r="F634" t="inlineStr">
        <is>
          <t>GÄVLEBORGS LÄN</t>
        </is>
      </c>
      <c r="G634" t="inlineStr">
        <is>
          <t>OCKELBO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29611-2026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46257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37845-2024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45544</v>
      </c>
      <c r="E636" s="1" t="n">
        <v>46257</v>
      </c>
      <c r="F636" t="inlineStr">
        <is>
          <t>GÄVLEBORGS LÄN</t>
        </is>
      </c>
      <c r="G636" t="inlineStr">
        <is>
          <t>OCKELBO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29437-2026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46203</v>
      </c>
      <c r="E637" s="1" t="n">
        <v>46257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46257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46043</v>
      </c>
      <c r="E639" s="1" t="n">
        <v>46257</v>
      </c>
      <c r="F639" t="inlineStr">
        <is>
          <t>GÄVLEBORGS LÄN</t>
        </is>
      </c>
      <c r="G639" t="inlineStr">
        <is>
          <t>OCKELBO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46064</v>
      </c>
      <c r="E640" s="1" t="n">
        <v>46257</v>
      </c>
      <c r="F640" t="inlineStr">
        <is>
          <t>GÄVLEBORGS LÄN</t>
        </is>
      </c>
      <c r="G640" t="inlineStr">
        <is>
          <t>OCKELBO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31517-2026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46223</v>
      </c>
      <c r="E641" s="1" t="n">
        <v>46257</v>
      </c>
      <c r="F641" t="inlineStr">
        <is>
          <t>GÄVLEBORGS LÄN</t>
        </is>
      </c>
      <c r="G641" t="inlineStr">
        <is>
          <t>OCKELBO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31519-2026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46223</v>
      </c>
      <c r="E642" s="1" t="n">
        <v>46257</v>
      </c>
      <c r="F642" t="inlineStr">
        <is>
          <t>GÄVLEBORGS LÄN</t>
        </is>
      </c>
      <c r="G642" t="inlineStr">
        <is>
          <t>OCKELBO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20151-2026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46137</v>
      </c>
      <c r="E643" s="1" t="n">
        <v>46257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46257</v>
      </c>
      <c r="F644" t="inlineStr">
        <is>
          <t>GÄVLEBORGS LÄN</t>
        </is>
      </c>
      <c r="G644" t="inlineStr">
        <is>
          <t>OCKELBO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25404-2025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45800</v>
      </c>
      <c r="E645" s="1" t="n">
        <v>46257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46257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15542-2026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46257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50742-2025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45946</v>
      </c>
      <c r="E648" s="1" t="n">
        <v>46257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15694-2022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44663</v>
      </c>
      <c r="E649" s="1" t="n">
        <v>46257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46257</v>
      </c>
      <c r="F650" t="inlineStr">
        <is>
          <t>GÄVLEBORGS LÄN</t>
        </is>
      </c>
      <c r="G650" t="inlineStr">
        <is>
          <t>OCKELBO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46316-2025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45925</v>
      </c>
      <c r="E651" s="1" t="n">
        <v>46257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5.4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46048</v>
      </c>
      <c r="E652" s="1" t="n">
        <v>46257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9.1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46055</v>
      </c>
      <c r="E653" s="1" t="n">
        <v>46257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7.8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28965-2024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45481</v>
      </c>
      <c r="E654" s="1" t="n">
        <v>46257</v>
      </c>
      <c r="F654" t="inlineStr">
        <is>
          <t>GÄVLEBORGS LÄN</t>
        </is>
      </c>
      <c r="G654" t="inlineStr">
        <is>
          <t>OCKELBO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55906-2024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45623</v>
      </c>
      <c r="E655" s="1" t="n">
        <v>46257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46029</v>
      </c>
      <c r="E656" s="1" t="n">
        <v>46257</v>
      </c>
      <c r="F656" t="inlineStr">
        <is>
          <t>GÄVLEBORGS LÄN</t>
        </is>
      </c>
      <c r="G656" t="inlineStr">
        <is>
          <t>OCKELBO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36604-2025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45870</v>
      </c>
      <c r="E657" s="1" t="n">
        <v>46257</v>
      </c>
      <c r="F657" t="inlineStr">
        <is>
          <t>GÄVLEBORGS LÄN</t>
        </is>
      </c>
      <c r="G657" t="inlineStr">
        <is>
          <t>OCKELBO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30031-2026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46257</v>
      </c>
      <c r="F658" t="inlineStr">
        <is>
          <t>GÄVLEBORGS LÄN</t>
        </is>
      </c>
      <c r="G658" t="inlineStr">
        <is>
          <t>OCKELBO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46205</v>
      </c>
      <c r="E659" s="1" t="n">
        <v>46257</v>
      </c>
      <c r="F659" t="inlineStr">
        <is>
          <t>GÄVLEBORGS LÄN</t>
        </is>
      </c>
      <c r="G659" t="inlineStr">
        <is>
          <t>OCKELBO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5325-2026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46257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24228-2022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44725</v>
      </c>
      <c r="E661" s="1" t="n">
        <v>46257</v>
      </c>
      <c r="F661" t="inlineStr">
        <is>
          <t>GÄVLEBORGS LÄN</t>
        </is>
      </c>
      <c r="G661" t="inlineStr">
        <is>
          <t>OCKELBO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62096-2024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45656</v>
      </c>
      <c r="E662" s="1" t="n">
        <v>46257</v>
      </c>
      <c r="F662" t="inlineStr">
        <is>
          <t>GÄVLEBORGS LÄN</t>
        </is>
      </c>
      <c r="G662" t="inlineStr">
        <is>
          <t>OCKELBO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20149-2026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46137</v>
      </c>
      <c r="E663" s="1" t="n">
        <v>46257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20150-2026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46137</v>
      </c>
      <c r="E664" s="1" t="n">
        <v>46257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29835-2026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46205</v>
      </c>
      <c r="E665" s="1" t="n">
        <v>46257</v>
      </c>
      <c r="F665" t="inlineStr">
        <is>
          <t>GÄVLEBORGS LÄN</t>
        </is>
      </c>
      <c r="G665" t="inlineStr">
        <is>
          <t>OCKELBO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3719-2026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46257</v>
      </c>
      <c r="F666" t="inlineStr">
        <is>
          <t>GÄVLEBORGS LÄN</t>
        </is>
      </c>
      <c r="G666" t="inlineStr">
        <is>
          <t>OCKELBO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64609-2023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45281</v>
      </c>
      <c r="E667" s="1" t="n">
        <v>46257</v>
      </c>
      <c r="F667" t="inlineStr">
        <is>
          <t>GÄVLEBORGS LÄN</t>
        </is>
      </c>
      <c r="G667" t="inlineStr">
        <is>
          <t>OCKELBO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25564-2025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45803</v>
      </c>
      <c r="E668" s="1" t="n">
        <v>46257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25168-2025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45800</v>
      </c>
      <c r="E669" s="1" t="n">
        <v>46257</v>
      </c>
      <c r="F669" t="inlineStr">
        <is>
          <t>GÄVLEBORGS LÄN</t>
        </is>
      </c>
      <c r="G669" t="inlineStr">
        <is>
          <t>OCKELBO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46052</v>
      </c>
      <c r="E670" s="1" t="n">
        <v>46257</v>
      </c>
      <c r="F670" t="inlineStr">
        <is>
          <t>GÄVLEBORGS LÄN</t>
        </is>
      </c>
      <c r="G670" t="inlineStr">
        <is>
          <t>OCKELBO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5974-2026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46257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3626-2023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46257</v>
      </c>
      <c r="F672" t="inlineStr">
        <is>
          <t>GÄVLEBORGS LÄN</t>
        </is>
      </c>
      <c r="G672" t="inlineStr">
        <is>
          <t>OCKELBO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61335-2022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44915</v>
      </c>
      <c r="E673" s="1" t="n">
        <v>46257</v>
      </c>
      <c r="F673" t="inlineStr">
        <is>
          <t>GÄVLEBORGS LÄN</t>
        </is>
      </c>
      <c r="G673" t="inlineStr">
        <is>
          <t>OCKELBO</t>
        </is>
      </c>
      <c r="I673" t="n">
        <v>8.5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28966-2025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46257</v>
      </c>
      <c r="F674" t="inlineStr">
        <is>
          <t>GÄVLEBORGS LÄN</t>
        </is>
      </c>
      <c r="G674" t="inlineStr">
        <is>
          <t>OCKELBO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46036</v>
      </c>
      <c r="E675" s="1" t="n">
        <v>46257</v>
      </c>
      <c r="F675" t="inlineStr">
        <is>
          <t>GÄVLEBORGS LÄN</t>
        </is>
      </c>
      <c r="G675" t="inlineStr">
        <is>
          <t>OCKELBO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45068</v>
      </c>
      <c r="E676" s="1" t="n">
        <v>46257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45771</v>
      </c>
      <c r="E677" s="1" t="n">
        <v>46257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21878-2023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45068</v>
      </c>
      <c r="E678" s="1" t="n">
        <v>46257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63977-2025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46021</v>
      </c>
      <c r="E679" s="1" t="n">
        <v>46257</v>
      </c>
      <c r="F679" t="inlineStr">
        <is>
          <t>GÄVLEBORGS LÄN</t>
        </is>
      </c>
      <c r="G679" t="inlineStr">
        <is>
          <t>OCKELBO</t>
        </is>
      </c>
      <c r="I679" t="n">
        <v>18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36295-2024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45534</v>
      </c>
      <c r="E680" s="1" t="n">
        <v>46257</v>
      </c>
      <c r="F680" t="inlineStr">
        <is>
          <t>GÄVLEBORGS LÄN</t>
        </is>
      </c>
      <c r="G680" t="inlineStr">
        <is>
          <t>OCKELBO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20251-2026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46139</v>
      </c>
      <c r="E681" s="1" t="n">
        <v>46257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15739-2026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46257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20.4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19924-2026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46136</v>
      </c>
      <c r="E683" s="1" t="n">
        <v>46257</v>
      </c>
      <c r="F683" t="inlineStr">
        <is>
          <t>GÄVLEBORGS LÄN</t>
        </is>
      </c>
      <c r="G683" t="inlineStr">
        <is>
          <t>OCKELBO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19945-2026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46136</v>
      </c>
      <c r="E684" s="1" t="n">
        <v>46257</v>
      </c>
      <c r="F684" t="inlineStr">
        <is>
          <t>GÄVLEBORGS LÄN</t>
        </is>
      </c>
      <c r="G684" t="inlineStr">
        <is>
          <t>OCKELBO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8253-2026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46064</v>
      </c>
      <c r="E685" s="1" t="n">
        <v>46257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20155-2026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46138</v>
      </c>
      <c r="E686" s="1" t="n">
        <v>46257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46042</v>
      </c>
      <c r="E687" s="1" t="n">
        <v>46257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8521-2026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46065</v>
      </c>
      <c r="E688" s="1" t="n">
        <v>46257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8662-2025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45712</v>
      </c>
      <c r="E689" s="1" t="n">
        <v>46257</v>
      </c>
      <c r="F689" t="inlineStr">
        <is>
          <t>GÄVLEBORGS LÄN</t>
        </is>
      </c>
      <c r="G689" t="inlineStr">
        <is>
          <t>OCKELBO</t>
        </is>
      </c>
      <c r="I689" t="n">
        <v>14.7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46034</v>
      </c>
      <c r="E690" s="1" t="n">
        <v>46257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33079-2025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45840</v>
      </c>
      <c r="E691" s="1" t="n">
        <v>46257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53488-2023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45230</v>
      </c>
      <c r="E692" s="1" t="n">
        <v>46257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30990-2026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46213</v>
      </c>
      <c r="E693" s="1" t="n">
        <v>46257</v>
      </c>
      <c r="F693" t="inlineStr">
        <is>
          <t>GÄVLEBORGS LÄN</t>
        </is>
      </c>
      <c r="G693" t="inlineStr">
        <is>
          <t>OCKELBO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5982-2026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46052</v>
      </c>
      <c r="E694" s="1" t="n">
        <v>46257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45817</v>
      </c>
      <c r="E695" s="1" t="n">
        <v>46257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37442-2023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45156</v>
      </c>
      <c r="E696" s="1" t="n">
        <v>46257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22385-2023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46257</v>
      </c>
      <c r="F697" t="inlineStr">
        <is>
          <t>GÄVLEBORGS LÄN</t>
        </is>
      </c>
      <c r="G697" t="inlineStr">
        <is>
          <t>OCKELBO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20604-2026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46140</v>
      </c>
      <c r="E698" s="1" t="n">
        <v>46257</v>
      </c>
      <c r="F698" t="inlineStr">
        <is>
          <t>GÄVLEBORGS LÄN</t>
        </is>
      </c>
      <c r="G698" t="inlineStr">
        <is>
          <t>OCKELBO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34391-2026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46254</v>
      </c>
      <c r="E699" s="1" t="n">
        <v>46257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15484-2026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46257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56741-2024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45628</v>
      </c>
      <c r="E701" s="1" t="n">
        <v>46257</v>
      </c>
      <c r="F701" t="inlineStr">
        <is>
          <t>GÄVLEBORGS LÄN</t>
        </is>
      </c>
      <c r="G701" t="inlineStr">
        <is>
          <t>OCKELBO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19772-2025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45771</v>
      </c>
      <c r="E702" s="1" t="n">
        <v>46257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8683-2026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46066</v>
      </c>
      <c r="E703" s="1" t="n">
        <v>46257</v>
      </c>
      <c r="F703" t="inlineStr">
        <is>
          <t>GÄVLEBORGS LÄN</t>
        </is>
      </c>
      <c r="G703" t="inlineStr">
        <is>
          <t>OCKELBO</t>
        </is>
      </c>
      <c r="I703" t="n">
        <v>6.4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8348-2026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46064</v>
      </c>
      <c r="E704" s="1" t="n">
        <v>46257</v>
      </c>
      <c r="F704" t="inlineStr">
        <is>
          <t>GÄVLEBORGS LÄN</t>
        </is>
      </c>
      <c r="G704" t="inlineStr">
        <is>
          <t>OCKELBO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46035</v>
      </c>
      <c r="E705" s="1" t="n">
        <v>46257</v>
      </c>
      <c r="F705" t="inlineStr">
        <is>
          <t>GÄVLEBORGS LÄN</t>
        </is>
      </c>
      <c r="G705" t="inlineStr">
        <is>
          <t>OCKELBO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46257</v>
      </c>
      <c r="F706" t="inlineStr">
        <is>
          <t>GÄVLEBORGS LÄN</t>
        </is>
      </c>
      <c r="G706" t="inlineStr">
        <is>
          <t>OCKELBO</t>
        </is>
      </c>
      <c r="I706" t="n">
        <v>11.9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4729-2026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46048</v>
      </c>
      <c r="E707" s="1" t="n">
        <v>46257</v>
      </c>
      <c r="F707" t="inlineStr">
        <is>
          <t>GÄVLEBORGS LÄN</t>
        </is>
      </c>
      <c r="G707" t="inlineStr">
        <is>
          <t>OCKELBO</t>
        </is>
      </c>
      <c r="I707" t="n">
        <v>36.1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20467-2026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46140</v>
      </c>
      <c r="E708" s="1" t="n">
        <v>46257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46140</v>
      </c>
      <c r="E709" s="1" t="n">
        <v>46257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30418-2023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45111</v>
      </c>
      <c r="E710" s="1" t="n">
        <v>46257</v>
      </c>
      <c r="F710" t="inlineStr">
        <is>
          <t>GÄVLEBORGS LÄN</t>
        </is>
      </c>
      <c r="G710" t="inlineStr">
        <is>
          <t>OCKELBO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30422-2023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45111</v>
      </c>
      <c r="E711" s="1" t="n">
        <v>46257</v>
      </c>
      <c r="F711" t="inlineStr">
        <is>
          <t>GÄVLEBORGS LÄN</t>
        </is>
      </c>
      <c r="G711" t="inlineStr">
        <is>
          <t>OCKELBO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46027</v>
      </c>
      <c r="E712" s="1" t="n">
        <v>46257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6.6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29567-2024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45484</v>
      </c>
      <c r="E713" s="1" t="n">
        <v>46257</v>
      </c>
      <c r="F713" t="inlineStr">
        <is>
          <t>GÄVLEBORGS LÄN</t>
        </is>
      </c>
      <c r="G713" t="inlineStr">
        <is>
          <t>OCKELBO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6561-2026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46056</v>
      </c>
      <c r="E714" s="1" t="n">
        <v>46257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64367-2023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45280</v>
      </c>
      <c r="E715" s="1" t="n">
        <v>46257</v>
      </c>
      <c r="F715" t="inlineStr">
        <is>
          <t>GÄVLEBORGS LÄN</t>
        </is>
      </c>
      <c r="G715" t="inlineStr">
        <is>
          <t>OCKELBO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46257</v>
      </c>
      <c r="F716" t="inlineStr">
        <is>
          <t>GÄVLEBORGS LÄN</t>
        </is>
      </c>
      <c r="G716" t="inlineStr">
        <is>
          <t>OCKELBO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7907-2026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46063</v>
      </c>
      <c r="E717" s="1" t="n">
        <v>46257</v>
      </c>
      <c r="F717" t="inlineStr">
        <is>
          <t>GÄVLEBORGS LÄN</t>
        </is>
      </c>
      <c r="G717" t="inlineStr">
        <is>
          <t>OCKELBO</t>
        </is>
      </c>
      <c r="I717" t="n">
        <v>11.5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20502-2026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46140</v>
      </c>
      <c r="E718" s="1" t="n">
        <v>46257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11.2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20641-2026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46257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55715-2023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45239</v>
      </c>
      <c r="E720" s="1" t="n">
        <v>46257</v>
      </c>
      <c r="F720" t="inlineStr">
        <is>
          <t>GÄVLEBORGS LÄN</t>
        </is>
      </c>
      <c r="G720" t="inlineStr">
        <is>
          <t>OCKELBO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9401-2026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46071</v>
      </c>
      <c r="E721" s="1" t="n">
        <v>46257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29953-2024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45488</v>
      </c>
      <c r="E722" s="1" t="n">
        <v>46257</v>
      </c>
      <c r="F722" t="inlineStr">
        <is>
          <t>GÄVLEBORGS LÄN</t>
        </is>
      </c>
      <c r="G722" t="inlineStr">
        <is>
          <t>OCKELBO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13857-2026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46098</v>
      </c>
      <c r="E723" s="1" t="n">
        <v>46257</v>
      </c>
      <c r="F723" t="inlineStr">
        <is>
          <t>GÄVLEBORGS LÄN</t>
        </is>
      </c>
      <c r="G723" t="inlineStr">
        <is>
          <t>OCKELBO</t>
        </is>
      </c>
      <c r="I723" t="n">
        <v>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45526</v>
      </c>
      <c r="E724" s="1" t="n">
        <v>46257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20469-2026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46140</v>
      </c>
      <c r="E725" s="1" t="n">
        <v>46257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47849-2021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44448</v>
      </c>
      <c r="E726" s="1" t="n">
        <v>46257</v>
      </c>
      <c r="F726" t="inlineStr">
        <is>
          <t>GÄVLEBORGS LÄN</t>
        </is>
      </c>
      <c r="G726" t="inlineStr">
        <is>
          <t>OCKELBO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46079</v>
      </c>
      <c r="E727" s="1" t="n">
        <v>46257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18191-2026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46125</v>
      </c>
      <c r="E728" s="1" t="n">
        <v>46257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12708-2026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46091</v>
      </c>
      <c r="E729" s="1" t="n">
        <v>46257</v>
      </c>
      <c r="F729" t="inlineStr">
        <is>
          <t>GÄVLEBORGS LÄN</t>
        </is>
      </c>
      <c r="G729" t="inlineStr">
        <is>
          <t>OCKELBO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50194-2024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45600</v>
      </c>
      <c r="E730" s="1" t="n">
        <v>46257</v>
      </c>
      <c r="F730" t="inlineStr">
        <is>
          <t>GÄVLEBORGS LÄN</t>
        </is>
      </c>
      <c r="G730" t="inlineStr">
        <is>
          <t>OCKELBO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15247-2025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45744</v>
      </c>
      <c r="E731" s="1" t="n">
        <v>46257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710-2026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46257</v>
      </c>
      <c r="F732" t="inlineStr">
        <is>
          <t>GÄVLEBORGS LÄN</t>
        </is>
      </c>
      <c r="G732" t="inlineStr">
        <is>
          <t>OCKELBO</t>
        </is>
      </c>
      <c r="I732" t="n">
        <v>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7955-2026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46063</v>
      </c>
      <c r="E733" s="1" t="n">
        <v>46257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23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46043</v>
      </c>
      <c r="E734" s="1" t="n">
        <v>46257</v>
      </c>
      <c r="F734" t="inlineStr">
        <is>
          <t>GÄVLEBORGS LÄN</t>
        </is>
      </c>
      <c r="G734" t="inlineStr">
        <is>
          <t>OCKELBO</t>
        </is>
      </c>
      <c r="I734" t="n">
        <v>10.3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46037</v>
      </c>
      <c r="E735" s="1" t="n">
        <v>46257</v>
      </c>
      <c r="F735" t="inlineStr">
        <is>
          <t>GÄVLEBORGS LÄN</t>
        </is>
      </c>
      <c r="G735" t="inlineStr">
        <is>
          <t>OCKELBO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10083-2026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46073</v>
      </c>
      <c r="E736" s="1" t="n">
        <v>46257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22952-2023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45072</v>
      </c>
      <c r="E737" s="1" t="n">
        <v>46257</v>
      </c>
      <c r="F737" t="inlineStr">
        <is>
          <t>GÄVLEBORGS LÄN</t>
        </is>
      </c>
      <c r="G737" t="inlineStr">
        <is>
          <t>OCKELBO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6499-2026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46056</v>
      </c>
      <c r="E738" s="1" t="n">
        <v>46257</v>
      </c>
      <c r="F738" t="inlineStr">
        <is>
          <t>GÄVLEBORGS LÄN</t>
        </is>
      </c>
      <c r="G738" t="inlineStr">
        <is>
          <t>OCKELBO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6518-2026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46052</v>
      </c>
      <c r="E739" s="1" t="n">
        <v>46257</v>
      </c>
      <c r="F739" t="inlineStr">
        <is>
          <t>GÄVLEBORGS LÄN</t>
        </is>
      </c>
      <c r="G739" t="inlineStr">
        <is>
          <t>OCKELBO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1693-2026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46034</v>
      </c>
      <c r="E740" s="1" t="n">
        <v>46257</v>
      </c>
      <c r="F740" t="inlineStr">
        <is>
          <t>GÄVLEBORGS LÄN</t>
        </is>
      </c>
      <c r="G740" t="inlineStr">
        <is>
          <t>OCKELBO</t>
        </is>
      </c>
      <c r="I740" t="n">
        <v>9.300000000000001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10489-2026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46077</v>
      </c>
      <c r="E741" s="1" t="n">
        <v>46257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20481-2026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46140</v>
      </c>
      <c r="E742" s="1" t="n">
        <v>46257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7949-2026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46257</v>
      </c>
      <c r="F743" t="inlineStr">
        <is>
          <t>GÄVLEBORGS LÄN</t>
        </is>
      </c>
      <c r="G743" t="inlineStr">
        <is>
          <t>OCKELBO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20984-2026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46142</v>
      </c>
      <c r="E744" s="1" t="n">
        <v>46257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14905-2026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46104</v>
      </c>
      <c r="E745" s="1" t="n">
        <v>46257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60117-2025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45994</v>
      </c>
      <c r="E746" s="1" t="n">
        <v>46257</v>
      </c>
      <c r="F746" t="inlineStr">
        <is>
          <t>GÄVLEBORGS LÄN</t>
        </is>
      </c>
      <c r="G746" t="inlineStr">
        <is>
          <t>OCKELBO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46257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18549-2026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46127</v>
      </c>
      <c r="E748" s="1" t="n">
        <v>46257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17951-2026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46122</v>
      </c>
      <c r="E749" s="1" t="n">
        <v>46257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18097-2026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46125</v>
      </c>
      <c r="E750" s="1" t="n">
        <v>46257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21280-2026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46147</v>
      </c>
      <c r="E751" s="1" t="n">
        <v>46257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öst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21277-2026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46147</v>
      </c>
      <c r="E752" s="1" t="n">
        <v>46257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öst AB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15908-2026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46107</v>
      </c>
      <c r="E753" s="1" t="n">
        <v>46257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öst AB</t>
        </is>
      </c>
      <c r="I753" t="n">
        <v>6.8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21461-2026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46148</v>
      </c>
      <c r="E754" s="1" t="n">
        <v>46257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21500-2026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46148</v>
      </c>
      <c r="E755" s="1" t="n">
        <v>46257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19537-2026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46134</v>
      </c>
      <c r="E756" s="1" t="n">
        <v>46257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21640-2026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46149</v>
      </c>
      <c r="E757" s="1" t="n">
        <v>46257</v>
      </c>
      <c r="F757" t="inlineStr">
        <is>
          <t>GÄVLEBORGS LÄN</t>
        </is>
      </c>
      <c r="G757" t="inlineStr">
        <is>
          <t>OCKELBO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21459-2026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46148</v>
      </c>
      <c r="E758" s="1" t="n">
        <v>46257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21468-2026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46148</v>
      </c>
      <c r="E759" s="1" t="n">
        <v>46257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21577-2026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46148</v>
      </c>
      <c r="E760" s="1" t="n">
        <v>46257</v>
      </c>
      <c r="F760" t="inlineStr">
        <is>
          <t>GÄVLEBORGS LÄN</t>
        </is>
      </c>
      <c r="G760" t="inlineStr">
        <is>
          <t>OCKELBO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14410-2026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46100</v>
      </c>
      <c r="E761" s="1" t="n">
        <v>46257</v>
      </c>
      <c r="F761" t="inlineStr">
        <is>
          <t>GÄVLEBORGS LÄN</t>
        </is>
      </c>
      <c r="G761" t="inlineStr">
        <is>
          <t>OCKELBO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22824-2024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45448</v>
      </c>
      <c r="E762" s="1" t="n">
        <v>46257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46257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8865-2026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46066</v>
      </c>
      <c r="E764" s="1" t="n">
        <v>46257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45666</v>
      </c>
      <c r="E765" s="1" t="n">
        <v>46257</v>
      </c>
      <c r="F765" t="inlineStr">
        <is>
          <t>GÄVLEBORGS LÄN</t>
        </is>
      </c>
      <c r="G765" t="inlineStr">
        <is>
          <t>OCKELBO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46153</v>
      </c>
      <c r="E766" s="1" t="n">
        <v>46257</v>
      </c>
      <c r="F766" t="inlineStr">
        <is>
          <t>GÄVLEBORGS LÄN</t>
        </is>
      </c>
      <c r="G766" t="inlineStr">
        <is>
          <t>OCKELBO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9413-2026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46071</v>
      </c>
      <c r="E767" s="1" t="n">
        <v>46257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9.1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18645-2026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46128</v>
      </c>
      <c r="E768" s="1" t="n">
        <v>46257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22057-2026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46153</v>
      </c>
      <c r="E769" s="1" t="n">
        <v>46257</v>
      </c>
      <c r="F769" t="inlineStr">
        <is>
          <t>GÄVLEBORGS LÄN</t>
        </is>
      </c>
      <c r="G769" t="inlineStr">
        <is>
          <t>OCKELBO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61750-2023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45265</v>
      </c>
      <c r="E770" s="1" t="n">
        <v>46257</v>
      </c>
      <c r="F770" t="inlineStr">
        <is>
          <t>GÄVLEBORGS LÄN</t>
        </is>
      </c>
      <c r="G770" t="inlineStr">
        <is>
          <t>OCKELBO</t>
        </is>
      </c>
      <c r="I770" t="n">
        <v>11.2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33985-2023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45134</v>
      </c>
      <c r="E771" s="1" t="n">
        <v>46257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9542-2026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46071</v>
      </c>
      <c r="E772" s="1" t="n">
        <v>46257</v>
      </c>
      <c r="F772" t="inlineStr">
        <is>
          <t>GÄVLEBORGS LÄN</t>
        </is>
      </c>
      <c r="G772" t="inlineStr">
        <is>
          <t>OCKELBO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8408-2026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46065</v>
      </c>
      <c r="E773" s="1" t="n">
        <v>46257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58718-2025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45986</v>
      </c>
      <c r="E774" s="1" t="n">
        <v>46257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3697-2026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46257</v>
      </c>
      <c r="F775" t="inlineStr">
        <is>
          <t>GÄVLEBORGS LÄN</t>
        </is>
      </c>
      <c r="G775" t="inlineStr">
        <is>
          <t>OCKELBO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46609-2025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45926</v>
      </c>
      <c r="E776" s="1" t="n">
        <v>46257</v>
      </c>
      <c r="F776" t="inlineStr">
        <is>
          <t>GÄVLEBORGS LÄN</t>
        </is>
      </c>
      <c r="G776" t="inlineStr">
        <is>
          <t>OCKELBO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3628-2023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44950</v>
      </c>
      <c r="E777" s="1" t="n">
        <v>46257</v>
      </c>
      <c r="F777" t="inlineStr">
        <is>
          <t>GÄVLEBORGS LÄN</t>
        </is>
      </c>
      <c r="G777" t="inlineStr">
        <is>
          <t>OCKELBO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22569-2026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46155</v>
      </c>
      <c r="E778" s="1" t="n">
        <v>46257</v>
      </c>
      <c r="F778" t="inlineStr">
        <is>
          <t>GÄVLEBORGS LÄN</t>
        </is>
      </c>
      <c r="G778" t="inlineStr">
        <is>
          <t>OCKELBO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22329-2026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46154</v>
      </c>
      <c r="E779" s="1" t="n">
        <v>46257</v>
      </c>
      <c r="F779" t="inlineStr">
        <is>
          <t>GÄVLEBORGS LÄN</t>
        </is>
      </c>
      <c r="G779" t="inlineStr">
        <is>
          <t>OCKELBO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46155</v>
      </c>
      <c r="E780" s="1" t="n">
        <v>46257</v>
      </c>
      <c r="F780" t="inlineStr">
        <is>
          <t>GÄVLEBORGS LÄN</t>
        </is>
      </c>
      <c r="G780" t="inlineStr">
        <is>
          <t>OCKELBO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13210-2026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46093</v>
      </c>
      <c r="E781" s="1" t="n">
        <v>46257</v>
      </c>
      <c r="F781" t="inlineStr">
        <is>
          <t>GÄVLEBORGS LÄN</t>
        </is>
      </c>
      <c r="G781" t="inlineStr">
        <is>
          <t>OCKELBO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17221-2026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46119</v>
      </c>
      <c r="E782" s="1" t="n">
        <v>46257</v>
      </c>
      <c r="F782" t="inlineStr">
        <is>
          <t>GÄVLEBORGS LÄN</t>
        </is>
      </c>
      <c r="G782" t="inlineStr">
        <is>
          <t>OCKELBO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6654-2026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46056</v>
      </c>
      <c r="E783" s="1" t="n">
        <v>46257</v>
      </c>
      <c r="F783" t="inlineStr">
        <is>
          <t>GÄVLEBORGS LÄN</t>
        </is>
      </c>
      <c r="G783" t="inlineStr">
        <is>
          <t>OCKELBO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43071-2025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45909</v>
      </c>
      <c r="E784" s="1" t="n">
        <v>46257</v>
      </c>
      <c r="F784" t="inlineStr">
        <is>
          <t>GÄVLEBORGS LÄN</t>
        </is>
      </c>
      <c r="G784" t="inlineStr">
        <is>
          <t>OCKELBO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22594-2026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46155</v>
      </c>
      <c r="E785" s="1" t="n">
        <v>46257</v>
      </c>
      <c r="F785" t="inlineStr">
        <is>
          <t>GÄVLEBORGS LÄN</t>
        </is>
      </c>
      <c r="G785" t="inlineStr">
        <is>
          <t>OCKELBO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15034-2026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46104</v>
      </c>
      <c r="E786" s="1" t="n">
        <v>46257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12352-2026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46088</v>
      </c>
      <c r="E787" s="1" t="n">
        <v>46257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9.199999999999999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4179-2026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46044</v>
      </c>
      <c r="E788" s="1" t="n">
        <v>46257</v>
      </c>
      <c r="F788" t="inlineStr">
        <is>
          <t>GÄVLEBORGS LÄN</t>
        </is>
      </c>
      <c r="G788" t="inlineStr">
        <is>
          <t>OCKELBO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46049</v>
      </c>
      <c r="E789" s="1" t="n">
        <v>46257</v>
      </c>
      <c r="F789" t="inlineStr">
        <is>
          <t>GÄVLEBORGS LÄN</t>
        </is>
      </c>
      <c r="G789" t="inlineStr">
        <is>
          <t>OCKELBO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13182-2026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46093</v>
      </c>
      <c r="E790" s="1" t="n">
        <v>46257</v>
      </c>
      <c r="F790" t="inlineStr">
        <is>
          <t>GÄVLEBORGS LÄN</t>
        </is>
      </c>
      <c r="G790" t="inlineStr">
        <is>
          <t>OCKELBO</t>
        </is>
      </c>
      <c r="I790" t="n">
        <v>8.199999999999999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13233-2026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46093</v>
      </c>
      <c r="E791" s="1" t="n">
        <v>46257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60122-2025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45994</v>
      </c>
      <c r="E792" s="1" t="n">
        <v>46257</v>
      </c>
      <c r="F792" t="inlineStr">
        <is>
          <t>GÄVLEBORGS LÄN</t>
        </is>
      </c>
      <c r="G792" t="inlineStr">
        <is>
          <t>OCKELBO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60120-2025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45994</v>
      </c>
      <c r="E793" s="1" t="n">
        <v>46257</v>
      </c>
      <c r="F793" t="inlineStr">
        <is>
          <t>GÄVLEBORGS LÄN</t>
        </is>
      </c>
      <c r="G793" t="inlineStr">
        <is>
          <t>OCKELBO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22712-2026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46156</v>
      </c>
      <c r="E794" s="1" t="n">
        <v>46257</v>
      </c>
      <c r="F794" t="inlineStr">
        <is>
          <t>GÄVLEBORGS LÄN</t>
        </is>
      </c>
      <c r="G794" t="inlineStr">
        <is>
          <t>OCKELBO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20775-2025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45776</v>
      </c>
      <c r="E795" s="1" t="n">
        <v>46257</v>
      </c>
      <c r="F795" t="inlineStr">
        <is>
          <t>GÄVLEBORGS LÄN</t>
        </is>
      </c>
      <c r="G795" t="inlineStr">
        <is>
          <t>OCKELBO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17862-2026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46122</v>
      </c>
      <c r="E796" s="1" t="n">
        <v>46257</v>
      </c>
      <c r="F796" t="inlineStr">
        <is>
          <t>GÄVLEBORGS LÄN</t>
        </is>
      </c>
      <c r="G796" t="inlineStr">
        <is>
          <t>OCKELBO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14474-2026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46100</v>
      </c>
      <c r="E797" s="1" t="n">
        <v>46257</v>
      </c>
      <c r="F797" t="inlineStr">
        <is>
          <t>GÄVLEBORGS LÄN</t>
        </is>
      </c>
      <c r="G797" t="inlineStr">
        <is>
          <t>OCKELBO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23040-2026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46161</v>
      </c>
      <c r="E798" s="1" t="n">
        <v>46257</v>
      </c>
      <c r="F798" t="inlineStr">
        <is>
          <t>GÄVLEBORGS LÄN</t>
        </is>
      </c>
      <c r="G798" t="inlineStr">
        <is>
          <t>OCKELBO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23060-2026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46161</v>
      </c>
      <c r="E799" s="1" t="n">
        <v>46257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17.6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14071-2026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46257</v>
      </c>
      <c r="F800" t="inlineStr">
        <is>
          <t>GÄVLEBORGS LÄN</t>
        </is>
      </c>
      <c r="G800" t="inlineStr">
        <is>
          <t>OCKELBO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22843-2026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46160</v>
      </c>
      <c r="E801" s="1" t="n">
        <v>46257</v>
      </c>
      <c r="F801" t="inlineStr">
        <is>
          <t>GÄVLEBORGS LÄN</t>
        </is>
      </c>
      <c r="G801" t="inlineStr">
        <is>
          <t>OCKELBO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23780-2024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45455</v>
      </c>
      <c r="E802" s="1" t="n">
        <v>46257</v>
      </c>
      <c r="F802" t="inlineStr">
        <is>
          <t>GÄVLEBORGS LÄN</t>
        </is>
      </c>
      <c r="G802" t="inlineStr">
        <is>
          <t>OCKELBO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23149-2026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46161</v>
      </c>
      <c r="E803" s="1" t="n">
        <v>46257</v>
      </c>
      <c r="F803" t="inlineStr">
        <is>
          <t>GÄVLEBORGS LÄN</t>
        </is>
      </c>
      <c r="G803" t="inlineStr">
        <is>
          <t>OCKELBO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52273-2024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45608</v>
      </c>
      <c r="E804" s="1" t="n">
        <v>46257</v>
      </c>
      <c r="F804" t="inlineStr">
        <is>
          <t>GÄVLEBORGS LÄN</t>
        </is>
      </c>
      <c r="G804" t="inlineStr">
        <is>
          <t>OCKELBO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37848-2024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45544</v>
      </c>
      <c r="E805" s="1" t="n">
        <v>46257</v>
      </c>
      <c r="F805" t="inlineStr">
        <is>
          <t>GÄVLEBORGS LÄN</t>
        </is>
      </c>
      <c r="G805" t="inlineStr">
        <is>
          <t>OCKELBO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60253-2023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45258</v>
      </c>
      <c r="E806" s="1" t="n">
        <v>46257</v>
      </c>
      <c r="F806" t="inlineStr">
        <is>
          <t>GÄVLEBORGS LÄN</t>
        </is>
      </c>
      <c r="G806" t="inlineStr">
        <is>
          <t>OCKELBO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22385-2025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45786</v>
      </c>
      <c r="E807" s="1" t="n">
        <v>46257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22387-2025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46257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28584-2024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45478</v>
      </c>
      <c r="E809" s="1" t="n">
        <v>46257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54323-2024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45617</v>
      </c>
      <c r="E810" s="1" t="n">
        <v>46257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28181-2022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44746</v>
      </c>
      <c r="E811" s="1" t="n">
        <v>46257</v>
      </c>
      <c r="F811" t="inlineStr">
        <is>
          <t>GÄVLEBORGS LÄN</t>
        </is>
      </c>
      <c r="G811" t="inlineStr">
        <is>
          <t>OCKELBO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23513-2026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46163</v>
      </c>
      <c r="E812" s="1" t="n">
        <v>46257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20689-2025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45776</v>
      </c>
      <c r="E813" s="1" t="n">
        <v>46257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9859-2025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45716</v>
      </c>
      <c r="E814" s="1" t="n">
        <v>46257</v>
      </c>
      <c r="F814" t="inlineStr">
        <is>
          <t>GÄVLEBORGS LÄN</t>
        </is>
      </c>
      <c r="G814" t="inlineStr">
        <is>
          <t>OCKELBO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23004-2025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45790</v>
      </c>
      <c r="E815" s="1" t="n">
        <v>46257</v>
      </c>
      <c r="F815" t="inlineStr">
        <is>
          <t>GÄVLEBORGS LÄN</t>
        </is>
      </c>
      <c r="G815" t="inlineStr">
        <is>
          <t>OCKELBO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55011-2024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45621</v>
      </c>
      <c r="E816" s="1" t="n">
        <v>46257</v>
      </c>
      <c r="F816" t="inlineStr">
        <is>
          <t>GÄVLEBORGS LÄN</t>
        </is>
      </c>
      <c r="G816" t="inlineStr">
        <is>
          <t>OCKELBO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26085-2024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45468</v>
      </c>
      <c r="E817" s="1" t="n">
        <v>46257</v>
      </c>
      <c r="F817" t="inlineStr">
        <is>
          <t>GÄVLEBORGS LÄN</t>
        </is>
      </c>
      <c r="G817" t="inlineStr">
        <is>
          <t>OCKELBO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48803-2024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45593</v>
      </c>
      <c r="E818" s="1" t="n">
        <v>46257</v>
      </c>
      <c r="F818" t="inlineStr">
        <is>
          <t>GÄVLEBORGS LÄN</t>
        </is>
      </c>
      <c r="G818" t="inlineStr">
        <is>
          <t>OCKELBO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16752-2025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45754</v>
      </c>
      <c r="E819" s="1" t="n">
        <v>46257</v>
      </c>
      <c r="F819" t="inlineStr">
        <is>
          <t>GÄVLEBORGS LÄN</t>
        </is>
      </c>
      <c r="G819" t="inlineStr">
        <is>
          <t>OCKELBO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15403-2022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44659</v>
      </c>
      <c r="E820" s="1" t="n">
        <v>46257</v>
      </c>
      <c r="F820" t="inlineStr">
        <is>
          <t>GÄVLEBORGS LÄN</t>
        </is>
      </c>
      <c r="G820" t="inlineStr">
        <is>
          <t>OCKELBO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64924-2023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45282</v>
      </c>
      <c r="E821" s="1" t="n">
        <v>46257</v>
      </c>
      <c r="F821" t="inlineStr">
        <is>
          <t>GÄVLEBORGS LÄN</t>
        </is>
      </c>
      <c r="G821" t="inlineStr">
        <is>
          <t>OCKELBO</t>
        </is>
      </c>
      <c r="I821" t="n">
        <v>6.8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20207-2024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45434</v>
      </c>
      <c r="E822" s="1" t="n">
        <v>46257</v>
      </c>
      <c r="F822" t="inlineStr">
        <is>
          <t>GÄVLEBORGS LÄN</t>
        </is>
      </c>
      <c r="G822" t="inlineStr">
        <is>
          <t>OCKELBO</t>
        </is>
      </c>
      <c r="I822" t="n">
        <v>7.6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46257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46257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46257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46257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46257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46257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46257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46048</v>
      </c>
      <c r="E830" s="1" t="n">
        <v>46257</v>
      </c>
      <c r="F830" t="inlineStr">
        <is>
          <t>GÄVLEBORGS LÄN</t>
        </is>
      </c>
      <c r="G830" t="inlineStr">
        <is>
          <t>OCKELBO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46257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46257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2026-08-23T01:49:04Z</dcterms:created>
  <dcterms:modified xmlns:dcterms="http://purl.org/dc/terms/" xmlns:xsi="http://www.w3.org/2001/XMLSchema-instance" xsi:type="dcterms:W3CDTF">2026-08-23T01:49:05Z</dcterms:modified>
</cp:coreProperties>
</file>