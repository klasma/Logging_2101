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46260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46260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46260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46260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46260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46260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46260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46260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46260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46260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46260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46260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46260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46260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46260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46260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46260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46260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46260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46260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46260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46260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46260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46260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46260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46260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46260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2923-2026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46038</v>
      </c>
      <c r="E39" s="1" t="n">
        <v>46260</v>
      </c>
      <c r="F39" t="inlineStr">
        <is>
          <t>GÄVLEBORGS LÄN</t>
        </is>
      </c>
      <c r="G39" t="inlineStr">
        <is>
          <t>OCKELBO</t>
        </is>
      </c>
      <c r="I39" t="n">
        <v>2.8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HYPERLINK("https://klasma.github.io/Logging_2101/artfynd/A 2923-2026 artfynd.xlsx", "A 2923-2026")</f>
        <v/>
      </c>
      <c r="X39">
        <f>HYPERLINK("https://klasma.github.io/Logging_2101/kartor/A 2923-2026 karta.png", "A 2923-2026")</f>
        <v/>
      </c>
      <c r="Y39">
        <f>HYPERLINK("https://klasma.github.io/Logging_2101/kartor_geotiff/A 2923-2026 georefererad karta.tif", "A 2923-2026")</f>
        <v/>
      </c>
      <c r="Z39">
        <f>HYPERLINK("https://klasma.github.io/Logging_2101/knärot/A 2923-2026 karta knärot.png", "A 2923-2026")</f>
        <v/>
      </c>
      <c r="AA39">
        <f>HYPERLINK("https://klasma.github.io/Logging_2101/klagomål/A 2923-2026 FSC-klagomål.docx", "A 2923-2026")</f>
        <v/>
      </c>
      <c r="AB39">
        <f>HYPERLINK("https://klasma.github.io/Logging_2101/klagomålsmail/A 2923-2026 FSC-klagomål mail.docx", "A 2923-2026")</f>
        <v/>
      </c>
      <c r="AC39">
        <f>HYPERLINK("https://klasma.github.io/Logging_2101/tillsyn/A 2923-2026 tillsynsbegäran.docx", "A 2923-2026")</f>
        <v/>
      </c>
      <c r="AD39">
        <f>HYPERLINK("https://klasma.github.io/Logging_2101/tillsynsmail/A 2923-2026 tillsynsbegäran mail.docx", "A 2923-2026")</f>
        <v/>
      </c>
    </row>
    <row r="40" ht="15" customHeight="1">
      <c r="A40" t="inlineStr">
        <is>
          <t>A 6121-2026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46053</v>
      </c>
      <c r="E40" s="1" t="n">
        <v>46260</v>
      </c>
      <c r="F40" t="inlineStr">
        <is>
          <t>GÄVLEBORGS LÄN</t>
        </is>
      </c>
      <c r="G40" t="inlineStr">
        <is>
          <t>OCKELBO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HYPERLINK("https://klasma.github.io/Logging_2101/artfynd/A 6121-2026 artfynd.xlsx", "A 6121-2026")</f>
        <v/>
      </c>
      <c r="X40">
        <f>HYPERLINK("https://klasma.github.io/Logging_2101/kartor/A 6121-2026 karta.png", "A 6121-2026")</f>
        <v/>
      </c>
      <c r="Y40">
        <f>HYPERLINK("https://klasma.github.io/Logging_2101/kartor_geotiff/A 6121-2026 georefererad karta.tif", "A 6121-2026")</f>
        <v/>
      </c>
      <c r="AA40">
        <f>HYPERLINK("https://klasma.github.io/Logging_2101/klagomål/A 6121-2026 FSC-klagomål.docx", "A 6121-2026")</f>
        <v/>
      </c>
      <c r="AB40">
        <f>HYPERLINK("https://klasma.github.io/Logging_2101/klagomålsmail/A 6121-2026 FSC-klagomål mail.docx", "A 6121-2026")</f>
        <v/>
      </c>
      <c r="AC40">
        <f>HYPERLINK("https://klasma.github.io/Logging_2101/tillsyn/A 6121-2026 tillsynsbegäran.docx", "A 6121-2026")</f>
        <v/>
      </c>
      <c r="AD40">
        <f>HYPERLINK("https://klasma.github.io/Logging_2101/tillsynsmail/A 6121-2026 tillsynsbegäran mail.docx", "A 6121-2026")</f>
        <v/>
      </c>
      <c r="AE40">
        <f>HYPERLINK("https://klasma.github.io/Logging_2101/fåglar/A 6121-2026 prioriterade fågelarter.docx", "A 6121-2026")</f>
        <v/>
      </c>
    </row>
    <row r="41" ht="15" customHeight="1">
      <c r="A41" t="inlineStr">
        <is>
          <t>A 6586-2026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46260</v>
      </c>
      <c r="F41" t="inlineStr">
        <is>
          <t>GÄVLEBORGS LÄN</t>
        </is>
      </c>
      <c r="G41" t="inlineStr">
        <is>
          <t>OCKELBO</t>
        </is>
      </c>
      <c r="I41" t="n">
        <v>1.6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HYPERLINK("https://klasma.github.io/Logging_2101/artfynd/A 6586-2026 artfynd.xlsx", "A 6586-2026")</f>
        <v/>
      </c>
      <c r="X41">
        <f>HYPERLINK("https://klasma.github.io/Logging_2101/kartor/A 6586-2026 karta.png", "A 6586-2026")</f>
        <v/>
      </c>
      <c r="Y41">
        <f>HYPERLINK("https://klasma.github.io/Logging_2101/kartor_geotiff/A 6586-2026 georefererad karta.tif", "A 6586-2026")</f>
        <v/>
      </c>
      <c r="AA41">
        <f>HYPERLINK("https://klasma.github.io/Logging_2101/klagomål/A 6586-2026 FSC-klagomål.docx", "A 6586-2026")</f>
        <v/>
      </c>
      <c r="AB41">
        <f>HYPERLINK("https://klasma.github.io/Logging_2101/klagomålsmail/A 6586-2026 FSC-klagomål mail.docx", "A 6586-2026")</f>
        <v/>
      </c>
      <c r="AC41">
        <f>HYPERLINK("https://klasma.github.io/Logging_2101/tillsyn/A 6586-2026 tillsynsbegäran.docx", "A 6586-2026")</f>
        <v/>
      </c>
      <c r="AD41">
        <f>HYPERLINK("https://klasma.github.io/Logging_2101/tillsynsmail/A 6586-2026 tillsynsbegäran mail.docx", "A 6586-2026")</f>
        <v/>
      </c>
    </row>
    <row r="42" ht="15" customHeight="1">
      <c r="A42" t="inlineStr">
        <is>
          <t>A 10484-2026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46077</v>
      </c>
      <c r="E42" s="1" t="n">
        <v>46260</v>
      </c>
      <c r="F42" t="inlineStr">
        <is>
          <t>GÄVLEBORGS LÄN</t>
        </is>
      </c>
      <c r="G42" t="inlineStr">
        <is>
          <t>OCKELBO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Ullticka</t>
        </is>
      </c>
      <c r="W42">
        <f>HYPERLINK("https://klasma.github.io/Logging_2101/artfynd/A 10484-2026 artfynd.xlsx", "A 10484-2026")</f>
        <v/>
      </c>
      <c r="X42">
        <f>HYPERLINK("https://klasma.github.io/Logging_2101/kartor/A 10484-2026 karta.png", "A 10484-2026")</f>
        <v/>
      </c>
      <c r="Y42">
        <f>HYPERLINK("https://klasma.github.io/Logging_2101/kartor_geotiff/A 10484-2026 georefererad karta.tif", "A 10484-2026")</f>
        <v/>
      </c>
      <c r="AA42">
        <f>HYPERLINK("https://klasma.github.io/Logging_2101/klagomål/A 10484-2026 FSC-klagomål.docx", "A 10484-2026")</f>
        <v/>
      </c>
      <c r="AB42">
        <f>HYPERLINK("https://klasma.github.io/Logging_2101/klagomålsmail/A 10484-2026 FSC-klagomål mail.docx", "A 10484-2026")</f>
        <v/>
      </c>
      <c r="AC42">
        <f>HYPERLINK("https://klasma.github.io/Logging_2101/tillsyn/A 10484-2026 tillsynsbegäran.docx", "A 10484-2026")</f>
        <v/>
      </c>
      <c r="AD42">
        <f>HYPERLINK("https://klasma.github.io/Logging_2101/tillsynsmail/A 10484-2026 tillsynsbegäran mail.docx", "A 10484-2026")</f>
        <v/>
      </c>
    </row>
    <row r="43" ht="15" customHeight="1">
      <c r="A43" t="inlineStr">
        <is>
          <t>A 60615-2021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46260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HYPERLINK("https://klasma.github.io/Logging_2101/artfynd/A 60615-2021 artfynd.xlsx", "A 60615-2021")</f>
        <v/>
      </c>
      <c r="X43">
        <f>HYPERLINK("https://klasma.github.io/Logging_2101/kartor/A 60615-2021 karta.png", "A 60615-2021")</f>
        <v/>
      </c>
      <c r="Y43">
        <f>HYPERLINK("https://klasma.github.io/Logging_2101/kartor_geotiff/A 60615-2021 georefererad karta.tif", "A 60615-2021")</f>
        <v/>
      </c>
      <c r="AA43">
        <f>HYPERLINK("https://klasma.github.io/Logging_2101/klagomål/A 60615-2021 FSC-klagomål.docx", "A 60615-2021")</f>
        <v/>
      </c>
      <c r="AB43">
        <f>HYPERLINK("https://klasma.github.io/Logging_2101/klagomålsmail/A 60615-2021 FSC-klagomål mail.docx", "A 60615-2021")</f>
        <v/>
      </c>
      <c r="AC43">
        <f>HYPERLINK("https://klasma.github.io/Logging_2101/tillsyn/A 60615-2021 tillsynsbegäran.docx", "A 60615-2021")</f>
        <v/>
      </c>
      <c r="AD43">
        <f>HYPERLINK("https://klasma.github.io/Logging_2101/tillsynsmail/A 60615-2021 tillsynsbegäran mail.docx", "A 60615-2021")</f>
        <v/>
      </c>
    </row>
    <row r="44" ht="15" customHeight="1">
      <c r="A44" t="inlineStr">
        <is>
          <t>A 57946-2023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46260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HYPERLINK("https://klasma.github.io/Logging_2101/artfynd/A 57946-2023 artfynd.xlsx", "A 57946-2023")</f>
        <v/>
      </c>
      <c r="X44">
        <f>HYPERLINK("https://klasma.github.io/Logging_2101/kartor/A 57946-2023 karta.png", "A 57946-2023")</f>
        <v/>
      </c>
      <c r="Y44">
        <f>HYPERLINK("https://klasma.github.io/Logging_2101/kartor_geotiff/A 57946-2023 georefererad karta.tif", "A 57946-2023")</f>
        <v/>
      </c>
      <c r="AA44">
        <f>HYPERLINK("https://klasma.github.io/Logging_2101/klagomål/A 57946-2023 FSC-klagomål.docx", "A 57946-2023")</f>
        <v/>
      </c>
      <c r="AB44">
        <f>HYPERLINK("https://klasma.github.io/Logging_2101/klagomålsmail/A 57946-2023 FSC-klagomål mail.docx", "A 57946-2023")</f>
        <v/>
      </c>
      <c r="AC44">
        <f>HYPERLINK("https://klasma.github.io/Logging_2101/tillsyn/A 57946-2023 tillsynsbegäran.docx", "A 57946-2023")</f>
        <v/>
      </c>
      <c r="AD44">
        <f>HYPERLINK("https://klasma.github.io/Logging_2101/tillsynsmail/A 57946-2023 tillsynsbegäran mail.docx", "A 57946-2023")</f>
        <v/>
      </c>
    </row>
    <row r="45" ht="15" customHeight="1">
      <c r="A45" t="inlineStr">
        <is>
          <t>A 46481-2024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46260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HYPERLINK("https://klasma.github.io/Logging_2101/artfynd/A 46481-2024 artfynd.xlsx", "A 46481-2024")</f>
        <v/>
      </c>
      <c r="X45">
        <f>HYPERLINK("https://klasma.github.io/Logging_2101/kartor/A 46481-2024 karta.png", "A 46481-2024")</f>
        <v/>
      </c>
      <c r="Y45">
        <f>HYPERLINK("https://klasma.github.io/Logging_2101/kartor_geotiff/A 46481-2024 georefererad karta.tif", "A 46481-2024")</f>
        <v/>
      </c>
      <c r="AA45">
        <f>HYPERLINK("https://klasma.github.io/Logging_2101/klagomål/A 46481-2024 FSC-klagomål.docx", "A 46481-2024")</f>
        <v/>
      </c>
      <c r="AB45">
        <f>HYPERLINK("https://klasma.github.io/Logging_2101/klagomålsmail/A 46481-2024 FSC-klagomål mail.docx", "A 46481-2024")</f>
        <v/>
      </c>
      <c r="AC45">
        <f>HYPERLINK("https://klasma.github.io/Logging_2101/tillsyn/A 46481-2024 tillsynsbegäran.docx", "A 46481-2024")</f>
        <v/>
      </c>
      <c r="AD45">
        <f>HYPERLINK("https://klasma.github.io/Logging_2101/tillsynsmail/A 46481-2024 tillsynsbegäran mail.docx", "A 46481-2024")</f>
        <v/>
      </c>
    </row>
    <row r="46" ht="15" customHeight="1">
      <c r="A46" t="inlineStr">
        <is>
          <t>A 13640-2026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46260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HYPERLINK("https://klasma.github.io/Logging_2101/artfynd/A 13640-2026 artfynd.xlsx", "A 13640-2026")</f>
        <v/>
      </c>
      <c r="X46">
        <f>HYPERLINK("https://klasma.github.io/Logging_2101/kartor/A 13640-2026 karta.png", "A 13640-2026")</f>
        <v/>
      </c>
      <c r="Y46">
        <f>HYPERLINK("https://klasma.github.io/Logging_2101/kartor_geotiff/A 13640-2026 georefererad karta.tif", "A 13640-2026")</f>
        <v/>
      </c>
      <c r="AA46">
        <f>HYPERLINK("https://klasma.github.io/Logging_2101/klagomål/A 13640-2026 FSC-klagomål.docx", "A 13640-2026")</f>
        <v/>
      </c>
      <c r="AB46">
        <f>HYPERLINK("https://klasma.github.io/Logging_2101/klagomålsmail/A 13640-2026 FSC-klagomål mail.docx", "A 13640-2026")</f>
        <v/>
      </c>
      <c r="AC46">
        <f>HYPERLINK("https://klasma.github.io/Logging_2101/tillsyn/A 13640-2026 tillsynsbegäran.docx", "A 13640-2026")</f>
        <v/>
      </c>
      <c r="AD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46260</v>
      </c>
      <c r="F47" t="inlineStr">
        <is>
          <t>GÄVLEBORGS LÄN</t>
        </is>
      </c>
      <c r="G47" t="inlineStr">
        <is>
          <t>OCKELBO</t>
        </is>
      </c>
      <c r="I47" t="n">
        <v>4.8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HYPERLINK("https://klasma.github.io/Logging_2101/artfynd/A 14479-2026 artfynd.xlsx", "A 14479-2026")</f>
        <v/>
      </c>
      <c r="X47">
        <f>HYPERLINK("https://klasma.github.io/Logging_2101/kartor/A 14479-2026 karta.png", "A 14479-2026")</f>
        <v/>
      </c>
      <c r="Y47">
        <f>HYPERLINK("https://klasma.github.io/Logging_2101/kartor_geotiff/A 14479-2026 georefererad karta.tif", "A 14479-2026")</f>
        <v/>
      </c>
      <c r="AA47">
        <f>HYPERLINK("https://klasma.github.io/Logging_2101/klagomål/A 14479-2026 FSC-klagomål.docx", "A 14479-2026")</f>
        <v/>
      </c>
      <c r="AB47">
        <f>HYPERLINK("https://klasma.github.io/Logging_2101/klagomålsmail/A 14479-2026 FSC-klagomål mail.docx", "A 14479-2026")</f>
        <v/>
      </c>
      <c r="AC47">
        <f>HYPERLINK("https://klasma.github.io/Logging_2101/tillsyn/A 14479-2026 tillsynsbegäran.docx", "A 14479-2026")</f>
        <v/>
      </c>
      <c r="AD47">
        <f>HYPERLINK("https://klasma.github.io/Logging_2101/tillsynsmail/A 14479-2026 tillsynsbegäran mail.docx", "A 14479-2026")</f>
        <v/>
      </c>
    </row>
    <row r="48" ht="15" customHeight="1">
      <c r="A48" t="inlineStr">
        <is>
          <t>A 14664-2026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46101</v>
      </c>
      <c r="E48" s="1" t="n">
        <v>46260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Tjäder</t>
        </is>
      </c>
      <c r="W48">
        <f>HYPERLINK("https://klasma.github.io/Logging_2101/artfynd/A 14664-2026 artfynd.xlsx", "A 14664-2026")</f>
        <v/>
      </c>
      <c r="X48">
        <f>HYPERLINK("https://klasma.github.io/Logging_2101/kartor/A 14664-2026 karta.png", "A 14664-2026")</f>
        <v/>
      </c>
      <c r="Y48">
        <f>HYPERLINK("https://klasma.github.io/Logging_2101/kartor_geotiff/A 14664-2026 georefererad karta.tif", "A 14664-2026")</f>
        <v/>
      </c>
      <c r="AA48">
        <f>HYPERLINK("https://klasma.github.io/Logging_2101/klagomål/A 14664-2026 FSC-klagomål.docx", "A 14664-2026")</f>
        <v/>
      </c>
      <c r="AB48">
        <f>HYPERLINK("https://klasma.github.io/Logging_2101/klagomålsmail/A 14664-2026 FSC-klagomål mail.docx", "A 14664-2026")</f>
        <v/>
      </c>
      <c r="AC48">
        <f>HYPERLINK("https://klasma.github.io/Logging_2101/tillsyn/A 14664-2026 tillsynsbegäran.docx", "A 14664-2026")</f>
        <v/>
      </c>
      <c r="AD48">
        <f>HYPERLINK("https://klasma.github.io/Logging_2101/tillsynsmail/A 14664-2026 tillsynsbegäran mail.docx", "A 14664-2026")</f>
        <v/>
      </c>
      <c r="AE48">
        <f>HYPERLINK("https://klasma.github.io/Logging_2101/fåglar/A 14664-2026 prioriterade fågelarter.docx", "A 14664-2026")</f>
        <v/>
      </c>
    </row>
    <row r="49" ht="15" customHeight="1">
      <c r="A49" t="inlineStr">
        <is>
          <t>A 18188-2026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46125</v>
      </c>
      <c r="E49" s="1" t="n">
        <v>46260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32.9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HYPERLINK("https://klasma.github.io/Logging_2101/artfynd/A 18188-2026 artfynd.xlsx", "A 18188-2026")</f>
        <v/>
      </c>
      <c r="X49">
        <f>HYPERLINK("https://klasma.github.io/Logging_2101/kartor/A 18188-2026 karta.png", "A 18188-2026")</f>
        <v/>
      </c>
      <c r="Y49">
        <f>HYPERLINK("https://klasma.github.io/Logging_2101/kartor_geotiff/A 18188-2026 georefererad karta.tif", "A 18188-2026")</f>
        <v/>
      </c>
      <c r="AA49">
        <f>HYPERLINK("https://klasma.github.io/Logging_2101/klagomål/A 18188-2026 FSC-klagomål.docx", "A 18188-2026")</f>
        <v/>
      </c>
      <c r="AB49">
        <f>HYPERLINK("https://klasma.github.io/Logging_2101/klagomålsmail/A 18188-2026 FSC-klagomål mail.docx", "A 18188-2026")</f>
        <v/>
      </c>
      <c r="AC49">
        <f>HYPERLINK("https://klasma.github.io/Logging_2101/tillsyn/A 18188-2026 tillsynsbegäran.docx", "A 18188-2026")</f>
        <v/>
      </c>
      <c r="AD49">
        <f>HYPERLINK("https://klasma.github.io/Logging_2101/tillsynsmail/A 18188-2026 tillsynsbegäran mail.docx", "A 18188-2026")</f>
        <v/>
      </c>
      <c r="AE49">
        <f>HYPERLINK("https://klasma.github.io/Logging_2101/fåglar/A 18188-2026 prioriterade fågelarter.docx", "A 18188-2026")</f>
        <v/>
      </c>
    </row>
    <row r="50" ht="15" customHeight="1">
      <c r="A50" t="inlineStr">
        <is>
          <t>A 12777-2026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46091</v>
      </c>
      <c r="E50" s="1" t="n">
        <v>46260</v>
      </c>
      <c r="F50" t="inlineStr">
        <is>
          <t>GÄVLEBORGS LÄN</t>
        </is>
      </c>
      <c r="G50" t="inlineStr">
        <is>
          <t>OCKELBO</t>
        </is>
      </c>
      <c r="I50" t="n">
        <v>4.2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HYPERLINK("https://klasma.github.io/Logging_2101/artfynd/A 12777-2026 artfynd.xlsx", "A 12777-2026")</f>
        <v/>
      </c>
      <c r="X50">
        <f>HYPERLINK("https://klasma.github.io/Logging_2101/kartor/A 12777-2026 karta.png", "A 12777-2026")</f>
        <v/>
      </c>
      <c r="Y50">
        <f>HYPERLINK("https://klasma.github.io/Logging_2101/kartor_geotiff/A 12777-2026 georefererad karta.tif", "A 12777-2026")</f>
        <v/>
      </c>
      <c r="AA50">
        <f>HYPERLINK("https://klasma.github.io/Logging_2101/klagomål/A 12777-2026 FSC-klagomål.docx", "A 12777-2026")</f>
        <v/>
      </c>
      <c r="AB50">
        <f>HYPERLINK("https://klasma.github.io/Logging_2101/klagomålsmail/A 12777-2026 FSC-klagomål mail.docx", "A 12777-2026")</f>
        <v/>
      </c>
      <c r="AC50">
        <f>HYPERLINK("https://klasma.github.io/Logging_2101/tillsyn/A 12777-2026 tillsynsbegäran.docx", "A 12777-2026")</f>
        <v/>
      </c>
      <c r="AD50">
        <f>HYPERLINK("https://klasma.github.io/Logging_2101/tillsynsmail/A 12777-2026 tillsynsbegäran mail.docx", "A 12777-2026")</f>
        <v/>
      </c>
      <c r="AE50">
        <f>HYPERLINK("https://klasma.github.io/Logging_2101/fåglar/A 12777-2026 prioriterade fågelarter.docx", "A 12777-2026")</f>
        <v/>
      </c>
    </row>
    <row r="51" ht="15" customHeight="1">
      <c r="A51" t="inlineStr">
        <is>
          <t>A 10145-2026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46076</v>
      </c>
      <c r="E51" s="1" t="n">
        <v>46260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öst AB</t>
        </is>
      </c>
      <c r="I51" t="n">
        <v>10.5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Fläcknycklar</t>
        </is>
      </c>
      <c r="W51">
        <f>HYPERLINK("https://klasma.github.io/Logging_2101/artfynd/A 10145-2026 artfynd.xlsx", "A 10145-2026")</f>
        <v/>
      </c>
      <c r="X51">
        <f>HYPERLINK("https://klasma.github.io/Logging_2101/kartor/A 10145-2026 karta.png", "A 10145-2026")</f>
        <v/>
      </c>
      <c r="Y51">
        <f>HYPERLINK("https://klasma.github.io/Logging_2101/kartor_geotiff/A 10145-2026 georefererad karta.tif", "A 10145-2026")</f>
        <v/>
      </c>
      <c r="Z51">
        <f>HYPERLINK("https://klasma.github.io/Logging_2101/knärot/A 10145-2026 karta knärot.png", "A 10145-2026")</f>
        <v/>
      </c>
      <c r="AA51">
        <f>HYPERLINK("https://klasma.github.io/Logging_2101/klagomål/A 10145-2026 FSC-klagomål.docx", "A 10145-2026")</f>
        <v/>
      </c>
      <c r="AB51">
        <f>HYPERLINK("https://klasma.github.io/Logging_2101/klagomålsmail/A 10145-2026 FSC-klagomål mail.docx", "A 10145-2026")</f>
        <v/>
      </c>
      <c r="AC51">
        <f>HYPERLINK("https://klasma.github.io/Logging_2101/tillsyn/A 10145-2026 tillsynsbegäran.docx", "A 10145-2026")</f>
        <v/>
      </c>
      <c r="AD51">
        <f>HYPERLINK("https://klasma.github.io/Logging_2101/tillsynsmail/A 10145-2026 tillsynsbegäran mail.docx", "A 10145-2026")</f>
        <v/>
      </c>
    </row>
    <row r="52" ht="15" customHeight="1">
      <c r="A52" t="inlineStr">
        <is>
          <t>A 55778-2025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46260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12.3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HYPERLINK("https://klasma.github.io/Logging_2101/artfynd/A 55778-2025 artfynd.xlsx", "A 55778-2025")</f>
        <v/>
      </c>
      <c r="X52">
        <f>HYPERLINK("https://klasma.github.io/Logging_2101/kartor/A 55778-2025 karta.png", "A 55778-2025")</f>
        <v/>
      </c>
      <c r="Y52">
        <f>HYPERLINK("https://klasma.github.io/Logging_2101/kartor_geotiff/A 55778-2025 georefererad karta.tif", "A 55778-2025")</f>
        <v/>
      </c>
      <c r="AA52">
        <f>HYPERLINK("https://klasma.github.io/Logging_2101/klagomål/A 55778-2025 FSC-klagomål.docx", "A 55778-2025")</f>
        <v/>
      </c>
      <c r="AB52">
        <f>HYPERLINK("https://klasma.github.io/Logging_2101/klagomålsmail/A 55778-2025 FSC-klagomål mail.docx", "A 55778-2025")</f>
        <v/>
      </c>
      <c r="AC52">
        <f>HYPERLINK("https://klasma.github.io/Logging_2101/tillsyn/A 55778-2025 tillsynsbegäran.docx", "A 55778-2025")</f>
        <v/>
      </c>
      <c r="AD52">
        <f>HYPERLINK("https://klasma.github.io/Logging_2101/tillsynsmail/A 55778-2025 tillsynsbegäran mail.docx", "A 55778-2025")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46260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9155-2026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46260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Kolflarnlav</t>
        </is>
      </c>
      <c r="W54">
        <f>HYPERLINK("https://klasma.github.io/Logging_2101/artfynd/A 9155-2026 artfynd.xlsx", "A 9155-2026")</f>
        <v/>
      </c>
      <c r="X54">
        <f>HYPERLINK("https://klasma.github.io/Logging_2101/kartor/A 9155-2026 karta.png", "A 9155-2026")</f>
        <v/>
      </c>
      <c r="Y54">
        <f>HYPERLINK("https://klasma.github.io/Logging_2101/kartor_geotiff/A 9155-2026 georefererad karta.tif", "A 9155-2026")</f>
        <v/>
      </c>
      <c r="AA54">
        <f>HYPERLINK("https://klasma.github.io/Logging_2101/klagomål/A 9155-2026 FSC-klagomål.docx", "A 9155-2026")</f>
        <v/>
      </c>
      <c r="AB54">
        <f>HYPERLINK("https://klasma.github.io/Logging_2101/klagomålsmail/A 9155-2026 FSC-klagomål mail.docx", "A 9155-2026")</f>
        <v/>
      </c>
      <c r="AC54">
        <f>HYPERLINK("https://klasma.github.io/Logging_2101/tillsyn/A 9155-2026 tillsynsbegäran.docx", "A 9155-2026")</f>
        <v/>
      </c>
      <c r="AD54">
        <f>HYPERLINK("https://klasma.github.io/Logging_2101/tillsynsmail/A 9155-2026 tillsynsbegäran mail.docx", "A 9155-2026")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46260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46260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Tibast</t>
        </is>
      </c>
      <c r="W56">
        <f>HYPERLINK("https://klasma.github.io/Logging_2101/artfynd/A 20233-2026 artfynd.xlsx", "A 20233-2026")</f>
        <v/>
      </c>
      <c r="X56">
        <f>HYPERLINK("https://klasma.github.io/Logging_2101/kartor/A 20233-2026 karta.png", "A 20233-2026")</f>
        <v/>
      </c>
      <c r="Y56">
        <f>HYPERLINK("https://klasma.github.io/Logging_2101/kartor_geotiff/A 20233-2026 georefererad karta.tif", "A 20233-2026")</f>
        <v/>
      </c>
      <c r="AA56">
        <f>HYPERLINK("https://klasma.github.io/Logging_2101/klagomål/A 20233-2026 FSC-klagomål.docx", "A 20233-2026")</f>
        <v/>
      </c>
      <c r="AB56">
        <f>HYPERLINK("https://klasma.github.io/Logging_2101/klagomålsmail/A 20233-2026 FSC-klagomål mail.docx", "A 20233-2026")</f>
        <v/>
      </c>
      <c r="AC56">
        <f>HYPERLINK("https://klasma.github.io/Logging_2101/tillsyn/A 20233-2026 tillsynsbegäran.docx", "A 20233-2026")</f>
        <v/>
      </c>
      <c r="AD56">
        <f>HYPERLINK("https://klasma.github.io/Logging_2101/tillsynsmail/A 20233-2026 tillsynsbegäran mail.docx", "A 20233-2026")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46260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46260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62989-2025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46009</v>
      </c>
      <c r="E59" s="1" t="n">
        <v>46260</v>
      </c>
      <c r="F59" t="inlineStr">
        <is>
          <t>GÄVLEBORGS LÄN</t>
        </is>
      </c>
      <c r="G59" t="inlineStr">
        <is>
          <t>OCKELBO</t>
        </is>
      </c>
      <c r="I59" t="n">
        <v>1.7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Kortskaftad ärgspik</t>
        </is>
      </c>
      <c r="W59">
        <f>HYPERLINK("https://klasma.github.io/Logging_2101/artfynd/A 62989-2025 artfynd.xlsx", "A 62989-2025")</f>
        <v/>
      </c>
      <c r="X59">
        <f>HYPERLINK("https://klasma.github.io/Logging_2101/kartor/A 62989-2025 karta.png", "A 62989-2025")</f>
        <v/>
      </c>
      <c r="Y59">
        <f>HYPERLINK("https://klasma.github.io/Logging_2101/kartor_geotiff/A 62989-2025 georefererad karta.tif", "A 62989-2025")</f>
        <v/>
      </c>
      <c r="AA59">
        <f>HYPERLINK("https://klasma.github.io/Logging_2101/klagomål/A 62989-2025 FSC-klagomål.docx", "A 62989-2025")</f>
        <v/>
      </c>
      <c r="AB59">
        <f>HYPERLINK("https://klasma.github.io/Logging_2101/klagomålsmail/A 62989-2025 FSC-klagomål mail.docx", "A 62989-2025")</f>
        <v/>
      </c>
      <c r="AC59">
        <f>HYPERLINK("https://klasma.github.io/Logging_2101/tillsyn/A 62989-2025 tillsynsbegäran.docx", "A 62989-2025")</f>
        <v/>
      </c>
      <c r="AD59">
        <f>HYPERLINK("https://klasma.github.io/Logging_2101/tillsynsmail/A 62989-2025 tillsynsbegäran mail.docx", "A 62989-2025")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46260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46260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46260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46260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46260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46260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46260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46260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46260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46260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46260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46260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46260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46260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46260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46260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46260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46260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46260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46260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46260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46260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46260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46260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46260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46260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46260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46260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46260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46260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46260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46260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46260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46260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46260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46260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46260</v>
      </c>
      <c r="F96" t="inlineStr">
        <is>
          <t>GÄVLEBORGS LÄN</t>
        </is>
      </c>
      <c r="G96" t="inlineStr">
        <is>
          <t>OCKELBO</t>
        </is>
      </c>
      <c r="H96" t="inlineStr">
        <is>
          <t>Kyrkan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45156</v>
      </c>
      <c r="E97" s="1" t="n">
        <v>46260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45611</v>
      </c>
      <c r="E98" s="1" t="n">
        <v>46260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46260</v>
      </c>
      <c r="F99" t="inlineStr">
        <is>
          <t>GÄVLEBORGS LÄN</t>
        </is>
      </c>
      <c r="G99" t="inlineStr">
        <is>
          <t>OCKELBO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46260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44804</v>
      </c>
      <c r="E101" s="1" t="n">
        <v>46260</v>
      </c>
      <c r="F101" t="inlineStr">
        <is>
          <t>GÄVLEBORGS LÄN</t>
        </is>
      </c>
      <c r="G101" t="inlineStr">
        <is>
          <t>OCKELBO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46260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46260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46260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46260</v>
      </c>
      <c r="F105" t="inlineStr">
        <is>
          <t>GÄVLEBORGS LÄN</t>
        </is>
      </c>
      <c r="G105" t="inlineStr">
        <is>
          <t>OCKELBO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46260</v>
      </c>
      <c r="F106" t="inlineStr">
        <is>
          <t>GÄVLEBORGS LÄN</t>
        </is>
      </c>
      <c r="G106" t="inlineStr">
        <is>
          <t>OCKELBO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46260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45341</v>
      </c>
      <c r="E108" s="1" t="n">
        <v>46260</v>
      </c>
      <c r="F108" t="inlineStr">
        <is>
          <t>GÄVLEBORGS LÄN</t>
        </is>
      </c>
      <c r="G108" t="inlineStr">
        <is>
          <t>OCKELBO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46260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46260</v>
      </c>
      <c r="F110" t="inlineStr">
        <is>
          <t>GÄVLEBORGS LÄN</t>
        </is>
      </c>
      <c r="G110" t="inlineStr">
        <is>
          <t>OCKELBO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46260</v>
      </c>
      <c r="F111" t="inlineStr">
        <is>
          <t>GÄVLEBORGS LÄN</t>
        </is>
      </c>
      <c r="G111" t="inlineStr">
        <is>
          <t>OCKELBO</t>
        </is>
      </c>
      <c r="I111" t="n">
        <v>14.8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46260</v>
      </c>
      <c r="F112" t="inlineStr">
        <is>
          <t>GÄVLEBORGS LÄN</t>
        </is>
      </c>
      <c r="G112" t="inlineStr">
        <is>
          <t>OCKELBO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46260</v>
      </c>
      <c r="F113" t="inlineStr">
        <is>
          <t>GÄVLEBORGS LÄN</t>
        </is>
      </c>
      <c r="G113" t="inlineStr">
        <is>
          <t>OCKELBO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20231-2024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45434</v>
      </c>
      <c r="E114" s="1" t="n">
        <v>46260</v>
      </c>
      <c r="F114" t="inlineStr">
        <is>
          <t>GÄVLEBORGS LÄN</t>
        </is>
      </c>
      <c r="G114" t="inlineStr">
        <is>
          <t>OCKELBO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46260</v>
      </c>
      <c r="F115" t="inlineStr">
        <is>
          <t>GÄVLEBORGS LÄN</t>
        </is>
      </c>
      <c r="G115" t="inlineStr">
        <is>
          <t>OCKELBO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45132</v>
      </c>
      <c r="E116" s="1" t="n">
        <v>46260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44986</v>
      </c>
      <c r="E117" s="1" t="n">
        <v>46260</v>
      </c>
      <c r="F117" t="inlineStr">
        <is>
          <t>GÄVLEBORGS LÄN</t>
        </is>
      </c>
      <c r="G117" t="inlineStr">
        <is>
          <t>OCKELBO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46260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46260</v>
      </c>
      <c r="F119" t="inlineStr">
        <is>
          <t>GÄVLEBORGS LÄN</t>
        </is>
      </c>
      <c r="G119" t="inlineStr">
        <is>
          <t>OCKELBO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46260</v>
      </c>
      <c r="F120" t="inlineStr">
        <is>
          <t>GÄVLEBORGS LÄN</t>
        </is>
      </c>
      <c r="G120" t="inlineStr">
        <is>
          <t>OCKELBO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46260</v>
      </c>
      <c r="F121" t="inlineStr">
        <is>
          <t>GÄVLEBORGS LÄN</t>
        </is>
      </c>
      <c r="G121" t="inlineStr">
        <is>
          <t>OCKELBO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46260</v>
      </c>
      <c r="F122" t="inlineStr">
        <is>
          <t>GÄVLEBORGS LÄN</t>
        </is>
      </c>
      <c r="G122" t="inlineStr">
        <is>
          <t>OCKELBO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46260</v>
      </c>
      <c r="F123" t="inlineStr">
        <is>
          <t>GÄVLEBORGS LÄN</t>
        </is>
      </c>
      <c r="G123" t="inlineStr">
        <is>
          <t>OCKELBO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46260</v>
      </c>
      <c r="F124" t="inlineStr">
        <is>
          <t>GÄVLEBORGS LÄN</t>
        </is>
      </c>
      <c r="G124" t="inlineStr">
        <is>
          <t>OCKELBO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46260</v>
      </c>
      <c r="F125" t="inlineStr">
        <is>
          <t>GÄVLEBORGS LÄN</t>
        </is>
      </c>
      <c r="G125" t="inlineStr">
        <is>
          <t>OCKELBO</t>
        </is>
      </c>
      <c r="I125" t="n">
        <v>16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46041</v>
      </c>
      <c r="E126" s="1" t="n">
        <v>46260</v>
      </c>
      <c r="F126" t="inlineStr">
        <is>
          <t>GÄVLEBORGS LÄN</t>
        </is>
      </c>
      <c r="G126" t="inlineStr">
        <is>
          <t>OCKELBO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46260</v>
      </c>
      <c r="F127" t="inlineStr">
        <is>
          <t>GÄVLEBORGS LÄN</t>
        </is>
      </c>
      <c r="G127" t="inlineStr">
        <is>
          <t>OCKELBO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46041</v>
      </c>
      <c r="E128" s="1" t="n">
        <v>46260</v>
      </c>
      <c r="F128" t="inlineStr">
        <is>
          <t>GÄVLEBORGS LÄN</t>
        </is>
      </c>
      <c r="G128" t="inlineStr">
        <is>
          <t>OCKELBO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46260</v>
      </c>
      <c r="F129" t="inlineStr">
        <is>
          <t>GÄVLEBORGS LÄN</t>
        </is>
      </c>
      <c r="G129" t="inlineStr">
        <is>
          <t>OCKELBO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46260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46260</v>
      </c>
      <c r="F131" t="inlineStr">
        <is>
          <t>GÄVLEBORGS LÄN</t>
        </is>
      </c>
      <c r="G131" t="inlineStr">
        <is>
          <t>OCKELBO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46043</v>
      </c>
      <c r="E132" s="1" t="n">
        <v>46260</v>
      </c>
      <c r="F132" t="inlineStr">
        <is>
          <t>GÄVLEBORGS LÄN</t>
        </is>
      </c>
      <c r="G132" t="inlineStr">
        <is>
          <t>OCKELBO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46043</v>
      </c>
      <c r="E133" s="1" t="n">
        <v>46260</v>
      </c>
      <c r="F133" t="inlineStr">
        <is>
          <t>GÄVLEBORGS LÄN</t>
        </is>
      </c>
      <c r="G133" t="inlineStr">
        <is>
          <t>OCKELBO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46260</v>
      </c>
      <c r="F134" t="inlineStr">
        <is>
          <t>GÄVLEBORGS LÄN</t>
        </is>
      </c>
      <c r="G134" t="inlineStr">
        <is>
          <t>OCKELBO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46260</v>
      </c>
      <c r="F135" t="inlineStr">
        <is>
          <t>GÄVLEBORGS LÄN</t>
        </is>
      </c>
      <c r="G135" t="inlineStr">
        <is>
          <t>OCKELBO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46260</v>
      </c>
      <c r="F136" t="inlineStr">
        <is>
          <t>GÄVLEBORGS LÄN</t>
        </is>
      </c>
      <c r="G136" t="inlineStr">
        <is>
          <t>OCKELBO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46045</v>
      </c>
      <c r="E137" s="1" t="n">
        <v>46260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46260</v>
      </c>
      <c r="F138" t="inlineStr">
        <is>
          <t>GÄVLEBORGS LÄN</t>
        </is>
      </c>
      <c r="G138" t="inlineStr">
        <is>
          <t>OCKELBO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46044</v>
      </c>
      <c r="E139" s="1" t="n">
        <v>46260</v>
      </c>
      <c r="F139" t="inlineStr">
        <is>
          <t>GÄVLEBORGS LÄN</t>
        </is>
      </c>
      <c r="G139" t="inlineStr">
        <is>
          <t>OCKELBO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46260</v>
      </c>
      <c r="F140" t="inlineStr">
        <is>
          <t>GÄVLEBORGS LÄN</t>
        </is>
      </c>
      <c r="G140" t="inlineStr">
        <is>
          <t>OCKELBO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46260</v>
      </c>
      <c r="F141" t="inlineStr">
        <is>
          <t>GÄVLEBORGS LÄN</t>
        </is>
      </c>
      <c r="G141" t="inlineStr">
        <is>
          <t>OCKELBO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46049</v>
      </c>
      <c r="E142" s="1" t="n">
        <v>46260</v>
      </c>
      <c r="F142" t="inlineStr">
        <is>
          <t>GÄVLEBORGS LÄN</t>
        </is>
      </c>
      <c r="G142" t="inlineStr">
        <is>
          <t>OCKELBO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46260</v>
      </c>
      <c r="F143" t="inlineStr">
        <is>
          <t>GÄVLEBORGS LÄN</t>
        </is>
      </c>
      <c r="G143" t="inlineStr">
        <is>
          <t>OCKELBO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46049</v>
      </c>
      <c r="E144" s="1" t="n">
        <v>46260</v>
      </c>
      <c r="F144" t="inlineStr">
        <is>
          <t>GÄVLEBORGS LÄN</t>
        </is>
      </c>
      <c r="G144" t="inlineStr">
        <is>
          <t>OCKELBO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46260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45817</v>
      </c>
      <c r="E146" s="1" t="n">
        <v>46260</v>
      </c>
      <c r="F146" t="inlineStr">
        <is>
          <t>GÄVLEBORGS LÄN</t>
        </is>
      </c>
      <c r="G146" t="inlineStr">
        <is>
          <t>OCKELBO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45817</v>
      </c>
      <c r="E147" s="1" t="n">
        <v>46260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46260</v>
      </c>
      <c r="F148" t="inlineStr">
        <is>
          <t>GÄVLEBORGS LÄN</t>
        </is>
      </c>
      <c r="G148" t="inlineStr">
        <is>
          <t>OCKELBO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46260</v>
      </c>
      <c r="F149" t="inlineStr">
        <is>
          <t>GÄVLEBORGS LÄN</t>
        </is>
      </c>
      <c r="G149" t="inlineStr">
        <is>
          <t>OCKELBO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46260</v>
      </c>
      <c r="F150" t="inlineStr">
        <is>
          <t>GÄVLEBORGS LÄN</t>
        </is>
      </c>
      <c r="G150" t="inlineStr">
        <is>
          <t>OCKELBO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46260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46260</v>
      </c>
      <c r="F152" t="inlineStr">
        <is>
          <t>GÄVLEBORGS LÄN</t>
        </is>
      </c>
      <c r="G152" t="inlineStr">
        <is>
          <t>OCKELBO</t>
        </is>
      </c>
      <c r="H152" t="inlineStr">
        <is>
          <t>Kyrkan</t>
        </is>
      </c>
      <c r="I152" t="n">
        <v>12.5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46260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46260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46260</v>
      </c>
      <c r="F155" t="inlineStr">
        <is>
          <t>GÄVLEBORGS LÄN</t>
        </is>
      </c>
      <c r="G155" t="inlineStr">
        <is>
          <t>OCKELBO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46260</v>
      </c>
      <c r="F156" t="inlineStr">
        <is>
          <t>GÄVLEBORGS LÄN</t>
        </is>
      </c>
      <c r="G156" t="inlineStr">
        <is>
          <t>OCKELBO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46260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45744</v>
      </c>
      <c r="E158" s="1" t="n">
        <v>46260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46260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46260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46051</v>
      </c>
      <c r="E161" s="1" t="n">
        <v>46260</v>
      </c>
      <c r="F161" t="inlineStr">
        <is>
          <t>GÄVLEBORGS LÄN</t>
        </is>
      </c>
      <c r="G161" t="inlineStr">
        <is>
          <t>OCKELBO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46052</v>
      </c>
      <c r="E162" s="1" t="n">
        <v>46260</v>
      </c>
      <c r="F162" t="inlineStr">
        <is>
          <t>GÄVLEBORGS LÄN</t>
        </is>
      </c>
      <c r="G162" t="inlineStr">
        <is>
          <t>OCKELBO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46260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45432</v>
      </c>
      <c r="E164" s="1" t="n">
        <v>46260</v>
      </c>
      <c r="F164" t="inlineStr">
        <is>
          <t>GÄVLEBORGS LÄN</t>
        </is>
      </c>
      <c r="G164" t="inlineStr">
        <is>
          <t>OCKELBO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46053</v>
      </c>
      <c r="E165" s="1" t="n">
        <v>46260</v>
      </c>
      <c r="F165" t="inlineStr">
        <is>
          <t>GÄVLEBORGS LÄN</t>
        </is>
      </c>
      <c r="G165" t="inlineStr">
        <is>
          <t>OCKELBO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46260</v>
      </c>
      <c r="F166" t="inlineStr">
        <is>
          <t>GÄVLEBORGS LÄN</t>
        </is>
      </c>
      <c r="G166" t="inlineStr">
        <is>
          <t>OCKELBO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46260</v>
      </c>
      <c r="F167" t="inlineStr">
        <is>
          <t>GÄVLEBORGS LÄN</t>
        </is>
      </c>
      <c r="G167" t="inlineStr">
        <is>
          <t>OCKELBO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46260</v>
      </c>
      <c r="F168" t="inlineStr">
        <is>
          <t>GÄVLEBORGS LÄN</t>
        </is>
      </c>
      <c r="G168" t="inlineStr">
        <is>
          <t>OCKELBO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46260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46260</v>
      </c>
      <c r="F170" t="inlineStr">
        <is>
          <t>GÄVLEBORGS LÄN</t>
        </is>
      </c>
      <c r="G170" t="inlineStr">
        <is>
          <t>OCKELBO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46056</v>
      </c>
      <c r="E171" s="1" t="n">
        <v>46260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46056</v>
      </c>
      <c r="E172" s="1" t="n">
        <v>46260</v>
      </c>
      <c r="F172" t="inlineStr">
        <is>
          <t>GÄVLEBORGS LÄN</t>
        </is>
      </c>
      <c r="G172" t="inlineStr">
        <is>
          <t>OCKELBO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46260</v>
      </c>
      <c r="F173" t="inlineStr">
        <is>
          <t>GÄVLEBORGS LÄN</t>
        </is>
      </c>
      <c r="G173" t="inlineStr">
        <is>
          <t>OCKELBO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46057</v>
      </c>
      <c r="E174" s="1" t="n">
        <v>46260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46056</v>
      </c>
      <c r="E175" s="1" t="n">
        <v>46260</v>
      </c>
      <c r="F175" t="inlineStr">
        <is>
          <t>GÄVLEBORGS LÄN</t>
        </is>
      </c>
      <c r="G175" t="inlineStr">
        <is>
          <t>OCKELBO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46056</v>
      </c>
      <c r="E176" s="1" t="n">
        <v>46260</v>
      </c>
      <c r="F176" t="inlineStr">
        <is>
          <t>GÄVLEBORGS LÄN</t>
        </is>
      </c>
      <c r="G176" t="inlineStr">
        <is>
          <t>OCKELBO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46260</v>
      </c>
      <c r="F177" t="inlineStr">
        <is>
          <t>GÄVLEBORGS LÄN</t>
        </is>
      </c>
      <c r="G177" t="inlineStr">
        <is>
          <t>OCKELBO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46056</v>
      </c>
      <c r="E178" s="1" t="n">
        <v>46260</v>
      </c>
      <c r="F178" t="inlineStr">
        <is>
          <t>GÄVLEBORGS LÄN</t>
        </is>
      </c>
      <c r="G178" t="inlineStr">
        <is>
          <t>OCKELBO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46056</v>
      </c>
      <c r="E179" s="1" t="n">
        <v>46260</v>
      </c>
      <c r="F179" t="inlineStr">
        <is>
          <t>GÄVLEBORGS LÄN</t>
        </is>
      </c>
      <c r="G179" t="inlineStr">
        <is>
          <t>OCKELBO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46056</v>
      </c>
      <c r="E180" s="1" t="n">
        <v>46260</v>
      </c>
      <c r="F180" t="inlineStr">
        <is>
          <t>GÄVLEBORGS LÄN</t>
        </is>
      </c>
      <c r="G180" t="inlineStr">
        <is>
          <t>OCKELBO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45443</v>
      </c>
      <c r="E181" s="1" t="n">
        <v>46260</v>
      </c>
      <c r="F181" t="inlineStr">
        <is>
          <t>GÄVLEBORGS LÄN</t>
        </is>
      </c>
      <c r="G181" t="inlineStr">
        <is>
          <t>OCKELBO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46260</v>
      </c>
      <c r="F182" t="inlineStr">
        <is>
          <t>GÄVLEBORGS LÄN</t>
        </is>
      </c>
      <c r="G182" t="inlineStr">
        <is>
          <t>OCKELBO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46260</v>
      </c>
      <c r="F183" t="inlineStr">
        <is>
          <t>GÄVLEBORGS LÄN</t>
        </is>
      </c>
      <c r="G183" t="inlineStr">
        <is>
          <t>OCKELBO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46260</v>
      </c>
      <c r="F184" t="inlineStr">
        <is>
          <t>GÄVLEBORGS LÄN</t>
        </is>
      </c>
      <c r="G184" t="inlineStr">
        <is>
          <t>OCKELBO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46260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46260</v>
      </c>
      <c r="F186" t="inlineStr">
        <is>
          <t>GÄVLEBORGS LÄN</t>
        </is>
      </c>
      <c r="G186" t="inlineStr">
        <is>
          <t>OCKELBO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46260</v>
      </c>
      <c r="F187" t="inlineStr">
        <is>
          <t>GÄVLEBORGS LÄN</t>
        </is>
      </c>
      <c r="G187" t="inlineStr">
        <is>
          <t>OCKELBO</t>
        </is>
      </c>
      <c r="I187" t="n">
        <v>13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46260</v>
      </c>
      <c r="F188" t="inlineStr">
        <is>
          <t>GÄVLEBORGS LÄN</t>
        </is>
      </c>
      <c r="G188" t="inlineStr">
        <is>
          <t>OCKELBO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46062</v>
      </c>
      <c r="E189" s="1" t="n">
        <v>46260</v>
      </c>
      <c r="F189" t="inlineStr">
        <is>
          <t>GÄVLEBORGS LÄN</t>
        </is>
      </c>
      <c r="G189" t="inlineStr">
        <is>
          <t>OCKELBO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7681-2026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46260</v>
      </c>
      <c r="F190" t="inlineStr">
        <is>
          <t>GÄVLEBORGS LÄN</t>
        </is>
      </c>
      <c r="G190" t="inlineStr">
        <is>
          <t>OCKELBO</t>
        </is>
      </c>
      <c r="H190" t="inlineStr">
        <is>
          <t>Kyrkan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46260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46260</v>
      </c>
      <c r="F192" t="inlineStr">
        <is>
          <t>GÄVLEBORGS LÄN</t>
        </is>
      </c>
      <c r="G192" t="inlineStr">
        <is>
          <t>OCKELBO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46260</v>
      </c>
      <c r="F193" t="inlineStr">
        <is>
          <t>GÄVLEBORGS LÄN</t>
        </is>
      </c>
      <c r="G193" t="inlineStr">
        <is>
          <t>OCKELBO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46064</v>
      </c>
      <c r="E194" s="1" t="n">
        <v>46260</v>
      </c>
      <c r="F194" t="inlineStr">
        <is>
          <t>GÄVLEBORGS LÄN</t>
        </is>
      </c>
      <c r="G194" t="inlineStr">
        <is>
          <t>OCKELBO</t>
        </is>
      </c>
      <c r="I194" t="n">
        <v>17.4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46065</v>
      </c>
      <c r="E195" s="1" t="n">
        <v>46260</v>
      </c>
      <c r="F195" t="inlineStr">
        <is>
          <t>GÄVLEBORGS LÄN</t>
        </is>
      </c>
      <c r="G195" t="inlineStr">
        <is>
          <t>OCKELBO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8354-2026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46064</v>
      </c>
      <c r="E196" s="1" t="n">
        <v>46260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46260</v>
      </c>
      <c r="F197" t="inlineStr">
        <is>
          <t>GÄVLEBORGS LÄN</t>
        </is>
      </c>
      <c r="G197" t="inlineStr">
        <is>
          <t>OCKELBO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46260</v>
      </c>
      <c r="F198" t="inlineStr">
        <is>
          <t>GÄVLEBORGS LÄN</t>
        </is>
      </c>
      <c r="G198" t="inlineStr">
        <is>
          <t>OCKELBO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46260</v>
      </c>
      <c r="F199" t="inlineStr">
        <is>
          <t>GÄVLEBORGS LÄN</t>
        </is>
      </c>
      <c r="G199" t="inlineStr">
        <is>
          <t>OCKELBO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45777</v>
      </c>
      <c r="E200" s="1" t="n">
        <v>46260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46071</v>
      </c>
      <c r="E201" s="1" t="n">
        <v>46260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55422-2022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44887</v>
      </c>
      <c r="E202" s="1" t="n">
        <v>46260</v>
      </c>
      <c r="F202" t="inlineStr">
        <is>
          <t>GÄVLEBORGS LÄN</t>
        </is>
      </c>
      <c r="G202" t="inlineStr">
        <is>
          <t>OCKELBO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46260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46260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46071</v>
      </c>
      <c r="E205" s="1" t="n">
        <v>46260</v>
      </c>
      <c r="F205" t="inlineStr">
        <is>
          <t>GÄVLEBORGS LÄN</t>
        </is>
      </c>
      <c r="G205" t="inlineStr">
        <is>
          <t>OCKELBO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46260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46260</v>
      </c>
      <c r="F207" t="inlineStr">
        <is>
          <t>GÄVLEBORGS LÄN</t>
        </is>
      </c>
      <c r="G207" t="inlineStr">
        <is>
          <t>OCKELBO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46260</v>
      </c>
      <c r="F208" t="inlineStr">
        <is>
          <t>GÄVLEBORGS LÄN</t>
        </is>
      </c>
      <c r="G208" t="inlineStr">
        <is>
          <t>OCKELBO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46260</v>
      </c>
      <c r="F209" t="inlineStr">
        <is>
          <t>GÄVLEBORGS LÄN</t>
        </is>
      </c>
      <c r="G209" t="inlineStr">
        <is>
          <t>OCKELBO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46260</v>
      </c>
      <c r="F210" t="inlineStr">
        <is>
          <t>GÄVLEBORGS LÄN</t>
        </is>
      </c>
      <c r="G210" t="inlineStr">
        <is>
          <t>OCKELBO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46071</v>
      </c>
      <c r="E211" s="1" t="n">
        <v>46260</v>
      </c>
      <c r="F211" t="inlineStr">
        <is>
          <t>GÄVLEBORGS LÄN</t>
        </is>
      </c>
      <c r="G211" t="inlineStr">
        <is>
          <t>OCKELBO</t>
        </is>
      </c>
      <c r="I211" t="n">
        <v>8.1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46260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46260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24.8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46260</v>
      </c>
      <c r="F214" t="inlineStr">
        <is>
          <t>GÄVLEBORGS LÄN</t>
        </is>
      </c>
      <c r="G214" t="inlineStr">
        <is>
          <t>OCKELBO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46260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46072</v>
      </c>
      <c r="E216" s="1" t="n">
        <v>46260</v>
      </c>
      <c r="F216" t="inlineStr">
        <is>
          <t>GÄVLEBORGS LÄN</t>
        </is>
      </c>
      <c r="G216" t="inlineStr">
        <is>
          <t>OCKELBO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9681-2026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46260</v>
      </c>
      <c r="F217" t="inlineStr">
        <is>
          <t>GÄVLEBORGS LÄN</t>
        </is>
      </c>
      <c r="G217" t="inlineStr">
        <is>
          <t>OCKELBO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46260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46260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46073</v>
      </c>
      <c r="E220" s="1" t="n">
        <v>46260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46260</v>
      </c>
      <c r="F221" t="inlineStr">
        <is>
          <t>GÄVLEBORGS LÄN</t>
        </is>
      </c>
      <c r="G221" t="inlineStr">
        <is>
          <t>OCKELBO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46260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46077</v>
      </c>
      <c r="E223" s="1" t="n">
        <v>46260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45821</v>
      </c>
      <c r="E224" s="1" t="n">
        <v>46260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46078</v>
      </c>
      <c r="E225" s="1" t="n">
        <v>46260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46077</v>
      </c>
      <c r="E226" s="1" t="n">
        <v>46260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öst AB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46077</v>
      </c>
      <c r="E227" s="1" t="n">
        <v>46260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46077</v>
      </c>
      <c r="E228" s="1" t="n">
        <v>46260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10456-2026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46077</v>
      </c>
      <c r="E229" s="1" t="n">
        <v>46260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öst AB</t>
        </is>
      </c>
      <c r="I229" t="n">
        <v>45.7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46260</v>
      </c>
      <c r="F230" t="inlineStr">
        <is>
          <t>GÄVLEBORGS LÄN</t>
        </is>
      </c>
      <c r="G230" t="inlineStr">
        <is>
          <t>OCKELBO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46076</v>
      </c>
      <c r="E231" s="1" t="n">
        <v>46260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46077</v>
      </c>
      <c r="E232" s="1" t="n">
        <v>46260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öst AB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46077</v>
      </c>
      <c r="E233" s="1" t="n">
        <v>46260</v>
      </c>
      <c r="F233" t="inlineStr">
        <is>
          <t>GÄVLEBORGS LÄN</t>
        </is>
      </c>
      <c r="G233" t="inlineStr">
        <is>
          <t>OCKELBO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46079</v>
      </c>
      <c r="E234" s="1" t="n">
        <v>46260</v>
      </c>
      <c r="F234" t="inlineStr">
        <is>
          <t>GÄVLEBORGS LÄN</t>
        </is>
      </c>
      <c r="G234" t="inlineStr">
        <is>
          <t>OCKELBO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46080</v>
      </c>
      <c r="E235" s="1" t="n">
        <v>46260</v>
      </c>
      <c r="F235" t="inlineStr">
        <is>
          <t>GÄVLEBORGS LÄN</t>
        </is>
      </c>
      <c r="G235" t="inlineStr">
        <is>
          <t>OCKELBO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46080</v>
      </c>
      <c r="E236" s="1" t="n">
        <v>46260</v>
      </c>
      <c r="F236" t="inlineStr">
        <is>
          <t>GÄVLEBORGS LÄN</t>
        </is>
      </c>
      <c r="G236" t="inlineStr">
        <is>
          <t>OCKELBO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46080</v>
      </c>
      <c r="E237" s="1" t="n">
        <v>46260</v>
      </c>
      <c r="F237" t="inlineStr">
        <is>
          <t>GÄVLEBORGS LÄN</t>
        </is>
      </c>
      <c r="G237" t="inlineStr">
        <is>
          <t>OCKELBO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46079</v>
      </c>
      <c r="E238" s="1" t="n">
        <v>46260</v>
      </c>
      <c r="F238" t="inlineStr">
        <is>
          <t>GÄVLEBORGS LÄN</t>
        </is>
      </c>
      <c r="G238" t="inlineStr">
        <is>
          <t>OCKELBO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18326-2026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46126</v>
      </c>
      <c r="E239" s="1" t="n">
        <v>46260</v>
      </c>
      <c r="F239" t="inlineStr">
        <is>
          <t>GÄVLEBORGS LÄN</t>
        </is>
      </c>
      <c r="G239" t="inlineStr">
        <is>
          <t>OCKELBO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11496-2026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46260</v>
      </c>
      <c r="F240" t="inlineStr">
        <is>
          <t>GÄVLEBORGS LÄN</t>
        </is>
      </c>
      <c r="G240" t="inlineStr">
        <is>
          <t>OCKELBO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46083</v>
      </c>
      <c r="E241" s="1" t="n">
        <v>46260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46260</v>
      </c>
      <c r="F242" t="inlineStr">
        <is>
          <t>GÄVLEBORGS LÄN</t>
        </is>
      </c>
      <c r="G242" t="inlineStr">
        <is>
          <t>OCKELBO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46260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öst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45488</v>
      </c>
      <c r="E244" s="1" t="n">
        <v>46260</v>
      </c>
      <c r="F244" t="inlineStr">
        <is>
          <t>GÄVLEBORGS LÄN</t>
        </is>
      </c>
      <c r="G244" t="inlineStr">
        <is>
          <t>OCKELBO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46260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18291-2023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45041</v>
      </c>
      <c r="E246" s="1" t="n">
        <v>46260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11810-2026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46085</v>
      </c>
      <c r="E247" s="1" t="n">
        <v>46260</v>
      </c>
      <c r="F247" t="inlineStr">
        <is>
          <t>GÄVLEBORGS LÄN</t>
        </is>
      </c>
      <c r="G247" t="inlineStr">
        <is>
          <t>OCKELBO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46260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12341-2026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46260</v>
      </c>
      <c r="F249" t="inlineStr">
        <is>
          <t>GÄVLEBORGS LÄN</t>
        </is>
      </c>
      <c r="G249" t="inlineStr">
        <is>
          <t>OCKELBO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46260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45644</v>
      </c>
      <c r="E251" s="1" t="n">
        <v>46260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45602</v>
      </c>
      <c r="E252" s="1" t="n">
        <v>46260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45027</v>
      </c>
      <c r="E253" s="1" t="n">
        <v>46260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45602</v>
      </c>
      <c r="E254" s="1" t="n">
        <v>46260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45602</v>
      </c>
      <c r="E255" s="1" t="n">
        <v>46260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46089</v>
      </c>
      <c r="E256" s="1" t="n">
        <v>46260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29.9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32011-2024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45510</v>
      </c>
      <c r="E257" s="1" t="n">
        <v>46260</v>
      </c>
      <c r="F257" t="inlineStr">
        <is>
          <t>GÄVLEBORGS LÄN</t>
        </is>
      </c>
      <c r="G257" t="inlineStr">
        <is>
          <t>OCKELBO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45608</v>
      </c>
      <c r="E258" s="1" t="n">
        <v>46260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9.800000000000001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46260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66825-2021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44522</v>
      </c>
      <c r="E260" s="1" t="n">
        <v>46260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34291-2025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45846</v>
      </c>
      <c r="E261" s="1" t="n">
        <v>46260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46260</v>
      </c>
      <c r="F262" t="inlineStr">
        <is>
          <t>GÄVLEBORGS LÄN</t>
        </is>
      </c>
      <c r="G262" t="inlineStr">
        <is>
          <t>OCKELBO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40283-2024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46260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45216</v>
      </c>
      <c r="E264" s="1" t="n">
        <v>46260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12716-2026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46091</v>
      </c>
      <c r="E265" s="1" t="n">
        <v>46260</v>
      </c>
      <c r="F265" t="inlineStr">
        <is>
          <t>GÄVLEBORGS LÄN</t>
        </is>
      </c>
      <c r="G265" t="inlineStr">
        <is>
          <t>OCKELBO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40281-2024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45554</v>
      </c>
      <c r="E266" s="1" t="n">
        <v>46260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44816</v>
      </c>
      <c r="E267" s="1" t="n">
        <v>46260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45590</v>
      </c>
      <c r="E268" s="1" t="n">
        <v>46260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45111</v>
      </c>
      <c r="E269" s="1" t="n">
        <v>46260</v>
      </c>
      <c r="F269" t="inlineStr">
        <is>
          <t>GÄVLEBORGS LÄN</t>
        </is>
      </c>
      <c r="G269" t="inlineStr">
        <is>
          <t>OCKELBO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46260</v>
      </c>
      <c r="F270" t="inlineStr">
        <is>
          <t>GÄVLEBORGS LÄN</t>
        </is>
      </c>
      <c r="G270" t="inlineStr">
        <is>
          <t>OCKELBO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46260</v>
      </c>
      <c r="F271" t="inlineStr">
        <is>
          <t>GÄVLEBORGS LÄN</t>
        </is>
      </c>
      <c r="G271" t="inlineStr">
        <is>
          <t>OCKELBO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61622-2021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44501</v>
      </c>
      <c r="E272" s="1" t="n">
        <v>46260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46260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46260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67768-2021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44525</v>
      </c>
      <c r="E275" s="1" t="n">
        <v>46260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46485-2024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46260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46260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46260</v>
      </c>
      <c r="F278" t="inlineStr">
        <is>
          <t>GÄVLEBORGS LÄN</t>
        </is>
      </c>
      <c r="G278" t="inlineStr">
        <is>
          <t>OCKELBO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46093</v>
      </c>
      <c r="E279" s="1" t="n">
        <v>46260</v>
      </c>
      <c r="F279" t="inlineStr">
        <is>
          <t>GÄVLEBORGS LÄN</t>
        </is>
      </c>
      <c r="G279" t="inlineStr">
        <is>
          <t>OCKELBO</t>
        </is>
      </c>
      <c r="I279" t="n">
        <v>6.4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46260</v>
      </c>
      <c r="F280" t="inlineStr">
        <is>
          <t>GÄVLEBORGS LÄN</t>
        </is>
      </c>
      <c r="G280" t="inlineStr">
        <is>
          <t>OCKELBO</t>
        </is>
      </c>
      <c r="H280" t="inlineStr">
        <is>
          <t>Naturvårdsverket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13441-2026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46260</v>
      </c>
      <c r="F281" t="inlineStr">
        <is>
          <t>GÄVLEBORGS LÄN</t>
        </is>
      </c>
      <c r="G281" t="inlineStr">
        <is>
          <t>OCKELBO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46260</v>
      </c>
      <c r="F282" t="inlineStr">
        <is>
          <t>GÄVLEBORGS LÄN</t>
        </is>
      </c>
      <c r="G282" t="inlineStr">
        <is>
          <t>OCKELBO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46260</v>
      </c>
      <c r="F283" t="inlineStr">
        <is>
          <t>GÄVLEBORGS LÄN</t>
        </is>
      </c>
      <c r="G283" t="inlineStr">
        <is>
          <t>OCKELBO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46260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45932</v>
      </c>
      <c r="E285" s="1" t="n">
        <v>46260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46260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46098</v>
      </c>
      <c r="E287" s="1" t="n">
        <v>46260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36.6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46260</v>
      </c>
      <c r="F288" t="inlineStr">
        <is>
          <t>GÄVLEBORGS LÄN</t>
        </is>
      </c>
      <c r="G288" t="inlineStr">
        <is>
          <t>OCKELBO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46260</v>
      </c>
      <c r="F289" t="inlineStr">
        <is>
          <t>GÄVLEBORGS LÄN</t>
        </is>
      </c>
      <c r="G289" t="inlineStr">
        <is>
          <t>OCKELBO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46098</v>
      </c>
      <c r="E290" s="1" t="n">
        <v>46260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46097</v>
      </c>
      <c r="E291" s="1" t="n">
        <v>46260</v>
      </c>
      <c r="F291" t="inlineStr">
        <is>
          <t>GÄVLEBORGS LÄN</t>
        </is>
      </c>
      <c r="G291" t="inlineStr">
        <is>
          <t>OCKELBO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46098</v>
      </c>
      <c r="E292" s="1" t="n">
        <v>46260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13856-2026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46260</v>
      </c>
      <c r="F293" t="inlineStr">
        <is>
          <t>GÄVLEBORGS LÄN</t>
        </is>
      </c>
      <c r="G293" t="inlineStr">
        <is>
          <t>OCKELBO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46260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49027-2025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46260</v>
      </c>
      <c r="F295" t="inlineStr">
        <is>
          <t>GÄVLEBORGS LÄN</t>
        </is>
      </c>
      <c r="G295" t="inlineStr">
        <is>
          <t>OCKELBO</t>
        </is>
      </c>
      <c r="I295" t="n">
        <v>11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46260</v>
      </c>
      <c r="F296" t="inlineStr">
        <is>
          <t>GÄVLEBORGS LÄN</t>
        </is>
      </c>
      <c r="G296" t="inlineStr">
        <is>
          <t>OCKELBO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45827</v>
      </c>
      <c r="E297" s="1" t="n">
        <v>46260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46260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46260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46260</v>
      </c>
      <c r="F300" t="inlineStr">
        <is>
          <t>GÄVLEBORGS LÄN</t>
        </is>
      </c>
      <c r="G300" t="inlineStr">
        <is>
          <t>OCKELBO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46098</v>
      </c>
      <c r="E301" s="1" t="n">
        <v>46260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14439-2026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46100</v>
      </c>
      <c r="E302" s="1" t="n">
        <v>46260</v>
      </c>
      <c r="F302" t="inlineStr">
        <is>
          <t>GÄVLEBORGS LÄN</t>
        </is>
      </c>
      <c r="G302" t="inlineStr">
        <is>
          <t>OCKELBO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46100</v>
      </c>
      <c r="E303" s="1" t="n">
        <v>46260</v>
      </c>
      <c r="F303" t="inlineStr">
        <is>
          <t>GÄVLEBORGS LÄN</t>
        </is>
      </c>
      <c r="G303" t="inlineStr">
        <is>
          <t>OCKELBO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46099</v>
      </c>
      <c r="E304" s="1" t="n">
        <v>46260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46104</v>
      </c>
      <c r="E305" s="1" t="n">
        <v>46260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46260</v>
      </c>
      <c r="F306" t="inlineStr">
        <is>
          <t>GÄVLEBORGS LÄN</t>
        </is>
      </c>
      <c r="G306" t="inlineStr">
        <is>
          <t>OCKELBO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46104</v>
      </c>
      <c r="E307" s="1" t="n">
        <v>46260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46104</v>
      </c>
      <c r="E308" s="1" t="n">
        <v>46260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48855-2025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46260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15043-2026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46104</v>
      </c>
      <c r="E310" s="1" t="n">
        <v>46260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46101</v>
      </c>
      <c r="E311" s="1" t="n">
        <v>46260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46260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34.1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46260</v>
      </c>
      <c r="F313" t="inlineStr">
        <is>
          <t>GÄVLEBORGS LÄN</t>
        </is>
      </c>
      <c r="G313" t="inlineStr">
        <is>
          <t>OCKELBO</t>
        </is>
      </c>
      <c r="I313" t="n">
        <v>11.1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14972-2026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46104</v>
      </c>
      <c r="E314" s="1" t="n">
        <v>46260</v>
      </c>
      <c r="F314" t="inlineStr">
        <is>
          <t>GÄVLEBORGS LÄN</t>
        </is>
      </c>
      <c r="G314" t="inlineStr">
        <is>
          <t>OCKELBO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46104</v>
      </c>
      <c r="E315" s="1" t="n">
        <v>46260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46260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46260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46260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46260</v>
      </c>
      <c r="F319" t="inlineStr">
        <is>
          <t>GÄVLEBORGS LÄN</t>
        </is>
      </c>
      <c r="G319" t="inlineStr">
        <is>
          <t>OCKELBO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46260</v>
      </c>
      <c r="F320" t="inlineStr">
        <is>
          <t>GÄVLEBORGS LÄN</t>
        </is>
      </c>
      <c r="G320" t="inlineStr">
        <is>
          <t>OCKELBO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46260</v>
      </c>
      <c r="F321" t="inlineStr">
        <is>
          <t>GÄVLEBORGS LÄN</t>
        </is>
      </c>
      <c r="G321" t="inlineStr">
        <is>
          <t>OCKELBO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46260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46260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46260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46260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öst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46260</v>
      </c>
      <c r="F326" t="inlineStr">
        <is>
          <t>GÄVLEBORGS LÄN</t>
        </is>
      </c>
      <c r="G326" t="inlineStr">
        <is>
          <t>OCKELBO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46260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46260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16006-2026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46108</v>
      </c>
      <c r="E329" s="1" t="n">
        <v>46260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46108</v>
      </c>
      <c r="E330" s="1" t="n">
        <v>46260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12.3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46111</v>
      </c>
      <c r="E331" s="1" t="n">
        <v>46260</v>
      </c>
      <c r="F331" t="inlineStr">
        <is>
          <t>GÄVLEBORGS LÄN</t>
        </is>
      </c>
      <c r="G331" t="inlineStr">
        <is>
          <t>OCKELBO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46112</v>
      </c>
      <c r="E332" s="1" t="n">
        <v>46260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46260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46260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46260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46260</v>
      </c>
      <c r="F336" t="inlineStr">
        <is>
          <t>GÄVLEBORGS LÄN</t>
        </is>
      </c>
      <c r="G336" t="inlineStr">
        <is>
          <t>OCKELBO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46114</v>
      </c>
      <c r="E337" s="1" t="n">
        <v>46260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46114</v>
      </c>
      <c r="E338" s="1" t="n">
        <v>46260</v>
      </c>
      <c r="F338" t="inlineStr">
        <is>
          <t>GÄVLEBORGS LÄN</t>
        </is>
      </c>
      <c r="G338" t="inlineStr">
        <is>
          <t>OCKELBO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43538-2023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45184</v>
      </c>
      <c r="E339" s="1" t="n">
        <v>46260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46114</v>
      </c>
      <c r="E340" s="1" t="n">
        <v>46260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46260</v>
      </c>
      <c r="F341" t="inlineStr">
        <is>
          <t>GÄVLEBORGS LÄN</t>
        </is>
      </c>
      <c r="G341" t="inlineStr">
        <is>
          <t>OCKELBO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13428-2026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46260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52259-2025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45953</v>
      </c>
      <c r="E343" s="1" t="n">
        <v>46260</v>
      </c>
      <c r="F343" t="inlineStr">
        <is>
          <t>GÄVLEBORGS LÄN</t>
        </is>
      </c>
      <c r="G343" t="inlineStr">
        <is>
          <t>OCKELBO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46260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öst AB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45952</v>
      </c>
      <c r="E345" s="1" t="n">
        <v>46260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45953</v>
      </c>
      <c r="E346" s="1" t="n">
        <v>46260</v>
      </c>
      <c r="F346" t="inlineStr">
        <is>
          <t>GÄVLEBORGS LÄN</t>
        </is>
      </c>
      <c r="G346" t="inlineStr">
        <is>
          <t>OCKELBO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46260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46077</v>
      </c>
      <c r="E348" s="1" t="n">
        <v>46260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öst AB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46119</v>
      </c>
      <c r="E349" s="1" t="n">
        <v>46260</v>
      </c>
      <c r="F349" t="inlineStr">
        <is>
          <t>GÄVLEBORGS LÄN</t>
        </is>
      </c>
      <c r="G349" t="inlineStr">
        <is>
          <t>OCKELBO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30242-2024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45490</v>
      </c>
      <c r="E350" s="1" t="n">
        <v>46260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46260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öst AB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46119</v>
      </c>
      <c r="E352" s="1" t="n">
        <v>46260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46118</v>
      </c>
      <c r="E353" s="1" t="n">
        <v>46260</v>
      </c>
      <c r="F353" t="inlineStr">
        <is>
          <t>GÄVLEBORGS LÄN</t>
        </is>
      </c>
      <c r="G353" t="inlineStr">
        <is>
          <t>OCKELBO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10309-2026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46076</v>
      </c>
      <c r="E354" s="1" t="n">
        <v>46260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öst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45139</v>
      </c>
      <c r="E355" s="1" t="n">
        <v>46260</v>
      </c>
      <c r="F355" t="inlineStr">
        <is>
          <t>GÄVLEBORGS LÄN</t>
        </is>
      </c>
      <c r="G355" t="inlineStr">
        <is>
          <t>OCKELBO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52880-2025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45957</v>
      </c>
      <c r="E356" s="1" t="n">
        <v>46260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17709-2026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46121</v>
      </c>
      <c r="E357" s="1" t="n">
        <v>46260</v>
      </c>
      <c r="F357" t="inlineStr">
        <is>
          <t>GÄVLEBORGS LÄN</t>
        </is>
      </c>
      <c r="G357" t="inlineStr">
        <is>
          <t>OCKELBO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45954</v>
      </c>
      <c r="E358" s="1" t="n">
        <v>46260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46260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46121</v>
      </c>
      <c r="E360" s="1" t="n">
        <v>46260</v>
      </c>
      <c r="F360" t="inlineStr">
        <is>
          <t>GÄVLEBORGS LÄN</t>
        </is>
      </c>
      <c r="G360" t="inlineStr">
        <is>
          <t>OCKELBO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46121</v>
      </c>
      <c r="E361" s="1" t="n">
        <v>46260</v>
      </c>
      <c r="F361" t="inlineStr">
        <is>
          <t>GÄVLEBORGS LÄN</t>
        </is>
      </c>
      <c r="G361" t="inlineStr">
        <is>
          <t>OCKELBO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45705</v>
      </c>
      <c r="E362" s="1" t="n">
        <v>46260</v>
      </c>
      <c r="F362" t="inlineStr">
        <is>
          <t>GÄVLEBORGS LÄN</t>
        </is>
      </c>
      <c r="G362" t="inlineStr">
        <is>
          <t>OCKELBO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46260</v>
      </c>
      <c r="F363" t="inlineStr">
        <is>
          <t>GÄVLEBORGS LÄN</t>
        </is>
      </c>
      <c r="G363" t="inlineStr">
        <is>
          <t>OCKELBO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18133-2026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46125</v>
      </c>
      <c r="E364" s="1" t="n">
        <v>46260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46260</v>
      </c>
      <c r="F365" t="inlineStr">
        <is>
          <t>GÄVLEBORGS LÄN</t>
        </is>
      </c>
      <c r="G365" t="inlineStr">
        <is>
          <t>OCKELBO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53391-2025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45959</v>
      </c>
      <c r="E366" s="1" t="n">
        <v>46260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46260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46098</v>
      </c>
      <c r="E368" s="1" t="n">
        <v>46260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46260</v>
      </c>
      <c r="F369" t="inlineStr">
        <is>
          <t>GÄVLEBORGS LÄN</t>
        </is>
      </c>
      <c r="G369" t="inlineStr">
        <is>
          <t>OCKELBO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15255-2026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46260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42585-2023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45181</v>
      </c>
      <c r="E371" s="1" t="n">
        <v>46260</v>
      </c>
      <c r="F371" t="inlineStr">
        <is>
          <t>GÄVLEBORGS LÄN</t>
        </is>
      </c>
      <c r="G371" t="inlineStr">
        <is>
          <t>OCKELBO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46260</v>
      </c>
      <c r="F372" t="inlineStr">
        <is>
          <t>GÄVLEBORGS LÄN</t>
        </is>
      </c>
      <c r="G372" t="inlineStr">
        <is>
          <t>OCKELBO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46260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46260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7.7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52243-2024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46260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46128</v>
      </c>
      <c r="E376" s="1" t="n">
        <v>46260</v>
      </c>
      <c r="F376" t="inlineStr">
        <is>
          <t>GÄVLEBORGS LÄN</t>
        </is>
      </c>
      <c r="G376" t="inlineStr">
        <is>
          <t>OCKELBO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46112</v>
      </c>
      <c r="E377" s="1" t="n">
        <v>46260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20660-2022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44700</v>
      </c>
      <c r="E378" s="1" t="n">
        <v>46260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18669-2026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46128</v>
      </c>
      <c r="E379" s="1" t="n">
        <v>46260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46260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öst AB</t>
        </is>
      </c>
      <c r="I380" t="n">
        <v>7.6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46260</v>
      </c>
      <c r="F381" t="inlineStr">
        <is>
          <t>GÄVLEBORGS LÄN</t>
        </is>
      </c>
      <c r="G381" t="inlineStr">
        <is>
          <t>OCKELBO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19213-2026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46260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19271-2026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46260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46260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19277-2026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46260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46260</v>
      </c>
      <c r="F386" t="inlineStr">
        <is>
          <t>GÄVLEBORGS LÄN</t>
        </is>
      </c>
      <c r="G386" t="inlineStr">
        <is>
          <t>OCKELBO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46260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46260</v>
      </c>
      <c r="F388" t="inlineStr">
        <is>
          <t>GÄVLEBORGS LÄN</t>
        </is>
      </c>
      <c r="G388" t="inlineStr">
        <is>
          <t>OCKELBO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46260</v>
      </c>
      <c r="F389" t="inlineStr">
        <is>
          <t>GÄVLEBORGS LÄN</t>
        </is>
      </c>
      <c r="G389" t="inlineStr">
        <is>
          <t>OCKELBO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46260</v>
      </c>
      <c r="F390" t="inlineStr">
        <is>
          <t>GÄVLEBORGS LÄN</t>
        </is>
      </c>
      <c r="G390" t="inlineStr">
        <is>
          <t>OCKELBO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54879-2025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45967</v>
      </c>
      <c r="E391" s="1" t="n">
        <v>46260</v>
      </c>
      <c r="F391" t="inlineStr">
        <is>
          <t>GÄVLEBORGS LÄN</t>
        </is>
      </c>
      <c r="G391" t="inlineStr">
        <is>
          <t>OCKELBO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46260</v>
      </c>
      <c r="F392" t="inlineStr">
        <is>
          <t>GÄVLEBORGS LÄN</t>
        </is>
      </c>
      <c r="G392" t="inlineStr">
        <is>
          <t>OCKELBO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19038-2026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46260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17.7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46132</v>
      </c>
      <c r="E394" s="1" t="n">
        <v>46260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46260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45204</v>
      </c>
      <c r="E396" s="1" t="n">
        <v>46260</v>
      </c>
      <c r="F396" t="inlineStr">
        <is>
          <t>GÄVLEBORGS LÄN</t>
        </is>
      </c>
      <c r="G396" t="inlineStr">
        <is>
          <t>OCKELBO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19491-2026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46260</v>
      </c>
      <c r="F397" t="inlineStr">
        <is>
          <t>GÄVLEBORGS LÄN</t>
        </is>
      </c>
      <c r="G397" t="inlineStr">
        <is>
          <t>OCKELBO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46134</v>
      </c>
      <c r="E398" s="1" t="n">
        <v>46260</v>
      </c>
      <c r="F398" t="inlineStr">
        <is>
          <t>GÄVLEBORGS LÄN</t>
        </is>
      </c>
      <c r="G398" t="inlineStr">
        <is>
          <t>OCKELBO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46114</v>
      </c>
      <c r="E399" s="1" t="n">
        <v>46260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46260</v>
      </c>
      <c r="F400" t="inlineStr">
        <is>
          <t>GÄVLEBORGS LÄN</t>
        </is>
      </c>
      <c r="G400" t="inlineStr">
        <is>
          <t>OCKELBO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19431-2026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46260</v>
      </c>
      <c r="F401" t="inlineStr">
        <is>
          <t>GÄVLEBORGS LÄN</t>
        </is>
      </c>
      <c r="G401" t="inlineStr">
        <is>
          <t>OCKELBO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46260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5571-2024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45334</v>
      </c>
      <c r="E403" s="1" t="n">
        <v>46260</v>
      </c>
      <c r="F403" t="inlineStr">
        <is>
          <t>GÄVLEBORGS LÄN</t>
        </is>
      </c>
      <c r="G403" t="inlineStr">
        <is>
          <t>OCKELBO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45972</v>
      </c>
      <c r="E404" s="1" t="n">
        <v>46260</v>
      </c>
      <c r="F404" t="inlineStr">
        <is>
          <t>GÄVLEBORGS LÄN</t>
        </is>
      </c>
      <c r="G404" t="inlineStr">
        <is>
          <t>OCKELBO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17682-2026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46121</v>
      </c>
      <c r="E405" s="1" t="n">
        <v>46260</v>
      </c>
      <c r="F405" t="inlineStr">
        <is>
          <t>GÄVLEBORGS LÄN</t>
        </is>
      </c>
      <c r="G405" t="inlineStr">
        <is>
          <t>OCKELBO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55859-2025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46260</v>
      </c>
      <c r="F406" t="inlineStr">
        <is>
          <t>GÄVLEBORGS LÄN</t>
        </is>
      </c>
      <c r="G406" t="inlineStr">
        <is>
          <t>OCKELBO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55866-2025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46260</v>
      </c>
      <c r="F407" t="inlineStr">
        <is>
          <t>GÄVLEBORGS LÄN</t>
        </is>
      </c>
      <c r="G407" t="inlineStr">
        <is>
          <t>OCKELBO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45972</v>
      </c>
      <c r="E408" s="1" t="n">
        <v>46260</v>
      </c>
      <c r="F408" t="inlineStr">
        <is>
          <t>GÄVLEBORGS LÄN</t>
        </is>
      </c>
      <c r="G408" t="inlineStr">
        <is>
          <t>OCKELBO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46260</v>
      </c>
      <c r="F409" t="inlineStr">
        <is>
          <t>GÄVLEBORGS LÄN</t>
        </is>
      </c>
      <c r="G409" t="inlineStr">
        <is>
          <t>OCKELBO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55920-2025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46260</v>
      </c>
      <c r="F410" t="inlineStr">
        <is>
          <t>GÄVLEBORGS LÄN</t>
        </is>
      </c>
      <c r="G410" t="inlineStr">
        <is>
          <t>OCKELBO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55926-2025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46260</v>
      </c>
      <c r="F411" t="inlineStr">
        <is>
          <t>GÄVLEBORGS LÄN</t>
        </is>
      </c>
      <c r="G411" t="inlineStr">
        <is>
          <t>OCKELBO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55629-2025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45972</v>
      </c>
      <c r="E412" s="1" t="n">
        <v>46260</v>
      </c>
      <c r="F412" t="inlineStr">
        <is>
          <t>GÄVLEBORGS LÄN</t>
        </is>
      </c>
      <c r="G412" t="inlineStr">
        <is>
          <t>OCKELBO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46260</v>
      </c>
      <c r="F413" t="inlineStr">
        <is>
          <t>GÄVLEBORGS LÄN</t>
        </is>
      </c>
      <c r="G413" t="inlineStr">
        <is>
          <t>OCKELBO</t>
        </is>
      </c>
      <c r="H413" t="inlineStr">
        <is>
          <t>Kyrkan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55911-2025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45973</v>
      </c>
      <c r="E414" s="1" t="n">
        <v>46260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46260</v>
      </c>
      <c r="F415" t="inlineStr">
        <is>
          <t>GÄVLEBORGS LÄN</t>
        </is>
      </c>
      <c r="G415" t="inlineStr">
        <is>
          <t>OCKELBO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28586-2024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45478</v>
      </c>
      <c r="E416" s="1" t="n">
        <v>46260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45441</v>
      </c>
      <c r="E417" s="1" t="n">
        <v>46260</v>
      </c>
      <c r="F417" t="inlineStr">
        <is>
          <t>GÄVLEBORGS LÄN</t>
        </is>
      </c>
      <c r="G417" t="inlineStr">
        <is>
          <t>OCKELBO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56454-2025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46260</v>
      </c>
      <c r="F418" t="inlineStr">
        <is>
          <t>GÄVLEBORGS LÄN</t>
        </is>
      </c>
      <c r="G418" t="inlineStr">
        <is>
          <t>OCKELBO</t>
        </is>
      </c>
      <c r="I418" t="n">
        <v>7.7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46260</v>
      </c>
      <c r="F419" t="inlineStr">
        <is>
          <t>GÄVLEBORGS LÄN</t>
        </is>
      </c>
      <c r="G419" t="inlineStr">
        <is>
          <t>OCKELBO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46260</v>
      </c>
      <c r="F420" t="inlineStr">
        <is>
          <t>GÄVLEBORGS LÄN</t>
        </is>
      </c>
      <c r="G420" t="inlineStr">
        <is>
          <t>OCKELBO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46064</v>
      </c>
      <c r="E421" s="1" t="n">
        <v>46260</v>
      </c>
      <c r="F421" t="inlineStr">
        <is>
          <t>GÄVLEBORGS LÄN</t>
        </is>
      </c>
      <c r="G421" t="inlineStr">
        <is>
          <t>OCKELBO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46137</v>
      </c>
      <c r="E422" s="1" t="n">
        <v>46260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56877-2025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46260</v>
      </c>
      <c r="F423" t="inlineStr">
        <is>
          <t>GÄVLEBORGS LÄN</t>
        </is>
      </c>
      <c r="G423" t="inlineStr">
        <is>
          <t>OCKELBO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56888-2025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46260</v>
      </c>
      <c r="F424" t="inlineStr">
        <is>
          <t>GÄVLEBORGS LÄN</t>
        </is>
      </c>
      <c r="G424" t="inlineStr">
        <is>
          <t>OCKELBO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56919-2025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46260</v>
      </c>
      <c r="F425" t="inlineStr">
        <is>
          <t>GÄVLEBORGS LÄN</t>
        </is>
      </c>
      <c r="G425" t="inlineStr">
        <is>
          <t>OCKELBO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56921-2025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46260</v>
      </c>
      <c r="F426" t="inlineStr">
        <is>
          <t>GÄVLEBORGS LÄN</t>
        </is>
      </c>
      <c r="G426" t="inlineStr">
        <is>
          <t>OCKELBO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46260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46260</v>
      </c>
      <c r="F428" t="inlineStr">
        <is>
          <t>GÄVLEBORGS LÄN</t>
        </is>
      </c>
      <c r="G428" t="inlineStr">
        <is>
          <t>OCKELBO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46260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17.1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46260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46260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23072-2024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45450</v>
      </c>
      <c r="E432" s="1" t="n">
        <v>46260</v>
      </c>
      <c r="F432" t="inlineStr">
        <is>
          <t>GÄVLEBORGS LÄN</t>
        </is>
      </c>
      <c r="G432" t="inlineStr">
        <is>
          <t>OCKELBO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56876-2025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46260</v>
      </c>
      <c r="F433" t="inlineStr">
        <is>
          <t>GÄVLEBORGS LÄN</t>
        </is>
      </c>
      <c r="G433" t="inlineStr">
        <is>
          <t>OCKELBO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56803-2025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46260</v>
      </c>
      <c r="F434" t="inlineStr">
        <is>
          <t>GÄVLEBORGS LÄN</t>
        </is>
      </c>
      <c r="G434" t="inlineStr">
        <is>
          <t>OCKELBO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45366</v>
      </c>
      <c r="E435" s="1" t="n">
        <v>46260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15694-2022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44663</v>
      </c>
      <c r="E436" s="1" t="n">
        <v>46260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46316-2025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45925</v>
      </c>
      <c r="E437" s="1" t="n">
        <v>46260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46260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9.1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46260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46260</v>
      </c>
      <c r="F440" t="inlineStr">
        <is>
          <t>GÄVLEBORGS LÄN</t>
        </is>
      </c>
      <c r="G440" t="inlineStr">
        <is>
          <t>OCKELBO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36604-2025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45870</v>
      </c>
      <c r="E441" s="1" t="n">
        <v>46260</v>
      </c>
      <c r="F441" t="inlineStr">
        <is>
          <t>GÄVLEBORGS LÄN</t>
        </is>
      </c>
      <c r="G441" t="inlineStr">
        <is>
          <t>OCKELBO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46260</v>
      </c>
      <c r="F442" t="inlineStr">
        <is>
          <t>GÄVLEBORGS LÄN</t>
        </is>
      </c>
      <c r="G442" t="inlineStr">
        <is>
          <t>OCKELBO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29963-2024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45488</v>
      </c>
      <c r="E443" s="1" t="n">
        <v>46260</v>
      </c>
      <c r="F443" t="inlineStr">
        <is>
          <t>GÄVLEBORGS LÄN</t>
        </is>
      </c>
      <c r="G443" t="inlineStr">
        <is>
          <t>OCKELBO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44712</v>
      </c>
      <c r="E444" s="1" t="n">
        <v>46260</v>
      </c>
      <c r="F444" t="inlineStr">
        <is>
          <t>GÄVLEBORGS LÄN</t>
        </is>
      </c>
      <c r="G444" t="inlineStr">
        <is>
          <t>OCKELBO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46260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58299-2025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46260</v>
      </c>
      <c r="F446" t="inlineStr">
        <is>
          <t>GÄVLEBORGS LÄN</t>
        </is>
      </c>
      <c r="G446" t="inlineStr">
        <is>
          <t>OCKELBO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45982</v>
      </c>
      <c r="E447" s="1" t="n">
        <v>46260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45301</v>
      </c>
      <c r="E448" s="1" t="n">
        <v>46260</v>
      </c>
      <c r="F448" t="inlineStr">
        <is>
          <t>GÄVLEBORGS LÄN</t>
        </is>
      </c>
      <c r="G448" t="inlineStr">
        <is>
          <t>OCKELBO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62096-2024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45656</v>
      </c>
      <c r="E449" s="1" t="n">
        <v>46260</v>
      </c>
      <c r="F449" t="inlineStr">
        <is>
          <t>GÄVLEBORGS LÄN</t>
        </is>
      </c>
      <c r="G449" t="inlineStr">
        <is>
          <t>OCKELBO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58770-2025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45986</v>
      </c>
      <c r="E450" s="1" t="n">
        <v>46260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46137</v>
      </c>
      <c r="E451" s="1" t="n">
        <v>46260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46137</v>
      </c>
      <c r="E452" s="1" t="n">
        <v>46260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55112-2023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45237</v>
      </c>
      <c r="E453" s="1" t="n">
        <v>46260</v>
      </c>
      <c r="F453" t="inlineStr">
        <is>
          <t>GÄVLEBORGS LÄN</t>
        </is>
      </c>
      <c r="G453" t="inlineStr">
        <is>
          <t>OCKELBO</t>
        </is>
      </c>
      <c r="I453" t="n">
        <v>14.6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46260</v>
      </c>
      <c r="F454" t="inlineStr">
        <is>
          <t>GÄVLEBORGS LÄN</t>
        </is>
      </c>
      <c r="G454" t="inlineStr">
        <is>
          <t>OCKELBO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58727-2025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45986</v>
      </c>
      <c r="E455" s="1" t="n">
        <v>46260</v>
      </c>
      <c r="F455" t="inlineStr">
        <is>
          <t>GÄVLEBORGS LÄN</t>
        </is>
      </c>
      <c r="G455" t="inlineStr">
        <is>
          <t>OCKELBO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25564-2025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45803</v>
      </c>
      <c r="E456" s="1" t="n">
        <v>46260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45800</v>
      </c>
      <c r="E457" s="1" t="n">
        <v>46260</v>
      </c>
      <c r="F457" t="inlineStr">
        <is>
          <t>GÄVLEBORGS LÄN</t>
        </is>
      </c>
      <c r="G457" t="inlineStr">
        <is>
          <t>OCKELBO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46260</v>
      </c>
      <c r="F458" t="inlineStr">
        <is>
          <t>GÄVLEBORGS LÄN</t>
        </is>
      </c>
      <c r="G458" t="inlineStr">
        <is>
          <t>OCKELBO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46260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61335-2022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44915</v>
      </c>
      <c r="E460" s="1" t="n">
        <v>46260</v>
      </c>
      <c r="F460" t="inlineStr">
        <is>
          <t>GÄVLEBORGS LÄN</t>
        </is>
      </c>
      <c r="G460" t="inlineStr">
        <is>
          <t>OCKELBO</t>
        </is>
      </c>
      <c r="I460" t="n">
        <v>8.5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45821</v>
      </c>
      <c r="E461" s="1" t="n">
        <v>46260</v>
      </c>
      <c r="F461" t="inlineStr">
        <is>
          <t>GÄVLEBORGS LÄN</t>
        </is>
      </c>
      <c r="G461" t="inlineStr">
        <is>
          <t>OCKELBO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45747</v>
      </c>
      <c r="E462" s="1" t="n">
        <v>46260</v>
      </c>
      <c r="F462" t="inlineStr">
        <is>
          <t>GÄVLEBORGS LÄN</t>
        </is>
      </c>
      <c r="G462" t="inlineStr">
        <is>
          <t>OCKELBO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46260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46260</v>
      </c>
      <c r="F464" t="inlineStr">
        <is>
          <t>GÄVLEBORGS LÄN</t>
        </is>
      </c>
      <c r="G464" t="inlineStr">
        <is>
          <t>OCKELBO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45488</v>
      </c>
      <c r="E465" s="1" t="n">
        <v>46260</v>
      </c>
      <c r="F465" t="inlineStr">
        <is>
          <t>GÄVLEBORGS LÄN</t>
        </is>
      </c>
      <c r="G465" t="inlineStr">
        <is>
          <t>OCKELBO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46021</v>
      </c>
      <c r="E466" s="1" t="n">
        <v>46260</v>
      </c>
      <c r="F466" t="inlineStr">
        <is>
          <t>GÄVLEBORGS LÄN</t>
        </is>
      </c>
      <c r="G466" t="inlineStr">
        <is>
          <t>OCKELBO</t>
        </is>
      </c>
      <c r="I466" t="n">
        <v>18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20251-2026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46139</v>
      </c>
      <c r="E467" s="1" t="n">
        <v>46260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45995</v>
      </c>
      <c r="E468" s="1" t="n">
        <v>46260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46107</v>
      </c>
      <c r="E469" s="1" t="n">
        <v>46260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20.4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45995</v>
      </c>
      <c r="E470" s="1" t="n">
        <v>46260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60183-2025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45994</v>
      </c>
      <c r="E471" s="1" t="n">
        <v>46260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46136</v>
      </c>
      <c r="E472" s="1" t="n">
        <v>46260</v>
      </c>
      <c r="F472" t="inlineStr">
        <is>
          <t>GÄVLEBORGS LÄN</t>
        </is>
      </c>
      <c r="G472" t="inlineStr">
        <is>
          <t>OCKELBO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19945-2026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46136</v>
      </c>
      <c r="E473" s="1" t="n">
        <v>46260</v>
      </c>
      <c r="F473" t="inlineStr">
        <is>
          <t>GÄVLEBORGS LÄN</t>
        </is>
      </c>
      <c r="G473" t="inlineStr">
        <is>
          <t>OCKELBO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46064</v>
      </c>
      <c r="E474" s="1" t="n">
        <v>46260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20155-2026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46138</v>
      </c>
      <c r="E475" s="1" t="n">
        <v>46260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46260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46260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45712</v>
      </c>
      <c r="E478" s="1" t="n">
        <v>46260</v>
      </c>
      <c r="F478" t="inlineStr">
        <is>
          <t>GÄVLEBORGS LÄN</t>
        </is>
      </c>
      <c r="G478" t="inlineStr">
        <is>
          <t>OCKELBO</t>
        </is>
      </c>
      <c r="I478" t="n">
        <v>14.7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60616-2025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45996</v>
      </c>
      <c r="E479" s="1" t="n">
        <v>46260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46260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45840</v>
      </c>
      <c r="E481" s="1" t="n">
        <v>46260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46260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46260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27997-2025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45817</v>
      </c>
      <c r="E484" s="1" t="n">
        <v>46260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45700</v>
      </c>
      <c r="E485" s="1" t="n">
        <v>46260</v>
      </c>
      <c r="F485" t="inlineStr">
        <is>
          <t>GÄVLEBORGS LÄN</t>
        </is>
      </c>
      <c r="G485" t="inlineStr">
        <is>
          <t>OCKELBO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46140</v>
      </c>
      <c r="E486" s="1" t="n">
        <v>46260</v>
      </c>
      <c r="F486" t="inlineStr">
        <is>
          <t>GÄVLEBORGS LÄN</t>
        </is>
      </c>
      <c r="G486" t="inlineStr">
        <is>
          <t>OCKELBO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15484-2026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46260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6742-2024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46260</v>
      </c>
      <c r="F488" t="inlineStr">
        <is>
          <t>GÄVLEBORGS LÄN</t>
        </is>
      </c>
      <c r="G488" t="inlineStr">
        <is>
          <t>OCKELBO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46066</v>
      </c>
      <c r="E489" s="1" t="n">
        <v>46260</v>
      </c>
      <c r="F489" t="inlineStr">
        <is>
          <t>GÄVLEBORGS LÄN</t>
        </is>
      </c>
      <c r="G489" t="inlineStr">
        <is>
          <t>OCKELBO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8348-2026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46260</v>
      </c>
      <c r="F490" t="inlineStr">
        <is>
          <t>GÄVLEBORGS LÄN</t>
        </is>
      </c>
      <c r="G490" t="inlineStr">
        <is>
          <t>OCKELBO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46260</v>
      </c>
      <c r="F491" t="inlineStr">
        <is>
          <t>GÄVLEBORGS LÄN</t>
        </is>
      </c>
      <c r="G491" t="inlineStr">
        <is>
          <t>OCKELBO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46260</v>
      </c>
      <c r="F492" t="inlineStr">
        <is>
          <t>GÄVLEBORGS LÄN</t>
        </is>
      </c>
      <c r="G492" t="inlineStr">
        <is>
          <t>OCKELBO</t>
        </is>
      </c>
      <c r="I492" t="n">
        <v>11.9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46260</v>
      </c>
      <c r="F493" t="inlineStr">
        <is>
          <t>GÄVLEBORGS LÄN</t>
        </is>
      </c>
      <c r="G493" t="inlineStr">
        <is>
          <t>OCKELBO</t>
        </is>
      </c>
      <c r="I493" t="n">
        <v>36.1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46260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46260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46260</v>
      </c>
      <c r="F496" t="inlineStr">
        <is>
          <t>GÄVLEBORGS LÄN</t>
        </is>
      </c>
      <c r="G496" t="inlineStr">
        <is>
          <t>OCKELBO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45111</v>
      </c>
      <c r="E497" s="1" t="n">
        <v>46260</v>
      </c>
      <c r="F497" t="inlineStr">
        <is>
          <t>GÄVLEBORGS LÄN</t>
        </is>
      </c>
      <c r="G497" t="inlineStr">
        <is>
          <t>OCKELBO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7276-2023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44970</v>
      </c>
      <c r="E498" s="1" t="n">
        <v>46260</v>
      </c>
      <c r="F498" t="inlineStr">
        <is>
          <t>GÄVLEBORGS LÄN</t>
        </is>
      </c>
      <c r="G498" t="inlineStr">
        <is>
          <t>OCKELBO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46260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46260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46260</v>
      </c>
      <c r="F501" t="inlineStr">
        <is>
          <t>GÄVLEBORGS LÄN</t>
        </is>
      </c>
      <c r="G501" t="inlineStr">
        <is>
          <t>OCKELBO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46260</v>
      </c>
      <c r="F502" t="inlineStr">
        <is>
          <t>GÄVLEBORGS LÄN</t>
        </is>
      </c>
      <c r="G502" t="inlineStr">
        <is>
          <t>OCKELBO</t>
        </is>
      </c>
      <c r="I502" t="n">
        <v>11.5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20502-2026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46260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62196-2025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46006</v>
      </c>
      <c r="E504" s="1" t="n">
        <v>46260</v>
      </c>
      <c r="F504" t="inlineStr">
        <is>
          <t>GÄVLEBORGS LÄN</t>
        </is>
      </c>
      <c r="G504" t="inlineStr">
        <is>
          <t>OCKELBO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46260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59383-2025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45989</v>
      </c>
      <c r="E506" s="1" t="n">
        <v>46260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16629-2025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45754</v>
      </c>
      <c r="E507" s="1" t="n">
        <v>46260</v>
      </c>
      <c r="F507" t="inlineStr">
        <is>
          <t>GÄVLEBORGS LÄN</t>
        </is>
      </c>
      <c r="G507" t="inlineStr">
        <is>
          <t>OCKELBO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63061-2025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46009</v>
      </c>
      <c r="E508" s="1" t="n">
        <v>46260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46260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8.300000000000001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29953-2024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45488</v>
      </c>
      <c r="E510" s="1" t="n">
        <v>46260</v>
      </c>
      <c r="F510" t="inlineStr">
        <is>
          <t>GÄVLEBORGS LÄN</t>
        </is>
      </c>
      <c r="G510" t="inlineStr">
        <is>
          <t>OCKELBO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46098</v>
      </c>
      <c r="E511" s="1" t="n">
        <v>46260</v>
      </c>
      <c r="F511" t="inlineStr">
        <is>
          <t>GÄVLEBORGS LÄN</t>
        </is>
      </c>
      <c r="G511" t="inlineStr">
        <is>
          <t>OCKELBO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46260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46140</v>
      </c>
      <c r="E513" s="1" t="n">
        <v>46260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45330</v>
      </c>
      <c r="E514" s="1" t="n">
        <v>46260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62914-2025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46260</v>
      </c>
      <c r="F515" t="inlineStr">
        <is>
          <t>GÄVLEBORGS LÄN</t>
        </is>
      </c>
      <c r="G515" t="inlineStr">
        <is>
          <t>OCKELBO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46260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6.8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18191-2026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46125</v>
      </c>
      <c r="E517" s="1" t="n">
        <v>46260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46091</v>
      </c>
      <c r="E518" s="1" t="n">
        <v>46260</v>
      </c>
      <c r="F518" t="inlineStr">
        <is>
          <t>GÄVLEBORGS LÄN</t>
        </is>
      </c>
      <c r="G518" t="inlineStr">
        <is>
          <t>OCKELBO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46260</v>
      </c>
      <c r="F519" t="inlineStr">
        <is>
          <t>GÄVLEBORGS LÄN</t>
        </is>
      </c>
      <c r="G519" t="inlineStr">
        <is>
          <t>OCKELBO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46260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23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46260</v>
      </c>
      <c r="F521" t="inlineStr">
        <is>
          <t>GÄVLEBORGS LÄN</t>
        </is>
      </c>
      <c r="G521" t="inlineStr">
        <is>
          <t>OCKELBO</t>
        </is>
      </c>
      <c r="I521" t="n">
        <v>10.3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46260</v>
      </c>
      <c r="F522" t="inlineStr">
        <is>
          <t>GÄVLEBORGS LÄN</t>
        </is>
      </c>
      <c r="G522" t="inlineStr">
        <is>
          <t>OCKELBO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46073</v>
      </c>
      <c r="E523" s="1" t="n">
        <v>46260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46260</v>
      </c>
      <c r="F524" t="inlineStr">
        <is>
          <t>GÄVLEBORGS LÄN</t>
        </is>
      </c>
      <c r="G524" t="inlineStr">
        <is>
          <t>OCKELBO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6518-2026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46260</v>
      </c>
      <c r="F525" t="inlineStr">
        <is>
          <t>GÄVLEBORGS LÄN</t>
        </is>
      </c>
      <c r="G525" t="inlineStr">
        <is>
          <t>OCKELBO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46013</v>
      </c>
      <c r="E526" s="1" t="n">
        <v>46260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46260</v>
      </c>
      <c r="F527" t="inlineStr">
        <is>
          <t>GÄVLEBORGS LÄN</t>
        </is>
      </c>
      <c r="G527" t="inlineStr">
        <is>
          <t>OCKELBO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46077</v>
      </c>
      <c r="E528" s="1" t="n">
        <v>46260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63464-2025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46013</v>
      </c>
      <c r="E529" s="1" t="n">
        <v>46260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63224-2025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46010</v>
      </c>
      <c r="E530" s="1" t="n">
        <v>46260</v>
      </c>
      <c r="F530" t="inlineStr">
        <is>
          <t>GÄVLEBORGS LÄN</t>
        </is>
      </c>
      <c r="G530" t="inlineStr">
        <is>
          <t>OCKELBO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46260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46260</v>
      </c>
      <c r="F532" t="inlineStr">
        <is>
          <t>GÄVLEBORGS LÄN</t>
        </is>
      </c>
      <c r="G532" t="inlineStr">
        <is>
          <t>OCKELBO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29534-2023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45106</v>
      </c>
      <c r="E533" s="1" t="n">
        <v>46260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63017-2025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46009</v>
      </c>
      <c r="E534" s="1" t="n">
        <v>46260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46142</v>
      </c>
      <c r="E535" s="1" t="n">
        <v>46260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32449-2025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45838</v>
      </c>
      <c r="E536" s="1" t="n">
        <v>46260</v>
      </c>
      <c r="F536" t="inlineStr">
        <is>
          <t>GÄVLEBORGS LÄN</t>
        </is>
      </c>
      <c r="G536" t="inlineStr">
        <is>
          <t>OCKELBO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63616-2025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46014</v>
      </c>
      <c r="E537" s="1" t="n">
        <v>46260</v>
      </c>
      <c r="F537" t="inlineStr">
        <is>
          <t>GÄVLEBORGS LÄN</t>
        </is>
      </c>
      <c r="G537" t="inlineStr">
        <is>
          <t>OCKELBO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14905-2026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46104</v>
      </c>
      <c r="E538" s="1" t="n">
        <v>46260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60117-2025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45994</v>
      </c>
      <c r="E539" s="1" t="n">
        <v>46260</v>
      </c>
      <c r="F539" t="inlineStr">
        <is>
          <t>GÄVLEBORGS LÄN</t>
        </is>
      </c>
      <c r="G539" t="inlineStr">
        <is>
          <t>OCKELBO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64006-2025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46021</v>
      </c>
      <c r="E540" s="1" t="n">
        <v>46260</v>
      </c>
      <c r="F540" t="inlineStr">
        <is>
          <t>GÄVLEBORGS LÄN</t>
        </is>
      </c>
      <c r="G540" t="inlineStr">
        <is>
          <t>OCKELBO</t>
        </is>
      </c>
      <c r="I540" t="n">
        <v>13.6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21173-2026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46260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18549-2026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46260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17951-2026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46122</v>
      </c>
      <c r="E543" s="1" t="n">
        <v>46260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45840</v>
      </c>
      <c r="E544" s="1" t="n">
        <v>46260</v>
      </c>
      <c r="F544" t="inlineStr">
        <is>
          <t>GÄVLEBORGS LÄN</t>
        </is>
      </c>
      <c r="G544" t="inlineStr">
        <is>
          <t>OCKELBO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46027</v>
      </c>
      <c r="E545" s="1" t="n">
        <v>46260</v>
      </c>
      <c r="F545" t="inlineStr">
        <is>
          <t>GÄVLEBORGS LÄN</t>
        </is>
      </c>
      <c r="G545" t="inlineStr">
        <is>
          <t>OCKELBO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46027</v>
      </c>
      <c r="E546" s="1" t="n">
        <v>46260</v>
      </c>
      <c r="F546" t="inlineStr">
        <is>
          <t>GÄVLEBORGS LÄN</t>
        </is>
      </c>
      <c r="G546" t="inlineStr">
        <is>
          <t>OCKELBO</t>
        </is>
      </c>
      <c r="I546" t="n">
        <v>16.2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46027</v>
      </c>
      <c r="E547" s="1" t="n">
        <v>46260</v>
      </c>
      <c r="F547" t="inlineStr">
        <is>
          <t>GÄVLEBORGS LÄN</t>
        </is>
      </c>
      <c r="G547" t="inlineStr">
        <is>
          <t>OCKELBO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18097-2026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46125</v>
      </c>
      <c r="E548" s="1" t="n">
        <v>46260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12.6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46027</v>
      </c>
      <c r="E549" s="1" t="n">
        <v>46260</v>
      </c>
      <c r="F549" t="inlineStr">
        <is>
          <t>GÄVLEBORGS LÄN</t>
        </is>
      </c>
      <c r="G549" t="inlineStr">
        <is>
          <t>OCKELBO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21280-2026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46260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öst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46260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öst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46027</v>
      </c>
      <c r="E552" s="1" t="n">
        <v>46260</v>
      </c>
      <c r="F552" t="inlineStr">
        <is>
          <t>GÄVLEBORGS LÄN</t>
        </is>
      </c>
      <c r="G552" t="inlineStr">
        <is>
          <t>OCKELBO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46024</v>
      </c>
      <c r="E553" s="1" t="n">
        <v>46260</v>
      </c>
      <c r="F553" t="inlineStr">
        <is>
          <t>GÄVLEBORGS LÄN</t>
        </is>
      </c>
      <c r="G553" t="inlineStr">
        <is>
          <t>OCKELBO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2556-2025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45674</v>
      </c>
      <c r="E554" s="1" t="n">
        <v>46260</v>
      </c>
      <c r="F554" t="inlineStr">
        <is>
          <t>GÄVLEBORGS LÄN</t>
        </is>
      </c>
      <c r="G554" t="inlineStr">
        <is>
          <t>OCKELBO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15908-2026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46107</v>
      </c>
      <c r="E555" s="1" t="n">
        <v>46260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öst AB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46027</v>
      </c>
      <c r="E556" s="1" t="n">
        <v>46260</v>
      </c>
      <c r="F556" t="inlineStr">
        <is>
          <t>GÄVLEBORGS LÄN</t>
        </is>
      </c>
      <c r="G556" t="inlineStr">
        <is>
          <t>OCKELBO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46260</v>
      </c>
      <c r="F557" t="inlineStr">
        <is>
          <t>GÄVLEBORGS LÄN</t>
        </is>
      </c>
      <c r="G557" t="inlineStr">
        <is>
          <t>OCKELBO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46260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21500-2026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46260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46028</v>
      </c>
      <c r="E560" s="1" t="n">
        <v>46260</v>
      </c>
      <c r="F560" t="inlineStr">
        <is>
          <t>GÄVLEBORGS LÄN</t>
        </is>
      </c>
      <c r="G560" t="inlineStr">
        <is>
          <t>OCKELBO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46028</v>
      </c>
      <c r="E561" s="1" t="n">
        <v>46260</v>
      </c>
      <c r="F561" t="inlineStr">
        <is>
          <t>GÄVLEBORGS LÄN</t>
        </is>
      </c>
      <c r="G561" t="inlineStr">
        <is>
          <t>OCKELBO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46134</v>
      </c>
      <c r="E562" s="1" t="n">
        <v>46260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46260</v>
      </c>
      <c r="F563" t="inlineStr">
        <is>
          <t>GÄVLEBORGS LÄN</t>
        </is>
      </c>
      <c r="G563" t="inlineStr">
        <is>
          <t>OCKELBO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21640-2026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46149</v>
      </c>
      <c r="E564" s="1" t="n">
        <v>46260</v>
      </c>
      <c r="F564" t="inlineStr">
        <is>
          <t>GÄVLEBORGS LÄN</t>
        </is>
      </c>
      <c r="G564" t="inlineStr">
        <is>
          <t>OCKELBO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46260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21468-2026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46148</v>
      </c>
      <c r="E566" s="1" t="n">
        <v>46260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46024</v>
      </c>
      <c r="E567" s="1" t="n">
        <v>46260</v>
      </c>
      <c r="F567" t="inlineStr">
        <is>
          <t>GÄVLEBORGS LÄN</t>
        </is>
      </c>
      <c r="G567" t="inlineStr">
        <is>
          <t>OCKELBO</t>
        </is>
      </c>
      <c r="I567" t="n">
        <v>12.9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46260</v>
      </c>
      <c r="F568" t="inlineStr">
        <is>
          <t>GÄVLEBORGS LÄN</t>
        </is>
      </c>
      <c r="G568" t="inlineStr">
        <is>
          <t>OCKELBO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14410-2026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46260</v>
      </c>
      <c r="F569" t="inlineStr">
        <is>
          <t>GÄVLEBORGS LÄN</t>
        </is>
      </c>
      <c r="G569" t="inlineStr">
        <is>
          <t>OCKELBO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46029</v>
      </c>
      <c r="E570" s="1" t="n">
        <v>46260</v>
      </c>
      <c r="F570" t="inlineStr">
        <is>
          <t>GÄVLEBORGS LÄN</t>
        </is>
      </c>
      <c r="G570" t="inlineStr">
        <is>
          <t>OCKELBO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46260</v>
      </c>
      <c r="F571" t="inlineStr">
        <is>
          <t>GÄVLEBORGS LÄN</t>
        </is>
      </c>
      <c r="G571" t="inlineStr">
        <is>
          <t>OCKELBO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60148-2023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45258</v>
      </c>
      <c r="E572" s="1" t="n">
        <v>46260</v>
      </c>
      <c r="F572" t="inlineStr">
        <is>
          <t>GÄVLEBORGS LÄN</t>
        </is>
      </c>
      <c r="G572" t="inlineStr">
        <is>
          <t>OCKELBO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46260</v>
      </c>
      <c r="F573" t="inlineStr">
        <is>
          <t>GÄVLEBORGS LÄN</t>
        </is>
      </c>
      <c r="G573" t="inlineStr">
        <is>
          <t>OCKELBO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46260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8865-2026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46066</v>
      </c>
      <c r="E575" s="1" t="n">
        <v>46260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22426-2026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46260</v>
      </c>
      <c r="F576" t="inlineStr">
        <is>
          <t>GÄVLEBORGS LÄN</t>
        </is>
      </c>
      <c r="G576" t="inlineStr">
        <is>
          <t>OCKELBO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46260</v>
      </c>
      <c r="F577" t="inlineStr">
        <is>
          <t>GÄVLEBORGS LÄN</t>
        </is>
      </c>
      <c r="G577" t="inlineStr">
        <is>
          <t>OCKELBO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46260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46260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46034</v>
      </c>
      <c r="E580" s="1" t="n">
        <v>46260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46034</v>
      </c>
      <c r="E581" s="1" t="n">
        <v>46260</v>
      </c>
      <c r="F581" t="inlineStr">
        <is>
          <t>GÄVLEBORGS LÄN</t>
        </is>
      </c>
      <c r="G581" t="inlineStr">
        <is>
          <t>OCKELBO</t>
        </is>
      </c>
      <c r="I581" t="n">
        <v>9.4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46033</v>
      </c>
      <c r="E582" s="1" t="n">
        <v>46260</v>
      </c>
      <c r="F582" t="inlineStr">
        <is>
          <t>GÄVLEBORGS LÄN</t>
        </is>
      </c>
      <c r="G582" t="inlineStr">
        <is>
          <t>OCKELBO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46035</v>
      </c>
      <c r="E583" s="1" t="n">
        <v>46260</v>
      </c>
      <c r="F583" t="inlineStr">
        <is>
          <t>GÄVLEBORGS LÄN</t>
        </is>
      </c>
      <c r="G583" t="inlineStr">
        <is>
          <t>OCKELBO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22057-2026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46153</v>
      </c>
      <c r="E584" s="1" t="n">
        <v>46260</v>
      </c>
      <c r="F584" t="inlineStr">
        <is>
          <t>GÄVLEBORGS LÄN</t>
        </is>
      </c>
      <c r="G584" t="inlineStr">
        <is>
          <t>OCKELBO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33228-2025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45840</v>
      </c>
      <c r="E585" s="1" t="n">
        <v>46260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46260</v>
      </c>
      <c r="F586" t="inlineStr">
        <is>
          <t>GÄVLEBORGS LÄN</t>
        </is>
      </c>
      <c r="G586" t="inlineStr">
        <is>
          <t>OCKELBO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46035</v>
      </c>
      <c r="E587" s="1" t="n">
        <v>46260</v>
      </c>
      <c r="F587" t="inlineStr">
        <is>
          <t>GÄVLEBORGS LÄN</t>
        </is>
      </c>
      <c r="G587" t="inlineStr">
        <is>
          <t>OCKELBO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65259-2023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45291</v>
      </c>
      <c r="E588" s="1" t="n">
        <v>46260</v>
      </c>
      <c r="F588" t="inlineStr">
        <is>
          <t>GÄVLEBORGS LÄN</t>
        </is>
      </c>
      <c r="G588" t="inlineStr">
        <is>
          <t>OCKELBO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8408-2026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46065</v>
      </c>
      <c r="E589" s="1" t="n">
        <v>46260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46035</v>
      </c>
      <c r="E590" s="1" t="n">
        <v>46260</v>
      </c>
      <c r="F590" t="inlineStr">
        <is>
          <t>GÄVLEBORGS LÄN</t>
        </is>
      </c>
      <c r="G590" t="inlineStr">
        <is>
          <t>OCKELBO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56352-2024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45624</v>
      </c>
      <c r="E591" s="1" t="n">
        <v>46260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58718-2025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45986</v>
      </c>
      <c r="E592" s="1" t="n">
        <v>46260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3697-2026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46260</v>
      </c>
      <c r="F593" t="inlineStr">
        <is>
          <t>GÄVLEBORGS LÄN</t>
        </is>
      </c>
      <c r="G593" t="inlineStr">
        <is>
          <t>OCKELBO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46609-2025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45926</v>
      </c>
      <c r="E594" s="1" t="n">
        <v>46260</v>
      </c>
      <c r="F594" t="inlineStr">
        <is>
          <t>GÄVLEBORGS LÄN</t>
        </is>
      </c>
      <c r="G594" t="inlineStr">
        <is>
          <t>OCKELBO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30011-2023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45109</v>
      </c>
      <c r="E595" s="1" t="n">
        <v>46260</v>
      </c>
      <c r="F595" t="inlineStr">
        <is>
          <t>GÄVLEBORGS LÄN</t>
        </is>
      </c>
      <c r="G595" t="inlineStr">
        <is>
          <t>OCKELBO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22569-2026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46260</v>
      </c>
      <c r="F596" t="inlineStr">
        <is>
          <t>GÄVLEBORGS LÄN</t>
        </is>
      </c>
      <c r="G596" t="inlineStr">
        <is>
          <t>OCKELBO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39430-2024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45551</v>
      </c>
      <c r="E597" s="1" t="n">
        <v>46260</v>
      </c>
      <c r="F597" t="inlineStr">
        <is>
          <t>GÄVLEBORGS LÄN</t>
        </is>
      </c>
      <c r="G597" t="inlineStr">
        <is>
          <t>OCKELBO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46260</v>
      </c>
      <c r="F598" t="inlineStr">
        <is>
          <t>GÄVLEBORGS LÄN</t>
        </is>
      </c>
      <c r="G598" t="inlineStr">
        <is>
          <t>OCKELBO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10149-2025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45719</v>
      </c>
      <c r="E599" s="1" t="n">
        <v>46260</v>
      </c>
      <c r="F599" t="inlineStr">
        <is>
          <t>GÄVLEBORGS LÄN</t>
        </is>
      </c>
      <c r="G599" t="inlineStr">
        <is>
          <t>OCKELBO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46155</v>
      </c>
      <c r="E600" s="1" t="n">
        <v>46260</v>
      </c>
      <c r="F600" t="inlineStr">
        <is>
          <t>GÄVLEBORGS LÄN</t>
        </is>
      </c>
      <c r="G600" t="inlineStr">
        <is>
          <t>OCKELBO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13210-2026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46260</v>
      </c>
      <c r="F601" t="inlineStr">
        <is>
          <t>GÄVLEBORGS LÄN</t>
        </is>
      </c>
      <c r="G601" t="inlineStr">
        <is>
          <t>OCKELBO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17221-2026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46119</v>
      </c>
      <c r="E602" s="1" t="n">
        <v>46260</v>
      </c>
      <c r="F602" t="inlineStr">
        <is>
          <t>GÄVLEBORGS LÄN</t>
        </is>
      </c>
      <c r="G602" t="inlineStr">
        <is>
          <t>OCKELBO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6654-2026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46260</v>
      </c>
      <c r="F603" t="inlineStr">
        <is>
          <t>GÄVLEBORGS LÄN</t>
        </is>
      </c>
      <c r="G603" t="inlineStr">
        <is>
          <t>OCKELBO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43071-2025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45909</v>
      </c>
      <c r="E604" s="1" t="n">
        <v>46260</v>
      </c>
      <c r="F604" t="inlineStr">
        <is>
          <t>GÄVLEBORGS LÄN</t>
        </is>
      </c>
      <c r="G604" t="inlineStr">
        <is>
          <t>OCKELBO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45073</v>
      </c>
      <c r="E605" s="1" t="n">
        <v>46260</v>
      </c>
      <c r="F605" t="inlineStr">
        <is>
          <t>GÄVLEBORGS LÄN</t>
        </is>
      </c>
      <c r="G605" t="inlineStr">
        <is>
          <t>OCKELBO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46260</v>
      </c>
      <c r="F606" t="inlineStr">
        <is>
          <t>GÄVLEBORGS LÄN</t>
        </is>
      </c>
      <c r="G606" t="inlineStr">
        <is>
          <t>OCKELBO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15034-2026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46260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46088</v>
      </c>
      <c r="E608" s="1" t="n">
        <v>46260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9.199999999999999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46260</v>
      </c>
      <c r="F609" t="inlineStr">
        <is>
          <t>GÄVLEBORGS LÄN</t>
        </is>
      </c>
      <c r="G609" t="inlineStr">
        <is>
          <t>OCKELBO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46049</v>
      </c>
      <c r="E610" s="1" t="n">
        <v>46260</v>
      </c>
      <c r="F610" t="inlineStr">
        <is>
          <t>GÄVLEBORGS LÄN</t>
        </is>
      </c>
      <c r="G610" t="inlineStr">
        <is>
          <t>OCKELBO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13182-2026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46260</v>
      </c>
      <c r="F611" t="inlineStr">
        <is>
          <t>GÄVLEBORGS LÄN</t>
        </is>
      </c>
      <c r="G611" t="inlineStr">
        <is>
          <t>OCKELBO</t>
        </is>
      </c>
      <c r="I611" t="n">
        <v>8.199999999999999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46260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60122-2025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45994</v>
      </c>
      <c r="E613" s="1" t="n">
        <v>46260</v>
      </c>
      <c r="F613" t="inlineStr">
        <is>
          <t>GÄVLEBORGS LÄN</t>
        </is>
      </c>
      <c r="G613" t="inlineStr">
        <is>
          <t>OCKELBO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60120-2025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45994</v>
      </c>
      <c r="E614" s="1" t="n">
        <v>46260</v>
      </c>
      <c r="F614" t="inlineStr">
        <is>
          <t>GÄVLEBORGS LÄN</t>
        </is>
      </c>
      <c r="G614" t="inlineStr">
        <is>
          <t>OCKELBO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22712-2026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46156</v>
      </c>
      <c r="E615" s="1" t="n">
        <v>46260</v>
      </c>
      <c r="F615" t="inlineStr">
        <is>
          <t>GÄVLEBORGS LÄN</t>
        </is>
      </c>
      <c r="G615" t="inlineStr">
        <is>
          <t>OCKELBO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17862-2026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46122</v>
      </c>
      <c r="E616" s="1" t="n">
        <v>46260</v>
      </c>
      <c r="F616" t="inlineStr">
        <is>
          <t>GÄVLEBORGS LÄN</t>
        </is>
      </c>
      <c r="G616" t="inlineStr">
        <is>
          <t>OCKELBO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46260</v>
      </c>
      <c r="F617" t="inlineStr">
        <is>
          <t>GÄVLEBORGS LÄN</t>
        </is>
      </c>
      <c r="G617" t="inlineStr">
        <is>
          <t>OCKELBO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23040-2026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46161</v>
      </c>
      <c r="E618" s="1" t="n">
        <v>46260</v>
      </c>
      <c r="F618" t="inlineStr">
        <is>
          <t>GÄVLEBORGS LÄN</t>
        </is>
      </c>
      <c r="G618" t="inlineStr">
        <is>
          <t>OCKELBO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46260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14071-2026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46099</v>
      </c>
      <c r="E620" s="1" t="n">
        <v>46260</v>
      </c>
      <c r="F620" t="inlineStr">
        <is>
          <t>GÄVLEBORGS LÄN</t>
        </is>
      </c>
      <c r="G620" t="inlineStr">
        <is>
          <t>OCKELBO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22843-2026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46160</v>
      </c>
      <c r="E621" s="1" t="n">
        <v>46260</v>
      </c>
      <c r="F621" t="inlineStr">
        <is>
          <t>GÄVLEBORGS LÄN</t>
        </is>
      </c>
      <c r="G621" t="inlineStr">
        <is>
          <t>OCKELBO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23149-2026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46161</v>
      </c>
      <c r="E622" s="1" t="n">
        <v>46260</v>
      </c>
      <c r="F622" t="inlineStr">
        <is>
          <t>GÄVLEBORGS LÄN</t>
        </is>
      </c>
      <c r="G622" t="inlineStr">
        <is>
          <t>OCKELBO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61732-2024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45649</v>
      </c>
      <c r="E623" s="1" t="n">
        <v>46260</v>
      </c>
      <c r="F623" t="inlineStr">
        <is>
          <t>GÄVLEBORGS LÄN</t>
        </is>
      </c>
      <c r="G623" t="inlineStr">
        <is>
          <t>OCKELBO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23513-2026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46163</v>
      </c>
      <c r="E624" s="1" t="n">
        <v>46260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9859-2025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45716</v>
      </c>
      <c r="E625" s="1" t="n">
        <v>46260</v>
      </c>
      <c r="F625" t="inlineStr">
        <is>
          <t>GÄVLEBORGS LÄN</t>
        </is>
      </c>
      <c r="G625" t="inlineStr">
        <is>
          <t>OCKELBO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35017-2025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45851</v>
      </c>
      <c r="E626" s="1" t="n">
        <v>46260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50197-2024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45600</v>
      </c>
      <c r="E627" s="1" t="n">
        <v>46260</v>
      </c>
      <c r="F627" t="inlineStr">
        <is>
          <t>GÄVLEBORGS LÄN</t>
        </is>
      </c>
      <c r="G627" t="inlineStr">
        <is>
          <t>OCKELBO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23663-2026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46164</v>
      </c>
      <c r="E628" s="1" t="n">
        <v>46260</v>
      </c>
      <c r="F628" t="inlineStr">
        <is>
          <t>GÄVLEBORGS LÄN</t>
        </is>
      </c>
      <c r="G628" t="inlineStr">
        <is>
          <t>OCKELBO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23786-2026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46164</v>
      </c>
      <c r="E629" s="1" t="n">
        <v>46260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4001-2026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46044</v>
      </c>
      <c r="E630" s="1" t="n">
        <v>46260</v>
      </c>
      <c r="F630" t="inlineStr">
        <is>
          <t>GÄVLEBORGS LÄN</t>
        </is>
      </c>
      <c r="G630" t="inlineStr">
        <is>
          <t>OCKELBO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46260</v>
      </c>
      <c r="F631" t="inlineStr">
        <is>
          <t>GÄVLEBORGS LÄN</t>
        </is>
      </c>
      <c r="G631" t="inlineStr">
        <is>
          <t>OCKELBO</t>
        </is>
      </c>
      <c r="I631" t="n">
        <v>8.1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46260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46260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24063-2026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46260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23772-2024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45455</v>
      </c>
      <c r="E635" s="1" t="n">
        <v>46260</v>
      </c>
      <c r="F635" t="inlineStr">
        <is>
          <t>GÄVLEBORGS LÄN</t>
        </is>
      </c>
      <c r="G635" t="inlineStr">
        <is>
          <t>OCKELBO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24335-2026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46260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24185-2026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46260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46169</v>
      </c>
      <c r="E638" s="1" t="n">
        <v>46260</v>
      </c>
      <c r="F638" t="inlineStr">
        <is>
          <t>GÄVLEBORGS LÄN</t>
        </is>
      </c>
      <c r="G638" t="inlineStr">
        <is>
          <t>OCKELBO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46260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46260</v>
      </c>
      <c r="F640" t="inlineStr">
        <is>
          <t>GÄVLEBORGS LÄN</t>
        </is>
      </c>
      <c r="G640" t="inlineStr">
        <is>
          <t>OCKELBO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46170</v>
      </c>
      <c r="E641" s="1" t="n">
        <v>46260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46260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46260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24598-2026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46260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46260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24521-2026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46170</v>
      </c>
      <c r="E646" s="1" t="n">
        <v>46260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11974-2026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46085</v>
      </c>
      <c r="E647" s="1" t="n">
        <v>46260</v>
      </c>
      <c r="F647" t="inlineStr">
        <is>
          <t>GÄVLEBORGS LÄN</t>
        </is>
      </c>
      <c r="G647" t="inlineStr">
        <is>
          <t>OCKELBO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54817-2022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44883</v>
      </c>
      <c r="E648" s="1" t="n">
        <v>46260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46023</v>
      </c>
      <c r="E649" s="1" t="n">
        <v>46260</v>
      </c>
      <c r="F649" t="inlineStr">
        <is>
          <t>GÄVLEBORGS LÄN</t>
        </is>
      </c>
      <c r="G649" t="inlineStr">
        <is>
          <t>OCKELBO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24968-2026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46174</v>
      </c>
      <c r="E650" s="1" t="n">
        <v>46260</v>
      </c>
      <c r="F650" t="inlineStr">
        <is>
          <t>GÄVLEBORGS LÄN</t>
        </is>
      </c>
      <c r="G650" t="inlineStr">
        <is>
          <t>OCKELBO</t>
        </is>
      </c>
      <c r="I650" t="n">
        <v>6.2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54944-2025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45967</v>
      </c>
      <c r="E651" s="1" t="n">
        <v>46260</v>
      </c>
      <c r="F651" t="inlineStr">
        <is>
          <t>GÄVLEBORGS LÄN</t>
        </is>
      </c>
      <c r="G651" t="inlineStr">
        <is>
          <t>OCKELBO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24952-2026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46260</v>
      </c>
      <c r="F652" t="inlineStr">
        <is>
          <t>GÄVLEBORGS LÄN</t>
        </is>
      </c>
      <c r="G652" t="inlineStr">
        <is>
          <t>OCKELBO</t>
        </is>
      </c>
      <c r="I652" t="n">
        <v>7.9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46174</v>
      </c>
      <c r="E653" s="1" t="n">
        <v>46260</v>
      </c>
      <c r="F653" t="inlineStr">
        <is>
          <t>GÄVLEBORGS LÄN</t>
        </is>
      </c>
      <c r="G653" t="inlineStr">
        <is>
          <t>OCKELBO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24624-2026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46171</v>
      </c>
      <c r="E654" s="1" t="n">
        <v>46260</v>
      </c>
      <c r="F654" t="inlineStr">
        <is>
          <t>GÄVLEBORGS LÄN</t>
        </is>
      </c>
      <c r="G654" t="inlineStr">
        <is>
          <t>OCKELBO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40196-2024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45554</v>
      </c>
      <c r="E655" s="1" t="n">
        <v>46260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46218</v>
      </c>
      <c r="E656" s="1" t="n">
        <v>46260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54977-2024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45620</v>
      </c>
      <c r="E657" s="1" t="n">
        <v>46260</v>
      </c>
      <c r="F657" t="inlineStr">
        <is>
          <t>GÄVLEBORGS LÄN</t>
        </is>
      </c>
      <c r="G657" t="inlineStr">
        <is>
          <t>OCKELBO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47674-2023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45203</v>
      </c>
      <c r="E658" s="1" t="n">
        <v>46260</v>
      </c>
      <c r="F658" t="inlineStr">
        <is>
          <t>GÄVLEBORGS LÄN</t>
        </is>
      </c>
      <c r="G658" t="inlineStr">
        <is>
          <t>OCKELBO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25128-2026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46175</v>
      </c>
      <c r="E659" s="1" t="n">
        <v>46260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25133-2026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46175</v>
      </c>
      <c r="E660" s="1" t="n">
        <v>46260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46223</v>
      </c>
      <c r="E661" s="1" t="n">
        <v>46260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50968-2024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45603</v>
      </c>
      <c r="E662" s="1" t="n">
        <v>46260</v>
      </c>
      <c r="F662" t="inlineStr">
        <is>
          <t>GÄVLEBORGS LÄN</t>
        </is>
      </c>
      <c r="G662" t="inlineStr">
        <is>
          <t>OCKELBO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46220</v>
      </c>
      <c r="E663" s="1" t="n">
        <v>46260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14937-2024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45398</v>
      </c>
      <c r="E664" s="1" t="n">
        <v>46260</v>
      </c>
      <c r="F664" t="inlineStr">
        <is>
          <t>GÄVLEBORGS LÄN</t>
        </is>
      </c>
      <c r="G664" t="inlineStr">
        <is>
          <t>OCKELBO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33880-2023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45134</v>
      </c>
      <c r="E665" s="1" t="n">
        <v>46260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33881-2023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45134</v>
      </c>
      <c r="E666" s="1" t="n">
        <v>46260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9964-2025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45719</v>
      </c>
      <c r="E667" s="1" t="n">
        <v>46260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öst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61456-2024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45646</v>
      </c>
      <c r="E668" s="1" t="n">
        <v>46260</v>
      </c>
      <c r="F668" t="inlineStr">
        <is>
          <t>GÄVLEBORGS LÄN</t>
        </is>
      </c>
      <c r="G668" t="inlineStr">
        <is>
          <t>OCKELBO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25525-2026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46177</v>
      </c>
      <c r="E669" s="1" t="n">
        <v>46260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9.4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39424-2024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45551</v>
      </c>
      <c r="E670" s="1" t="n">
        <v>46260</v>
      </c>
      <c r="F670" t="inlineStr">
        <is>
          <t>GÄVLEBORGS LÄN</t>
        </is>
      </c>
      <c r="G670" t="inlineStr">
        <is>
          <t>OCKELBO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46177</v>
      </c>
      <c r="E671" s="1" t="n">
        <v>46260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47100-2024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45586</v>
      </c>
      <c r="E672" s="1" t="n">
        <v>46260</v>
      </c>
      <c r="F672" t="inlineStr">
        <is>
          <t>GÄVLEBORGS LÄN</t>
        </is>
      </c>
      <c r="G672" t="inlineStr">
        <is>
          <t>OCKELBO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44281-2022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44839</v>
      </c>
      <c r="E673" s="1" t="n">
        <v>46260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22692-2026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46156</v>
      </c>
      <c r="E674" s="1" t="n">
        <v>46260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31591-2026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46224</v>
      </c>
      <c r="E675" s="1" t="n">
        <v>46260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26131-2026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46181</v>
      </c>
      <c r="E676" s="1" t="n">
        <v>46260</v>
      </c>
      <c r="F676" t="inlineStr">
        <is>
          <t>GÄVLEBORGS LÄN</t>
        </is>
      </c>
      <c r="G676" t="inlineStr">
        <is>
          <t>OCKELBO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46224</v>
      </c>
      <c r="E677" s="1" t="n">
        <v>46260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60497-2021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44496</v>
      </c>
      <c r="E678" s="1" t="n">
        <v>46260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38652-2025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45884</v>
      </c>
      <c r="E679" s="1" t="n">
        <v>46260</v>
      </c>
      <c r="F679" t="inlineStr">
        <is>
          <t>GÄVLEBORGS LÄN</t>
        </is>
      </c>
      <c r="G679" t="inlineStr">
        <is>
          <t>OCKELBO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6396-2025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45699</v>
      </c>
      <c r="E680" s="1" t="n">
        <v>46260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43550-2023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45184</v>
      </c>
      <c r="E681" s="1" t="n">
        <v>46260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31804-2026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46230</v>
      </c>
      <c r="E682" s="1" t="n">
        <v>46260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26808-2026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46260</v>
      </c>
      <c r="F683" t="inlineStr">
        <is>
          <t>GÄVLEBORGS LÄN</t>
        </is>
      </c>
      <c r="G683" t="inlineStr">
        <is>
          <t>OCKELBO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26861-2026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46260</v>
      </c>
      <c r="F684" t="inlineStr">
        <is>
          <t>GÄVLEBORGS LÄN</t>
        </is>
      </c>
      <c r="G684" t="inlineStr">
        <is>
          <t>OCKELBO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27231-2026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46260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27272-2026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46188</v>
      </c>
      <c r="E686" s="1" t="n">
        <v>46260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26924-2026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46260</v>
      </c>
      <c r="F687" t="inlineStr">
        <is>
          <t>GÄVLEBORGS LÄN</t>
        </is>
      </c>
      <c r="G687" t="inlineStr">
        <is>
          <t>OCKELBO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46260</v>
      </c>
      <c r="F688" t="inlineStr">
        <is>
          <t>GÄVLEBORGS LÄN</t>
        </is>
      </c>
      <c r="G688" t="inlineStr">
        <is>
          <t>OCKELBO</t>
        </is>
      </c>
      <c r="I688" t="n">
        <v>14.6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26845-2026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46260</v>
      </c>
      <c r="F689" t="inlineStr">
        <is>
          <t>GÄVLEBORGS LÄN</t>
        </is>
      </c>
      <c r="G689" t="inlineStr">
        <is>
          <t>OCKELBO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46190</v>
      </c>
      <c r="E690" s="1" t="n">
        <v>46260</v>
      </c>
      <c r="F690" t="inlineStr">
        <is>
          <t>GÄVLEBORGS LÄN</t>
        </is>
      </c>
      <c r="G690" t="inlineStr">
        <is>
          <t>OCKELBO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31971-2026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46232</v>
      </c>
      <c r="E691" s="1" t="n">
        <v>46260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57614-2025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45981</v>
      </c>
      <c r="E692" s="1" t="n">
        <v>46260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10184-2026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46076</v>
      </c>
      <c r="E693" s="1" t="n">
        <v>46260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27620-2026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46190</v>
      </c>
      <c r="E694" s="1" t="n">
        <v>46260</v>
      </c>
      <c r="F694" t="inlineStr">
        <is>
          <t>GÄVLEBORGS LÄN</t>
        </is>
      </c>
      <c r="G694" t="inlineStr">
        <is>
          <t>OCKELBO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27623-2026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46190</v>
      </c>
      <c r="E695" s="1" t="n">
        <v>46260</v>
      </c>
      <c r="F695" t="inlineStr">
        <is>
          <t>GÄVLEBORGS LÄN</t>
        </is>
      </c>
      <c r="G695" t="inlineStr">
        <is>
          <t>OCKELBO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27630-2026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46190</v>
      </c>
      <c r="E696" s="1" t="n">
        <v>46260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45615</v>
      </c>
      <c r="E697" s="1" t="n">
        <v>46260</v>
      </c>
      <c r="F697" t="inlineStr">
        <is>
          <t>GÄVLEBORGS LÄN</t>
        </is>
      </c>
      <c r="G697" t="inlineStr">
        <is>
          <t>OCKELBO</t>
        </is>
      </c>
      <c r="I697" t="n">
        <v>5.8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46189</v>
      </c>
      <c r="E698" s="1" t="n">
        <v>46260</v>
      </c>
      <c r="F698" t="inlineStr">
        <is>
          <t>GÄVLEBORGS LÄN</t>
        </is>
      </c>
      <c r="G698" t="inlineStr">
        <is>
          <t>OCKELBO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46189</v>
      </c>
      <c r="E699" s="1" t="n">
        <v>46260</v>
      </c>
      <c r="F699" t="inlineStr">
        <is>
          <t>GÄVLEBORGS LÄN</t>
        </is>
      </c>
      <c r="G699" t="inlineStr">
        <is>
          <t>OCKELBO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46260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27379-2026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46189</v>
      </c>
      <c r="E701" s="1" t="n">
        <v>46260</v>
      </c>
      <c r="F701" t="inlineStr">
        <is>
          <t>GÄVLEBORGS LÄN</t>
        </is>
      </c>
      <c r="G701" t="inlineStr">
        <is>
          <t>OCKELBO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27382-2026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46189</v>
      </c>
      <c r="E702" s="1" t="n">
        <v>46260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27889-2026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46191</v>
      </c>
      <c r="E703" s="1" t="n">
        <v>46260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46055</v>
      </c>
      <c r="E704" s="1" t="n">
        <v>46260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32123-2024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45511</v>
      </c>
      <c r="E705" s="1" t="n">
        <v>46260</v>
      </c>
      <c r="F705" t="inlineStr">
        <is>
          <t>GÄVLEBORGS LÄN</t>
        </is>
      </c>
      <c r="G705" t="inlineStr">
        <is>
          <t>OCKELBO</t>
        </is>
      </c>
      <c r="I705" t="n">
        <v>11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46260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40140-2022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44820</v>
      </c>
      <c r="E707" s="1" t="n">
        <v>46260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36343-2023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45152</v>
      </c>
      <c r="E708" s="1" t="n">
        <v>46260</v>
      </c>
      <c r="F708" t="inlineStr">
        <is>
          <t>GÄVLEBORGS LÄN</t>
        </is>
      </c>
      <c r="G708" t="inlineStr">
        <is>
          <t>OCKELBO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12983-2022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44643</v>
      </c>
      <c r="E709" s="1" t="n">
        <v>46260</v>
      </c>
      <c r="F709" t="inlineStr">
        <is>
          <t>GÄVLEBORGS LÄN</t>
        </is>
      </c>
      <c r="G709" t="inlineStr">
        <is>
          <t>OCKELBO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28289-2026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46260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56631-2022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44893</v>
      </c>
      <c r="E711" s="1" t="n">
        <v>46260</v>
      </c>
      <c r="F711" t="inlineStr">
        <is>
          <t>GÄVLEBORGS LÄN</t>
        </is>
      </c>
      <c r="G711" t="inlineStr">
        <is>
          <t>OCKELBO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46260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29687-2023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45107</v>
      </c>
      <c r="E713" s="1" t="n">
        <v>46260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27995-2026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46260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56634-2023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45243</v>
      </c>
      <c r="E715" s="1" t="n">
        <v>46260</v>
      </c>
      <c r="F715" t="inlineStr">
        <is>
          <t>GÄVLEBORGS LÄN</t>
        </is>
      </c>
      <c r="G715" t="inlineStr">
        <is>
          <t>OCKELBO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1716-2025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45671</v>
      </c>
      <c r="E716" s="1" t="n">
        <v>46260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49207-2023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45210</v>
      </c>
      <c r="E717" s="1" t="n">
        <v>46260</v>
      </c>
      <c r="F717" t="inlineStr">
        <is>
          <t>GÄVLEBORGS LÄN</t>
        </is>
      </c>
      <c r="G717" t="inlineStr">
        <is>
          <t>OCKELBO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46260</v>
      </c>
      <c r="F718" t="inlineStr">
        <is>
          <t>GÄVLEBORGS LÄN</t>
        </is>
      </c>
      <c r="G718" t="inlineStr">
        <is>
          <t>OCKELBO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28725-2026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46260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28681-2026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46260</v>
      </c>
      <c r="F720" t="inlineStr">
        <is>
          <t>GÄVLEBORGS LÄN</t>
        </is>
      </c>
      <c r="G720" t="inlineStr">
        <is>
          <t>OCKELBO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48804-2024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45593</v>
      </c>
      <c r="E721" s="1" t="n">
        <v>46260</v>
      </c>
      <c r="F721" t="inlineStr">
        <is>
          <t>GÄVLEBORGS LÄN</t>
        </is>
      </c>
      <c r="G721" t="inlineStr">
        <is>
          <t>OCKELBO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46260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47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3034-2025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45678</v>
      </c>
      <c r="E723" s="1" t="n">
        <v>46260</v>
      </c>
      <c r="F723" t="inlineStr">
        <is>
          <t>GÄVLEBORGS LÄN</t>
        </is>
      </c>
      <c r="G723" t="inlineStr">
        <is>
          <t>OCKELBO</t>
        </is>
      </c>
      <c r="I723" t="n">
        <v>8.1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37438-2023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45156</v>
      </c>
      <c r="E724" s="1" t="n">
        <v>46260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29001-2026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46199</v>
      </c>
      <c r="E725" s="1" t="n">
        <v>46260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45674</v>
      </c>
      <c r="E726" s="1" t="n">
        <v>46260</v>
      </c>
      <c r="F726" t="inlineStr">
        <is>
          <t>GÄVLEBORGS LÄN</t>
        </is>
      </c>
      <c r="G726" t="inlineStr">
        <is>
          <t>OCKELBO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46045</v>
      </c>
      <c r="E727" s="1" t="n">
        <v>46260</v>
      </c>
      <c r="F727" t="inlineStr">
        <is>
          <t>GÄVLEBORGS LÄN</t>
        </is>
      </c>
      <c r="G727" t="inlineStr">
        <is>
          <t>OCKELBO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33176-2026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46245</v>
      </c>
      <c r="E728" s="1" t="n">
        <v>46260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26481-2026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46260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14827-2026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46104</v>
      </c>
      <c r="E730" s="1" t="n">
        <v>46260</v>
      </c>
      <c r="F730" t="inlineStr">
        <is>
          <t>GÄVLEBORGS LÄN</t>
        </is>
      </c>
      <c r="G730" t="inlineStr">
        <is>
          <t>OCKELBO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29611-2026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46260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29437-2026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46203</v>
      </c>
      <c r="E732" s="1" t="n">
        <v>46260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29386-2026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46203</v>
      </c>
      <c r="E733" s="1" t="n">
        <v>46260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34944-2024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45527</v>
      </c>
      <c r="E734" s="1" t="n">
        <v>46260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46260</v>
      </c>
      <c r="F735" t="inlineStr">
        <is>
          <t>GÄVLEBORGS LÄN</t>
        </is>
      </c>
      <c r="G735" t="inlineStr">
        <is>
          <t>OCKELBO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31519-2026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46223</v>
      </c>
      <c r="E736" s="1" t="n">
        <v>46260</v>
      </c>
      <c r="F736" t="inlineStr">
        <is>
          <t>GÄVLEBORGS LÄN</t>
        </is>
      </c>
      <c r="G736" t="inlineStr">
        <is>
          <t>OCKELBO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29415-2026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46260</v>
      </c>
      <c r="F737" t="inlineStr">
        <is>
          <t>GÄVLEBORGS LÄN</t>
        </is>
      </c>
      <c r="G737" t="inlineStr">
        <is>
          <t>OCKELBO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32301-2022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44781</v>
      </c>
      <c r="E738" s="1" t="n">
        <v>46260</v>
      </c>
      <c r="F738" t="inlineStr">
        <is>
          <t>GÄVLEBORGS LÄN</t>
        </is>
      </c>
      <c r="G738" t="inlineStr">
        <is>
          <t>OCKELBO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29849-2026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46260</v>
      </c>
      <c r="F739" t="inlineStr">
        <is>
          <t>GÄVLEBORGS LÄN</t>
        </is>
      </c>
      <c r="G739" t="inlineStr">
        <is>
          <t>OCKELBO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61116-2023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45261</v>
      </c>
      <c r="E740" s="1" t="n">
        <v>46260</v>
      </c>
      <c r="F740" t="inlineStr">
        <is>
          <t>GÄVLEBORGS LÄN</t>
        </is>
      </c>
      <c r="G740" t="inlineStr">
        <is>
          <t>OCKELBO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30031-2026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46260</v>
      </c>
      <c r="F741" t="inlineStr">
        <is>
          <t>GÄVLEBORGS LÄN</t>
        </is>
      </c>
      <c r="G741" t="inlineStr">
        <is>
          <t>OCKELBO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29789-2026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46205</v>
      </c>
      <c r="E742" s="1" t="n">
        <v>46260</v>
      </c>
      <c r="F742" t="inlineStr">
        <is>
          <t>GÄVLEBORGS LÄN</t>
        </is>
      </c>
      <c r="G742" t="inlineStr">
        <is>
          <t>OCKELBO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29835-2026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46205</v>
      </c>
      <c r="E743" s="1" t="n">
        <v>46260</v>
      </c>
      <c r="F743" t="inlineStr">
        <is>
          <t>GÄVLEBORGS LÄN</t>
        </is>
      </c>
      <c r="G743" t="inlineStr">
        <is>
          <t>OCKELBO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17730-2025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45758</v>
      </c>
      <c r="E744" s="1" t="n">
        <v>46260</v>
      </c>
      <c r="F744" t="inlineStr">
        <is>
          <t>GÄVLEBORGS LÄN</t>
        </is>
      </c>
      <c r="G744" t="inlineStr">
        <is>
          <t>OCKELBO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36362-2024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45534</v>
      </c>
      <c r="E745" s="1" t="n">
        <v>46260</v>
      </c>
      <c r="F745" t="inlineStr">
        <is>
          <t>GÄVLEBORGS LÄN</t>
        </is>
      </c>
      <c r="G745" t="inlineStr">
        <is>
          <t>OCKELBO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5558-2024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45334</v>
      </c>
      <c r="E746" s="1" t="n">
        <v>46260</v>
      </c>
      <c r="F746" t="inlineStr">
        <is>
          <t>GÄVLEBORGS LÄN</t>
        </is>
      </c>
      <c r="G746" t="inlineStr">
        <is>
          <t>OCKELBO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34391-2026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46260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52335-2024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45609</v>
      </c>
      <c r="E748" s="1" t="n">
        <v>46260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15966-2023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45022</v>
      </c>
      <c r="E749" s="1" t="n">
        <v>46260</v>
      </c>
      <c r="F749" t="inlineStr">
        <is>
          <t>GÄVLEBORGS LÄN</t>
        </is>
      </c>
      <c r="G749" t="inlineStr">
        <is>
          <t>OCKELBO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34444-2023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45139</v>
      </c>
      <c r="E750" s="1" t="n">
        <v>46260</v>
      </c>
      <c r="F750" t="inlineStr">
        <is>
          <t>GÄVLEBORGS LÄN</t>
        </is>
      </c>
      <c r="G750" t="inlineStr">
        <is>
          <t>OCKELBO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55070-2023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45237</v>
      </c>
      <c r="E751" s="1" t="n">
        <v>46260</v>
      </c>
      <c r="F751" t="inlineStr">
        <is>
          <t>GÄVLEBORGS LÄN</t>
        </is>
      </c>
      <c r="G751" t="inlineStr">
        <is>
          <t>OCKELBO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6194-2025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45698</v>
      </c>
      <c r="E752" s="1" t="n">
        <v>46260</v>
      </c>
      <c r="F752" t="inlineStr">
        <is>
          <t>GÄVLEBORGS LÄN</t>
        </is>
      </c>
      <c r="G752" t="inlineStr">
        <is>
          <t>OCKELBO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31083-2026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46216</v>
      </c>
      <c r="E753" s="1" t="n">
        <v>46260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34765-2026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46258</v>
      </c>
      <c r="E754" s="1" t="n">
        <v>46260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11734-2025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45727</v>
      </c>
      <c r="E755" s="1" t="n">
        <v>46260</v>
      </c>
      <c r="F755" t="inlineStr">
        <is>
          <t>GÄVLEBORGS LÄN</t>
        </is>
      </c>
      <c r="G755" t="inlineStr">
        <is>
          <t>OCKELBO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5898-2026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46052</v>
      </c>
      <c r="E756" s="1" t="n">
        <v>46260</v>
      </c>
      <c r="F756" t="inlineStr">
        <is>
          <t>GÄVLEBORGS LÄN</t>
        </is>
      </c>
      <c r="G756" t="inlineStr">
        <is>
          <t>OCKELBO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30990-2026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46213</v>
      </c>
      <c r="E757" s="1" t="n">
        <v>46260</v>
      </c>
      <c r="F757" t="inlineStr">
        <is>
          <t>GÄVLEBORGS LÄN</t>
        </is>
      </c>
      <c r="G757" t="inlineStr">
        <is>
          <t>OCKELBO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30798-2024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45497</v>
      </c>
      <c r="E758" s="1" t="n">
        <v>46260</v>
      </c>
      <c r="F758" t="inlineStr">
        <is>
          <t>GÄVLEBORGS LÄN</t>
        </is>
      </c>
      <c r="G758" t="inlineStr">
        <is>
          <t>OCKELBO</t>
        </is>
      </c>
      <c r="I758" t="n">
        <v>8.699999999999999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43799-2022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44838</v>
      </c>
      <c r="E759" s="1" t="n">
        <v>46260</v>
      </c>
      <c r="F759" t="inlineStr">
        <is>
          <t>GÄVLEBORGS LÄN</t>
        </is>
      </c>
      <c r="G759" t="inlineStr">
        <is>
          <t>OCKELBO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37391-2023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46260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33987-2023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45134</v>
      </c>
      <c r="E761" s="1" t="n">
        <v>46260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33879-2023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45134</v>
      </c>
      <c r="E762" s="1" t="n">
        <v>46260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49529-2024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45596</v>
      </c>
      <c r="E763" s="1" t="n">
        <v>46260</v>
      </c>
      <c r="F763" t="inlineStr">
        <is>
          <t>GÄVLEBORGS LÄN</t>
        </is>
      </c>
      <c r="G763" t="inlineStr">
        <is>
          <t>OCKELBO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56034-2023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45240</v>
      </c>
      <c r="E764" s="1" t="n">
        <v>46260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52330-2024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45609</v>
      </c>
      <c r="E765" s="1" t="n">
        <v>46260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34449-2023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45139</v>
      </c>
      <c r="E766" s="1" t="n">
        <v>46260</v>
      </c>
      <c r="F766" t="inlineStr">
        <is>
          <t>GÄVLEBORGS LÄN</t>
        </is>
      </c>
      <c r="G766" t="inlineStr">
        <is>
          <t>OCKELBO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37845-2024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45544</v>
      </c>
      <c r="E767" s="1" t="n">
        <v>46260</v>
      </c>
      <c r="F767" t="inlineStr">
        <is>
          <t>GÄVLEBORGS LÄN</t>
        </is>
      </c>
      <c r="G767" t="inlineStr">
        <is>
          <t>OCKELBO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28965-2024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45481</v>
      </c>
      <c r="E768" s="1" t="n">
        <v>46260</v>
      </c>
      <c r="F768" t="inlineStr">
        <is>
          <t>GÄVLEBORGS LÄN</t>
        </is>
      </c>
      <c r="G768" t="inlineStr">
        <is>
          <t>OCKELBO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55906-2024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45623</v>
      </c>
      <c r="E769" s="1" t="n">
        <v>46260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24228-2022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44725</v>
      </c>
      <c r="E770" s="1" t="n">
        <v>46260</v>
      </c>
      <c r="F770" t="inlineStr">
        <is>
          <t>GÄVLEBORGS LÄN</t>
        </is>
      </c>
      <c r="G770" t="inlineStr">
        <is>
          <t>OCKELBO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64609-2023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45281</v>
      </c>
      <c r="E771" s="1" t="n">
        <v>46260</v>
      </c>
      <c r="F771" t="inlineStr">
        <is>
          <t>GÄVLEBORGS LÄN</t>
        </is>
      </c>
      <c r="G771" t="inlineStr">
        <is>
          <t>OCKELBO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3626-2023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44950</v>
      </c>
      <c r="E772" s="1" t="n">
        <v>46260</v>
      </c>
      <c r="F772" t="inlineStr">
        <is>
          <t>GÄVLEBORGS LÄN</t>
        </is>
      </c>
      <c r="G772" t="inlineStr">
        <is>
          <t>OCKELBO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21900-2023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45068</v>
      </c>
      <c r="E773" s="1" t="n">
        <v>46260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45771</v>
      </c>
      <c r="E774" s="1" t="n">
        <v>46260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21878-2023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45068</v>
      </c>
      <c r="E775" s="1" t="n">
        <v>46260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36295-2024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45534</v>
      </c>
      <c r="E776" s="1" t="n">
        <v>46260</v>
      </c>
      <c r="F776" t="inlineStr">
        <is>
          <t>GÄVLEBORGS LÄN</t>
        </is>
      </c>
      <c r="G776" t="inlineStr">
        <is>
          <t>OCKELBO</t>
        </is>
      </c>
      <c r="I776" t="n">
        <v>7.9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53488-2023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45230</v>
      </c>
      <c r="E777" s="1" t="n">
        <v>46260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37442-2023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45156</v>
      </c>
      <c r="E778" s="1" t="n">
        <v>46260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22385-2023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45070</v>
      </c>
      <c r="E779" s="1" t="n">
        <v>46260</v>
      </c>
      <c r="F779" t="inlineStr">
        <is>
          <t>GÄVLEBORGS LÄN</t>
        </is>
      </c>
      <c r="G779" t="inlineStr">
        <is>
          <t>OCKELBO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56741-2024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45628</v>
      </c>
      <c r="E780" s="1" t="n">
        <v>46260</v>
      </c>
      <c r="F780" t="inlineStr">
        <is>
          <t>GÄVLEBORGS LÄN</t>
        </is>
      </c>
      <c r="G780" t="inlineStr">
        <is>
          <t>OCKELBO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19772-2025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45771</v>
      </c>
      <c r="E781" s="1" t="n">
        <v>46260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29567-2024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45484</v>
      </c>
      <c r="E782" s="1" t="n">
        <v>46260</v>
      </c>
      <c r="F782" t="inlineStr">
        <is>
          <t>GÄVLEBORGS LÄN</t>
        </is>
      </c>
      <c r="G782" t="inlineStr">
        <is>
          <t>OCKELBO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64367-2023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45280</v>
      </c>
      <c r="E783" s="1" t="n">
        <v>46260</v>
      </c>
      <c r="F783" t="inlineStr">
        <is>
          <t>GÄVLEBORGS LÄN</t>
        </is>
      </c>
      <c r="G783" t="inlineStr">
        <is>
          <t>OCKELBO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55715-2023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45239</v>
      </c>
      <c r="E784" s="1" t="n">
        <v>46260</v>
      </c>
      <c r="F784" t="inlineStr">
        <is>
          <t>GÄVLEBORGS LÄN</t>
        </is>
      </c>
      <c r="G784" t="inlineStr">
        <is>
          <t>OCKELBO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47849-2021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44448</v>
      </c>
      <c r="E785" s="1" t="n">
        <v>46260</v>
      </c>
      <c r="F785" t="inlineStr">
        <is>
          <t>GÄVLEBORGS LÄN</t>
        </is>
      </c>
      <c r="G785" t="inlineStr">
        <is>
          <t>OCKELBO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50194-2024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45600</v>
      </c>
      <c r="E786" s="1" t="n">
        <v>46260</v>
      </c>
      <c r="F786" t="inlineStr">
        <is>
          <t>GÄVLEBORGS LÄN</t>
        </is>
      </c>
      <c r="G786" t="inlineStr">
        <is>
          <t>OCKELBO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15247-2025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45744</v>
      </c>
      <c r="E787" s="1" t="n">
        <v>46260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22952-2023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45072</v>
      </c>
      <c r="E788" s="1" t="n">
        <v>46260</v>
      </c>
      <c r="F788" t="inlineStr">
        <is>
          <t>GÄVLEBORGS LÄN</t>
        </is>
      </c>
      <c r="G788" t="inlineStr">
        <is>
          <t>OCKELBO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22824-2024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45448</v>
      </c>
      <c r="E789" s="1" t="n">
        <v>46260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1143-2025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45666</v>
      </c>
      <c r="E790" s="1" t="n">
        <v>46260</v>
      </c>
      <c r="F790" t="inlineStr">
        <is>
          <t>GÄVLEBORGS LÄN</t>
        </is>
      </c>
      <c r="G790" t="inlineStr">
        <is>
          <t>OCKELBO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61750-2023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45265</v>
      </c>
      <c r="E791" s="1" t="n">
        <v>46260</v>
      </c>
      <c r="F791" t="inlineStr">
        <is>
          <t>GÄVLEBORGS LÄN</t>
        </is>
      </c>
      <c r="G791" t="inlineStr">
        <is>
          <t>OCKELBO</t>
        </is>
      </c>
      <c r="I791" t="n">
        <v>11.2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33985-2023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45134</v>
      </c>
      <c r="E792" s="1" t="n">
        <v>46260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3628-2023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44950</v>
      </c>
      <c r="E793" s="1" t="n">
        <v>46260</v>
      </c>
      <c r="F793" t="inlineStr">
        <is>
          <t>GÄVLEBORGS LÄN</t>
        </is>
      </c>
      <c r="G793" t="inlineStr">
        <is>
          <t>OCKELBO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20775-2025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45776</v>
      </c>
      <c r="E794" s="1" t="n">
        <v>46260</v>
      </c>
      <c r="F794" t="inlineStr">
        <is>
          <t>GÄVLEBORGS LÄN</t>
        </is>
      </c>
      <c r="G794" t="inlineStr">
        <is>
          <t>OCKELBO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23780-2024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45455</v>
      </c>
      <c r="E795" s="1" t="n">
        <v>46260</v>
      </c>
      <c r="F795" t="inlineStr">
        <is>
          <t>GÄVLEBORGS LÄN</t>
        </is>
      </c>
      <c r="G795" t="inlineStr">
        <is>
          <t>OCKELBO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52273-2024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45608</v>
      </c>
      <c r="E796" s="1" t="n">
        <v>46260</v>
      </c>
      <c r="F796" t="inlineStr">
        <is>
          <t>GÄVLEBORGS LÄN</t>
        </is>
      </c>
      <c r="G796" t="inlineStr">
        <is>
          <t>OCKELBO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37848-2024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45544</v>
      </c>
      <c r="E797" s="1" t="n">
        <v>46260</v>
      </c>
      <c r="F797" t="inlineStr">
        <is>
          <t>GÄVLEBORGS LÄN</t>
        </is>
      </c>
      <c r="G797" t="inlineStr">
        <is>
          <t>OCKELBO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60253-2023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45258</v>
      </c>
      <c r="E798" s="1" t="n">
        <v>46260</v>
      </c>
      <c r="F798" t="inlineStr">
        <is>
          <t>GÄVLEBORGS LÄN</t>
        </is>
      </c>
      <c r="G798" t="inlineStr">
        <is>
          <t>OCKELBO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22385-2025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45786</v>
      </c>
      <c r="E799" s="1" t="n">
        <v>46260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22387-2025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45786</v>
      </c>
      <c r="E800" s="1" t="n">
        <v>46260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28584-2024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45478</v>
      </c>
      <c r="E801" s="1" t="n">
        <v>46260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54323-2024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45617</v>
      </c>
      <c r="E802" s="1" t="n">
        <v>46260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28181-2022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44746</v>
      </c>
      <c r="E803" s="1" t="n">
        <v>46260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20689-2025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45776</v>
      </c>
      <c r="E804" s="1" t="n">
        <v>46260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23004-2025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45790</v>
      </c>
      <c r="E805" s="1" t="n">
        <v>46260</v>
      </c>
      <c r="F805" t="inlineStr">
        <is>
          <t>GÄVLEBORGS LÄN</t>
        </is>
      </c>
      <c r="G805" t="inlineStr">
        <is>
          <t>OCKELBO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55011-2024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45621</v>
      </c>
      <c r="E806" s="1" t="n">
        <v>46260</v>
      </c>
      <c r="F806" t="inlineStr">
        <is>
          <t>GÄVLEBORGS LÄN</t>
        </is>
      </c>
      <c r="G806" t="inlineStr">
        <is>
          <t>OCKELBO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26085-2024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45468</v>
      </c>
      <c r="E807" s="1" t="n">
        <v>46260</v>
      </c>
      <c r="F807" t="inlineStr">
        <is>
          <t>GÄVLEBORGS LÄN</t>
        </is>
      </c>
      <c r="G807" t="inlineStr">
        <is>
          <t>OCKELBO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48803-2024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45593</v>
      </c>
      <c r="E808" s="1" t="n">
        <v>46260</v>
      </c>
      <c r="F808" t="inlineStr">
        <is>
          <t>GÄVLEBORGS LÄN</t>
        </is>
      </c>
      <c r="G808" t="inlineStr">
        <is>
          <t>OCKELBO</t>
        </is>
      </c>
      <c r="I808" t="n">
        <v>9.4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16752-2025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45754</v>
      </c>
      <c r="E809" s="1" t="n">
        <v>46260</v>
      </c>
      <c r="F809" t="inlineStr">
        <is>
          <t>GÄVLEBORGS LÄN</t>
        </is>
      </c>
      <c r="G809" t="inlineStr">
        <is>
          <t>OCKELBO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15403-2022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44659</v>
      </c>
      <c r="E810" s="1" t="n">
        <v>46260</v>
      </c>
      <c r="F810" t="inlineStr">
        <is>
          <t>GÄVLEBORGS LÄN</t>
        </is>
      </c>
      <c r="G810" t="inlineStr">
        <is>
          <t>OCKELBO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64924-2023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45282</v>
      </c>
      <c r="E811" s="1" t="n">
        <v>46260</v>
      </c>
      <c r="F811" t="inlineStr">
        <is>
          <t>GÄVLEBORGS LÄN</t>
        </is>
      </c>
      <c r="G811" t="inlineStr">
        <is>
          <t>OCKELBO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20207-2024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45434</v>
      </c>
      <c r="E812" s="1" t="n">
        <v>46260</v>
      </c>
      <c r="F812" t="inlineStr">
        <is>
          <t>GÄVLEBORGS LÄN</t>
        </is>
      </c>
      <c r="G812" t="inlineStr">
        <is>
          <t>OCKELBO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49470-2024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45596</v>
      </c>
      <c r="E813" s="1" t="n">
        <v>46260</v>
      </c>
      <c r="F813" t="inlineStr">
        <is>
          <t>GÄVLEBORGS LÄN</t>
        </is>
      </c>
      <c r="G813" t="inlineStr">
        <is>
          <t>OCKELBO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15502-2025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45747</v>
      </c>
      <c r="E814" s="1" t="n">
        <v>46260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25640-2025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45803</v>
      </c>
      <c r="E815" s="1" t="n">
        <v>46260</v>
      </c>
      <c r="F815" t="inlineStr">
        <is>
          <t>GÄVLEBORGS LÄN</t>
        </is>
      </c>
      <c r="G815" t="inlineStr">
        <is>
          <t>OCKELBO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25233-2025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46260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25246-2025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45800</v>
      </c>
      <c r="E817" s="1" t="n">
        <v>46260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25248-2025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45800</v>
      </c>
      <c r="E818" s="1" t="n">
        <v>46260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25191-2025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46260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25234-2025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46260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25250-2025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45800</v>
      </c>
      <c r="E821" s="1" t="n">
        <v>46260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26195-2025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45805</v>
      </c>
      <c r="E822" s="1" t="n">
        <v>46260</v>
      </c>
      <c r="F822" t="inlineStr">
        <is>
          <t>GÄVLEBORGS LÄN</t>
        </is>
      </c>
      <c r="G822" t="inlineStr">
        <is>
          <t>OCKELBO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46260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46260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46260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46260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46260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46260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46260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46260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46260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46260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2026-08-26T01:50:42Z</dcterms:created>
  <dcterms:modified xmlns:dcterms="http://purl.org/dc/terms/" xmlns:xsi="http://www.w3.org/2001/XMLSchema-instance" xsi:type="dcterms:W3CDTF">2026-08-26T01:50:43Z</dcterms:modified>
</cp:coreProperties>
</file>