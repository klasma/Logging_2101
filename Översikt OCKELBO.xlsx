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46272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46272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46272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46272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46272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46272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46272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46272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46272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46272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46272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46272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46272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46272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46272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46272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46272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46272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46272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46272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46272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46272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46272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46272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46272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46272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46272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46272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46272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46272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46272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46272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46272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46272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46272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46272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46272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46272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46272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46272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46272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2923-2026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46038</v>
      </c>
      <c r="E43" s="1" t="n">
        <v>46272</v>
      </c>
      <c r="F43" t="inlineStr">
        <is>
          <t>GÄVLEBORGS LÄN</t>
        </is>
      </c>
      <c r="G43" t="inlineStr">
        <is>
          <t>OCKELBO</t>
        </is>
      </c>
      <c r="I43" t="n">
        <v>2.8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HYPERLINK("https://klasma.github.io/Logging_2101/artfynd/A 2923-2026 artfynd.xlsx", "A 2923-2026")</f>
        <v/>
      </c>
      <c r="X43">
        <f>HYPERLINK("https://klasma.github.io/Logging_2101/kartor/A 2923-2026 karta.png", "A 2923-2026")</f>
        <v/>
      </c>
      <c r="Y43">
        <f>HYPERLINK("https://klasma.github.io/Logging_2101/kartor_geotiff/A 2923-2026 georefererad karta.tif", "A 2923-2026")</f>
        <v/>
      </c>
      <c r="Z43">
        <f>HYPERLINK("https://klasma.github.io/Logging_2101/knärot/A 2923-2026 karta knärot.png", "A 2923-2026")</f>
        <v/>
      </c>
      <c r="AA43">
        <f>HYPERLINK("https://klasma.github.io/Logging_2101/klagomål/A 2923-2026 FSC-klagomål.docx", "A 2923-2026")</f>
        <v/>
      </c>
      <c r="AB43">
        <f>HYPERLINK("https://klasma.github.io/Logging_2101/klagomålsmail/A 2923-2026 FSC-klagomål mail.docx", "A 2923-2026")</f>
        <v/>
      </c>
      <c r="AC43">
        <f>HYPERLINK("https://klasma.github.io/Logging_2101/tillsyn/A 2923-2026 tillsynsbegäran.docx", "A 2923-2026")</f>
        <v/>
      </c>
      <c r="AD43">
        <f>HYPERLINK("https://klasma.github.io/Logging_2101/tillsynsmail/A 2923-2026 tillsynsbegäran mail.docx", "A 2923-2026")</f>
        <v/>
      </c>
    </row>
    <row r="44" ht="15" customHeight="1">
      <c r="A44" t="inlineStr">
        <is>
          <t>A 6121-2026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46053</v>
      </c>
      <c r="E44" s="1" t="n">
        <v>46272</v>
      </c>
      <c r="F44" t="inlineStr">
        <is>
          <t>GÄVLEBORGS LÄN</t>
        </is>
      </c>
      <c r="G44" t="inlineStr">
        <is>
          <t>OCKELBO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HYPERLINK("https://klasma.github.io/Logging_2101/artfynd/A 6121-2026 artfynd.xlsx", "A 6121-2026")</f>
        <v/>
      </c>
      <c r="X44">
        <f>HYPERLINK("https://klasma.github.io/Logging_2101/kartor/A 6121-2026 karta.png", "A 6121-2026")</f>
        <v/>
      </c>
      <c r="Y44">
        <f>HYPERLINK("https://klasma.github.io/Logging_2101/kartor_geotiff/A 6121-2026 georefererad karta.tif", "A 6121-2026")</f>
        <v/>
      </c>
      <c r="AA44">
        <f>HYPERLINK("https://klasma.github.io/Logging_2101/klagomål/A 6121-2026 FSC-klagomål.docx", "A 6121-2026")</f>
        <v/>
      </c>
      <c r="AB44">
        <f>HYPERLINK("https://klasma.github.io/Logging_2101/klagomålsmail/A 6121-2026 FSC-klagomål mail.docx", "A 6121-2026")</f>
        <v/>
      </c>
      <c r="AC44">
        <f>HYPERLINK("https://klasma.github.io/Logging_2101/tillsyn/A 6121-2026 tillsynsbegäran.docx", "A 6121-2026")</f>
        <v/>
      </c>
      <c r="AD44">
        <f>HYPERLINK("https://klasma.github.io/Logging_2101/tillsynsmail/A 6121-2026 tillsynsbegäran mail.docx", "A 6121-2026")</f>
        <v/>
      </c>
      <c r="AE44">
        <f>HYPERLINK("https://klasma.github.io/Logging_2101/fåglar/A 6121-2026 prioriterade fågelarter.docx", "A 6121-2026")</f>
        <v/>
      </c>
    </row>
    <row r="45" ht="15" customHeight="1">
      <c r="A45" t="inlineStr">
        <is>
          <t>A 6586-2026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46056</v>
      </c>
      <c r="E45" s="1" t="n">
        <v>46272</v>
      </c>
      <c r="F45" t="inlineStr">
        <is>
          <t>GÄVLEBORGS LÄN</t>
        </is>
      </c>
      <c r="G45" t="inlineStr">
        <is>
          <t>OCKELBO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HYPERLINK("https://klasma.github.io/Logging_2101/artfynd/A 6586-2026 artfynd.xlsx", "A 6586-2026")</f>
        <v/>
      </c>
      <c r="X45">
        <f>HYPERLINK("https://klasma.github.io/Logging_2101/kartor/A 6586-2026 karta.png", "A 6586-2026")</f>
        <v/>
      </c>
      <c r="Y45">
        <f>HYPERLINK("https://klasma.github.io/Logging_2101/kartor_geotiff/A 6586-2026 georefererad karta.tif", "A 6586-2026")</f>
        <v/>
      </c>
      <c r="AA45">
        <f>HYPERLINK("https://klasma.github.io/Logging_2101/klagomål/A 6586-2026 FSC-klagomål.docx", "A 6586-2026")</f>
        <v/>
      </c>
      <c r="AB45">
        <f>HYPERLINK("https://klasma.github.io/Logging_2101/klagomålsmail/A 6586-2026 FSC-klagomål mail.docx", "A 6586-2026")</f>
        <v/>
      </c>
      <c r="AC45">
        <f>HYPERLINK("https://klasma.github.io/Logging_2101/tillsyn/A 6586-2026 tillsynsbegäran.docx", "A 6586-2026")</f>
        <v/>
      </c>
      <c r="AD45">
        <f>HYPERLINK("https://klasma.github.io/Logging_2101/tillsynsmail/A 6586-2026 tillsynsbegäran mail.docx", "A 6586-2026")</f>
        <v/>
      </c>
    </row>
    <row r="46" ht="15" customHeight="1">
      <c r="A46" t="inlineStr">
        <is>
          <t>A 55778-2025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46272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HYPERLINK("https://klasma.github.io/Logging_2101/artfynd/A 55778-2025 artfynd.xlsx", "A 55778-2025")</f>
        <v/>
      </c>
      <c r="X46">
        <f>HYPERLINK("https://klasma.github.io/Logging_2101/kartor/A 55778-2025 karta.png", "A 55778-2025")</f>
        <v/>
      </c>
      <c r="Y46">
        <f>HYPERLINK("https://klasma.github.io/Logging_2101/kartor_geotiff/A 55778-2025 georefererad karta.tif", "A 55778-2025")</f>
        <v/>
      </c>
      <c r="AA46">
        <f>HYPERLINK("https://klasma.github.io/Logging_2101/klagomål/A 55778-2025 FSC-klagomål.docx", "A 55778-2025")</f>
        <v/>
      </c>
      <c r="AB46">
        <f>HYPERLINK("https://klasma.github.io/Logging_2101/klagomålsmail/A 55778-2025 FSC-klagomål mail.docx", "A 55778-2025")</f>
        <v/>
      </c>
      <c r="AC46">
        <f>HYPERLINK("https://klasma.github.io/Logging_2101/tillsyn/A 55778-2025 tillsynsbegäran.docx", "A 55778-2025")</f>
        <v/>
      </c>
      <c r="AD46">
        <f>HYPERLINK("https://klasma.github.io/Logging_2101/tillsynsmail/A 55778-2025 tillsynsbegäran mail.docx", "A 55778-2025")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46272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46272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HYPERLINK("https://klasma.github.io/Logging_2101/artfynd/A 62989-2025 artfynd.xlsx", "A 62989-2025")</f>
        <v/>
      </c>
      <c r="X48">
        <f>HYPERLINK("https://klasma.github.io/Logging_2101/kartor/A 62989-2025 karta.png", "A 62989-2025")</f>
        <v/>
      </c>
      <c r="Y48">
        <f>HYPERLINK("https://klasma.github.io/Logging_2101/kartor_geotiff/A 62989-2025 georefererad karta.tif", "A 62989-2025")</f>
        <v/>
      </c>
      <c r="AA48">
        <f>HYPERLINK("https://klasma.github.io/Logging_2101/klagomål/A 62989-2025 FSC-klagomål.docx", "A 62989-2025")</f>
        <v/>
      </c>
      <c r="AB48">
        <f>HYPERLINK("https://klasma.github.io/Logging_2101/klagomålsmail/A 62989-2025 FSC-klagomål mail.docx", "A 62989-2025")</f>
        <v/>
      </c>
      <c r="AC48">
        <f>HYPERLINK("https://klasma.github.io/Logging_2101/tillsyn/A 62989-2025 tillsynsbegäran.docx", "A 62989-2025")</f>
        <v/>
      </c>
      <c r="AD48">
        <f>HYPERLINK("https://klasma.github.io/Logging_2101/tillsynsmail/A 62989-2025 tillsynsbegäran mail.docx", "A 62989-2025")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46272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46272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46272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46272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46272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46272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46272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46272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46272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46272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46272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46272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46272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46272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46272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46272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46272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46272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46272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46272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46272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46272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46272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46272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46272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46272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46272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46272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46272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46272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46272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46272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46272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46272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46272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44858</v>
      </c>
      <c r="E84" s="1" t="n">
        <v>46272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46272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46272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46272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46272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46272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46272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46272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46272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46272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46272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46272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46272</v>
      </c>
      <c r="F96" t="inlineStr">
        <is>
          <t>GÄVLEBORGS LÄN</t>
        </is>
      </c>
      <c r="G96" t="inlineStr">
        <is>
          <t>OCKELBO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37386-2023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45156</v>
      </c>
      <c r="E97" s="1" t="n">
        <v>46272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46272</v>
      </c>
      <c r="F98" t="inlineStr">
        <is>
          <t>GÄVLEBORGS LÄN</t>
        </is>
      </c>
      <c r="G98" t="inlineStr">
        <is>
          <t>OCKELBO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46272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46272</v>
      </c>
      <c r="F100" t="inlineStr">
        <is>
          <t>GÄVLEBORGS LÄN</t>
        </is>
      </c>
      <c r="G100" t="inlineStr">
        <is>
          <t>OCKELBO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46272</v>
      </c>
      <c r="F101" t="inlineStr">
        <is>
          <t>GÄVLEBORGS LÄN</t>
        </is>
      </c>
      <c r="G101" t="inlineStr">
        <is>
          <t>OCKELBO</t>
        </is>
      </c>
      <c r="H101" t="inlineStr">
        <is>
          <t>Kyrkan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46272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46272</v>
      </c>
      <c r="F103" t="inlineStr">
        <is>
          <t>GÄVLEBORGS LÄN</t>
        </is>
      </c>
      <c r="G103" t="inlineStr">
        <is>
          <t>OCKELBO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46272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46272</v>
      </c>
      <c r="F105" t="inlineStr">
        <is>
          <t>GÄVLEBORGS LÄN</t>
        </is>
      </c>
      <c r="G105" t="inlineStr">
        <is>
          <t>OCKELBO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46272</v>
      </c>
      <c r="F106" t="inlineStr">
        <is>
          <t>GÄVLEBORGS LÄN</t>
        </is>
      </c>
      <c r="G106" t="inlineStr">
        <is>
          <t>OCKELBO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46272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45341</v>
      </c>
      <c r="E108" s="1" t="n">
        <v>46272</v>
      </c>
      <c r="F108" t="inlineStr">
        <is>
          <t>GÄVLEBORGS LÄN</t>
        </is>
      </c>
      <c r="G108" t="inlineStr">
        <is>
          <t>OCKELBO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46272</v>
      </c>
      <c r="F109" t="inlineStr">
        <is>
          <t>GÄVLEBORGS LÄN</t>
        </is>
      </c>
      <c r="G109" t="inlineStr">
        <is>
          <t>OCKELBO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46272</v>
      </c>
      <c r="F110" t="inlineStr">
        <is>
          <t>GÄVLEBORGS LÄN</t>
        </is>
      </c>
      <c r="G110" t="inlineStr">
        <is>
          <t>OCKELBO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46272</v>
      </c>
      <c r="F111" t="inlineStr">
        <is>
          <t>GÄVLEBORGS LÄN</t>
        </is>
      </c>
      <c r="G111" t="inlineStr">
        <is>
          <t>OCKELBO</t>
        </is>
      </c>
      <c r="I111" t="n">
        <v>14.8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46272</v>
      </c>
      <c r="F112" t="inlineStr">
        <is>
          <t>GÄVLEBORGS LÄN</t>
        </is>
      </c>
      <c r="G112" t="inlineStr">
        <is>
          <t>OCKELBO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45434</v>
      </c>
      <c r="E113" s="1" t="n">
        <v>46272</v>
      </c>
      <c r="F113" t="inlineStr">
        <is>
          <t>GÄVLEBORGS LÄN</t>
        </is>
      </c>
      <c r="G113" t="inlineStr">
        <is>
          <t>OCKELBO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46272</v>
      </c>
      <c r="F114" t="inlineStr">
        <is>
          <t>GÄVLEBORGS LÄN</t>
        </is>
      </c>
      <c r="G114" t="inlineStr">
        <is>
          <t>OCKELBO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46272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25640-2025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45803</v>
      </c>
      <c r="E116" s="1" t="n">
        <v>46272</v>
      </c>
      <c r="F116" t="inlineStr">
        <is>
          <t>GÄVLEBORGS LÄN</t>
        </is>
      </c>
      <c r="G116" t="inlineStr">
        <is>
          <t>OCKELBO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25233-2025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46272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46272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46272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46272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45800</v>
      </c>
      <c r="E121" s="1" t="n">
        <v>46272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46021</v>
      </c>
      <c r="E122" s="1" t="n">
        <v>46272</v>
      </c>
      <c r="F122" t="inlineStr">
        <is>
          <t>GÄVLEBORGS LÄN</t>
        </is>
      </c>
      <c r="G122" t="inlineStr">
        <is>
          <t>OCKELBO</t>
        </is>
      </c>
      <c r="I122" t="n">
        <v>13.6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25250-2025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45800</v>
      </c>
      <c r="E123" s="1" t="n">
        <v>46272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20231-2024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45434</v>
      </c>
      <c r="E124" s="1" t="n">
        <v>46272</v>
      </c>
      <c r="F124" t="inlineStr">
        <is>
          <t>GÄVLEBORGS LÄN</t>
        </is>
      </c>
      <c r="G124" t="inlineStr">
        <is>
          <t>OCKELBO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46272</v>
      </c>
      <c r="F125" t="inlineStr">
        <is>
          <t>GÄVLEBORGS LÄN</t>
        </is>
      </c>
      <c r="G125" t="inlineStr">
        <is>
          <t>OCKELBO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46272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46272</v>
      </c>
      <c r="F127" t="inlineStr">
        <is>
          <t>GÄVLEBORGS LÄN</t>
        </is>
      </c>
      <c r="G127" t="inlineStr">
        <is>
          <t>OCKELBO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46027</v>
      </c>
      <c r="E128" s="1" t="n">
        <v>46272</v>
      </c>
      <c r="F128" t="inlineStr">
        <is>
          <t>GÄVLEBORGS LÄN</t>
        </is>
      </c>
      <c r="G128" t="inlineStr">
        <is>
          <t>OCKELBO</t>
        </is>
      </c>
      <c r="I128" t="n">
        <v>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46272</v>
      </c>
      <c r="F129" t="inlineStr">
        <is>
          <t>GÄVLEBORGS LÄN</t>
        </is>
      </c>
      <c r="G129" t="inlineStr">
        <is>
          <t>OCKELBO</t>
        </is>
      </c>
      <c r="I129" t="n">
        <v>16.2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46272</v>
      </c>
      <c r="F130" t="inlineStr">
        <is>
          <t>GÄVLEBORGS LÄN</t>
        </is>
      </c>
      <c r="G130" t="inlineStr">
        <is>
          <t>OCKELBO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46272</v>
      </c>
      <c r="F131" t="inlineStr">
        <is>
          <t>GÄVLEBORGS LÄN</t>
        </is>
      </c>
      <c r="G131" t="inlineStr">
        <is>
          <t>OCKELBO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44986</v>
      </c>
      <c r="E132" s="1" t="n">
        <v>46272</v>
      </c>
      <c r="F132" t="inlineStr">
        <is>
          <t>GÄVLEBORGS LÄN</t>
        </is>
      </c>
      <c r="G132" t="inlineStr">
        <is>
          <t>OCKELBO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46272</v>
      </c>
      <c r="F133" t="inlineStr">
        <is>
          <t>GÄVLEBORGS LÄN</t>
        </is>
      </c>
      <c r="G133" t="inlineStr">
        <is>
          <t>OCKELBO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46027</v>
      </c>
      <c r="E134" s="1" t="n">
        <v>46272</v>
      </c>
      <c r="F134" t="inlineStr">
        <is>
          <t>GÄVLEBORGS LÄN</t>
        </is>
      </c>
      <c r="G134" t="inlineStr">
        <is>
          <t>OCKELBO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46272</v>
      </c>
      <c r="F135" t="inlineStr">
        <is>
          <t>GÄVLEBORGS LÄN</t>
        </is>
      </c>
      <c r="G135" t="inlineStr">
        <is>
          <t>OCKELBO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46027</v>
      </c>
      <c r="E136" s="1" t="n">
        <v>46272</v>
      </c>
      <c r="F136" t="inlineStr">
        <is>
          <t>GÄVLEBORGS LÄN</t>
        </is>
      </c>
      <c r="G136" t="inlineStr">
        <is>
          <t>OCKELBO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46272</v>
      </c>
      <c r="F137" t="inlineStr">
        <is>
          <t>GÄVLEBORGS LÄN</t>
        </is>
      </c>
      <c r="G137" t="inlineStr">
        <is>
          <t>OCKELBO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46272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33617-2023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45132</v>
      </c>
      <c r="E139" s="1" t="n">
        <v>46272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46028</v>
      </c>
      <c r="E140" s="1" t="n">
        <v>46272</v>
      </c>
      <c r="F140" t="inlineStr">
        <is>
          <t>GÄVLEBORGS LÄN</t>
        </is>
      </c>
      <c r="G140" t="inlineStr">
        <is>
          <t>OCKELBO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46028</v>
      </c>
      <c r="E141" s="1" t="n">
        <v>46272</v>
      </c>
      <c r="F141" t="inlineStr">
        <is>
          <t>GÄVLEBORGS LÄN</t>
        </is>
      </c>
      <c r="G141" t="inlineStr">
        <is>
          <t>OCKELBO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46272</v>
      </c>
      <c r="F142" t="inlineStr">
        <is>
          <t>GÄVLEBORGS LÄN</t>
        </is>
      </c>
      <c r="G142" t="inlineStr">
        <is>
          <t>OCKELBO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45817</v>
      </c>
      <c r="E143" s="1" t="n">
        <v>46272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46272</v>
      </c>
      <c r="F144" t="inlineStr">
        <is>
          <t>GÄVLEBORGS LÄN</t>
        </is>
      </c>
      <c r="G144" t="inlineStr">
        <is>
          <t>OCKELBO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46272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46272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46024</v>
      </c>
      <c r="E147" s="1" t="n">
        <v>46272</v>
      </c>
      <c r="F147" t="inlineStr">
        <is>
          <t>GÄVLEBORGS LÄN</t>
        </is>
      </c>
      <c r="G147" t="inlineStr">
        <is>
          <t>OCKELBO</t>
        </is>
      </c>
      <c r="I147" t="n">
        <v>12.9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46272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46272</v>
      </c>
      <c r="F149" t="inlineStr">
        <is>
          <t>GÄVLEBORGS LÄN</t>
        </is>
      </c>
      <c r="G149" t="inlineStr">
        <is>
          <t>OCKELBO</t>
        </is>
      </c>
      <c r="H149" t="inlineStr">
        <is>
          <t>Kyrkan</t>
        </is>
      </c>
      <c r="I149" t="n">
        <v>12.5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46272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46272</v>
      </c>
      <c r="F151" t="inlineStr">
        <is>
          <t>GÄVLEBORGS LÄN</t>
        </is>
      </c>
      <c r="G151" t="inlineStr">
        <is>
          <t>OCKELBO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46272</v>
      </c>
      <c r="F152" t="inlineStr">
        <is>
          <t>GÄVLEBORGS LÄN</t>
        </is>
      </c>
      <c r="G152" t="inlineStr">
        <is>
          <t>OCKELBO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46272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46272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45744</v>
      </c>
      <c r="E155" s="1" t="n">
        <v>46272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44950</v>
      </c>
      <c r="E156" s="1" t="n">
        <v>46272</v>
      </c>
      <c r="F156" t="inlineStr">
        <is>
          <t>GÄVLEBORGS LÄN</t>
        </is>
      </c>
      <c r="G156" t="inlineStr">
        <is>
          <t>OCKELBO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45821</v>
      </c>
      <c r="E157" s="1" t="n">
        <v>46272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46272</v>
      </c>
      <c r="F158" t="inlineStr">
        <is>
          <t>GÄVLEBORGS LÄN</t>
        </is>
      </c>
      <c r="G158" t="inlineStr">
        <is>
          <t>OCKELBO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46272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46272</v>
      </c>
      <c r="F160" t="inlineStr">
        <is>
          <t>GÄVLEBORGS LÄN</t>
        </is>
      </c>
      <c r="G160" t="inlineStr">
        <is>
          <t>OCKELBO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46272</v>
      </c>
      <c r="F161" t="inlineStr">
        <is>
          <t>GÄVLEBORGS LÄN</t>
        </is>
      </c>
      <c r="G161" t="inlineStr">
        <is>
          <t>OCKELBO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46272</v>
      </c>
      <c r="F162" t="inlineStr">
        <is>
          <t>GÄVLEBORGS LÄN</t>
        </is>
      </c>
      <c r="G162" t="inlineStr">
        <is>
          <t>OCKELBO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45827</v>
      </c>
      <c r="E163" s="1" t="n">
        <v>46272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46272</v>
      </c>
      <c r="F164" t="inlineStr">
        <is>
          <t>GÄVLEBORGS LÄN</t>
        </is>
      </c>
      <c r="G164" t="inlineStr">
        <is>
          <t>OCKELBO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46272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46272</v>
      </c>
      <c r="F166" t="inlineStr">
        <is>
          <t>GÄVLEBORGS LÄN</t>
        </is>
      </c>
      <c r="G166" t="inlineStr">
        <is>
          <t>OCKELBO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46272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46272</v>
      </c>
      <c r="F168" t="inlineStr">
        <is>
          <t>GÄVLEBORGS LÄN</t>
        </is>
      </c>
      <c r="G168" t="inlineStr">
        <is>
          <t>OCKELBO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46272</v>
      </c>
      <c r="F169" t="inlineStr">
        <is>
          <t>GÄVLEBORGS LÄN</t>
        </is>
      </c>
      <c r="G169" t="inlineStr">
        <is>
          <t>OCKELBO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46272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42386-2025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46272</v>
      </c>
      <c r="F171" t="inlineStr">
        <is>
          <t>GÄVLEBORGS LÄN</t>
        </is>
      </c>
      <c r="G171" t="inlineStr">
        <is>
          <t>OCKELBO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45432</v>
      </c>
      <c r="E172" s="1" t="n">
        <v>46272</v>
      </c>
      <c r="F172" t="inlineStr">
        <is>
          <t>GÄVLEBORGS LÄN</t>
        </is>
      </c>
      <c r="G172" t="inlineStr">
        <is>
          <t>OCKELBO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46272</v>
      </c>
      <c r="F173" t="inlineStr">
        <is>
          <t>GÄVLEBORGS LÄN</t>
        </is>
      </c>
      <c r="G173" t="inlineStr">
        <is>
          <t>OCKELBO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46272</v>
      </c>
      <c r="F174" t="inlineStr">
        <is>
          <t>GÄVLEBORGS LÄN</t>
        </is>
      </c>
      <c r="G174" t="inlineStr">
        <is>
          <t>OCKELBO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46272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46272</v>
      </c>
      <c r="F176" t="inlineStr">
        <is>
          <t>GÄVLEBORGS LÄN</t>
        </is>
      </c>
      <c r="G176" t="inlineStr">
        <is>
          <t>OCKELBO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46272</v>
      </c>
      <c r="F177" t="inlineStr">
        <is>
          <t>GÄVLEBORGS LÄN</t>
        </is>
      </c>
      <c r="G177" t="inlineStr">
        <is>
          <t>OCKELBO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46272</v>
      </c>
      <c r="F178" t="inlineStr">
        <is>
          <t>GÄVLEBORGS LÄN</t>
        </is>
      </c>
      <c r="G178" t="inlineStr">
        <is>
          <t>OCKELBO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46272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24.8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46272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45169</v>
      </c>
      <c r="E181" s="1" t="n">
        <v>46272</v>
      </c>
      <c r="F181" t="inlineStr">
        <is>
          <t>GÄVLEBORGS LÄN</t>
        </is>
      </c>
      <c r="G181" t="inlineStr">
        <is>
          <t>OCKELBO</t>
        </is>
      </c>
      <c r="I181" t="n">
        <v>13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46272</v>
      </c>
      <c r="F182" t="inlineStr">
        <is>
          <t>GÄVLEBORGS LÄN</t>
        </is>
      </c>
      <c r="G182" t="inlineStr">
        <is>
          <t>OCKELBO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46272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45840</v>
      </c>
      <c r="E184" s="1" t="n">
        <v>46272</v>
      </c>
      <c r="F184" t="inlineStr">
        <is>
          <t>GÄVLEBORGS LÄN</t>
        </is>
      </c>
      <c r="G184" t="inlineStr">
        <is>
          <t>OCKELBO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46272</v>
      </c>
      <c r="F185" t="inlineStr">
        <is>
          <t>GÄVLEBORGS LÄN</t>
        </is>
      </c>
      <c r="G185" t="inlineStr">
        <is>
          <t>OCKELBO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46033</v>
      </c>
      <c r="E186" s="1" t="n">
        <v>46272</v>
      </c>
      <c r="F186" t="inlineStr">
        <is>
          <t>GÄVLEBORGS LÄN</t>
        </is>
      </c>
      <c r="G186" t="inlineStr">
        <is>
          <t>OCKELBO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46272</v>
      </c>
      <c r="F187" t="inlineStr">
        <is>
          <t>GÄVLEBORGS LÄN</t>
        </is>
      </c>
      <c r="G187" t="inlineStr">
        <is>
          <t>OCKELBO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44887</v>
      </c>
      <c r="E188" s="1" t="n">
        <v>46272</v>
      </c>
      <c r="F188" t="inlineStr">
        <is>
          <t>GÄVLEBORGS LÄN</t>
        </is>
      </c>
      <c r="G188" t="inlineStr">
        <is>
          <t>OCKELBO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46272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45109</v>
      </c>
      <c r="E190" s="1" t="n">
        <v>46272</v>
      </c>
      <c r="F190" t="inlineStr">
        <is>
          <t>GÄVLEBORGS LÄN</t>
        </is>
      </c>
      <c r="G190" t="inlineStr">
        <is>
          <t>OCKELBO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46272</v>
      </c>
      <c r="F191" t="inlineStr">
        <is>
          <t>GÄVLEBORGS LÄN</t>
        </is>
      </c>
      <c r="G191" t="inlineStr">
        <is>
          <t>OCKELBO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46272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46272</v>
      </c>
      <c r="F193" t="inlineStr">
        <is>
          <t>GÄVLEBORGS LÄN</t>
        </is>
      </c>
      <c r="G193" t="inlineStr">
        <is>
          <t>OCKELBO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45073</v>
      </c>
      <c r="E194" s="1" t="n">
        <v>46272</v>
      </c>
      <c r="F194" t="inlineStr">
        <is>
          <t>GÄVLEBORGS LÄN</t>
        </is>
      </c>
      <c r="G194" t="inlineStr">
        <is>
          <t>OCKELBO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46272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45644</v>
      </c>
      <c r="E196" s="1" t="n">
        <v>46272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46272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45027</v>
      </c>
      <c r="E198" s="1" t="n">
        <v>46272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46272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46272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46272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9.800000000000001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46272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66825-2021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46272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46272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45554</v>
      </c>
      <c r="E205" s="1" t="n">
        <v>46272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46272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40281-2024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46272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38893-2022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46272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45590</v>
      </c>
      <c r="E209" s="1" t="n">
        <v>46272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46272</v>
      </c>
      <c r="F210" t="inlineStr">
        <is>
          <t>GÄVLEBORGS LÄN</t>
        </is>
      </c>
      <c r="G210" t="inlineStr">
        <is>
          <t>OCKELBO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46272</v>
      </c>
      <c r="F211" t="inlineStr">
        <is>
          <t>GÄVLEBORGS LÄN</t>
        </is>
      </c>
      <c r="G211" t="inlineStr">
        <is>
          <t>OCKELBO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61622-2021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46272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46272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44845</v>
      </c>
      <c r="E214" s="1" t="n">
        <v>46272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67768-2021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44525</v>
      </c>
      <c r="E215" s="1" t="n">
        <v>46272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46272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46272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46272</v>
      </c>
      <c r="F218" t="inlineStr">
        <is>
          <t>GÄVLEBORGS LÄN</t>
        </is>
      </c>
      <c r="G218" t="inlineStr">
        <is>
          <t>OCKELBO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45048</v>
      </c>
      <c r="E219" s="1" t="n">
        <v>46272</v>
      </c>
      <c r="F219" t="inlineStr">
        <is>
          <t>GÄVLEBORGS LÄN</t>
        </is>
      </c>
      <c r="G219" t="inlineStr">
        <is>
          <t>OCKELBO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46272</v>
      </c>
      <c r="F220" t="inlineStr">
        <is>
          <t>GÄVLEBORGS LÄN</t>
        </is>
      </c>
      <c r="G220" t="inlineStr">
        <is>
          <t>OCKELBO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35017-2025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45851</v>
      </c>
      <c r="E221" s="1" t="n">
        <v>46272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45488</v>
      </c>
      <c r="E222" s="1" t="n">
        <v>46272</v>
      </c>
      <c r="F222" t="inlineStr">
        <is>
          <t>GÄVLEBORGS LÄN</t>
        </is>
      </c>
      <c r="G222" t="inlineStr">
        <is>
          <t>OCKELBO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46272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46272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45932</v>
      </c>
      <c r="E225" s="1" t="n">
        <v>46272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32011-2024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45510</v>
      </c>
      <c r="E226" s="1" t="n">
        <v>46272</v>
      </c>
      <c r="F226" t="inlineStr">
        <is>
          <t>GÄVLEBORGS LÄN</t>
        </is>
      </c>
      <c r="G226" t="inlineStr">
        <is>
          <t>OCKELBO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46272</v>
      </c>
      <c r="F227" t="inlineStr">
        <is>
          <t>GÄVLEBORGS LÄN</t>
        </is>
      </c>
      <c r="G227" t="inlineStr">
        <is>
          <t>OCKELBO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45111</v>
      </c>
      <c r="E228" s="1" t="n">
        <v>46272</v>
      </c>
      <c r="F228" t="inlineStr">
        <is>
          <t>GÄVLEBORGS LÄN</t>
        </is>
      </c>
      <c r="G228" t="inlineStr">
        <is>
          <t>OCKELBO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46272</v>
      </c>
      <c r="F229" t="inlineStr">
        <is>
          <t>GÄVLEBORGS LÄN</t>
        </is>
      </c>
      <c r="G229" t="inlineStr">
        <is>
          <t>OCKELBO</t>
        </is>
      </c>
      <c r="I229" t="n">
        <v>11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49014-2025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46272</v>
      </c>
      <c r="F230" t="inlineStr">
        <is>
          <t>GÄVLEBORGS LÄN</t>
        </is>
      </c>
      <c r="G230" t="inlineStr">
        <is>
          <t>OCKELBO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49008-2025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46272</v>
      </c>
      <c r="F231" t="inlineStr">
        <is>
          <t>GÄVLEBORGS LÄN</t>
        </is>
      </c>
      <c r="G231" t="inlineStr">
        <is>
          <t>OCKELBO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46272</v>
      </c>
      <c r="F232" t="inlineStr">
        <is>
          <t>GÄVLEBORGS LÄN</t>
        </is>
      </c>
      <c r="G232" t="inlineStr">
        <is>
          <t>OCKELBO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46272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46272</v>
      </c>
      <c r="F234" t="inlineStr">
        <is>
          <t>GÄVLEBORGS LÄN</t>
        </is>
      </c>
      <c r="G234" t="inlineStr">
        <is>
          <t>OCKELBO</t>
        </is>
      </c>
      <c r="I234" t="n">
        <v>11.1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46272</v>
      </c>
      <c r="F235" t="inlineStr">
        <is>
          <t>GÄVLEBORGS LÄN</t>
        </is>
      </c>
      <c r="G235" t="inlineStr">
        <is>
          <t>OCKELBO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46272</v>
      </c>
      <c r="F236" t="inlineStr">
        <is>
          <t>GÄVLEBORGS LÄN</t>
        </is>
      </c>
      <c r="G236" t="inlineStr">
        <is>
          <t>OCKELBO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46272</v>
      </c>
      <c r="F237" t="inlineStr">
        <is>
          <t>GÄVLEBORGS LÄN</t>
        </is>
      </c>
      <c r="G237" t="inlineStr">
        <is>
          <t>OCKELBO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46272</v>
      </c>
      <c r="F238" t="inlineStr">
        <is>
          <t>GÄVLEBORGS LÄN</t>
        </is>
      </c>
      <c r="G238" t="inlineStr">
        <is>
          <t>OCKELBO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46272</v>
      </c>
      <c r="F239" t="inlineStr">
        <is>
          <t>GÄVLEBORGS LÄN</t>
        </is>
      </c>
      <c r="G239" t="inlineStr">
        <is>
          <t>OCKELBO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46272</v>
      </c>
      <c r="F240" t="inlineStr">
        <is>
          <t>GÄVLEBORGS LÄN</t>
        </is>
      </c>
      <c r="G240" t="inlineStr">
        <is>
          <t>OCKELBO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46041</v>
      </c>
      <c r="E241" s="1" t="n">
        <v>46272</v>
      </c>
      <c r="F241" t="inlineStr">
        <is>
          <t>GÄVLEBORGS LÄN</t>
        </is>
      </c>
      <c r="G241" t="inlineStr">
        <is>
          <t>OCKELBO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46272</v>
      </c>
      <c r="F242" t="inlineStr">
        <is>
          <t>GÄVLEBORGS LÄN</t>
        </is>
      </c>
      <c r="G242" t="inlineStr">
        <is>
          <t>OCKELBO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46272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46272</v>
      </c>
      <c r="F244" t="inlineStr">
        <is>
          <t>GÄVLEBORGS LÄN</t>
        </is>
      </c>
      <c r="G244" t="inlineStr">
        <is>
          <t>OCKELBO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46041</v>
      </c>
      <c r="E245" s="1" t="n">
        <v>46272</v>
      </c>
      <c r="F245" t="inlineStr">
        <is>
          <t>GÄVLEBORGS LÄN</t>
        </is>
      </c>
      <c r="G245" t="inlineStr">
        <is>
          <t>OCKELBO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46272</v>
      </c>
      <c r="F246" t="inlineStr">
        <is>
          <t>GÄVLEBORGS LÄN</t>
        </is>
      </c>
      <c r="G246" t="inlineStr">
        <is>
          <t>OCKELBO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46272</v>
      </c>
      <c r="F247" t="inlineStr">
        <is>
          <t>GÄVLEBORGS LÄN</t>
        </is>
      </c>
      <c r="G247" t="inlineStr">
        <is>
          <t>OCKELBO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46272</v>
      </c>
      <c r="F248" t="inlineStr">
        <is>
          <t>GÄVLEBORGS LÄN</t>
        </is>
      </c>
      <c r="G248" t="inlineStr">
        <is>
          <t>OCKELBO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46272</v>
      </c>
      <c r="F249" t="inlineStr">
        <is>
          <t>GÄVLEBORGS LÄN</t>
        </is>
      </c>
      <c r="G249" t="inlineStr">
        <is>
          <t>OCKELBO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46272</v>
      </c>
      <c r="F250" t="inlineStr">
        <is>
          <t>GÄVLEBORGS LÄN</t>
        </is>
      </c>
      <c r="G250" t="inlineStr">
        <is>
          <t>OCKELBO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46272</v>
      </c>
      <c r="F251" t="inlineStr">
        <is>
          <t>GÄVLEBORGS LÄN</t>
        </is>
      </c>
      <c r="G251" t="inlineStr">
        <is>
          <t>OCKELBO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46272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46272</v>
      </c>
      <c r="F253" t="inlineStr">
        <is>
          <t>GÄVLEBORGS LÄN</t>
        </is>
      </c>
      <c r="G253" t="inlineStr">
        <is>
          <t>OCKELBO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46272</v>
      </c>
      <c r="F254" t="inlineStr">
        <is>
          <t>GÄVLEBORGS LÄN</t>
        </is>
      </c>
      <c r="G254" t="inlineStr">
        <is>
          <t>OCKELBO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46272</v>
      </c>
      <c r="F255" t="inlineStr">
        <is>
          <t>GÄVLEBORGS LÄN</t>
        </is>
      </c>
      <c r="G255" t="inlineStr">
        <is>
          <t>OCKELBO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46272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46272</v>
      </c>
      <c r="F257" t="inlineStr">
        <is>
          <t>GÄVLEBORGS LÄN</t>
        </is>
      </c>
      <c r="G257" t="inlineStr">
        <is>
          <t>OCKELBO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46272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öst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46272</v>
      </c>
      <c r="F259" t="inlineStr">
        <is>
          <t>GÄVLEBORGS LÄN</t>
        </is>
      </c>
      <c r="G259" t="inlineStr">
        <is>
          <t>OCKELBO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45551</v>
      </c>
      <c r="E260" s="1" t="n">
        <v>46272</v>
      </c>
      <c r="F260" t="inlineStr">
        <is>
          <t>GÄVLEBORGS LÄN</t>
        </is>
      </c>
      <c r="G260" t="inlineStr">
        <is>
          <t>OCKELBO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46272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46272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46272</v>
      </c>
      <c r="F263" t="inlineStr">
        <is>
          <t>GÄVLEBORGS LÄN</t>
        </is>
      </c>
      <c r="G263" t="inlineStr">
        <is>
          <t>OCKELBO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52461-2025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46272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46272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46272</v>
      </c>
      <c r="F266" t="inlineStr">
        <is>
          <t>GÄVLEBORGS LÄN</t>
        </is>
      </c>
      <c r="G266" t="inlineStr">
        <is>
          <t>OCKELBO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46038</v>
      </c>
      <c r="E267" s="1" t="n">
        <v>46272</v>
      </c>
      <c r="F267" t="inlineStr">
        <is>
          <t>GÄVLEBORGS LÄN</t>
        </is>
      </c>
      <c r="G267" t="inlineStr">
        <is>
          <t>OCKELBO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46272</v>
      </c>
      <c r="F268" t="inlineStr">
        <is>
          <t>GÄVLEBORGS LÄN</t>
        </is>
      </c>
      <c r="G268" t="inlineStr">
        <is>
          <t>OCKELBO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46272</v>
      </c>
      <c r="F269" t="inlineStr">
        <is>
          <t>GÄVLEBORGS LÄN</t>
        </is>
      </c>
      <c r="G269" t="inlineStr">
        <is>
          <t>OCKELBO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46272</v>
      </c>
      <c r="F270" t="inlineStr">
        <is>
          <t>GÄVLEBORGS LÄN</t>
        </is>
      </c>
      <c r="G270" t="inlineStr">
        <is>
          <t>OCKELBO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46272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47100-2024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46272</v>
      </c>
      <c r="F272" t="inlineStr">
        <is>
          <t>GÄVLEBORGS LÄN</t>
        </is>
      </c>
      <c r="G272" t="inlineStr">
        <is>
          <t>OCKELBO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46272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46272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46272</v>
      </c>
      <c r="F275" t="inlineStr">
        <is>
          <t>GÄVLEBORGS LÄN</t>
        </is>
      </c>
      <c r="G275" t="inlineStr">
        <is>
          <t>OCKELBO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46272</v>
      </c>
      <c r="F276" t="inlineStr">
        <is>
          <t>GÄVLEBORGS LÄN</t>
        </is>
      </c>
      <c r="G276" t="inlineStr">
        <is>
          <t>OCKELBO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46053</v>
      </c>
      <c r="E277" s="1" t="n">
        <v>46272</v>
      </c>
      <c r="F277" t="inlineStr">
        <is>
          <t>GÄVLEBORGS LÄN</t>
        </is>
      </c>
      <c r="G277" t="inlineStr">
        <is>
          <t>OCKELBO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46272</v>
      </c>
      <c r="F278" t="inlineStr">
        <is>
          <t>GÄVLEBORGS LÄN</t>
        </is>
      </c>
      <c r="G278" t="inlineStr">
        <is>
          <t>OCKELBO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46272</v>
      </c>
      <c r="F279" t="inlineStr">
        <is>
          <t>GÄVLEBORGS LÄN</t>
        </is>
      </c>
      <c r="G279" t="inlineStr">
        <is>
          <t>OCKELBO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46272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46272</v>
      </c>
      <c r="F281" t="inlineStr">
        <is>
          <t>GÄVLEBORGS LÄN</t>
        </is>
      </c>
      <c r="G281" t="inlineStr">
        <is>
          <t>OCKELBO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46272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9.4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45490</v>
      </c>
      <c r="E283" s="1" t="n">
        <v>46272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46056</v>
      </c>
      <c r="E284" s="1" t="n">
        <v>46272</v>
      </c>
      <c r="F284" t="inlineStr">
        <is>
          <t>GÄVLEBORGS LÄN</t>
        </is>
      </c>
      <c r="G284" t="inlineStr">
        <is>
          <t>OCKELBO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46272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34440-2023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45139</v>
      </c>
      <c r="E286" s="1" t="n">
        <v>46272</v>
      </c>
      <c r="F286" t="inlineStr">
        <is>
          <t>GÄVLEBORGS LÄN</t>
        </is>
      </c>
      <c r="G286" t="inlineStr">
        <is>
          <t>OCKELBO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46057</v>
      </c>
      <c r="E287" s="1" t="n">
        <v>46272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46272</v>
      </c>
      <c r="F288" t="inlineStr">
        <is>
          <t>GÄVLEBORGS LÄN</t>
        </is>
      </c>
      <c r="G288" t="inlineStr">
        <is>
          <t>OCKELBO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46272</v>
      </c>
      <c r="F289" t="inlineStr">
        <is>
          <t>GÄVLEBORGS LÄN</t>
        </is>
      </c>
      <c r="G289" t="inlineStr">
        <is>
          <t>OCKELBO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46056</v>
      </c>
      <c r="E290" s="1" t="n">
        <v>46272</v>
      </c>
      <c r="F290" t="inlineStr">
        <is>
          <t>GÄVLEBORGS LÄN</t>
        </is>
      </c>
      <c r="G290" t="inlineStr">
        <is>
          <t>OCKELBO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45705</v>
      </c>
      <c r="E291" s="1" t="n">
        <v>46272</v>
      </c>
      <c r="F291" t="inlineStr">
        <is>
          <t>GÄVLEBORGS LÄN</t>
        </is>
      </c>
      <c r="G291" t="inlineStr">
        <is>
          <t>OCKELBO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45181</v>
      </c>
      <c r="E292" s="1" t="n">
        <v>46272</v>
      </c>
      <c r="F292" t="inlineStr">
        <is>
          <t>GÄVLEBORGS LÄN</t>
        </is>
      </c>
      <c r="G292" t="inlineStr">
        <is>
          <t>OCKELBO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46272</v>
      </c>
      <c r="F293" t="inlineStr">
        <is>
          <t>GÄVLEBORGS LÄN</t>
        </is>
      </c>
      <c r="G293" t="inlineStr">
        <is>
          <t>OCKELBO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46272</v>
      </c>
      <c r="F294" t="inlineStr">
        <is>
          <t>GÄVLEBORGS LÄN</t>
        </is>
      </c>
      <c r="G294" t="inlineStr">
        <is>
          <t>OCKELBO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46272</v>
      </c>
      <c r="F295" t="inlineStr">
        <is>
          <t>GÄVLEBORGS LÄN</t>
        </is>
      </c>
      <c r="G295" t="inlineStr">
        <is>
          <t>OCKELBO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45608</v>
      </c>
      <c r="E296" s="1" t="n">
        <v>46272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45608</v>
      </c>
      <c r="E297" s="1" t="n">
        <v>46272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20660-2022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44700</v>
      </c>
      <c r="E298" s="1" t="n">
        <v>46272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46059</v>
      </c>
      <c r="E299" s="1" t="n">
        <v>46272</v>
      </c>
      <c r="F299" t="inlineStr">
        <is>
          <t>GÄVLEBORGS LÄN</t>
        </is>
      </c>
      <c r="G299" t="inlineStr">
        <is>
          <t>OCKELBO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45966</v>
      </c>
      <c r="E300" s="1" t="n">
        <v>46272</v>
      </c>
      <c r="F300" t="inlineStr">
        <is>
          <t>GÄVLEBORGS LÄN</t>
        </is>
      </c>
      <c r="G300" t="inlineStr">
        <is>
          <t>OCKELBO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54879-2025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45967</v>
      </c>
      <c r="E301" s="1" t="n">
        <v>46272</v>
      </c>
      <c r="F301" t="inlineStr">
        <is>
          <t>GÄVLEBORGS LÄN</t>
        </is>
      </c>
      <c r="G301" t="inlineStr">
        <is>
          <t>OCKELBO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46272</v>
      </c>
      <c r="F302" t="inlineStr">
        <is>
          <t>GÄVLEBORGS LÄN</t>
        </is>
      </c>
      <c r="G302" t="inlineStr">
        <is>
          <t>OCKELBO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45884</v>
      </c>
      <c r="E303" s="1" t="n">
        <v>46272</v>
      </c>
      <c r="F303" t="inlineStr">
        <is>
          <t>GÄVLEBORGS LÄN</t>
        </is>
      </c>
      <c r="G303" t="inlineStr">
        <is>
          <t>OCKELBO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45204</v>
      </c>
      <c r="E304" s="1" t="n">
        <v>46272</v>
      </c>
      <c r="F304" t="inlineStr">
        <is>
          <t>GÄVLEBORGS LÄN</t>
        </is>
      </c>
      <c r="G304" t="inlineStr">
        <is>
          <t>OCKELBO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7765-2026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46272</v>
      </c>
      <c r="F305" t="inlineStr">
        <is>
          <t>GÄVLEBORGS LÄN</t>
        </is>
      </c>
      <c r="G305" t="inlineStr">
        <is>
          <t>OCKELBO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5571-2024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45334</v>
      </c>
      <c r="E306" s="1" t="n">
        <v>46272</v>
      </c>
      <c r="F306" t="inlineStr">
        <is>
          <t>GÄVLEBORGS LÄN</t>
        </is>
      </c>
      <c r="G306" t="inlineStr">
        <is>
          <t>OCKELBO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46062</v>
      </c>
      <c r="E307" s="1" t="n">
        <v>46272</v>
      </c>
      <c r="F307" t="inlineStr">
        <is>
          <t>GÄVLEBORGS LÄN</t>
        </is>
      </c>
      <c r="G307" t="inlineStr">
        <is>
          <t>OCKELBO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46272</v>
      </c>
      <c r="F308" t="inlineStr">
        <is>
          <t>GÄVLEBORGS LÄN</t>
        </is>
      </c>
      <c r="G308" t="inlineStr">
        <is>
          <t>OCKELBO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46062</v>
      </c>
      <c r="E309" s="1" t="n">
        <v>46272</v>
      </c>
      <c r="F309" t="inlineStr">
        <is>
          <t>GÄVLEBORGS LÄN</t>
        </is>
      </c>
      <c r="G309" t="inlineStr">
        <is>
          <t>OCKELBO</t>
        </is>
      </c>
      <c r="H309" t="inlineStr">
        <is>
          <t>Kyrkan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46272</v>
      </c>
      <c r="F310" t="inlineStr">
        <is>
          <t>GÄVLEBORGS LÄN</t>
        </is>
      </c>
      <c r="G310" t="inlineStr">
        <is>
          <t>OCKELBO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46272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45645</v>
      </c>
      <c r="E312" s="1" t="n">
        <v>46272</v>
      </c>
      <c r="F312" t="inlineStr">
        <is>
          <t>GÄVLEBORGS LÄN</t>
        </is>
      </c>
      <c r="G312" t="inlineStr">
        <is>
          <t>OCKELBO</t>
        </is>
      </c>
      <c r="H312" t="inlineStr">
        <is>
          <t>Kyrkan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46064</v>
      </c>
      <c r="E313" s="1" t="n">
        <v>46272</v>
      </c>
      <c r="F313" t="inlineStr">
        <is>
          <t>GÄVLEBORGS LÄN</t>
        </is>
      </c>
      <c r="G313" t="inlineStr">
        <is>
          <t>OCKELBO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46272</v>
      </c>
      <c r="F314" t="inlineStr">
        <is>
          <t>GÄVLEBORGS LÄN</t>
        </is>
      </c>
      <c r="G314" t="inlineStr">
        <is>
          <t>OCKELBO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46272</v>
      </c>
      <c r="F315" t="inlineStr">
        <is>
          <t>GÄVLEBORGS LÄN</t>
        </is>
      </c>
      <c r="G315" t="inlineStr">
        <is>
          <t>OCKELBO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46272</v>
      </c>
      <c r="F316" t="inlineStr">
        <is>
          <t>GÄVLEBORGS LÄN</t>
        </is>
      </c>
      <c r="G316" t="inlineStr">
        <is>
          <t>OCKELBO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46272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46272</v>
      </c>
      <c r="F318" t="inlineStr">
        <is>
          <t>GÄVLEBORGS LÄN</t>
        </is>
      </c>
      <c r="G318" t="inlineStr">
        <is>
          <t>OCKELBO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21582-2024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45441</v>
      </c>
      <c r="E319" s="1" t="n">
        <v>46272</v>
      </c>
      <c r="F319" t="inlineStr">
        <is>
          <t>GÄVLEBORGS LÄN</t>
        </is>
      </c>
      <c r="G319" t="inlineStr">
        <is>
          <t>OCKELBO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46272</v>
      </c>
      <c r="F320" t="inlineStr">
        <is>
          <t>GÄVLEBORGS LÄN</t>
        </is>
      </c>
      <c r="G320" t="inlineStr">
        <is>
          <t>OCKELBO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46272</v>
      </c>
      <c r="F321" t="inlineStr">
        <is>
          <t>GÄVLEBORGS LÄN</t>
        </is>
      </c>
      <c r="G321" t="inlineStr">
        <is>
          <t>OCKELBO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46272</v>
      </c>
      <c r="F322" t="inlineStr">
        <is>
          <t>GÄVLEBORGS LÄN</t>
        </is>
      </c>
      <c r="G322" t="inlineStr">
        <is>
          <t>OCKELBO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59978-2023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45254</v>
      </c>
      <c r="E323" s="1" t="n">
        <v>46272</v>
      </c>
      <c r="F323" t="inlineStr">
        <is>
          <t>GÄVLEBORGS LÄN</t>
        </is>
      </c>
      <c r="G323" t="inlineStr">
        <is>
          <t>OCKELBO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46272</v>
      </c>
      <c r="F324" t="inlineStr">
        <is>
          <t>GÄVLEBORGS LÄN</t>
        </is>
      </c>
      <c r="G324" t="inlineStr">
        <is>
          <t>OCKELBO</t>
        </is>
      </c>
      <c r="I324" t="n">
        <v>17.4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46272</v>
      </c>
      <c r="F325" t="inlineStr">
        <is>
          <t>GÄVLEBORGS LÄN</t>
        </is>
      </c>
      <c r="G325" t="inlineStr">
        <is>
          <t>OCKELBO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55911-2025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45973</v>
      </c>
      <c r="E326" s="1" t="n">
        <v>46272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46272</v>
      </c>
      <c r="F327" t="inlineStr">
        <is>
          <t>GÄVLEBORGS LÄN</t>
        </is>
      </c>
      <c r="G327" t="inlineStr">
        <is>
          <t>OCKELBO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46272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46272</v>
      </c>
      <c r="F329" t="inlineStr">
        <is>
          <t>GÄVLEBORGS LÄN</t>
        </is>
      </c>
      <c r="G329" t="inlineStr">
        <is>
          <t>OCKELBO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45450</v>
      </c>
      <c r="E330" s="1" t="n">
        <v>46272</v>
      </c>
      <c r="F330" t="inlineStr">
        <is>
          <t>GÄVLEBORGS LÄN</t>
        </is>
      </c>
      <c r="G330" t="inlineStr">
        <is>
          <t>OCKELBO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45366</v>
      </c>
      <c r="E331" s="1" t="n">
        <v>46272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46272</v>
      </c>
      <c r="F332" t="inlineStr">
        <is>
          <t>GÄVLEBORGS LÄN</t>
        </is>
      </c>
      <c r="G332" t="inlineStr">
        <is>
          <t>OCKELBO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46272</v>
      </c>
      <c r="F333" t="inlineStr">
        <is>
          <t>GÄVLEBORGS LÄN</t>
        </is>
      </c>
      <c r="G333" t="inlineStr">
        <is>
          <t>OCKELBO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46272</v>
      </c>
      <c r="F334" t="inlineStr">
        <is>
          <t>GÄVLEBORGS LÄN</t>
        </is>
      </c>
      <c r="G334" t="inlineStr">
        <is>
          <t>OCKELBO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46272</v>
      </c>
      <c r="F335" t="inlineStr">
        <is>
          <t>GÄVLEBORGS LÄN</t>
        </is>
      </c>
      <c r="G335" t="inlineStr">
        <is>
          <t>OCKELBO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46272</v>
      </c>
      <c r="F336" t="inlineStr">
        <is>
          <t>GÄVLEBORGS LÄN</t>
        </is>
      </c>
      <c r="G336" t="inlineStr">
        <is>
          <t>OCKELBO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46272</v>
      </c>
      <c r="F337" t="inlineStr">
        <is>
          <t>GÄVLEBORGS LÄN</t>
        </is>
      </c>
      <c r="G337" t="inlineStr">
        <is>
          <t>OCKELBO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46272</v>
      </c>
      <c r="F338" t="inlineStr">
        <is>
          <t>GÄVLEBORGS LÄN</t>
        </is>
      </c>
      <c r="G338" t="inlineStr">
        <is>
          <t>OCKELBO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46272</v>
      </c>
      <c r="F339" t="inlineStr">
        <is>
          <t>GÄVLEBORGS LÄN</t>
        </is>
      </c>
      <c r="G339" t="inlineStr">
        <is>
          <t>OCKELBO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46272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9470-2026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46272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46272</v>
      </c>
      <c r="F342" t="inlineStr">
        <is>
          <t>GÄVLEBORGS LÄN</t>
        </is>
      </c>
      <c r="G342" t="inlineStr">
        <is>
          <t>OCKELBO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46071</v>
      </c>
      <c r="E343" s="1" t="n">
        <v>46272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46071</v>
      </c>
      <c r="E344" s="1" t="n">
        <v>46272</v>
      </c>
      <c r="F344" t="inlineStr">
        <is>
          <t>GÄVLEBORGS LÄN</t>
        </is>
      </c>
      <c r="G344" t="inlineStr">
        <is>
          <t>OCKELBO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46272</v>
      </c>
      <c r="F345" t="inlineStr">
        <is>
          <t>GÄVLEBORGS LÄN</t>
        </is>
      </c>
      <c r="G345" t="inlineStr">
        <is>
          <t>OCKELBO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46272</v>
      </c>
      <c r="F346" t="inlineStr">
        <is>
          <t>GÄVLEBORGS LÄN</t>
        </is>
      </c>
      <c r="G346" t="inlineStr">
        <is>
          <t>OCKELBO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46272</v>
      </c>
      <c r="F347" t="inlineStr">
        <is>
          <t>GÄVLEBORGS LÄN</t>
        </is>
      </c>
      <c r="G347" t="inlineStr">
        <is>
          <t>OCKELBO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46056</v>
      </c>
      <c r="E348" s="1" t="n">
        <v>46272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45488</v>
      </c>
      <c r="E349" s="1" t="n">
        <v>46272</v>
      </c>
      <c r="F349" t="inlineStr">
        <is>
          <t>GÄVLEBORGS LÄN</t>
        </is>
      </c>
      <c r="G349" t="inlineStr">
        <is>
          <t>OCKELBO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22151-2022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44712</v>
      </c>
      <c r="E350" s="1" t="n">
        <v>46272</v>
      </c>
      <c r="F350" t="inlineStr">
        <is>
          <t>GÄVLEBORGS LÄN</t>
        </is>
      </c>
      <c r="G350" t="inlineStr">
        <is>
          <t>OCKELBO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46272</v>
      </c>
      <c r="F351" t="inlineStr">
        <is>
          <t>GÄVLEBORGS LÄN</t>
        </is>
      </c>
      <c r="G351" t="inlineStr">
        <is>
          <t>OCKELBO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45301</v>
      </c>
      <c r="E352" s="1" t="n">
        <v>46272</v>
      </c>
      <c r="F352" t="inlineStr">
        <is>
          <t>GÄVLEBORGS LÄN</t>
        </is>
      </c>
      <c r="G352" t="inlineStr">
        <is>
          <t>OCKELBO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46272</v>
      </c>
      <c r="F353" t="inlineStr">
        <is>
          <t>GÄVLEBORGS LÄN</t>
        </is>
      </c>
      <c r="G353" t="inlineStr">
        <is>
          <t>OCKELBO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46272</v>
      </c>
      <c r="F354" t="inlineStr">
        <is>
          <t>GÄVLEBORGS LÄN</t>
        </is>
      </c>
      <c r="G354" t="inlineStr">
        <is>
          <t>OCKELBO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46072</v>
      </c>
      <c r="E355" s="1" t="n">
        <v>46272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9732-2026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46272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46272</v>
      </c>
      <c r="F357" t="inlineStr">
        <is>
          <t>GÄVLEBORGS LÄN</t>
        </is>
      </c>
      <c r="G357" t="inlineStr">
        <is>
          <t>OCKELBO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46272</v>
      </c>
      <c r="F358" t="inlineStr">
        <is>
          <t>GÄVLEBORGS LÄN</t>
        </is>
      </c>
      <c r="G358" t="inlineStr">
        <is>
          <t>OCKELBO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46272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46272</v>
      </c>
      <c r="F360" t="inlineStr">
        <is>
          <t>GÄVLEBORGS LÄN</t>
        </is>
      </c>
      <c r="G360" t="inlineStr">
        <is>
          <t>OCKELBO</t>
        </is>
      </c>
      <c r="I360" t="n">
        <v>14.6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58299-2025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46272</v>
      </c>
      <c r="F361" t="inlineStr">
        <is>
          <t>GÄVLEBORGS LÄN</t>
        </is>
      </c>
      <c r="G361" t="inlineStr">
        <is>
          <t>OCKELBO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46272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46272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46077</v>
      </c>
      <c r="E364" s="1" t="n">
        <v>46272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öst AB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10437-2026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46077</v>
      </c>
      <c r="E365" s="1" t="n">
        <v>46272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10454-2026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46077</v>
      </c>
      <c r="E366" s="1" t="n">
        <v>46272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46077</v>
      </c>
      <c r="E367" s="1" t="n">
        <v>46272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öst AB</t>
        </is>
      </c>
      <c r="I367" t="n">
        <v>45.7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46272</v>
      </c>
      <c r="F368" t="inlineStr">
        <is>
          <t>GÄVLEBORGS LÄN</t>
        </is>
      </c>
      <c r="G368" t="inlineStr">
        <is>
          <t>OCKELBO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46272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46077</v>
      </c>
      <c r="E370" s="1" t="n">
        <v>46272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öst AB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45747</v>
      </c>
      <c r="E371" s="1" t="n">
        <v>46272</v>
      </c>
      <c r="F371" t="inlineStr">
        <is>
          <t>GÄVLEBORGS LÄN</t>
        </is>
      </c>
      <c r="G371" t="inlineStr">
        <is>
          <t>OCKELBO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58727-2025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45986</v>
      </c>
      <c r="E372" s="1" t="n">
        <v>46272</v>
      </c>
      <c r="F372" t="inlineStr">
        <is>
          <t>GÄVLEBORGS LÄN</t>
        </is>
      </c>
      <c r="G372" t="inlineStr">
        <is>
          <t>OCKELBO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46077</v>
      </c>
      <c r="E373" s="1" t="n">
        <v>46272</v>
      </c>
      <c r="F373" t="inlineStr">
        <is>
          <t>GÄVLEBORGS LÄN</t>
        </is>
      </c>
      <c r="G373" t="inlineStr">
        <is>
          <t>OCKELBO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46272</v>
      </c>
      <c r="F374" t="inlineStr">
        <is>
          <t>GÄVLEBORGS LÄN</t>
        </is>
      </c>
      <c r="G374" t="inlineStr">
        <is>
          <t>OCKELBO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45488</v>
      </c>
      <c r="E375" s="1" t="n">
        <v>46272</v>
      </c>
      <c r="F375" t="inlineStr">
        <is>
          <t>GÄVLEBORGS LÄN</t>
        </is>
      </c>
      <c r="G375" t="inlineStr">
        <is>
          <t>OCKELBO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46272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46272</v>
      </c>
      <c r="F377" t="inlineStr">
        <is>
          <t>GÄVLEBORGS LÄN</t>
        </is>
      </c>
      <c r="G377" t="inlineStr">
        <is>
          <t>OCKELBO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46272</v>
      </c>
      <c r="F378" t="inlineStr">
        <is>
          <t>GÄVLEBORGS LÄN</t>
        </is>
      </c>
      <c r="G378" t="inlineStr">
        <is>
          <t>OCKELBO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46272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46272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60183-2025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45994</v>
      </c>
      <c r="E381" s="1" t="n">
        <v>46272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46272</v>
      </c>
      <c r="F382" t="inlineStr">
        <is>
          <t>GÄVLEBORGS LÄN</t>
        </is>
      </c>
      <c r="G382" t="inlineStr">
        <is>
          <t>OCKELBO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11027-2026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46272</v>
      </c>
      <c r="F383" t="inlineStr">
        <is>
          <t>GÄVLEBORGS LÄN</t>
        </is>
      </c>
      <c r="G383" t="inlineStr">
        <is>
          <t>OCKELBO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46272</v>
      </c>
      <c r="F384" t="inlineStr">
        <is>
          <t>GÄVLEBORGS LÄN</t>
        </is>
      </c>
      <c r="G384" t="inlineStr">
        <is>
          <t>OCKELBO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45996</v>
      </c>
      <c r="E385" s="1" t="n">
        <v>46272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45342</v>
      </c>
      <c r="E386" s="1" t="n">
        <v>46272</v>
      </c>
      <c r="F386" t="inlineStr">
        <is>
          <t>GÄVLEBORGS LÄN</t>
        </is>
      </c>
      <c r="G386" t="inlineStr">
        <is>
          <t>OCKELBO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18326-2026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46126</v>
      </c>
      <c r="E387" s="1" t="n">
        <v>46272</v>
      </c>
      <c r="F387" t="inlineStr">
        <is>
          <t>GÄVLEBORGS LÄN</t>
        </is>
      </c>
      <c r="G387" t="inlineStr">
        <is>
          <t>OCKELBO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46272</v>
      </c>
      <c r="F388" t="inlineStr">
        <is>
          <t>GÄVLEBORGS LÄN</t>
        </is>
      </c>
      <c r="G388" t="inlineStr">
        <is>
          <t>OCKELBO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46272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44970</v>
      </c>
      <c r="E390" s="1" t="n">
        <v>46272</v>
      </c>
      <c r="F390" t="inlineStr">
        <is>
          <t>GÄVLEBORGS LÄN</t>
        </is>
      </c>
      <c r="G390" t="inlineStr">
        <is>
          <t>OCKELBO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46083</v>
      </c>
      <c r="E391" s="1" t="n">
        <v>46272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46083</v>
      </c>
      <c r="E392" s="1" t="n">
        <v>46272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öst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16629-2025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46272</v>
      </c>
      <c r="F393" t="inlineStr">
        <is>
          <t>GÄVLEBORGS LÄN</t>
        </is>
      </c>
      <c r="G393" t="inlineStr">
        <is>
          <t>OCKELBO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11810-2026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46085</v>
      </c>
      <c r="E394" s="1" t="n">
        <v>46272</v>
      </c>
      <c r="F394" t="inlineStr">
        <is>
          <t>GÄVLEBORGS LÄN</t>
        </is>
      </c>
      <c r="G394" t="inlineStr">
        <is>
          <t>OCKELBO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5131-2024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45330</v>
      </c>
      <c r="E395" s="1" t="n">
        <v>46272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62196-2025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46006</v>
      </c>
      <c r="E396" s="1" t="n">
        <v>46272</v>
      </c>
      <c r="F396" t="inlineStr">
        <is>
          <t>GÄVLEBORGS LÄN</t>
        </is>
      </c>
      <c r="G396" t="inlineStr">
        <is>
          <t>OCKELBO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46272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63061-2025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46272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12341-2026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46087</v>
      </c>
      <c r="E399" s="1" t="n">
        <v>46272</v>
      </c>
      <c r="F399" t="inlineStr">
        <is>
          <t>GÄVLEBORGS LÄN</t>
        </is>
      </c>
      <c r="G399" t="inlineStr">
        <is>
          <t>OCKELBO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62914-2025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46272</v>
      </c>
      <c r="F400" t="inlineStr">
        <is>
          <t>GÄVLEBORGS LÄN</t>
        </is>
      </c>
      <c r="G400" t="inlineStr">
        <is>
          <t>OCKELBO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46272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46272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46089</v>
      </c>
      <c r="E403" s="1" t="n">
        <v>46272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29.9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46272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63224-2025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46010</v>
      </c>
      <c r="E405" s="1" t="n">
        <v>46272</v>
      </c>
      <c r="F405" t="inlineStr">
        <is>
          <t>GÄVLEBORGS LÄN</t>
        </is>
      </c>
      <c r="G405" t="inlineStr">
        <is>
          <t>OCKELBO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63017-2025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46272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46272</v>
      </c>
      <c r="F407" t="inlineStr">
        <is>
          <t>GÄVLEBORGS LÄN</t>
        </is>
      </c>
      <c r="G407" t="inlineStr">
        <is>
          <t>OCKELBO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63616-2025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46014</v>
      </c>
      <c r="E408" s="1" t="n">
        <v>46272</v>
      </c>
      <c r="F408" t="inlineStr">
        <is>
          <t>GÄVLEBORGS LÄN</t>
        </is>
      </c>
      <c r="G408" t="inlineStr">
        <is>
          <t>OCKELBO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12716-2026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46272</v>
      </c>
      <c r="F409" t="inlineStr">
        <is>
          <t>GÄVLEBORGS LÄN</t>
        </is>
      </c>
      <c r="G409" t="inlineStr">
        <is>
          <t>OCKELBO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45674</v>
      </c>
      <c r="E410" s="1" t="n">
        <v>46272</v>
      </c>
      <c r="F410" t="inlineStr">
        <is>
          <t>GÄVLEBORGS LÄN</t>
        </is>
      </c>
      <c r="G410" t="inlineStr">
        <is>
          <t>OCKELBO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13271-2026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46093</v>
      </c>
      <c r="E411" s="1" t="n">
        <v>46272</v>
      </c>
      <c r="F411" t="inlineStr">
        <is>
          <t>GÄVLEBORGS LÄN</t>
        </is>
      </c>
      <c r="G411" t="inlineStr">
        <is>
          <t>OCKELBO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46272</v>
      </c>
      <c r="F412" t="inlineStr">
        <is>
          <t>GÄVLEBORGS LÄN</t>
        </is>
      </c>
      <c r="G412" t="inlineStr">
        <is>
          <t>OCKELBO</t>
        </is>
      </c>
      <c r="H412" t="inlineStr">
        <is>
          <t>Naturvårdsverket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46272</v>
      </c>
      <c r="F413" t="inlineStr">
        <is>
          <t>GÄVLEBORGS LÄN</t>
        </is>
      </c>
      <c r="G413" t="inlineStr">
        <is>
          <t>OCKELBO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46272</v>
      </c>
      <c r="F414" t="inlineStr">
        <is>
          <t>GÄVLEBORGS LÄN</t>
        </is>
      </c>
      <c r="G414" t="inlineStr">
        <is>
          <t>OCKELBO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46272</v>
      </c>
      <c r="F415" t="inlineStr">
        <is>
          <t>GÄVLEBORGS LÄN</t>
        </is>
      </c>
      <c r="G415" t="inlineStr">
        <is>
          <t>OCKELBO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46272</v>
      </c>
      <c r="F416" t="inlineStr">
        <is>
          <t>GÄVLEBORGS LÄN</t>
        </is>
      </c>
      <c r="G416" t="inlineStr">
        <is>
          <t>OCKELBO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13162-2026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46272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46272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46272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46272</v>
      </c>
      <c r="F420" t="inlineStr">
        <is>
          <t>GÄVLEBORGS LÄN</t>
        </is>
      </c>
      <c r="G420" t="inlineStr">
        <is>
          <t>OCKELBO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12947-2026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46272</v>
      </c>
      <c r="F421" t="inlineStr">
        <is>
          <t>GÄVLEBORGS LÄN</t>
        </is>
      </c>
      <c r="G421" t="inlineStr">
        <is>
          <t>OCKELBO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46272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13621-2026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46097</v>
      </c>
      <c r="E423" s="1" t="n">
        <v>46272</v>
      </c>
      <c r="F423" t="inlineStr">
        <is>
          <t>GÄVLEBORGS LÄN</t>
        </is>
      </c>
      <c r="G423" t="inlineStr">
        <is>
          <t>OCKELBO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45291</v>
      </c>
      <c r="E424" s="1" t="n">
        <v>46272</v>
      </c>
      <c r="F424" t="inlineStr">
        <is>
          <t>GÄVLEBORGS LÄN</t>
        </is>
      </c>
      <c r="G424" t="inlineStr">
        <is>
          <t>OCKELBO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46272</v>
      </c>
      <c r="F425" t="inlineStr">
        <is>
          <t>GÄVLEBORGS LÄN</t>
        </is>
      </c>
      <c r="G425" t="inlineStr">
        <is>
          <t>OCKELBO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46272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45624</v>
      </c>
      <c r="E427" s="1" t="n">
        <v>46272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46272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14038-2026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46272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14439-2026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46272</v>
      </c>
      <c r="F430" t="inlineStr">
        <is>
          <t>GÄVLEBORGS LÄN</t>
        </is>
      </c>
      <c r="G430" t="inlineStr">
        <is>
          <t>OCKELBO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14441-2026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46100</v>
      </c>
      <c r="E431" s="1" t="n">
        <v>46272</v>
      </c>
      <c r="F431" t="inlineStr">
        <is>
          <t>GÄVLEBORGS LÄN</t>
        </is>
      </c>
      <c r="G431" t="inlineStr">
        <is>
          <t>OCKELBO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14100-2026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46272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46272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46272</v>
      </c>
      <c r="F434" t="inlineStr">
        <is>
          <t>GÄVLEBORGS LÄN</t>
        </is>
      </c>
      <c r="G434" t="inlineStr">
        <is>
          <t>OCKELBO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15052-2026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46104</v>
      </c>
      <c r="E435" s="1" t="n">
        <v>46272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46104</v>
      </c>
      <c r="E436" s="1" t="n">
        <v>46272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46101</v>
      </c>
      <c r="E437" s="1" t="n">
        <v>46272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39430-2024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45551</v>
      </c>
      <c r="E438" s="1" t="n">
        <v>46272</v>
      </c>
      <c r="F438" t="inlineStr">
        <is>
          <t>GÄVLEBORGS LÄN</t>
        </is>
      </c>
      <c r="G438" t="inlineStr">
        <is>
          <t>OCKELBO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46272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34.1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46272</v>
      </c>
      <c r="F440" t="inlineStr">
        <is>
          <t>GÄVLEBORGS LÄN</t>
        </is>
      </c>
      <c r="G440" t="inlineStr">
        <is>
          <t>OCKELBO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15067-2026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46272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14756-2026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46101</v>
      </c>
      <c r="E442" s="1" t="n">
        <v>46272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46272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46272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46272</v>
      </c>
      <c r="F445" t="inlineStr">
        <is>
          <t>GÄVLEBORGS LÄN</t>
        </is>
      </c>
      <c r="G445" t="inlineStr">
        <is>
          <t>OCKELBO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46272</v>
      </c>
      <c r="F446" t="inlineStr">
        <is>
          <t>GÄVLEBORGS LÄN</t>
        </is>
      </c>
      <c r="G446" t="inlineStr">
        <is>
          <t>OCKELBO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46272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14169-2026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46099</v>
      </c>
      <c r="E448" s="1" t="n">
        <v>46272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46272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öst AB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46272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46272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46108</v>
      </c>
      <c r="E452" s="1" t="n">
        <v>46272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46272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12.3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46272</v>
      </c>
      <c r="F454" t="inlineStr">
        <is>
          <t>GÄVLEBORGS LÄN</t>
        </is>
      </c>
      <c r="G454" t="inlineStr">
        <is>
          <t>OCKELBO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16535-2026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46112</v>
      </c>
      <c r="E455" s="1" t="n">
        <v>46272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46272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46272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16388-2026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46272</v>
      </c>
      <c r="F458" t="inlineStr">
        <is>
          <t>GÄVLEBORGS LÄN</t>
        </is>
      </c>
      <c r="G458" t="inlineStr">
        <is>
          <t>OCKELBO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61732-2024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46272</v>
      </c>
      <c r="F459" t="inlineStr">
        <is>
          <t>GÄVLEBORGS LÄN</t>
        </is>
      </c>
      <c r="G459" t="inlineStr">
        <is>
          <t>OCKELBO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16981-2026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46114</v>
      </c>
      <c r="E460" s="1" t="n">
        <v>46272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46272</v>
      </c>
      <c r="F461" t="inlineStr">
        <is>
          <t>GÄVLEBORGS LÄN</t>
        </is>
      </c>
      <c r="G461" t="inlineStr">
        <is>
          <t>OCKELBO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17115-2026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46114</v>
      </c>
      <c r="E462" s="1" t="n">
        <v>46272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16989-2026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46272</v>
      </c>
      <c r="F463" t="inlineStr">
        <is>
          <t>GÄVLEBORGS LÄN</t>
        </is>
      </c>
      <c r="G463" t="inlineStr">
        <is>
          <t>OCKELBO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46272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46272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öst AB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46272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öst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50197-2024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45600</v>
      </c>
      <c r="E467" s="1" t="n">
        <v>46272</v>
      </c>
      <c r="F467" t="inlineStr">
        <is>
          <t>GÄVLEBORGS LÄN</t>
        </is>
      </c>
      <c r="G467" t="inlineStr">
        <is>
          <t>OCKELBO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46272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öst AB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46272</v>
      </c>
      <c r="F469" t="inlineStr">
        <is>
          <t>GÄVLEBORGS LÄN</t>
        </is>
      </c>
      <c r="G469" t="inlineStr">
        <is>
          <t>OCKELBO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46076</v>
      </c>
      <c r="E470" s="1" t="n">
        <v>46272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öst AB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17241-2026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46272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46118</v>
      </c>
      <c r="E472" s="1" t="n">
        <v>46272</v>
      </c>
      <c r="F472" t="inlineStr">
        <is>
          <t>GÄVLEBORGS LÄN</t>
        </is>
      </c>
      <c r="G472" t="inlineStr">
        <is>
          <t>OCKELBO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10309-2026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46272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öst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46272</v>
      </c>
      <c r="F474" t="inlineStr">
        <is>
          <t>GÄVLEBORGS LÄN</t>
        </is>
      </c>
      <c r="G474" t="inlineStr">
        <is>
          <t>OCKELBO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46121</v>
      </c>
      <c r="E475" s="1" t="n">
        <v>46272</v>
      </c>
      <c r="F475" t="inlineStr">
        <is>
          <t>GÄVLEBORGS LÄN</t>
        </is>
      </c>
      <c r="G475" t="inlineStr">
        <is>
          <t>OCKELBO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17600-2026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46272</v>
      </c>
      <c r="F476" t="inlineStr">
        <is>
          <t>GÄVLEBORGS LÄN</t>
        </is>
      </c>
      <c r="G476" t="inlineStr">
        <is>
          <t>OCKELBO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46272</v>
      </c>
      <c r="F477" t="inlineStr">
        <is>
          <t>GÄVLEBORGS LÄN</t>
        </is>
      </c>
      <c r="G477" t="inlineStr">
        <is>
          <t>OCKELBO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46125</v>
      </c>
      <c r="E478" s="1" t="n">
        <v>46272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18234-2026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46126</v>
      </c>
      <c r="E479" s="1" t="n">
        <v>46272</v>
      </c>
      <c r="F479" t="inlineStr">
        <is>
          <t>GÄVLEBORGS LÄN</t>
        </is>
      </c>
      <c r="G479" t="inlineStr">
        <is>
          <t>OCKELBO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46126</v>
      </c>
      <c r="E480" s="1" t="n">
        <v>46272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46272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18426-2026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46127</v>
      </c>
      <c r="E482" s="1" t="n">
        <v>46272</v>
      </c>
      <c r="F482" t="inlineStr">
        <is>
          <t>GÄVLEBORGS LÄN</t>
        </is>
      </c>
      <c r="G482" t="inlineStr">
        <is>
          <t>OCKELBO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46272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46127</v>
      </c>
      <c r="E484" s="1" t="n">
        <v>46272</v>
      </c>
      <c r="F484" t="inlineStr">
        <is>
          <t>GÄVLEBORGS LÄN</t>
        </is>
      </c>
      <c r="G484" t="inlineStr">
        <is>
          <t>OCKELBO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16572-2026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46272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23772-2024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45455</v>
      </c>
      <c r="E486" s="1" t="n">
        <v>46272</v>
      </c>
      <c r="F486" t="inlineStr">
        <is>
          <t>GÄVLEBORGS LÄN</t>
        </is>
      </c>
      <c r="G486" t="inlineStr">
        <is>
          <t>OCKELBO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46128</v>
      </c>
      <c r="E487" s="1" t="n">
        <v>46272</v>
      </c>
      <c r="F487" t="inlineStr">
        <is>
          <t>GÄVLEBORGS LÄN</t>
        </is>
      </c>
      <c r="G487" t="inlineStr">
        <is>
          <t>OCKELBO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46272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18669-2026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46128</v>
      </c>
      <c r="E489" s="1" t="n">
        <v>46272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15581-2026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46272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öst AB</t>
        </is>
      </c>
      <c r="I490" t="n">
        <v>7.6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46272</v>
      </c>
      <c r="F491" t="inlineStr">
        <is>
          <t>GÄVLEBORGS LÄN</t>
        </is>
      </c>
      <c r="G491" t="inlineStr">
        <is>
          <t>OCKELBO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46132</v>
      </c>
      <c r="E492" s="1" t="n">
        <v>46272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46133</v>
      </c>
      <c r="E493" s="1" t="n">
        <v>46272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46132</v>
      </c>
      <c r="E494" s="1" t="n">
        <v>46272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46133</v>
      </c>
      <c r="E495" s="1" t="n">
        <v>46272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46272</v>
      </c>
      <c r="F496" t="inlineStr">
        <is>
          <t>GÄVLEBORGS LÄN</t>
        </is>
      </c>
      <c r="G496" t="inlineStr">
        <is>
          <t>OCKELBO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46272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46132</v>
      </c>
      <c r="E498" s="1" t="n">
        <v>46272</v>
      </c>
      <c r="F498" t="inlineStr">
        <is>
          <t>GÄVLEBORGS LÄN</t>
        </is>
      </c>
      <c r="G498" t="inlineStr">
        <is>
          <t>OCKELBO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19424-2026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46272</v>
      </c>
      <c r="F499" t="inlineStr">
        <is>
          <t>GÄVLEBORGS LÄN</t>
        </is>
      </c>
      <c r="G499" t="inlineStr">
        <is>
          <t>OCKELBO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54817-2022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44883</v>
      </c>
      <c r="E500" s="1" t="n">
        <v>46272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46272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19146-2026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46132</v>
      </c>
      <c r="E502" s="1" t="n">
        <v>46272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19142-2026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46132</v>
      </c>
      <c r="E503" s="1" t="n">
        <v>46272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19491-2026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46272</v>
      </c>
      <c r="F504" t="inlineStr">
        <is>
          <t>GÄVLEBORGS LÄN</t>
        </is>
      </c>
      <c r="G504" t="inlineStr">
        <is>
          <t>OCKELBO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46134</v>
      </c>
      <c r="E505" s="1" t="n">
        <v>46272</v>
      </c>
      <c r="F505" t="inlineStr">
        <is>
          <t>GÄVLEBORGS LÄN</t>
        </is>
      </c>
      <c r="G505" t="inlineStr">
        <is>
          <t>OCKELBO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46272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46272</v>
      </c>
      <c r="F507" t="inlineStr">
        <is>
          <t>GÄVLEBORGS LÄN</t>
        </is>
      </c>
      <c r="G507" t="inlineStr">
        <is>
          <t>OCKELBO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19431-2026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46133</v>
      </c>
      <c r="E508" s="1" t="n">
        <v>46272</v>
      </c>
      <c r="F508" t="inlineStr">
        <is>
          <t>GÄVLEBORGS LÄN</t>
        </is>
      </c>
      <c r="G508" t="inlineStr">
        <is>
          <t>OCKELBO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19531-2026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46134</v>
      </c>
      <c r="E509" s="1" t="n">
        <v>46272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46121</v>
      </c>
      <c r="E510" s="1" t="n">
        <v>46272</v>
      </c>
      <c r="F510" t="inlineStr">
        <is>
          <t>GÄVLEBORGS LÄN</t>
        </is>
      </c>
      <c r="G510" t="inlineStr">
        <is>
          <t>OCKELBO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45554</v>
      </c>
      <c r="E511" s="1" t="n">
        <v>46272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46272</v>
      </c>
      <c r="F512" t="inlineStr">
        <is>
          <t>GÄVLEBORGS LÄN</t>
        </is>
      </c>
      <c r="G512" t="inlineStr">
        <is>
          <t>OCKELBO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54977-2024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45620</v>
      </c>
      <c r="E513" s="1" t="n">
        <v>46272</v>
      </c>
      <c r="F513" t="inlineStr">
        <is>
          <t>GÄVLEBORGS LÄN</t>
        </is>
      </c>
      <c r="G513" t="inlineStr">
        <is>
          <t>OCKELBO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47674-2023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45203</v>
      </c>
      <c r="E514" s="1" t="n">
        <v>46272</v>
      </c>
      <c r="F514" t="inlineStr">
        <is>
          <t>GÄVLEBORGS LÄN</t>
        </is>
      </c>
      <c r="G514" t="inlineStr">
        <is>
          <t>OCKELBO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46272</v>
      </c>
      <c r="F515" t="inlineStr">
        <is>
          <t>GÄVLEBORGS LÄN</t>
        </is>
      </c>
      <c r="G515" t="inlineStr">
        <is>
          <t>OCKELBO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46137</v>
      </c>
      <c r="E516" s="1" t="n">
        <v>46272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25404-2025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45800</v>
      </c>
      <c r="E517" s="1" t="n">
        <v>46272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46272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46272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50742-2025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45946</v>
      </c>
      <c r="E520" s="1" t="n">
        <v>46272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15694-2022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44663</v>
      </c>
      <c r="E521" s="1" t="n">
        <v>46272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46316-2025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45925</v>
      </c>
      <c r="E522" s="1" t="n">
        <v>46272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46272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9.1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46272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46029</v>
      </c>
      <c r="E525" s="1" t="n">
        <v>46272</v>
      </c>
      <c r="F525" t="inlineStr">
        <is>
          <t>GÄVLEBORGS LÄN</t>
        </is>
      </c>
      <c r="G525" t="inlineStr">
        <is>
          <t>OCKELBO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36604-2025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45870</v>
      </c>
      <c r="E526" s="1" t="n">
        <v>46272</v>
      </c>
      <c r="F526" t="inlineStr">
        <is>
          <t>GÄVLEBORGS LÄN</t>
        </is>
      </c>
      <c r="G526" t="inlineStr">
        <is>
          <t>OCKELBO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46272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14937-2024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45398</v>
      </c>
      <c r="E528" s="1" t="n">
        <v>46272</v>
      </c>
      <c r="F528" t="inlineStr">
        <is>
          <t>GÄVLEBORGS LÄN</t>
        </is>
      </c>
      <c r="G528" t="inlineStr">
        <is>
          <t>OCKELBO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45134</v>
      </c>
      <c r="E529" s="1" t="n">
        <v>46272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45134</v>
      </c>
      <c r="E530" s="1" t="n">
        <v>46272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62096-2024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45656</v>
      </c>
      <c r="E531" s="1" t="n">
        <v>46272</v>
      </c>
      <c r="F531" t="inlineStr">
        <is>
          <t>GÄVLEBORGS LÄN</t>
        </is>
      </c>
      <c r="G531" t="inlineStr">
        <is>
          <t>OCKELBO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46137</v>
      </c>
      <c r="E532" s="1" t="n">
        <v>46272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7.3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20150-2026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46137</v>
      </c>
      <c r="E533" s="1" t="n">
        <v>46272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61456-2024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45646</v>
      </c>
      <c r="E534" s="1" t="n">
        <v>46272</v>
      </c>
      <c r="F534" t="inlineStr">
        <is>
          <t>GÄVLEBORGS LÄN</t>
        </is>
      </c>
      <c r="G534" t="inlineStr">
        <is>
          <t>OCKELBO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46272</v>
      </c>
      <c r="F535" t="inlineStr">
        <is>
          <t>GÄVLEBORGS LÄN</t>
        </is>
      </c>
      <c r="G535" t="inlineStr">
        <is>
          <t>OCKELBO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44281-2022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44839</v>
      </c>
      <c r="E536" s="1" t="n">
        <v>46272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25564-2025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45803</v>
      </c>
      <c r="E537" s="1" t="n">
        <v>46272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25168-2025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45800</v>
      </c>
      <c r="E538" s="1" t="n">
        <v>46272</v>
      </c>
      <c r="F538" t="inlineStr">
        <is>
          <t>GÄVLEBORGS LÄN</t>
        </is>
      </c>
      <c r="G538" t="inlineStr">
        <is>
          <t>OCKELBO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46272</v>
      </c>
      <c r="F539" t="inlineStr">
        <is>
          <t>GÄVLEBORGS LÄN</t>
        </is>
      </c>
      <c r="G539" t="inlineStr">
        <is>
          <t>OCKELBO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46272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61335-2022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44915</v>
      </c>
      <c r="E541" s="1" t="n">
        <v>46272</v>
      </c>
      <c r="F541" t="inlineStr">
        <is>
          <t>GÄVLEBORGS LÄN</t>
        </is>
      </c>
      <c r="G541" t="inlineStr">
        <is>
          <t>OCKELBO</t>
        </is>
      </c>
      <c r="I541" t="n">
        <v>8.5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45821</v>
      </c>
      <c r="E542" s="1" t="n">
        <v>46272</v>
      </c>
      <c r="F542" t="inlineStr">
        <is>
          <t>GÄVLEBORGS LÄN</t>
        </is>
      </c>
      <c r="G542" t="inlineStr">
        <is>
          <t>OCKELBO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46036</v>
      </c>
      <c r="E543" s="1" t="n">
        <v>46272</v>
      </c>
      <c r="F543" t="inlineStr">
        <is>
          <t>GÄVLEBORGS LÄN</t>
        </is>
      </c>
      <c r="G543" t="inlineStr">
        <is>
          <t>OCKELBO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60497-2021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44496</v>
      </c>
      <c r="E544" s="1" t="n">
        <v>46272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63977-2025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46021</v>
      </c>
      <c r="E545" s="1" t="n">
        <v>46272</v>
      </c>
      <c r="F545" t="inlineStr">
        <is>
          <t>GÄVLEBORGS LÄN</t>
        </is>
      </c>
      <c r="G545" t="inlineStr">
        <is>
          <t>OCKELBO</t>
        </is>
      </c>
      <c r="I545" t="n">
        <v>18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20251-2026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46139</v>
      </c>
      <c r="E546" s="1" t="n">
        <v>46272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15739-2026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46272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46136</v>
      </c>
      <c r="E548" s="1" t="n">
        <v>46272</v>
      </c>
      <c r="F548" t="inlineStr">
        <is>
          <t>GÄVLEBORGS LÄN</t>
        </is>
      </c>
      <c r="G548" t="inlineStr">
        <is>
          <t>OCKELBO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46136</v>
      </c>
      <c r="E549" s="1" t="n">
        <v>46272</v>
      </c>
      <c r="F549" t="inlineStr">
        <is>
          <t>GÄVLEBORGS LÄN</t>
        </is>
      </c>
      <c r="G549" t="inlineStr">
        <is>
          <t>OCKELBO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45699</v>
      </c>
      <c r="E550" s="1" t="n">
        <v>46272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46064</v>
      </c>
      <c r="E551" s="1" t="n">
        <v>46272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20155-2026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46138</v>
      </c>
      <c r="E552" s="1" t="n">
        <v>46272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46272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46272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8662-2025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45712</v>
      </c>
      <c r="E555" s="1" t="n">
        <v>46272</v>
      </c>
      <c r="F555" t="inlineStr">
        <is>
          <t>GÄVLEBORGS LÄN</t>
        </is>
      </c>
      <c r="G555" t="inlineStr">
        <is>
          <t>OCKELBO</t>
        </is>
      </c>
      <c r="I555" t="n">
        <v>14.7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43550-2023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45184</v>
      </c>
      <c r="E556" s="1" t="n">
        <v>46272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46034</v>
      </c>
      <c r="E557" s="1" t="n">
        <v>46272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45840</v>
      </c>
      <c r="E558" s="1" t="n">
        <v>46272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46272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45817</v>
      </c>
      <c r="E560" s="1" t="n">
        <v>46272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46272</v>
      </c>
      <c r="F561" t="inlineStr">
        <is>
          <t>GÄVLEBORGS LÄN</t>
        </is>
      </c>
      <c r="G561" t="inlineStr">
        <is>
          <t>OCKELBO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46272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8683-2026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46066</v>
      </c>
      <c r="E563" s="1" t="n">
        <v>46272</v>
      </c>
      <c r="F563" t="inlineStr">
        <is>
          <t>GÄVLEBORGS LÄN</t>
        </is>
      </c>
      <c r="G563" t="inlineStr">
        <is>
          <t>OCKELBO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8348-2026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46064</v>
      </c>
      <c r="E564" s="1" t="n">
        <v>46272</v>
      </c>
      <c r="F564" t="inlineStr">
        <is>
          <t>GÄVLEBORGS LÄN</t>
        </is>
      </c>
      <c r="G564" t="inlineStr">
        <is>
          <t>OCKELBO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46035</v>
      </c>
      <c r="E565" s="1" t="n">
        <v>46272</v>
      </c>
      <c r="F565" t="inlineStr">
        <is>
          <t>GÄVLEBORGS LÄN</t>
        </is>
      </c>
      <c r="G565" t="inlineStr">
        <is>
          <t>OCKELBO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46272</v>
      </c>
      <c r="F566" t="inlineStr">
        <is>
          <t>GÄVLEBORGS LÄN</t>
        </is>
      </c>
      <c r="G566" t="inlineStr">
        <is>
          <t>OCKELBO</t>
        </is>
      </c>
      <c r="I566" t="n">
        <v>11.9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46048</v>
      </c>
      <c r="E567" s="1" t="n">
        <v>46272</v>
      </c>
      <c r="F567" t="inlineStr">
        <is>
          <t>GÄVLEBORGS LÄN</t>
        </is>
      </c>
      <c r="G567" t="inlineStr">
        <is>
          <t>OCKELBO</t>
        </is>
      </c>
      <c r="I567" t="n">
        <v>36.1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46272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20571-2026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46140</v>
      </c>
      <c r="E569" s="1" t="n">
        <v>46272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30418-2023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45111</v>
      </c>
      <c r="E570" s="1" t="n">
        <v>46272</v>
      </c>
      <c r="F570" t="inlineStr">
        <is>
          <t>GÄVLEBORGS LÄN</t>
        </is>
      </c>
      <c r="G570" t="inlineStr">
        <is>
          <t>OCKELBO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30422-2023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45111</v>
      </c>
      <c r="E571" s="1" t="n">
        <v>46272</v>
      </c>
      <c r="F571" t="inlineStr">
        <is>
          <t>GÄVLEBORGS LÄN</t>
        </is>
      </c>
      <c r="G571" t="inlineStr">
        <is>
          <t>OCKELBO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46027</v>
      </c>
      <c r="E572" s="1" t="n">
        <v>46272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46272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32123-2024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45511</v>
      </c>
      <c r="E574" s="1" t="n">
        <v>46272</v>
      </c>
      <c r="F574" t="inlineStr">
        <is>
          <t>GÄVLEBORGS LÄN</t>
        </is>
      </c>
      <c r="G574" t="inlineStr">
        <is>
          <t>OCKELBO</t>
        </is>
      </c>
      <c r="I574" t="n">
        <v>11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46272</v>
      </c>
      <c r="F575" t="inlineStr">
        <is>
          <t>GÄVLEBORGS LÄN</t>
        </is>
      </c>
      <c r="G575" t="inlineStr">
        <is>
          <t>OCKELBO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7907-2026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46063</v>
      </c>
      <c r="E576" s="1" t="n">
        <v>46272</v>
      </c>
      <c r="F576" t="inlineStr">
        <is>
          <t>GÄVLEBORGS LÄN</t>
        </is>
      </c>
      <c r="G576" t="inlineStr">
        <is>
          <t>OCKELBO</t>
        </is>
      </c>
      <c r="I576" t="n">
        <v>11.5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40140-2022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44820</v>
      </c>
      <c r="E577" s="1" t="n">
        <v>46272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20502-2026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46140</v>
      </c>
      <c r="E578" s="1" t="n">
        <v>46272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20641-2026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46272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36343-2023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46272</v>
      </c>
      <c r="F580" t="inlineStr">
        <is>
          <t>GÄVLEBORGS LÄN</t>
        </is>
      </c>
      <c r="G580" t="inlineStr">
        <is>
          <t>OCKELBO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12983-2022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44643</v>
      </c>
      <c r="E581" s="1" t="n">
        <v>46272</v>
      </c>
      <c r="F581" t="inlineStr">
        <is>
          <t>GÄVLEBORGS LÄN</t>
        </is>
      </c>
      <c r="G581" t="inlineStr">
        <is>
          <t>OCKELBO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56631-2022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44893</v>
      </c>
      <c r="E582" s="1" t="n">
        <v>46272</v>
      </c>
      <c r="F582" t="inlineStr">
        <is>
          <t>GÄVLEBORGS LÄN</t>
        </is>
      </c>
      <c r="G582" t="inlineStr">
        <is>
          <t>OCKELBO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29687-2023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46272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9401-2026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46071</v>
      </c>
      <c r="E584" s="1" t="n">
        <v>46272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8.300000000000001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29953-2024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45488</v>
      </c>
      <c r="E585" s="1" t="n">
        <v>46272</v>
      </c>
      <c r="F585" t="inlineStr">
        <is>
          <t>GÄVLEBORGS LÄN</t>
        </is>
      </c>
      <c r="G585" t="inlineStr">
        <is>
          <t>OCKELBO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13857-2026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46272</v>
      </c>
      <c r="F586" t="inlineStr">
        <is>
          <t>GÄVLEBORGS LÄN</t>
        </is>
      </c>
      <c r="G586" t="inlineStr">
        <is>
          <t>OCKELBO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45526</v>
      </c>
      <c r="E587" s="1" t="n">
        <v>46272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20469-2026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46140</v>
      </c>
      <c r="E588" s="1" t="n">
        <v>46272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56634-2023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45243</v>
      </c>
      <c r="E589" s="1" t="n">
        <v>46272</v>
      </c>
      <c r="F589" t="inlineStr">
        <is>
          <t>GÄVLEBORGS LÄN</t>
        </is>
      </c>
      <c r="G589" t="inlineStr">
        <is>
          <t>OCKELBO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11116-2026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46079</v>
      </c>
      <c r="E590" s="1" t="n">
        <v>46272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18191-2026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46125</v>
      </c>
      <c r="E591" s="1" t="n">
        <v>46272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12708-2026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46091</v>
      </c>
      <c r="E592" s="1" t="n">
        <v>46272</v>
      </c>
      <c r="F592" t="inlineStr">
        <is>
          <t>GÄVLEBORGS LÄN</t>
        </is>
      </c>
      <c r="G592" t="inlineStr">
        <is>
          <t>OCKELBO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1716-2025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45671</v>
      </c>
      <c r="E593" s="1" t="n">
        <v>46272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46029</v>
      </c>
      <c r="E594" s="1" t="n">
        <v>46272</v>
      </c>
      <c r="F594" t="inlineStr">
        <is>
          <t>GÄVLEBORGS LÄN</t>
        </is>
      </c>
      <c r="G594" t="inlineStr">
        <is>
          <t>OCKELBO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7955-2026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46272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46272</v>
      </c>
      <c r="F596" t="inlineStr">
        <is>
          <t>GÄVLEBORGS LÄN</t>
        </is>
      </c>
      <c r="G596" t="inlineStr">
        <is>
          <t>OCKELBO</t>
        </is>
      </c>
      <c r="I596" t="n">
        <v>10.3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46037</v>
      </c>
      <c r="E597" s="1" t="n">
        <v>46272</v>
      </c>
      <c r="F597" t="inlineStr">
        <is>
          <t>GÄVLEBORGS LÄN</t>
        </is>
      </c>
      <c r="G597" t="inlineStr">
        <is>
          <t>OCKELBO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46073</v>
      </c>
      <c r="E598" s="1" t="n">
        <v>46272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49207-2023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45210</v>
      </c>
      <c r="E599" s="1" t="n">
        <v>46272</v>
      </c>
      <c r="F599" t="inlineStr">
        <is>
          <t>GÄVLEBORGS LÄN</t>
        </is>
      </c>
      <c r="G599" t="inlineStr">
        <is>
          <t>OCKELBO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46272</v>
      </c>
      <c r="F600" t="inlineStr">
        <is>
          <t>GÄVLEBORGS LÄN</t>
        </is>
      </c>
      <c r="G600" t="inlineStr">
        <is>
          <t>OCKELBO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46272</v>
      </c>
      <c r="F601" t="inlineStr">
        <is>
          <t>GÄVLEBORGS LÄN</t>
        </is>
      </c>
      <c r="G601" t="inlineStr">
        <is>
          <t>OCKELBO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46034</v>
      </c>
      <c r="E602" s="1" t="n">
        <v>46272</v>
      </c>
      <c r="F602" t="inlineStr">
        <is>
          <t>GÄVLEBORGS LÄN</t>
        </is>
      </c>
      <c r="G602" t="inlineStr">
        <is>
          <t>OCKELBO</t>
        </is>
      </c>
      <c r="I602" t="n">
        <v>9.300000000000001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10489-2026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46077</v>
      </c>
      <c r="E603" s="1" t="n">
        <v>46272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20481-2026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46140</v>
      </c>
      <c r="E604" s="1" t="n">
        <v>46272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7949-2026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46272</v>
      </c>
      <c r="F605" t="inlineStr">
        <is>
          <t>GÄVLEBORGS LÄN</t>
        </is>
      </c>
      <c r="G605" t="inlineStr">
        <is>
          <t>OCKELBO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20984-2026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46142</v>
      </c>
      <c r="E606" s="1" t="n">
        <v>46272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14905-2026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46272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60117-2025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45994</v>
      </c>
      <c r="E608" s="1" t="n">
        <v>46272</v>
      </c>
      <c r="F608" t="inlineStr">
        <is>
          <t>GÄVLEBORGS LÄN</t>
        </is>
      </c>
      <c r="G608" t="inlineStr">
        <is>
          <t>OCKELBO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46146</v>
      </c>
      <c r="E609" s="1" t="n">
        <v>46272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46127</v>
      </c>
      <c r="E610" s="1" t="n">
        <v>46272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17951-2026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46122</v>
      </c>
      <c r="E611" s="1" t="n">
        <v>46272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48804-2024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45593</v>
      </c>
      <c r="E612" s="1" t="n">
        <v>46272</v>
      </c>
      <c r="F612" t="inlineStr">
        <is>
          <t>GÄVLEBORGS LÄN</t>
        </is>
      </c>
      <c r="G612" t="inlineStr">
        <is>
          <t>OCKELBO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18097-2026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46125</v>
      </c>
      <c r="E613" s="1" t="n">
        <v>46272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12.6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21280-2026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46147</v>
      </c>
      <c r="E614" s="1" t="n">
        <v>46272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öst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46272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öst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15908-2026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46272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21461-2026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46272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46272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45678</v>
      </c>
      <c r="E619" s="1" t="n">
        <v>46272</v>
      </c>
      <c r="F619" t="inlineStr">
        <is>
          <t>GÄVLEBORGS LÄN</t>
        </is>
      </c>
      <c r="G619" t="inlineStr">
        <is>
          <t>OCKELBO</t>
        </is>
      </c>
      <c r="I619" t="n">
        <v>8.1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46134</v>
      </c>
      <c r="E620" s="1" t="n">
        <v>46272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21640-2026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46149</v>
      </c>
      <c r="E621" s="1" t="n">
        <v>46272</v>
      </c>
      <c r="F621" t="inlineStr">
        <is>
          <t>GÄVLEBORGS LÄN</t>
        </is>
      </c>
      <c r="G621" t="inlineStr">
        <is>
          <t>OCKELBO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21459-2026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46148</v>
      </c>
      <c r="E622" s="1" t="n">
        <v>46272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46148</v>
      </c>
      <c r="E623" s="1" t="n">
        <v>46272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21577-2026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46148</v>
      </c>
      <c r="E624" s="1" t="n">
        <v>46272</v>
      </c>
      <c r="F624" t="inlineStr">
        <is>
          <t>GÄVLEBORGS LÄN</t>
        </is>
      </c>
      <c r="G624" t="inlineStr">
        <is>
          <t>OCKELBO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46272</v>
      </c>
      <c r="F625" t="inlineStr">
        <is>
          <t>GÄVLEBORGS LÄN</t>
        </is>
      </c>
      <c r="G625" t="inlineStr">
        <is>
          <t>OCKELBO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37438-2023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45156</v>
      </c>
      <c r="E626" s="1" t="n">
        <v>46272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17233-2026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46119</v>
      </c>
      <c r="E627" s="1" t="n">
        <v>46272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8865-2026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46066</v>
      </c>
      <c r="E628" s="1" t="n">
        <v>46272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46153</v>
      </c>
      <c r="E629" s="1" t="n">
        <v>46272</v>
      </c>
      <c r="F629" t="inlineStr">
        <is>
          <t>GÄVLEBORGS LÄN</t>
        </is>
      </c>
      <c r="G629" t="inlineStr">
        <is>
          <t>OCKELBO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45674</v>
      </c>
      <c r="E630" s="1" t="n">
        <v>46272</v>
      </c>
      <c r="F630" t="inlineStr">
        <is>
          <t>GÄVLEBORGS LÄN</t>
        </is>
      </c>
      <c r="G630" t="inlineStr">
        <is>
          <t>OCKELBO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9413-2026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46272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9.1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18645-2026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46128</v>
      </c>
      <c r="E632" s="1" t="n">
        <v>46272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22057-2026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46272</v>
      </c>
      <c r="F633" t="inlineStr">
        <is>
          <t>GÄVLEBORGS LÄN</t>
        </is>
      </c>
      <c r="G633" t="inlineStr">
        <is>
          <t>OCKELBO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9542-2026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46272</v>
      </c>
      <c r="F634" t="inlineStr">
        <is>
          <t>GÄVLEBORGS LÄN</t>
        </is>
      </c>
      <c r="G634" t="inlineStr">
        <is>
          <t>OCKELBO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46272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58718-2025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45986</v>
      </c>
      <c r="E636" s="1" t="n">
        <v>46272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46272</v>
      </c>
      <c r="F637" t="inlineStr">
        <is>
          <t>GÄVLEBORGS LÄN</t>
        </is>
      </c>
      <c r="G637" t="inlineStr">
        <is>
          <t>OCKELBO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46609-2025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45926</v>
      </c>
      <c r="E638" s="1" t="n">
        <v>46272</v>
      </c>
      <c r="F638" t="inlineStr">
        <is>
          <t>GÄVLEBORGS LÄN</t>
        </is>
      </c>
      <c r="G638" t="inlineStr">
        <is>
          <t>OCKELBO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46272</v>
      </c>
      <c r="F639" t="inlineStr">
        <is>
          <t>GÄVLEBORGS LÄN</t>
        </is>
      </c>
      <c r="G639" t="inlineStr">
        <is>
          <t>OCKELBO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22329-2026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46272</v>
      </c>
      <c r="F640" t="inlineStr">
        <is>
          <t>GÄVLEBORGS LÄN</t>
        </is>
      </c>
      <c r="G640" t="inlineStr">
        <is>
          <t>OCKELBO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34944-2024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45527</v>
      </c>
      <c r="E641" s="1" t="n">
        <v>46272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22460-2026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46272</v>
      </c>
      <c r="F642" t="inlineStr">
        <is>
          <t>GÄVLEBORGS LÄN</t>
        </is>
      </c>
      <c r="G642" t="inlineStr">
        <is>
          <t>OCKELBO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46093</v>
      </c>
      <c r="E643" s="1" t="n">
        <v>46272</v>
      </c>
      <c r="F643" t="inlineStr">
        <is>
          <t>GÄVLEBORGS LÄN</t>
        </is>
      </c>
      <c r="G643" t="inlineStr">
        <is>
          <t>OCKELBO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46272</v>
      </c>
      <c r="F644" t="inlineStr">
        <is>
          <t>GÄVLEBORGS LÄN</t>
        </is>
      </c>
      <c r="G644" t="inlineStr">
        <is>
          <t>OCKELBO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46272</v>
      </c>
      <c r="F645" t="inlineStr">
        <is>
          <t>GÄVLEBORGS LÄN</t>
        </is>
      </c>
      <c r="G645" t="inlineStr">
        <is>
          <t>OCKELBO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43071-2025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45909</v>
      </c>
      <c r="E646" s="1" t="n">
        <v>46272</v>
      </c>
      <c r="F646" t="inlineStr">
        <is>
          <t>GÄVLEBORGS LÄN</t>
        </is>
      </c>
      <c r="G646" t="inlineStr">
        <is>
          <t>OCKELBO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46272</v>
      </c>
      <c r="F647" t="inlineStr">
        <is>
          <t>GÄVLEBORGS LÄN</t>
        </is>
      </c>
      <c r="G647" t="inlineStr">
        <is>
          <t>OCKELBO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15034-2026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46272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12352-2026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46088</v>
      </c>
      <c r="E649" s="1" t="n">
        <v>46272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4179-2026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46044</v>
      </c>
      <c r="E650" s="1" t="n">
        <v>46272</v>
      </c>
      <c r="F650" t="inlineStr">
        <is>
          <t>GÄVLEBORGS LÄN</t>
        </is>
      </c>
      <c r="G650" t="inlineStr">
        <is>
          <t>OCKELBO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46049</v>
      </c>
      <c r="E651" s="1" t="n">
        <v>46272</v>
      </c>
      <c r="F651" t="inlineStr">
        <is>
          <t>GÄVLEBORGS LÄN</t>
        </is>
      </c>
      <c r="G651" t="inlineStr">
        <is>
          <t>OCKELBO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13182-2026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46093</v>
      </c>
      <c r="E652" s="1" t="n">
        <v>46272</v>
      </c>
      <c r="F652" t="inlineStr">
        <is>
          <t>GÄVLEBORGS LÄN</t>
        </is>
      </c>
      <c r="G652" t="inlineStr">
        <is>
          <t>OCKELBO</t>
        </is>
      </c>
      <c r="I652" t="n">
        <v>8.199999999999999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46093</v>
      </c>
      <c r="E653" s="1" t="n">
        <v>46272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60122-2025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45994</v>
      </c>
      <c r="E654" s="1" t="n">
        <v>46272</v>
      </c>
      <c r="F654" t="inlineStr">
        <is>
          <t>GÄVLEBORGS LÄN</t>
        </is>
      </c>
      <c r="G654" t="inlineStr">
        <is>
          <t>OCKELBO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60120-2025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45994</v>
      </c>
      <c r="E655" s="1" t="n">
        <v>46272</v>
      </c>
      <c r="F655" t="inlineStr">
        <is>
          <t>GÄVLEBORGS LÄN</t>
        </is>
      </c>
      <c r="G655" t="inlineStr">
        <is>
          <t>OCKELBO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22712-2026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46156</v>
      </c>
      <c r="E656" s="1" t="n">
        <v>46272</v>
      </c>
      <c r="F656" t="inlineStr">
        <is>
          <t>GÄVLEBORGS LÄN</t>
        </is>
      </c>
      <c r="G656" t="inlineStr">
        <is>
          <t>OCKELBO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32301-2022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44781</v>
      </c>
      <c r="E657" s="1" t="n">
        <v>46272</v>
      </c>
      <c r="F657" t="inlineStr">
        <is>
          <t>GÄVLEBORGS LÄN</t>
        </is>
      </c>
      <c r="G657" t="inlineStr">
        <is>
          <t>OCKELBO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17862-2026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46122</v>
      </c>
      <c r="E658" s="1" t="n">
        <v>46272</v>
      </c>
      <c r="F658" t="inlineStr">
        <is>
          <t>GÄVLEBORGS LÄN</t>
        </is>
      </c>
      <c r="G658" t="inlineStr">
        <is>
          <t>OCKELBO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46272</v>
      </c>
      <c r="F659" t="inlineStr">
        <is>
          <t>GÄVLEBORGS LÄN</t>
        </is>
      </c>
      <c r="G659" t="inlineStr">
        <is>
          <t>OCKELBO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23040-2026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46161</v>
      </c>
      <c r="E660" s="1" t="n">
        <v>46272</v>
      </c>
      <c r="F660" t="inlineStr">
        <is>
          <t>GÄVLEBORGS LÄN</t>
        </is>
      </c>
      <c r="G660" t="inlineStr">
        <is>
          <t>OCKELBO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61116-2023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45261</v>
      </c>
      <c r="E661" s="1" t="n">
        <v>46272</v>
      </c>
      <c r="F661" t="inlineStr">
        <is>
          <t>GÄVLEBORGS LÄN</t>
        </is>
      </c>
      <c r="G661" t="inlineStr">
        <is>
          <t>OCKELBO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46272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14071-2026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46272</v>
      </c>
      <c r="F663" t="inlineStr">
        <is>
          <t>GÄVLEBORGS LÄN</t>
        </is>
      </c>
      <c r="G663" t="inlineStr">
        <is>
          <t>OCKELBO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46272</v>
      </c>
      <c r="F664" t="inlineStr">
        <is>
          <t>GÄVLEBORGS LÄN</t>
        </is>
      </c>
      <c r="G664" t="inlineStr">
        <is>
          <t>OCKELBO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23149-2026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46161</v>
      </c>
      <c r="E665" s="1" t="n">
        <v>46272</v>
      </c>
      <c r="F665" t="inlineStr">
        <is>
          <t>GÄVLEBORGS LÄN</t>
        </is>
      </c>
      <c r="G665" t="inlineStr">
        <is>
          <t>OCKELBO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23513-2026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46272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9859-2025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46272</v>
      </c>
      <c r="F667" t="inlineStr">
        <is>
          <t>GÄVLEBORGS LÄN</t>
        </is>
      </c>
      <c r="G667" t="inlineStr">
        <is>
          <t>OCKELBO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23663-2026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46164</v>
      </c>
      <c r="E668" s="1" t="n">
        <v>46272</v>
      </c>
      <c r="F668" t="inlineStr">
        <is>
          <t>GÄVLEBORGS LÄN</t>
        </is>
      </c>
      <c r="G668" t="inlineStr">
        <is>
          <t>OCKELBO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46164</v>
      </c>
      <c r="E669" s="1" t="n">
        <v>46272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46044</v>
      </c>
      <c r="E670" s="1" t="n">
        <v>46272</v>
      </c>
      <c r="F670" t="inlineStr">
        <is>
          <t>GÄVLEBORGS LÄN</t>
        </is>
      </c>
      <c r="G670" t="inlineStr">
        <is>
          <t>OCKELBO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24409-2026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46169</v>
      </c>
      <c r="E671" s="1" t="n">
        <v>46272</v>
      </c>
      <c r="F671" t="inlineStr">
        <is>
          <t>GÄVLEBORGS LÄN</t>
        </is>
      </c>
      <c r="G671" t="inlineStr">
        <is>
          <t>OCKELBO</t>
        </is>
      </c>
      <c r="I671" t="n">
        <v>8.1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24267-2026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46272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24333-2026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46169</v>
      </c>
      <c r="E673" s="1" t="n">
        <v>46272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24063-2026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46272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24335-2026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46272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24185-2026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46272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17730-2025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45758</v>
      </c>
      <c r="E677" s="1" t="n">
        <v>46272</v>
      </c>
      <c r="F677" t="inlineStr">
        <is>
          <t>GÄVLEBORGS LÄN</t>
        </is>
      </c>
      <c r="G677" t="inlineStr">
        <is>
          <t>OCKELBO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36362-2024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45534</v>
      </c>
      <c r="E678" s="1" t="n">
        <v>46272</v>
      </c>
      <c r="F678" t="inlineStr">
        <is>
          <t>GÄVLEBORGS LÄN</t>
        </is>
      </c>
      <c r="G678" t="inlineStr">
        <is>
          <t>OCKELBO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45334</v>
      </c>
      <c r="E679" s="1" t="n">
        <v>46272</v>
      </c>
      <c r="F679" t="inlineStr">
        <is>
          <t>GÄVLEBORGS LÄN</t>
        </is>
      </c>
      <c r="G679" t="inlineStr">
        <is>
          <t>OCKELBO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46272</v>
      </c>
      <c r="F680" t="inlineStr">
        <is>
          <t>GÄVLEBORGS LÄN</t>
        </is>
      </c>
      <c r="G680" t="inlineStr">
        <is>
          <t>OCKELBO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24059-2026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46272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46170</v>
      </c>
      <c r="E682" s="1" t="n">
        <v>46272</v>
      </c>
      <c r="F682" t="inlineStr">
        <is>
          <t>GÄVLEBORGS LÄN</t>
        </is>
      </c>
      <c r="G682" t="inlineStr">
        <is>
          <t>OCKELBO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46272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46170</v>
      </c>
      <c r="E684" s="1" t="n">
        <v>46272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24451-2026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46272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24598-2026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46170</v>
      </c>
      <c r="E686" s="1" t="n">
        <v>46272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24578-2026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46170</v>
      </c>
      <c r="E687" s="1" t="n">
        <v>46272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46272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52335-2024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45609</v>
      </c>
      <c r="E689" s="1" t="n">
        <v>46272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11974-2026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46272</v>
      </c>
      <c r="F690" t="inlineStr">
        <is>
          <t>GÄVLEBORGS LÄN</t>
        </is>
      </c>
      <c r="G690" t="inlineStr">
        <is>
          <t>OCKELBO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46023</v>
      </c>
      <c r="E691" s="1" t="n">
        <v>46272</v>
      </c>
      <c r="F691" t="inlineStr">
        <is>
          <t>GÄVLEBORGS LÄN</t>
        </is>
      </c>
      <c r="G691" t="inlineStr">
        <is>
          <t>OCKELBO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46174</v>
      </c>
      <c r="E692" s="1" t="n">
        <v>46272</v>
      </c>
      <c r="F692" t="inlineStr">
        <is>
          <t>GÄVLEBORGS LÄN</t>
        </is>
      </c>
      <c r="G692" t="inlineStr">
        <is>
          <t>OCKELBO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15966-2023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46272</v>
      </c>
      <c r="F693" t="inlineStr">
        <is>
          <t>GÄVLEBORGS LÄN</t>
        </is>
      </c>
      <c r="G693" t="inlineStr">
        <is>
          <t>OCKELBO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34444-2023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45139</v>
      </c>
      <c r="E694" s="1" t="n">
        <v>46272</v>
      </c>
      <c r="F694" t="inlineStr">
        <is>
          <t>GÄVLEBORGS LÄN</t>
        </is>
      </c>
      <c r="G694" t="inlineStr">
        <is>
          <t>OCKELBO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54944-2025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45967</v>
      </c>
      <c r="E695" s="1" t="n">
        <v>46272</v>
      </c>
      <c r="F695" t="inlineStr">
        <is>
          <t>GÄVLEBORGS LÄN</t>
        </is>
      </c>
      <c r="G695" t="inlineStr">
        <is>
          <t>OCKELBO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46174</v>
      </c>
      <c r="E696" s="1" t="n">
        <v>46272</v>
      </c>
      <c r="F696" t="inlineStr">
        <is>
          <t>GÄVLEBORGS LÄN</t>
        </is>
      </c>
      <c r="G696" t="inlineStr">
        <is>
          <t>OCKELBO</t>
        </is>
      </c>
      <c r="I696" t="n">
        <v>7.9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24974-2026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46174</v>
      </c>
      <c r="E697" s="1" t="n">
        <v>46272</v>
      </c>
      <c r="F697" t="inlineStr">
        <is>
          <t>GÄVLEBORGS LÄN</t>
        </is>
      </c>
      <c r="G697" t="inlineStr">
        <is>
          <t>OCKELBO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24624-2026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46171</v>
      </c>
      <c r="E698" s="1" t="n">
        <v>46272</v>
      </c>
      <c r="F698" t="inlineStr">
        <is>
          <t>GÄVLEBORGS LÄN</t>
        </is>
      </c>
      <c r="G698" t="inlineStr">
        <is>
          <t>OCKELBO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55070-2023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45237</v>
      </c>
      <c r="E699" s="1" t="n">
        <v>46272</v>
      </c>
      <c r="F699" t="inlineStr">
        <is>
          <t>GÄVLEBORGS LÄN</t>
        </is>
      </c>
      <c r="G699" t="inlineStr">
        <is>
          <t>OCKELBO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45698</v>
      </c>
      <c r="E700" s="1" t="n">
        <v>46272</v>
      </c>
      <c r="F700" t="inlineStr">
        <is>
          <t>GÄVLEBORGS LÄN</t>
        </is>
      </c>
      <c r="G700" t="inlineStr">
        <is>
          <t>OCKELBO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11734-2025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45727</v>
      </c>
      <c r="E701" s="1" t="n">
        <v>46272</v>
      </c>
      <c r="F701" t="inlineStr">
        <is>
          <t>GÄVLEBORGS LÄN</t>
        </is>
      </c>
      <c r="G701" t="inlineStr">
        <is>
          <t>OCKELBO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25128-2026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46175</v>
      </c>
      <c r="E702" s="1" t="n">
        <v>46272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25133-2026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46175</v>
      </c>
      <c r="E703" s="1" t="n">
        <v>46272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50968-2024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45603</v>
      </c>
      <c r="E704" s="1" t="n">
        <v>46272</v>
      </c>
      <c r="F704" t="inlineStr">
        <is>
          <t>GÄVLEBORGS LÄN</t>
        </is>
      </c>
      <c r="G704" t="inlineStr">
        <is>
          <t>OCKELBO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30798-2024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45497</v>
      </c>
      <c r="E705" s="1" t="n">
        <v>46272</v>
      </c>
      <c r="F705" t="inlineStr">
        <is>
          <t>GÄVLEBORGS LÄN</t>
        </is>
      </c>
      <c r="G705" t="inlineStr">
        <is>
          <t>OCKELBO</t>
        </is>
      </c>
      <c r="I705" t="n">
        <v>8.699999999999999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25525-2026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46272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9.4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25599-2026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46272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43799-2022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44838</v>
      </c>
      <c r="E708" s="1" t="n">
        <v>46272</v>
      </c>
      <c r="F708" t="inlineStr">
        <is>
          <t>GÄVLEBORGS LÄN</t>
        </is>
      </c>
      <c r="G708" t="inlineStr">
        <is>
          <t>OCKELBO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46156</v>
      </c>
      <c r="E709" s="1" t="n">
        <v>46272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37391-2023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45156</v>
      </c>
      <c r="E710" s="1" t="n">
        <v>46272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26131-2026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46272</v>
      </c>
      <c r="F711" t="inlineStr">
        <is>
          <t>GÄVLEBORGS LÄN</t>
        </is>
      </c>
      <c r="G711" t="inlineStr">
        <is>
          <t>OCKELBO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33987-2023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45134</v>
      </c>
      <c r="E712" s="1" t="n">
        <v>46272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33879-2023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45134</v>
      </c>
      <c r="E713" s="1" t="n">
        <v>46272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49529-2024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45596</v>
      </c>
      <c r="E714" s="1" t="n">
        <v>46272</v>
      </c>
      <c r="F714" t="inlineStr">
        <is>
          <t>GÄVLEBORGS LÄN</t>
        </is>
      </c>
      <c r="G714" t="inlineStr">
        <is>
          <t>OCKELBO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56034-2023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45240</v>
      </c>
      <c r="E715" s="1" t="n">
        <v>46272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52330-2024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45609</v>
      </c>
      <c r="E716" s="1" t="n">
        <v>46272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5.6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34449-2023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45139</v>
      </c>
      <c r="E717" s="1" t="n">
        <v>46272</v>
      </c>
      <c r="F717" t="inlineStr">
        <is>
          <t>GÄVLEBORGS LÄN</t>
        </is>
      </c>
      <c r="G717" t="inlineStr">
        <is>
          <t>OCKELBO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31804-2026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46230</v>
      </c>
      <c r="E718" s="1" t="n">
        <v>46272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46272</v>
      </c>
      <c r="F719" t="inlineStr">
        <is>
          <t>GÄVLEBORGS LÄN</t>
        </is>
      </c>
      <c r="G719" t="inlineStr">
        <is>
          <t>OCKELBO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46272</v>
      </c>
      <c r="F720" t="inlineStr">
        <is>
          <t>GÄVLEBORGS LÄN</t>
        </is>
      </c>
      <c r="G720" t="inlineStr">
        <is>
          <t>OCKELBO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27231-2026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46272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27272-2026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46272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26924-2026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46272</v>
      </c>
      <c r="F723" t="inlineStr">
        <is>
          <t>GÄVLEBORGS LÄN</t>
        </is>
      </c>
      <c r="G723" t="inlineStr">
        <is>
          <t>OCKELBO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46272</v>
      </c>
      <c r="F724" t="inlineStr">
        <is>
          <t>GÄVLEBORGS LÄN</t>
        </is>
      </c>
      <c r="G724" t="inlineStr">
        <is>
          <t>OCKELBO</t>
        </is>
      </c>
      <c r="I724" t="n">
        <v>14.6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26845-2026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46272</v>
      </c>
      <c r="F725" t="inlineStr">
        <is>
          <t>GÄVLEBORGS LÄN</t>
        </is>
      </c>
      <c r="G725" t="inlineStr">
        <is>
          <t>OCKELBO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27562-2026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46190</v>
      </c>
      <c r="E726" s="1" t="n">
        <v>46272</v>
      </c>
      <c r="F726" t="inlineStr">
        <is>
          <t>GÄVLEBORGS LÄN</t>
        </is>
      </c>
      <c r="G726" t="inlineStr">
        <is>
          <t>OCKELBO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31971-2026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46232</v>
      </c>
      <c r="E727" s="1" t="n">
        <v>46272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45544</v>
      </c>
      <c r="E728" s="1" t="n">
        <v>46272</v>
      </c>
      <c r="F728" t="inlineStr">
        <is>
          <t>GÄVLEBORGS LÄN</t>
        </is>
      </c>
      <c r="G728" t="inlineStr">
        <is>
          <t>OCKELBO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57614-2025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45981</v>
      </c>
      <c r="E729" s="1" t="n">
        <v>46272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46076</v>
      </c>
      <c r="E730" s="1" t="n">
        <v>46272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27620-2026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46190</v>
      </c>
      <c r="E731" s="1" t="n">
        <v>46272</v>
      </c>
      <c r="F731" t="inlineStr">
        <is>
          <t>GÄVLEBORGS LÄN</t>
        </is>
      </c>
      <c r="G731" t="inlineStr">
        <is>
          <t>OCKELBO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27623-2026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46190</v>
      </c>
      <c r="E732" s="1" t="n">
        <v>46272</v>
      </c>
      <c r="F732" t="inlineStr">
        <is>
          <t>GÄVLEBORGS LÄN</t>
        </is>
      </c>
      <c r="G732" t="inlineStr">
        <is>
          <t>OCKELBO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27630-2026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46190</v>
      </c>
      <c r="E733" s="1" t="n">
        <v>46272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53702-2024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45615</v>
      </c>
      <c r="E734" s="1" t="n">
        <v>46272</v>
      </c>
      <c r="F734" t="inlineStr">
        <is>
          <t>GÄVLEBORGS LÄN</t>
        </is>
      </c>
      <c r="G734" t="inlineStr">
        <is>
          <t>OCKELBO</t>
        </is>
      </c>
      <c r="I734" t="n">
        <v>5.8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27381-2026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46272</v>
      </c>
      <c r="F735" t="inlineStr">
        <is>
          <t>GÄVLEBORGS LÄN</t>
        </is>
      </c>
      <c r="G735" t="inlineStr">
        <is>
          <t>OCKELBO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27383-2026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46189</v>
      </c>
      <c r="E736" s="1" t="n">
        <v>46272</v>
      </c>
      <c r="F736" t="inlineStr">
        <is>
          <t>GÄVLEBORGS LÄN</t>
        </is>
      </c>
      <c r="G736" t="inlineStr">
        <is>
          <t>OCKELBO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27416-2026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46189</v>
      </c>
      <c r="E737" s="1" t="n">
        <v>46272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27379-2026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46189</v>
      </c>
      <c r="E738" s="1" t="n">
        <v>46272</v>
      </c>
      <c r="F738" t="inlineStr">
        <is>
          <t>GÄVLEBORGS LÄN</t>
        </is>
      </c>
      <c r="G738" t="inlineStr">
        <is>
          <t>OCKELBO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27382-2026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46272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46191</v>
      </c>
      <c r="E740" s="1" t="n">
        <v>46272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28965-2024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45481</v>
      </c>
      <c r="E741" s="1" t="n">
        <v>46272</v>
      </c>
      <c r="F741" t="inlineStr">
        <is>
          <t>GÄVLEBORGS LÄN</t>
        </is>
      </c>
      <c r="G741" t="inlineStr">
        <is>
          <t>OCKELBO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55906-2024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45623</v>
      </c>
      <c r="E742" s="1" t="n">
        <v>46272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6377-2026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46055</v>
      </c>
      <c r="E743" s="1" t="n">
        <v>46272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46196</v>
      </c>
      <c r="E744" s="1" t="n">
        <v>46272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24228-2022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44725</v>
      </c>
      <c r="E745" s="1" t="n">
        <v>46272</v>
      </c>
      <c r="F745" t="inlineStr">
        <is>
          <t>GÄVLEBORGS LÄN</t>
        </is>
      </c>
      <c r="G745" t="inlineStr">
        <is>
          <t>OCKELBO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28289-2026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46196</v>
      </c>
      <c r="E746" s="1" t="n">
        <v>46272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28317-2026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46196</v>
      </c>
      <c r="E747" s="1" t="n">
        <v>46272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27995-2026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46195</v>
      </c>
      <c r="E748" s="1" t="n">
        <v>46272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64609-2023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45281</v>
      </c>
      <c r="E749" s="1" t="n">
        <v>46272</v>
      </c>
      <c r="F749" t="inlineStr">
        <is>
          <t>GÄVLEBORGS LÄN</t>
        </is>
      </c>
      <c r="G749" t="inlineStr">
        <is>
          <t>OCKELBO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44950</v>
      </c>
      <c r="E750" s="1" t="n">
        <v>46272</v>
      </c>
      <c r="F750" t="inlineStr">
        <is>
          <t>GÄVLEBORGS LÄN</t>
        </is>
      </c>
      <c r="G750" t="inlineStr">
        <is>
          <t>OCKELBO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21900-2023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45068</v>
      </c>
      <c r="E751" s="1" t="n">
        <v>46272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19774-2025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45771</v>
      </c>
      <c r="E752" s="1" t="n">
        <v>46272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28672-2026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46272</v>
      </c>
      <c r="F753" t="inlineStr">
        <is>
          <t>GÄVLEBORGS LÄN</t>
        </is>
      </c>
      <c r="G753" t="inlineStr">
        <is>
          <t>OCKELBO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46272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21878-2023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45068</v>
      </c>
      <c r="E755" s="1" t="n">
        <v>46272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28681-2026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46272</v>
      </c>
      <c r="F756" t="inlineStr">
        <is>
          <t>GÄVLEBORGS LÄN</t>
        </is>
      </c>
      <c r="G756" t="inlineStr">
        <is>
          <t>OCKELBO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36295-2024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45534</v>
      </c>
      <c r="E757" s="1" t="n">
        <v>46272</v>
      </c>
      <c r="F757" t="inlineStr">
        <is>
          <t>GÄVLEBORGS LÄN</t>
        </is>
      </c>
      <c r="G757" t="inlineStr">
        <is>
          <t>OCKELBO</t>
        </is>
      </c>
      <c r="I757" t="n">
        <v>7.9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29078-2026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46199</v>
      </c>
      <c r="E758" s="1" t="n">
        <v>46272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53488-2023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45230</v>
      </c>
      <c r="E759" s="1" t="n">
        <v>46272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37442-2023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46272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22385-2023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45070</v>
      </c>
      <c r="E761" s="1" t="n">
        <v>46272</v>
      </c>
      <c r="F761" t="inlineStr">
        <is>
          <t>GÄVLEBORGS LÄN</t>
        </is>
      </c>
      <c r="G761" t="inlineStr">
        <is>
          <t>OCKELBO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29001-2026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46272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10.2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56741-2024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45628</v>
      </c>
      <c r="E763" s="1" t="n">
        <v>46272</v>
      </c>
      <c r="F763" t="inlineStr">
        <is>
          <t>GÄVLEBORGS LÄN</t>
        </is>
      </c>
      <c r="G763" t="inlineStr">
        <is>
          <t>OCKELBO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19772-2025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45771</v>
      </c>
      <c r="E764" s="1" t="n">
        <v>46272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4257-2026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46045</v>
      </c>
      <c r="E765" s="1" t="n">
        <v>46272</v>
      </c>
      <c r="F765" t="inlineStr">
        <is>
          <t>GÄVLEBORGS LÄN</t>
        </is>
      </c>
      <c r="G765" t="inlineStr">
        <is>
          <t>OCKELBO</t>
        </is>
      </c>
      <c r="I765" t="n">
        <v>6.8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33176-2026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46245</v>
      </c>
      <c r="E766" s="1" t="n">
        <v>46272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26481-2026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46183</v>
      </c>
      <c r="E767" s="1" t="n">
        <v>46272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46272</v>
      </c>
      <c r="F768" t="inlineStr">
        <is>
          <t>GÄVLEBORGS LÄN</t>
        </is>
      </c>
      <c r="G768" t="inlineStr">
        <is>
          <t>OCKELBO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29611-2026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46272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29437-2026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46203</v>
      </c>
      <c r="E770" s="1" t="n">
        <v>46272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29567-2024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45484</v>
      </c>
      <c r="E771" s="1" t="n">
        <v>46272</v>
      </c>
      <c r="F771" t="inlineStr">
        <is>
          <t>GÄVLEBORGS LÄN</t>
        </is>
      </c>
      <c r="G771" t="inlineStr">
        <is>
          <t>OCKELBO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46272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64367-2023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45280</v>
      </c>
      <c r="E773" s="1" t="n">
        <v>46272</v>
      </c>
      <c r="F773" t="inlineStr">
        <is>
          <t>GÄVLEBORGS LÄN</t>
        </is>
      </c>
      <c r="G773" t="inlineStr">
        <is>
          <t>OCKELBO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45239</v>
      </c>
      <c r="E774" s="1" t="n">
        <v>46272</v>
      </c>
      <c r="F774" t="inlineStr">
        <is>
          <t>GÄVLEBORGS LÄN</t>
        </is>
      </c>
      <c r="G774" t="inlineStr">
        <is>
          <t>OCKELBO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29415-2026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46272</v>
      </c>
      <c r="F775" t="inlineStr">
        <is>
          <t>GÄVLEBORGS LÄN</t>
        </is>
      </c>
      <c r="G775" t="inlineStr">
        <is>
          <t>OCKELBO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47849-2021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44448</v>
      </c>
      <c r="E776" s="1" t="n">
        <v>46272</v>
      </c>
      <c r="F776" t="inlineStr">
        <is>
          <t>GÄVLEBORGS LÄN</t>
        </is>
      </c>
      <c r="G776" t="inlineStr">
        <is>
          <t>OCKELBO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50194-2024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45600</v>
      </c>
      <c r="E777" s="1" t="n">
        <v>46272</v>
      </c>
      <c r="F777" t="inlineStr">
        <is>
          <t>GÄVLEBORGS LÄN</t>
        </is>
      </c>
      <c r="G777" t="inlineStr">
        <is>
          <t>OCKELBO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15247-2025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45744</v>
      </c>
      <c r="E778" s="1" t="n">
        <v>46272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29849-2026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46205</v>
      </c>
      <c r="E779" s="1" t="n">
        <v>46272</v>
      </c>
      <c r="F779" t="inlineStr">
        <is>
          <t>GÄVLEBORGS LÄN</t>
        </is>
      </c>
      <c r="G779" t="inlineStr">
        <is>
          <t>OCKELBO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22952-2023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45072</v>
      </c>
      <c r="E780" s="1" t="n">
        <v>46272</v>
      </c>
      <c r="F780" t="inlineStr">
        <is>
          <t>GÄVLEBORGS LÄN</t>
        </is>
      </c>
      <c r="G780" t="inlineStr">
        <is>
          <t>OCKELBO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30031-2026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46272</v>
      </c>
      <c r="F781" t="inlineStr">
        <is>
          <t>GÄVLEBORGS LÄN</t>
        </is>
      </c>
      <c r="G781" t="inlineStr">
        <is>
          <t>OCKELBO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29789-2026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46205</v>
      </c>
      <c r="E782" s="1" t="n">
        <v>46272</v>
      </c>
      <c r="F782" t="inlineStr">
        <is>
          <t>GÄVLEBORGS LÄN</t>
        </is>
      </c>
      <c r="G782" t="inlineStr">
        <is>
          <t>OCKELBO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29835-2026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46272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22824-2024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45448</v>
      </c>
      <c r="E784" s="1" t="n">
        <v>46272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1143-2025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45666</v>
      </c>
      <c r="E785" s="1" t="n">
        <v>46272</v>
      </c>
      <c r="F785" t="inlineStr">
        <is>
          <t>GÄVLEBORGS LÄN</t>
        </is>
      </c>
      <c r="G785" t="inlineStr">
        <is>
          <t>OCKELBO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61750-2023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45265</v>
      </c>
      <c r="E786" s="1" t="n">
        <v>46272</v>
      </c>
      <c r="F786" t="inlineStr">
        <is>
          <t>GÄVLEBORGS LÄN</t>
        </is>
      </c>
      <c r="G786" t="inlineStr">
        <is>
          <t>OCKELBO</t>
        </is>
      </c>
      <c r="I786" t="n">
        <v>11.2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33985-2023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45134</v>
      </c>
      <c r="E787" s="1" t="n">
        <v>46272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3628-2023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44950</v>
      </c>
      <c r="E788" s="1" t="n">
        <v>46272</v>
      </c>
      <c r="F788" t="inlineStr">
        <is>
          <t>GÄVLEBORGS LÄN</t>
        </is>
      </c>
      <c r="G788" t="inlineStr">
        <is>
          <t>OCKELBO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20775-2025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45776</v>
      </c>
      <c r="E789" s="1" t="n">
        <v>46272</v>
      </c>
      <c r="F789" t="inlineStr">
        <is>
          <t>GÄVLEBORGS LÄN</t>
        </is>
      </c>
      <c r="G789" t="inlineStr">
        <is>
          <t>OCKELBO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34391-2026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46254</v>
      </c>
      <c r="E790" s="1" t="n">
        <v>46272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23780-2024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45455</v>
      </c>
      <c r="E791" s="1" t="n">
        <v>46272</v>
      </c>
      <c r="F791" t="inlineStr">
        <is>
          <t>GÄVLEBORGS LÄN</t>
        </is>
      </c>
      <c r="G791" t="inlineStr">
        <is>
          <t>OCKELBO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52273-2024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45608</v>
      </c>
      <c r="E792" s="1" t="n">
        <v>46272</v>
      </c>
      <c r="F792" t="inlineStr">
        <is>
          <t>GÄVLEBORGS LÄN</t>
        </is>
      </c>
      <c r="G792" t="inlineStr">
        <is>
          <t>OCKELBO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37848-2024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45544</v>
      </c>
      <c r="E793" s="1" t="n">
        <v>46272</v>
      </c>
      <c r="F793" t="inlineStr">
        <is>
          <t>GÄVLEBORGS LÄN</t>
        </is>
      </c>
      <c r="G793" t="inlineStr">
        <is>
          <t>OCKELBO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60253-2023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45258</v>
      </c>
      <c r="E794" s="1" t="n">
        <v>46272</v>
      </c>
      <c r="F794" t="inlineStr">
        <is>
          <t>GÄVLEBORGS LÄN</t>
        </is>
      </c>
      <c r="G794" t="inlineStr">
        <is>
          <t>OCKELBO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31083-2026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46216</v>
      </c>
      <c r="E795" s="1" t="n">
        <v>46272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22385-2025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46272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22387-2025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45786</v>
      </c>
      <c r="E797" s="1" t="n">
        <v>46272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34765-2026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46258</v>
      </c>
      <c r="E798" s="1" t="n">
        <v>46272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28584-2024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45478</v>
      </c>
      <c r="E799" s="1" t="n">
        <v>46272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54323-2024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45617</v>
      </c>
      <c r="E800" s="1" t="n">
        <v>46272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28181-2022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44746</v>
      </c>
      <c r="E801" s="1" t="n">
        <v>46272</v>
      </c>
      <c r="F801" t="inlineStr">
        <is>
          <t>GÄVLEBORGS LÄN</t>
        </is>
      </c>
      <c r="G801" t="inlineStr">
        <is>
          <t>OCKELBO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46052</v>
      </c>
      <c r="E802" s="1" t="n">
        <v>46272</v>
      </c>
      <c r="F802" t="inlineStr">
        <is>
          <t>GÄVLEBORGS LÄN</t>
        </is>
      </c>
      <c r="G802" t="inlineStr">
        <is>
          <t>OCKELBO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30990-2026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46213</v>
      </c>
      <c r="E803" s="1" t="n">
        <v>46272</v>
      </c>
      <c r="F803" t="inlineStr">
        <is>
          <t>GÄVLEBORGS LÄN</t>
        </is>
      </c>
      <c r="G803" t="inlineStr">
        <is>
          <t>OCKELBO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20689-2025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45776</v>
      </c>
      <c r="E804" s="1" t="n">
        <v>46272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35155-2026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46260</v>
      </c>
      <c r="E805" s="1" t="n">
        <v>46272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23004-2025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45790</v>
      </c>
      <c r="E806" s="1" t="n">
        <v>46272</v>
      </c>
      <c r="F806" t="inlineStr">
        <is>
          <t>GÄVLEBORGS LÄN</t>
        </is>
      </c>
      <c r="G806" t="inlineStr">
        <is>
          <t>OCKELBO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55011-2024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45621</v>
      </c>
      <c r="E807" s="1" t="n">
        <v>46272</v>
      </c>
      <c r="F807" t="inlineStr">
        <is>
          <t>GÄVLEBORGS LÄN</t>
        </is>
      </c>
      <c r="G807" t="inlineStr">
        <is>
          <t>OCKELBO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26085-2024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45468</v>
      </c>
      <c r="E808" s="1" t="n">
        <v>46272</v>
      </c>
      <c r="F808" t="inlineStr">
        <is>
          <t>GÄVLEBORGS LÄN</t>
        </is>
      </c>
      <c r="G808" t="inlineStr">
        <is>
          <t>OCKELBO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48803-2024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45593</v>
      </c>
      <c r="E809" s="1" t="n">
        <v>46272</v>
      </c>
      <c r="F809" t="inlineStr">
        <is>
          <t>GÄVLEBORGS LÄN</t>
        </is>
      </c>
      <c r="G809" t="inlineStr">
        <is>
          <t>OCKELBO</t>
        </is>
      </c>
      <c r="I809" t="n">
        <v>9.4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16752-2025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45754</v>
      </c>
      <c r="E810" s="1" t="n">
        <v>46272</v>
      </c>
      <c r="F810" t="inlineStr">
        <is>
          <t>GÄVLEBORGS LÄN</t>
        </is>
      </c>
      <c r="G810" t="inlineStr">
        <is>
          <t>OCKELBO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46218</v>
      </c>
      <c r="E811" s="1" t="n">
        <v>46272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15403-2022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44659</v>
      </c>
      <c r="E812" s="1" t="n">
        <v>46272</v>
      </c>
      <c r="F812" t="inlineStr">
        <is>
          <t>GÄVLEBORGS LÄN</t>
        </is>
      </c>
      <c r="G812" t="inlineStr">
        <is>
          <t>OCKELBO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46272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31443-2026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46220</v>
      </c>
      <c r="E814" s="1" t="n">
        <v>46272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64924-2023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45282</v>
      </c>
      <c r="E815" s="1" t="n">
        <v>46272</v>
      </c>
      <c r="F815" t="inlineStr">
        <is>
          <t>GÄVLEBORGS LÄN</t>
        </is>
      </c>
      <c r="G815" t="inlineStr">
        <is>
          <t>OCKELBO</t>
        </is>
      </c>
      <c r="I815" t="n">
        <v>6.8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13931-2026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46098</v>
      </c>
      <c r="E816" s="1" t="n">
        <v>46272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58156-2025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45982</v>
      </c>
      <c r="E817" s="1" t="n">
        <v>46272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36097-2026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46267</v>
      </c>
      <c r="E818" s="1" t="n">
        <v>46272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31519-2026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46223</v>
      </c>
      <c r="E819" s="1" t="n">
        <v>46272</v>
      </c>
      <c r="F819" t="inlineStr">
        <is>
          <t>GÄVLEBORGS LÄN</t>
        </is>
      </c>
      <c r="G819" t="inlineStr">
        <is>
          <t>OCKELBO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31517-2026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46223</v>
      </c>
      <c r="E820" s="1" t="n">
        <v>46272</v>
      </c>
      <c r="F820" t="inlineStr">
        <is>
          <t>GÄVLEBORGS LÄN</t>
        </is>
      </c>
      <c r="G820" t="inlineStr">
        <is>
          <t>OCKELBO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31591-2026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46224</v>
      </c>
      <c r="E821" s="1" t="n">
        <v>46272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31530-2026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46223</v>
      </c>
      <c r="E822" s="1" t="n">
        <v>46272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31571-2026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46224</v>
      </c>
      <c r="E823" s="1" t="n">
        <v>46272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36280-2026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46268</v>
      </c>
      <c r="E824" s="1" t="n">
        <v>46272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36562-2026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46269</v>
      </c>
      <c r="E825" s="1" t="n">
        <v>46272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36467-2026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46269</v>
      </c>
      <c r="E826" s="1" t="n">
        <v>46272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36380-2026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46268</v>
      </c>
      <c r="E827" s="1" t="n">
        <v>46272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282-2024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45323</v>
      </c>
      <c r="E828" s="1" t="n">
        <v>46272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5063-2024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45638</v>
      </c>
      <c r="E829" s="1" t="n">
        <v>46272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154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195-2024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45315</v>
      </c>
      <c r="E830" s="1" t="n">
        <v>46272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46.4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411-2025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45699</v>
      </c>
      <c r="E831" s="1" t="n">
        <v>46272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24.3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7041-2022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44904</v>
      </c>
      <c r="E832" s="1" t="n">
        <v>46272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297-2026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46058</v>
      </c>
      <c r="E833" s="1" t="n">
        <v>46272</v>
      </c>
      <c r="F833" t="inlineStr">
        <is>
          <t>GÄVLEBORGS LÄN</t>
        </is>
      </c>
      <c r="G833" t="inlineStr">
        <is>
          <t>OCKELBO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46089</v>
      </c>
      <c r="E834" s="1" t="n">
        <v>46272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131.3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1344-2026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46272</v>
      </c>
      <c r="F835" t="inlineStr">
        <is>
          <t>GÄVLEBORGS LÄN</t>
        </is>
      </c>
      <c r="G835" t="inlineStr">
        <is>
          <t>OCKELBO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1345-2026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46148</v>
      </c>
      <c r="E836" s="1" t="n">
        <v>46272</v>
      </c>
      <c r="F836" t="inlineStr">
        <is>
          <t>GÄVLEBORGS LÄN</t>
        </is>
      </c>
      <c r="G836" t="inlineStr">
        <is>
          <t>OCKELBO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190-2026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46048</v>
      </c>
      <c r="E837" s="1" t="n">
        <v>46272</v>
      </c>
      <c r="F837" t="inlineStr">
        <is>
          <t>GÄVLEBORGS LÄN</t>
        </is>
      </c>
      <c r="G837" t="inlineStr">
        <is>
          <t>OCKELBO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2026-09-07T02:07:28Z</dcterms:created>
  <dcterms:modified xmlns:dcterms="http://purl.org/dc/terms/" xmlns:xsi="http://www.w3.org/2001/XMLSchema-instance" xsi:type="dcterms:W3CDTF">2026-09-07T02:07:29Z</dcterms:modified>
</cp:coreProperties>
</file>