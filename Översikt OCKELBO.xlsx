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46288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46288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46288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46288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46288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46288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46288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46288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46288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46288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26463-2024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45469</v>
      </c>
      <c r="E22" s="1" t="n">
        <v>46288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3.6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8</v>
      </c>
      <c r="U22" t="n">
        <v>0</v>
      </c>
      <c r="V22" s="2" t="inlineStr">
        <is>
          <t>Tvåblad
Fläcknycklar
Revlummer</t>
        </is>
      </c>
      <c r="W22">
        <f>HYPERLINK("https://klasma.github.io/Logging_2101/artfynd/A 26463-2024 artfynd.xlsx", "A 26463-2024")</f>
        <v/>
      </c>
      <c r="X22">
        <f>HYPERLINK("https://klasma.github.io/Logging_2101/kartor/A 26463-2024 karta.png", "A 26463-2024")</f>
        <v/>
      </c>
      <c r="Y22">
        <f>HYPERLINK("https://klasma.github.io/Logging_2101/kartor_geotiff/A 26463-2024 georefererad karta.tif", "A 26463-2024")</f>
        <v/>
      </c>
      <c r="AA22">
        <f>HYPERLINK("https://klasma.github.io/Logging_2101/klagomål/A 26463-2024 FSC-klagomål.docx", "A 26463-2024")</f>
        <v/>
      </c>
      <c r="AB22">
        <f>HYPERLINK("https://klasma.github.io/Logging_2101/klagomålsmail/A 26463-2024 FSC-klagomål mail.docx", "A 26463-2024")</f>
        <v/>
      </c>
      <c r="AC22">
        <f>HYPERLINK("https://klasma.github.io/Logging_2101/tillsyn/A 26463-2024 tillsynsbegäran.docx", "A 26463-2024")</f>
        <v/>
      </c>
      <c r="AD22">
        <f>HYPERLINK("https://klasma.github.io/Logging_2101/tillsynsmail/A 26463-2024 tillsynsbegäran mail.docx", "A 26463-2024")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46288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46288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46288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46288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14.5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Vårärt
Blåsippa
Nattviol</t>
        </is>
      </c>
      <c r="W26">
        <f>HYPERLINK("https://klasma.github.io/Logging_2101/artfynd/A 18253-2026 artfynd.xlsx", "A 18253-2026")</f>
        <v/>
      </c>
      <c r="X26">
        <f>HYPERLINK("https://klasma.github.io/Logging_2101/kartor/A 18253-2026 karta.png", "A 18253-2026")</f>
        <v/>
      </c>
      <c r="Y26">
        <f>HYPERLINK("https://klasma.github.io/Logging_2101/kartor_geotiff/A 18253-2026 georefererad karta.tif", "A 18253-2026")</f>
        <v/>
      </c>
      <c r="AA26">
        <f>HYPERLINK("https://klasma.github.io/Logging_2101/klagomål/A 18253-2026 FSC-klagomål.docx", "A 18253-2026")</f>
        <v/>
      </c>
      <c r="AB26">
        <f>HYPERLINK("https://klasma.github.io/Logging_2101/klagomålsmail/A 18253-2026 FSC-klagomål mail.docx", "A 18253-2026")</f>
        <v/>
      </c>
      <c r="AC26">
        <f>HYPERLINK("https://klasma.github.io/Logging_2101/tillsyn/A 18253-2026 tillsynsbegäran.docx", "A 18253-2026")</f>
        <v/>
      </c>
      <c r="AD26">
        <f>HYPERLINK("https://klasma.github.io/Logging_2101/tillsynsmail/A 18253-2026 tillsynsbegäran mail.docx", "A 18253-2026")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46288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18117-2026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46288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14.1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Vanlig groda
Fläcknycklar</t>
        </is>
      </c>
      <c r="W28">
        <f>HYPERLINK("https://klasma.github.io/Logging_2101/artfynd/A 18117-2026 artfynd.xlsx", "A 18117-2026")</f>
        <v/>
      </c>
      <c r="X28">
        <f>HYPERLINK("https://klasma.github.io/Logging_2101/kartor/A 18117-2026 karta.png", "A 18117-2026")</f>
        <v/>
      </c>
      <c r="Y28">
        <f>HYPERLINK("https://klasma.github.io/Logging_2101/kartor_geotiff/A 18117-2026 georefererad karta.tif", "A 18117-2026")</f>
        <v/>
      </c>
      <c r="AA28">
        <f>HYPERLINK("https://klasma.github.io/Logging_2101/klagomål/A 18117-2026 FSC-klagomål.docx", "A 18117-2026")</f>
        <v/>
      </c>
      <c r="AB28">
        <f>HYPERLINK("https://klasma.github.io/Logging_2101/klagomålsmail/A 18117-2026 FSC-klagomål mail.docx", "A 18117-2026")</f>
        <v/>
      </c>
      <c r="AC28">
        <f>HYPERLINK("https://klasma.github.io/Logging_2101/tillsyn/A 18117-2026 tillsynsbegäran.docx", "A 18117-2026")</f>
        <v/>
      </c>
      <c r="AD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46288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7</v>
      </c>
      <c r="U29" t="n">
        <v>0</v>
      </c>
      <c r="V29" s="2" t="inlineStr">
        <is>
          <t>Vanlig padda
Fläcknycklar</t>
        </is>
      </c>
      <c r="W29">
        <f>HYPERLINK("https://klasma.github.io/Logging_2101/artfynd/A 18120-2026 artfynd.xlsx", "A 18120-2026")</f>
        <v/>
      </c>
      <c r="X29">
        <f>HYPERLINK("https://klasma.github.io/Logging_2101/kartor/A 18120-2026 karta.png", "A 18120-2026")</f>
        <v/>
      </c>
      <c r="Y29">
        <f>HYPERLINK("https://klasma.github.io/Logging_2101/kartor_geotiff/A 18120-2026 georefererad karta.tif", "A 18120-2026")</f>
        <v/>
      </c>
      <c r="AA29">
        <f>HYPERLINK("https://klasma.github.io/Logging_2101/klagomål/A 18120-2026 FSC-klagomål.docx", "A 18120-2026")</f>
        <v/>
      </c>
      <c r="AB29">
        <f>HYPERLINK("https://klasma.github.io/Logging_2101/klagomålsmail/A 18120-2026 FSC-klagomål mail.docx", "A 18120-2026")</f>
        <v/>
      </c>
      <c r="AC29">
        <f>HYPERLINK("https://klasma.github.io/Logging_2101/tillsyn/A 18120-2026 tillsynsbegäran.docx", "A 18120-2026")</f>
        <v/>
      </c>
      <c r="AD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46288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Lopplummer (aggregat)</t>
        </is>
      </c>
      <c r="W30">
        <f>HYPERLINK("https://klasma.github.io/Logging_2101/artfynd/A 20299-2026 artfynd.xlsx", "A 20299-2026")</f>
        <v/>
      </c>
      <c r="X30">
        <f>HYPERLINK("https://klasma.github.io/Logging_2101/kartor/A 20299-2026 karta.png", "A 20299-2026")</f>
        <v/>
      </c>
      <c r="Y30">
        <f>HYPERLINK("https://klasma.github.io/Logging_2101/kartor_geotiff/A 20299-2026 georefererad karta.tif", "A 20299-2026")</f>
        <v/>
      </c>
      <c r="AA30">
        <f>HYPERLINK("https://klasma.github.io/Logging_2101/klagomål/A 20299-2026 FSC-klagomål.docx", "A 20299-2026")</f>
        <v/>
      </c>
      <c r="AB30">
        <f>HYPERLINK("https://klasma.github.io/Logging_2101/klagomålsmail/A 20299-2026 FSC-klagomål mail.docx", "A 20299-2026")</f>
        <v/>
      </c>
      <c r="AC30">
        <f>HYPERLINK("https://klasma.github.io/Logging_2101/tillsyn/A 20299-2026 tillsynsbegäran.docx", "A 20299-2026")</f>
        <v/>
      </c>
      <c r="AD30">
        <f>HYPERLINK("https://klasma.github.io/Logging_2101/tillsynsmail/A 20299-2026 tillsynsbegäran mail.docx", "A 20299-2026")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46288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4180-2026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46288</v>
      </c>
      <c r="F32" t="inlineStr">
        <is>
          <t>GÄVLEBORGS LÄN</t>
        </is>
      </c>
      <c r="G32" t="inlineStr">
        <is>
          <t>OCKELBO</t>
        </is>
      </c>
      <c r="I32" t="n">
        <v>15.9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Tjäder
Revlummer</t>
        </is>
      </c>
      <c r="W32">
        <f>HYPERLINK("https://klasma.github.io/Logging_2101/artfynd/A 4180-2026 artfynd.xlsx", "A 4180-2026")</f>
        <v/>
      </c>
      <c r="X32">
        <f>HYPERLINK("https://klasma.github.io/Logging_2101/kartor/A 4180-2026 karta.png", "A 4180-2026")</f>
        <v/>
      </c>
      <c r="Y32">
        <f>HYPERLINK("https://klasma.github.io/Logging_2101/kartor_geotiff/A 4180-2026 georefererad karta.tif", "A 4180-2026")</f>
        <v/>
      </c>
      <c r="AA32">
        <f>HYPERLINK("https://klasma.github.io/Logging_2101/klagomål/A 4180-2026 FSC-klagomål.docx", "A 4180-2026")</f>
        <v/>
      </c>
      <c r="AB32">
        <f>HYPERLINK("https://klasma.github.io/Logging_2101/klagomålsmail/A 4180-2026 FSC-klagomål mail.docx", "A 4180-2026")</f>
        <v/>
      </c>
      <c r="AC32">
        <f>HYPERLINK("https://klasma.github.io/Logging_2101/tillsyn/A 4180-2026 tillsynsbegäran.docx", "A 4180-2026")</f>
        <v/>
      </c>
      <c r="AD32">
        <f>HYPERLINK("https://klasma.github.io/Logging_2101/tillsynsmail/A 4180-2026 tillsynsbegäran mail.docx", "A 4180-2026")</f>
        <v/>
      </c>
      <c r="AE32">
        <f>HYPERLINK("https://klasma.github.io/Logging_2101/fåglar/A 4180-2026 prioriterade fågelarter.docx", "A 4180-2026")</f>
        <v/>
      </c>
    </row>
    <row r="33" ht="15" customHeight="1">
      <c r="A33" t="inlineStr">
        <is>
          <t>A 17107-2026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46288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36.8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Fläcknycklar
Revlummer</t>
        </is>
      </c>
      <c r="W33">
        <f>HYPERLINK("https://klasma.github.io/Logging_2101/artfynd/A 17107-2026 artfynd.xlsx", "A 17107-2026")</f>
        <v/>
      </c>
      <c r="X33">
        <f>HYPERLINK("https://klasma.github.io/Logging_2101/kartor/A 17107-2026 karta.png", "A 17107-2026")</f>
        <v/>
      </c>
      <c r="Y33">
        <f>HYPERLINK("https://klasma.github.io/Logging_2101/kartor_geotiff/A 17107-2026 georefererad karta.tif", "A 17107-2026")</f>
        <v/>
      </c>
      <c r="AA33">
        <f>HYPERLINK("https://klasma.github.io/Logging_2101/klagomål/A 17107-2026 FSC-klagomål.docx", "A 17107-2026")</f>
        <v/>
      </c>
      <c r="AB33">
        <f>HYPERLINK("https://klasma.github.io/Logging_2101/klagomålsmail/A 17107-2026 FSC-klagomål mail.docx", "A 17107-2026")</f>
        <v/>
      </c>
      <c r="AC33">
        <f>HYPERLINK("https://klasma.github.io/Logging_2101/tillsyn/A 17107-2026 tillsynsbegäran.docx", "A 17107-2026")</f>
        <v/>
      </c>
      <c r="AD33">
        <f>HYPERLINK("https://klasma.github.io/Logging_2101/tillsynsmail/A 17107-2026 tillsynsbegäran mail.docx", "A 17107-2026")</f>
        <v/>
      </c>
    </row>
    <row r="34" ht="15" customHeight="1">
      <c r="A34" t="inlineStr">
        <is>
          <t>A 19145-2026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46288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11.9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Garnlav
Revlummer</t>
        </is>
      </c>
      <c r="W34">
        <f>HYPERLINK("https://klasma.github.io/Logging_2101/artfynd/A 19145-2026 artfynd.xlsx", "A 19145-2026")</f>
        <v/>
      </c>
      <c r="X34">
        <f>HYPERLINK("https://klasma.github.io/Logging_2101/kartor/A 19145-2026 karta.png", "A 19145-2026")</f>
        <v/>
      </c>
      <c r="Y34">
        <f>HYPERLINK("https://klasma.github.io/Logging_2101/kartor_geotiff/A 19145-2026 georefererad karta.tif", "A 19145-2026")</f>
        <v/>
      </c>
      <c r="AA34">
        <f>HYPERLINK("https://klasma.github.io/Logging_2101/klagomål/A 19145-2026 FSC-klagomål.docx", "A 19145-2026")</f>
        <v/>
      </c>
      <c r="AB34">
        <f>HYPERLINK("https://klasma.github.io/Logging_2101/klagomålsmail/A 19145-2026 FSC-klagomål mail.docx", "A 19145-2026")</f>
        <v/>
      </c>
      <c r="AC34">
        <f>HYPERLINK("https://klasma.github.io/Logging_2101/tillsyn/A 19145-2026 tillsynsbegäran.docx", "A 19145-2026")</f>
        <v/>
      </c>
      <c r="AD34">
        <f>HYPERLINK("https://klasma.github.io/Logging_2101/tillsynsmail/A 19145-2026 tillsynsbegäran mail.docx", "A 19145-2026")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46288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46288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46288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46288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22821-2024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46288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HYPERLINK("https://klasma.github.io/Logging_2101/artfynd/A 22821-2024 artfynd.xlsx", "A 22821-2024")</f>
        <v/>
      </c>
      <c r="X40">
        <f>HYPERLINK("https://klasma.github.io/Logging_2101/kartor/A 22821-2024 karta.png", "A 22821-2024")</f>
        <v/>
      </c>
      <c r="Y40">
        <f>HYPERLINK("https://klasma.github.io/Logging_2101/kartor_geotiff/A 22821-2024 georefererad karta.tif", "A 22821-2024")</f>
        <v/>
      </c>
      <c r="AA40">
        <f>HYPERLINK("https://klasma.github.io/Logging_2101/klagomål/A 22821-2024 FSC-klagomål.docx", "A 22821-2024")</f>
        <v/>
      </c>
      <c r="AB40">
        <f>HYPERLINK("https://klasma.github.io/Logging_2101/klagomålsmail/A 22821-2024 FSC-klagomål mail.docx", "A 22821-2024")</f>
        <v/>
      </c>
      <c r="AC40">
        <f>HYPERLINK("https://klasma.github.io/Logging_2101/tillsyn/A 22821-2024 tillsynsbegäran.docx", "A 22821-2024")</f>
        <v/>
      </c>
      <c r="AD40">
        <f>HYPERLINK("https://klasma.github.io/Logging_2101/tillsynsmail/A 22821-2024 tillsynsbegäran mail.docx", "A 22821-2024")</f>
        <v/>
      </c>
    </row>
    <row r="41" ht="15" customHeight="1">
      <c r="A41" t="inlineStr">
        <is>
          <t>A 9155-2026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46288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HYPERLINK("https://klasma.github.io/Logging_2101/artfynd/A 9155-2026 artfynd.xlsx", "A 9155-2026")</f>
        <v/>
      </c>
      <c r="X41">
        <f>HYPERLINK("https://klasma.github.io/Logging_2101/kartor/A 9155-2026 karta.png", "A 9155-2026")</f>
        <v/>
      </c>
      <c r="Y41">
        <f>HYPERLINK("https://klasma.github.io/Logging_2101/kartor_geotiff/A 9155-2026 georefererad karta.tif", "A 9155-2026")</f>
        <v/>
      </c>
      <c r="AA41">
        <f>HYPERLINK("https://klasma.github.io/Logging_2101/klagomål/A 9155-2026 FSC-klagomål.docx", "A 9155-2026")</f>
        <v/>
      </c>
      <c r="AB41">
        <f>HYPERLINK("https://klasma.github.io/Logging_2101/klagomålsmail/A 9155-2026 FSC-klagomål mail.docx", "A 9155-2026")</f>
        <v/>
      </c>
      <c r="AC41">
        <f>HYPERLINK("https://klasma.github.io/Logging_2101/tillsyn/A 9155-2026 tillsynsbegäran.docx", "A 9155-2026")</f>
        <v/>
      </c>
      <c r="AD41">
        <f>HYPERLINK("https://klasma.github.io/Logging_2101/tillsynsmail/A 9155-2026 tillsynsbegäran mail.docx", "A 9155-2026")</f>
        <v/>
      </c>
    </row>
    <row r="42" ht="15" customHeight="1">
      <c r="A42" t="inlineStr">
        <is>
          <t>A 26448-2024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45469</v>
      </c>
      <c r="E42" s="1" t="n">
        <v>46288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4.5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26448-2024 artfynd.xlsx", "A 26448-2024")</f>
        <v/>
      </c>
      <c r="X42">
        <f>HYPERLINK("https://klasma.github.io/Logging_2101/kartor/A 26448-2024 karta.png", "A 26448-2024")</f>
        <v/>
      </c>
      <c r="Y42">
        <f>HYPERLINK("https://klasma.github.io/Logging_2101/kartor_geotiff/A 26448-2024 georefererad karta.tif", "A 26448-2024")</f>
        <v/>
      </c>
      <c r="AA42">
        <f>HYPERLINK("https://klasma.github.io/Logging_2101/klagomål/A 26448-2024 FSC-klagomål.docx", "A 26448-2024")</f>
        <v/>
      </c>
      <c r="AB42">
        <f>HYPERLINK("https://klasma.github.io/Logging_2101/klagomålsmail/A 26448-2024 FSC-klagomål mail.docx", "A 26448-2024")</f>
        <v/>
      </c>
      <c r="AC42">
        <f>HYPERLINK("https://klasma.github.io/Logging_2101/tillsyn/A 26448-2024 tillsynsbegäran.docx", "A 26448-2024")</f>
        <v/>
      </c>
      <c r="AD42">
        <f>HYPERLINK("https://klasma.github.io/Logging_2101/tillsynsmail/A 26448-2024 tillsynsbegäran mail.docx", "A 26448-2024")</f>
        <v/>
      </c>
    </row>
    <row r="43" ht="15" customHeight="1">
      <c r="A43" t="inlineStr">
        <is>
          <t>A 20233-2026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46139</v>
      </c>
      <c r="E43" s="1" t="n">
        <v>46288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17.9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Tibast</t>
        </is>
      </c>
      <c r="W43">
        <f>HYPERLINK("https://klasma.github.io/Logging_2101/artfynd/A 20233-2026 artfynd.xlsx", "A 20233-2026")</f>
        <v/>
      </c>
      <c r="X43">
        <f>HYPERLINK("https://klasma.github.io/Logging_2101/kartor/A 20233-2026 karta.png", "A 20233-2026")</f>
        <v/>
      </c>
      <c r="Y43">
        <f>HYPERLINK("https://klasma.github.io/Logging_2101/kartor_geotiff/A 20233-2026 georefererad karta.tif", "A 20233-2026")</f>
        <v/>
      </c>
      <c r="AA43">
        <f>HYPERLINK("https://klasma.github.io/Logging_2101/klagomål/A 20233-2026 FSC-klagomål.docx", "A 20233-2026")</f>
        <v/>
      </c>
      <c r="AB43">
        <f>HYPERLINK("https://klasma.github.io/Logging_2101/klagomålsmail/A 20233-2026 FSC-klagomål mail.docx", "A 20233-2026")</f>
        <v/>
      </c>
      <c r="AC43">
        <f>HYPERLINK("https://klasma.github.io/Logging_2101/tillsyn/A 20233-2026 tillsynsbegäran.docx", "A 20233-2026")</f>
        <v/>
      </c>
      <c r="AD43">
        <f>HYPERLINK("https://klasma.github.io/Logging_2101/tillsynsmail/A 20233-2026 tillsynsbegäran mail.docx", "A 20233-2026")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46288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57946-2023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46288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HYPERLINK("https://klasma.github.io/Logging_2101/artfynd/A 57946-2023 artfynd.xlsx", "A 57946-2023")</f>
        <v/>
      </c>
      <c r="X45">
        <f>HYPERLINK("https://klasma.github.io/Logging_2101/kartor/A 57946-2023 karta.png", "A 57946-2023")</f>
        <v/>
      </c>
      <c r="Y45">
        <f>HYPERLINK("https://klasma.github.io/Logging_2101/kartor_geotiff/A 57946-2023 georefererad karta.tif", "A 57946-2023")</f>
        <v/>
      </c>
      <c r="AA45">
        <f>HYPERLINK("https://klasma.github.io/Logging_2101/klagomål/A 57946-2023 FSC-klagomål.docx", "A 57946-2023")</f>
        <v/>
      </c>
      <c r="AB45">
        <f>HYPERLINK("https://klasma.github.io/Logging_2101/klagomålsmail/A 57946-2023 FSC-klagomål mail.docx", "A 57946-2023")</f>
        <v/>
      </c>
      <c r="AC45">
        <f>HYPERLINK("https://klasma.github.io/Logging_2101/tillsyn/A 57946-2023 tillsynsbegäran.docx", "A 57946-2023")</f>
        <v/>
      </c>
      <c r="AD45">
        <f>HYPERLINK("https://klasma.github.io/Logging_2101/tillsynsmail/A 57946-2023 tillsynsbegäran mail.docx", "A 57946-2023")</f>
        <v/>
      </c>
    </row>
    <row r="46" ht="15" customHeight="1">
      <c r="A46" t="inlineStr">
        <is>
          <t>A 46481-2024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46288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HYPERLINK("https://klasma.github.io/Logging_2101/artfynd/A 46481-2024 artfynd.xlsx", "A 46481-2024")</f>
        <v/>
      </c>
      <c r="X46">
        <f>HYPERLINK("https://klasma.github.io/Logging_2101/kartor/A 46481-2024 karta.png", "A 46481-2024")</f>
        <v/>
      </c>
      <c r="Y46">
        <f>HYPERLINK("https://klasma.github.io/Logging_2101/kartor_geotiff/A 46481-2024 georefererad karta.tif", "A 46481-2024")</f>
        <v/>
      </c>
      <c r="AA46">
        <f>HYPERLINK("https://klasma.github.io/Logging_2101/klagomål/A 46481-2024 FSC-klagomål.docx", "A 46481-2024")</f>
        <v/>
      </c>
      <c r="AB46">
        <f>HYPERLINK("https://klasma.github.io/Logging_2101/klagomålsmail/A 46481-2024 FSC-klagomål mail.docx", "A 46481-2024")</f>
        <v/>
      </c>
      <c r="AC46">
        <f>HYPERLINK("https://klasma.github.io/Logging_2101/tillsyn/A 46481-2024 tillsynsbegäran.docx", "A 46481-2024")</f>
        <v/>
      </c>
      <c r="AD46">
        <f>HYPERLINK("https://klasma.github.io/Logging_2101/tillsynsmail/A 46481-2024 tillsynsbegäran mail.docx", "A 46481-2024")</f>
        <v/>
      </c>
    </row>
    <row r="47" ht="15" customHeight="1">
      <c r="A47" t="inlineStr">
        <is>
          <t>A 15039-2026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46104</v>
      </c>
      <c r="E47" s="1" t="n">
        <v>46288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18.2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HYPERLINK("https://klasma.github.io/Logging_2101/artfynd/A 15039-2026 artfynd.xlsx", "A 15039-2026")</f>
        <v/>
      </c>
      <c r="X47">
        <f>HYPERLINK("https://klasma.github.io/Logging_2101/kartor/A 15039-2026 karta.png", "A 15039-2026")</f>
        <v/>
      </c>
      <c r="Y47">
        <f>HYPERLINK("https://klasma.github.io/Logging_2101/kartor_geotiff/A 15039-2026 georefererad karta.tif", "A 15039-2026")</f>
        <v/>
      </c>
      <c r="AA47">
        <f>HYPERLINK("https://klasma.github.io/Logging_2101/klagomål/A 15039-2026 FSC-klagomål.docx", "A 15039-2026")</f>
        <v/>
      </c>
      <c r="AB47">
        <f>HYPERLINK("https://klasma.github.io/Logging_2101/klagomålsmail/A 15039-2026 FSC-klagomål mail.docx", "A 15039-2026")</f>
        <v/>
      </c>
      <c r="AC47">
        <f>HYPERLINK("https://klasma.github.io/Logging_2101/tillsyn/A 15039-2026 tillsynsbegäran.docx", "A 15039-2026")</f>
        <v/>
      </c>
      <c r="AD47">
        <f>HYPERLINK("https://klasma.github.io/Logging_2101/tillsynsmail/A 15039-2026 tillsynsbegäran mail.docx", "A 15039-2026")</f>
        <v/>
      </c>
      <c r="AE47">
        <f>HYPERLINK("https://klasma.github.io/Logging_2101/fåglar/A 15039-2026 prioriterade fågelarter.docx", "A 15039-2026")</f>
        <v/>
      </c>
    </row>
    <row r="48" ht="15" customHeight="1">
      <c r="A48" t="inlineStr">
        <is>
          <t>A 11970-2026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46288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HYPERLINK("https://klasma.github.io/Logging_2101/artfynd/A 11970-2026 artfynd.xlsx", "A 11970-2026")</f>
        <v/>
      </c>
      <c r="X48">
        <f>HYPERLINK("https://klasma.github.io/Logging_2101/kartor/A 11970-2026 karta.png", "A 11970-2026")</f>
        <v/>
      </c>
      <c r="Y48">
        <f>HYPERLINK("https://klasma.github.io/Logging_2101/kartor_geotiff/A 11970-2026 georefererad karta.tif", "A 11970-2026")</f>
        <v/>
      </c>
      <c r="AA48">
        <f>HYPERLINK("https://klasma.github.io/Logging_2101/klagomål/A 11970-2026 FSC-klagomål.docx", "A 11970-2026")</f>
        <v/>
      </c>
      <c r="AB48">
        <f>HYPERLINK("https://klasma.github.io/Logging_2101/klagomålsmail/A 11970-2026 FSC-klagomål mail.docx", "A 11970-2026")</f>
        <v/>
      </c>
      <c r="AC48">
        <f>HYPERLINK("https://klasma.github.io/Logging_2101/tillsyn/A 11970-2026 tillsynsbegäran.docx", "A 11970-2026")</f>
        <v/>
      </c>
      <c r="AD48">
        <f>HYPERLINK("https://klasma.github.io/Logging_2101/tillsynsmail/A 11970-2026 tillsynsbegäran mail.docx", "A 11970-2026")</f>
        <v/>
      </c>
      <c r="AE48">
        <f>HYPERLINK("https://klasma.github.io/Logging_2101/fåglar/A 11970-2026 prioriterade fågelarter.docx", "A 11970-2026")</f>
        <v/>
      </c>
    </row>
    <row r="49" ht="15" customHeight="1">
      <c r="A49" t="inlineStr">
        <is>
          <t>A 10448-2026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46077</v>
      </c>
      <c r="E49" s="1" t="n">
        <v>46288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Plattlummer</t>
        </is>
      </c>
      <c r="W49">
        <f>HYPERLINK("https://klasma.github.io/Logging_2101/artfynd/A 10448-2026 artfynd.xlsx", "A 10448-2026")</f>
        <v/>
      </c>
      <c r="X49">
        <f>HYPERLINK("https://klasma.github.io/Logging_2101/kartor/A 10448-2026 karta.png", "A 10448-2026")</f>
        <v/>
      </c>
      <c r="Y49">
        <f>HYPERLINK("https://klasma.github.io/Logging_2101/kartor_geotiff/A 10448-2026 georefererad karta.tif", "A 10448-2026")</f>
        <v/>
      </c>
      <c r="AA49">
        <f>HYPERLINK("https://klasma.github.io/Logging_2101/klagomål/A 10448-2026 FSC-klagomål.docx", "A 10448-2026")</f>
        <v/>
      </c>
      <c r="AB49">
        <f>HYPERLINK("https://klasma.github.io/Logging_2101/klagomålsmail/A 10448-2026 FSC-klagomål mail.docx", "A 10448-2026")</f>
        <v/>
      </c>
      <c r="AC49">
        <f>HYPERLINK("https://klasma.github.io/Logging_2101/tillsyn/A 10448-2026 tillsynsbegäran.docx", "A 10448-2026")</f>
        <v/>
      </c>
      <c r="AD49">
        <f>HYPERLINK("https://klasma.github.io/Logging_2101/tillsynsmail/A 10448-2026 tillsynsbegäran mail.docx", "A 10448-2026")</f>
        <v/>
      </c>
    </row>
    <row r="50" ht="15" customHeight="1">
      <c r="A50" t="inlineStr">
        <is>
          <t>A 55778-2025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46288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HYPERLINK("https://klasma.github.io/Logging_2101/artfynd/A 55778-2025 artfynd.xlsx", "A 55778-2025")</f>
        <v/>
      </c>
      <c r="X50">
        <f>HYPERLINK("https://klasma.github.io/Logging_2101/kartor/A 55778-2025 karta.png", "A 55778-2025")</f>
        <v/>
      </c>
      <c r="Y50">
        <f>HYPERLINK("https://klasma.github.io/Logging_2101/kartor_geotiff/A 55778-2025 georefererad karta.tif", "A 55778-2025")</f>
        <v/>
      </c>
      <c r="AA50">
        <f>HYPERLINK("https://klasma.github.io/Logging_2101/klagomål/A 55778-2025 FSC-klagomål.docx", "A 55778-2025")</f>
        <v/>
      </c>
      <c r="AB50">
        <f>HYPERLINK("https://klasma.github.io/Logging_2101/klagomålsmail/A 55778-2025 FSC-klagomål mail.docx", "A 55778-2025")</f>
        <v/>
      </c>
      <c r="AC50">
        <f>HYPERLINK("https://klasma.github.io/Logging_2101/tillsyn/A 55778-2025 tillsynsbegäran.docx", "A 55778-2025")</f>
        <v/>
      </c>
      <c r="AD50">
        <f>HYPERLINK("https://klasma.github.io/Logging_2101/tillsynsmail/A 55778-2025 tillsynsbegäran mail.docx", "A 55778-2025")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46288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46288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6121-2026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46053</v>
      </c>
      <c r="E53" s="1" t="n">
        <v>46288</v>
      </c>
      <c r="F53" t="inlineStr">
        <is>
          <t>GÄVLEBORGS LÄN</t>
        </is>
      </c>
      <c r="G53" t="inlineStr">
        <is>
          <t>OCKELBO</t>
        </is>
      </c>
      <c r="I53" t="n">
        <v>2.6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HYPERLINK("https://klasma.github.io/Logging_2101/artfynd/A 6121-2026 artfynd.xlsx", "A 6121-2026")</f>
        <v/>
      </c>
      <c r="X53">
        <f>HYPERLINK("https://klasma.github.io/Logging_2101/kartor/A 6121-2026 karta.png", "A 6121-2026")</f>
        <v/>
      </c>
      <c r="Y53">
        <f>HYPERLINK("https://klasma.github.io/Logging_2101/kartor_geotiff/A 6121-2026 georefererad karta.tif", "A 6121-2026")</f>
        <v/>
      </c>
      <c r="AA53">
        <f>HYPERLINK("https://klasma.github.io/Logging_2101/klagomål/A 6121-2026 FSC-klagomål.docx", "A 6121-2026")</f>
        <v/>
      </c>
      <c r="AB53">
        <f>HYPERLINK("https://klasma.github.io/Logging_2101/klagomålsmail/A 6121-2026 FSC-klagomål mail.docx", "A 6121-2026")</f>
        <v/>
      </c>
      <c r="AC53">
        <f>HYPERLINK("https://klasma.github.io/Logging_2101/tillsyn/A 6121-2026 tillsynsbegäran.docx", "A 6121-2026")</f>
        <v/>
      </c>
      <c r="AD53">
        <f>HYPERLINK("https://klasma.github.io/Logging_2101/tillsynsmail/A 6121-2026 tillsynsbegäran mail.docx", "A 6121-2026")</f>
        <v/>
      </c>
      <c r="AE53">
        <f>HYPERLINK("https://klasma.github.io/Logging_2101/fåglar/A 6121-2026 prioriterade fågelarter.docx", "A 6121-2026")</f>
        <v/>
      </c>
    </row>
    <row r="54" ht="15" customHeight="1">
      <c r="A54" t="inlineStr">
        <is>
          <t>A 6586-2026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46056</v>
      </c>
      <c r="E54" s="1" t="n">
        <v>46288</v>
      </c>
      <c r="F54" t="inlineStr">
        <is>
          <t>GÄVLEBORGS LÄN</t>
        </is>
      </c>
      <c r="G54" t="inlineStr">
        <is>
          <t>OCKELBO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HYPERLINK("https://klasma.github.io/Logging_2101/artfynd/A 6586-2026 artfynd.xlsx", "A 6586-2026")</f>
        <v/>
      </c>
      <c r="X54">
        <f>HYPERLINK("https://klasma.github.io/Logging_2101/kartor/A 6586-2026 karta.png", "A 6586-2026")</f>
        <v/>
      </c>
      <c r="Y54">
        <f>HYPERLINK("https://klasma.github.io/Logging_2101/kartor_geotiff/A 6586-2026 georefererad karta.tif", "A 6586-2026")</f>
        <v/>
      </c>
      <c r="AA54">
        <f>HYPERLINK("https://klasma.github.io/Logging_2101/klagomål/A 6586-2026 FSC-klagomål.docx", "A 6586-2026")</f>
        <v/>
      </c>
      <c r="AB54">
        <f>HYPERLINK("https://klasma.github.io/Logging_2101/klagomålsmail/A 6586-2026 FSC-klagomål mail.docx", "A 6586-2026")</f>
        <v/>
      </c>
      <c r="AC54">
        <f>HYPERLINK("https://klasma.github.io/Logging_2101/tillsyn/A 6586-2026 tillsynsbegäran.docx", "A 6586-2026")</f>
        <v/>
      </c>
      <c r="AD54">
        <f>HYPERLINK("https://klasma.github.io/Logging_2101/tillsynsmail/A 6586-2026 tillsynsbegäran mail.docx", "A 6586-2026")</f>
        <v/>
      </c>
    </row>
    <row r="55" ht="15" customHeight="1">
      <c r="A55" t="inlineStr">
        <is>
          <t>A 10484-2026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46288</v>
      </c>
      <c r="F55" t="inlineStr">
        <is>
          <t>GÄVLEBORGS LÄN</t>
        </is>
      </c>
      <c r="G55" t="inlineStr">
        <is>
          <t>OCKELBO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Ullticka</t>
        </is>
      </c>
      <c r="W55">
        <f>HYPERLINK("https://klasma.github.io/Logging_2101/artfynd/A 10484-2026 artfynd.xlsx", "A 10484-2026")</f>
        <v/>
      </c>
      <c r="X55">
        <f>HYPERLINK("https://klasma.github.io/Logging_2101/kartor/A 10484-2026 karta.png", "A 10484-2026")</f>
        <v/>
      </c>
      <c r="Y55">
        <f>HYPERLINK("https://klasma.github.io/Logging_2101/kartor_geotiff/A 10484-2026 georefererad karta.tif", "A 10484-2026")</f>
        <v/>
      </c>
      <c r="AA55">
        <f>HYPERLINK("https://klasma.github.io/Logging_2101/klagomål/A 10484-2026 FSC-klagomål.docx", "A 10484-2026")</f>
        <v/>
      </c>
      <c r="AB55">
        <f>HYPERLINK("https://klasma.github.io/Logging_2101/klagomålsmail/A 10484-2026 FSC-klagomål mail.docx", "A 10484-2026")</f>
        <v/>
      </c>
      <c r="AC55">
        <f>HYPERLINK("https://klasma.github.io/Logging_2101/tillsyn/A 10484-2026 tillsynsbegäran.docx", "A 10484-2026")</f>
        <v/>
      </c>
      <c r="AD55">
        <f>HYPERLINK("https://klasma.github.io/Logging_2101/tillsynsmail/A 10484-2026 tillsynsbegäran mail.docx", "A 10484-2026")</f>
        <v/>
      </c>
    </row>
    <row r="56" ht="15" customHeight="1">
      <c r="A56" t="inlineStr">
        <is>
          <t>A 13640-2026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46288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HYPERLINK("https://klasma.github.io/Logging_2101/artfynd/A 13640-2026 artfynd.xlsx", "A 13640-2026")</f>
        <v/>
      </c>
      <c r="X56">
        <f>HYPERLINK("https://klasma.github.io/Logging_2101/kartor/A 13640-2026 karta.png", "A 13640-2026")</f>
        <v/>
      </c>
      <c r="Y56">
        <f>HYPERLINK("https://klasma.github.io/Logging_2101/kartor_geotiff/A 13640-2026 georefererad karta.tif", "A 13640-2026")</f>
        <v/>
      </c>
      <c r="AA56">
        <f>HYPERLINK("https://klasma.github.io/Logging_2101/klagomål/A 13640-2026 FSC-klagomål.docx", "A 13640-2026")</f>
        <v/>
      </c>
      <c r="AB56">
        <f>HYPERLINK("https://klasma.github.io/Logging_2101/klagomålsmail/A 13640-2026 FSC-klagomål mail.docx", "A 13640-2026")</f>
        <v/>
      </c>
      <c r="AC56">
        <f>HYPERLINK("https://klasma.github.io/Logging_2101/tillsyn/A 13640-2026 tillsynsbegäran.docx", "A 13640-2026")</f>
        <v/>
      </c>
      <c r="AD56">
        <f>HYPERLINK("https://klasma.github.io/Logging_2101/tillsynsmail/A 13640-2026 tillsynsbegäran mail.docx", "A 13640-2026")</f>
        <v/>
      </c>
    </row>
    <row r="57" ht="15" customHeight="1">
      <c r="A57" t="inlineStr">
        <is>
          <t>A 14479-2026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46288</v>
      </c>
      <c r="F57" t="inlineStr">
        <is>
          <t>GÄVLEBORGS LÄN</t>
        </is>
      </c>
      <c r="G57" t="inlineStr">
        <is>
          <t>OCKELBO</t>
        </is>
      </c>
      <c r="I57" t="n">
        <v>4.8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14479-2026 artfynd.xlsx", "A 14479-2026")</f>
        <v/>
      </c>
      <c r="X57">
        <f>HYPERLINK("https://klasma.github.io/Logging_2101/kartor/A 14479-2026 karta.png", "A 14479-2026")</f>
        <v/>
      </c>
      <c r="Y57">
        <f>HYPERLINK("https://klasma.github.io/Logging_2101/kartor_geotiff/A 14479-2026 georefererad karta.tif", "A 14479-2026")</f>
        <v/>
      </c>
      <c r="AA57">
        <f>HYPERLINK("https://klasma.github.io/Logging_2101/klagomål/A 14479-2026 FSC-klagomål.docx", "A 14479-2026")</f>
        <v/>
      </c>
      <c r="AB57">
        <f>HYPERLINK("https://klasma.github.io/Logging_2101/klagomålsmail/A 14479-2026 FSC-klagomål mail.docx", "A 14479-2026")</f>
        <v/>
      </c>
      <c r="AC57">
        <f>HYPERLINK("https://klasma.github.io/Logging_2101/tillsyn/A 14479-2026 tillsynsbegäran.docx", "A 14479-2026")</f>
        <v/>
      </c>
      <c r="AD57">
        <f>HYPERLINK("https://klasma.github.io/Logging_2101/tillsynsmail/A 14479-2026 tillsynsbegäran mail.docx", "A 14479-2026")</f>
        <v/>
      </c>
    </row>
    <row r="58" ht="15" customHeight="1">
      <c r="A58" t="inlineStr">
        <is>
          <t>A 14664-2026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46288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Tjäder</t>
        </is>
      </c>
      <c r="W58">
        <f>HYPERLINK("https://klasma.github.io/Logging_2101/artfynd/A 14664-2026 artfynd.xlsx", "A 14664-2026")</f>
        <v/>
      </c>
      <c r="X58">
        <f>HYPERLINK("https://klasma.github.io/Logging_2101/kartor/A 14664-2026 karta.png", "A 14664-2026")</f>
        <v/>
      </c>
      <c r="Y58">
        <f>HYPERLINK("https://klasma.github.io/Logging_2101/kartor_geotiff/A 14664-2026 georefererad karta.tif", "A 14664-2026")</f>
        <v/>
      </c>
      <c r="AA58">
        <f>HYPERLINK("https://klasma.github.io/Logging_2101/klagomål/A 14664-2026 FSC-klagomål.docx", "A 14664-2026")</f>
        <v/>
      </c>
      <c r="AB58">
        <f>HYPERLINK("https://klasma.github.io/Logging_2101/klagomålsmail/A 14664-2026 FSC-klagomål mail.docx", "A 14664-2026")</f>
        <v/>
      </c>
      <c r="AC58">
        <f>HYPERLINK("https://klasma.github.io/Logging_2101/tillsyn/A 14664-2026 tillsynsbegäran.docx", "A 14664-2026")</f>
        <v/>
      </c>
      <c r="AD58">
        <f>HYPERLINK("https://klasma.github.io/Logging_2101/tillsynsmail/A 14664-2026 tillsynsbegäran mail.docx", "A 14664-2026")</f>
        <v/>
      </c>
      <c r="AE58">
        <f>HYPERLINK("https://klasma.github.io/Logging_2101/fåglar/A 14664-2026 prioriterade fågelarter.docx", "A 14664-2026")</f>
        <v/>
      </c>
    </row>
    <row r="59" ht="15" customHeight="1">
      <c r="A59" t="inlineStr">
        <is>
          <t>A 18188-2026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46288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18188-2026 artfynd.xlsx", "A 18188-2026")</f>
        <v/>
      </c>
      <c r="X59">
        <f>HYPERLINK("https://klasma.github.io/Logging_2101/kartor/A 18188-2026 karta.png", "A 18188-2026")</f>
        <v/>
      </c>
      <c r="Y59">
        <f>HYPERLINK("https://klasma.github.io/Logging_2101/kartor_geotiff/A 18188-2026 georefererad karta.tif", "A 18188-2026")</f>
        <v/>
      </c>
      <c r="AA59">
        <f>HYPERLINK("https://klasma.github.io/Logging_2101/klagomål/A 18188-2026 FSC-klagomål.docx", "A 18188-2026")</f>
        <v/>
      </c>
      <c r="AB59">
        <f>HYPERLINK("https://klasma.github.io/Logging_2101/klagomålsmail/A 18188-2026 FSC-klagomål mail.docx", "A 18188-2026")</f>
        <v/>
      </c>
      <c r="AC59">
        <f>HYPERLINK("https://klasma.github.io/Logging_2101/tillsyn/A 18188-2026 tillsynsbegäran.docx", "A 18188-2026")</f>
        <v/>
      </c>
      <c r="AD59">
        <f>HYPERLINK("https://klasma.github.io/Logging_2101/tillsynsmail/A 18188-2026 tillsynsbegäran mail.docx", "A 18188-2026")</f>
        <v/>
      </c>
      <c r="AE59">
        <f>HYPERLINK("https://klasma.github.io/Logging_2101/fåglar/A 18188-2026 prioriterade fågelarter.docx", "A 18188-2026")</f>
        <v/>
      </c>
    </row>
    <row r="60" ht="15" customHeight="1">
      <c r="A60" t="inlineStr">
        <is>
          <t>A 12777-2026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46091</v>
      </c>
      <c r="E60" s="1" t="n">
        <v>46288</v>
      </c>
      <c r="F60" t="inlineStr">
        <is>
          <t>GÄVLEBORGS LÄN</t>
        </is>
      </c>
      <c r="G60" t="inlineStr">
        <is>
          <t>OCKELBO</t>
        </is>
      </c>
      <c r="I60" t="n">
        <v>4.2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HYPERLINK("https://klasma.github.io/Logging_2101/artfynd/A 12777-2026 artfynd.xlsx", "A 12777-2026")</f>
        <v/>
      </c>
      <c r="X60">
        <f>HYPERLINK("https://klasma.github.io/Logging_2101/kartor/A 12777-2026 karta.png", "A 12777-2026")</f>
        <v/>
      </c>
      <c r="Y60">
        <f>HYPERLINK("https://klasma.github.io/Logging_2101/kartor_geotiff/A 12777-2026 georefererad karta.tif", "A 12777-2026")</f>
        <v/>
      </c>
      <c r="AA60">
        <f>HYPERLINK("https://klasma.github.io/Logging_2101/klagomål/A 12777-2026 FSC-klagomål.docx", "A 12777-2026")</f>
        <v/>
      </c>
      <c r="AB60">
        <f>HYPERLINK("https://klasma.github.io/Logging_2101/klagomålsmail/A 12777-2026 FSC-klagomål mail.docx", "A 12777-2026")</f>
        <v/>
      </c>
      <c r="AC60">
        <f>HYPERLINK("https://klasma.github.io/Logging_2101/tillsyn/A 12777-2026 tillsynsbegäran.docx", "A 12777-2026")</f>
        <v/>
      </c>
      <c r="AD60">
        <f>HYPERLINK("https://klasma.github.io/Logging_2101/tillsynsmail/A 12777-2026 tillsynsbegäran mail.docx", "A 12777-2026")</f>
        <v/>
      </c>
      <c r="AE60">
        <f>HYPERLINK("https://klasma.github.io/Logging_2101/fåglar/A 12777-2026 prioriterade fågelarter.docx", "A 12777-2026")</f>
        <v/>
      </c>
    </row>
    <row r="61" ht="15" customHeight="1">
      <c r="A61" t="inlineStr">
        <is>
          <t>A 10145-2026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46288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öst AB</t>
        </is>
      </c>
      <c r="I61" t="n">
        <v>10.5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Fläcknycklar</t>
        </is>
      </c>
      <c r="W61">
        <f>HYPERLINK("https://klasma.github.io/Logging_2101/artfynd/A 10145-2026 artfynd.xlsx", "A 10145-2026")</f>
        <v/>
      </c>
      <c r="X61">
        <f>HYPERLINK("https://klasma.github.io/Logging_2101/kartor/A 10145-2026 karta.png", "A 10145-2026")</f>
        <v/>
      </c>
      <c r="Y61">
        <f>HYPERLINK("https://klasma.github.io/Logging_2101/kartor_geotiff/A 10145-2026 georefererad karta.tif", "A 10145-2026")</f>
        <v/>
      </c>
      <c r="Z61">
        <f>HYPERLINK("https://klasma.github.io/Logging_2101/knärot/A 10145-2026 karta knärot.png", "A 10145-2026")</f>
        <v/>
      </c>
      <c r="AA61">
        <f>HYPERLINK("https://klasma.github.io/Logging_2101/klagomål/A 10145-2026 FSC-klagomål.docx", "A 10145-2026")</f>
        <v/>
      </c>
      <c r="AB61">
        <f>HYPERLINK("https://klasma.github.io/Logging_2101/klagomålsmail/A 10145-2026 FSC-klagomål mail.docx", "A 10145-2026")</f>
        <v/>
      </c>
      <c r="AC61">
        <f>HYPERLINK("https://klasma.github.io/Logging_2101/tillsyn/A 10145-2026 tillsynsbegäran.docx", "A 10145-2026")</f>
        <v/>
      </c>
      <c r="AD61">
        <f>HYPERLINK("https://klasma.github.io/Logging_2101/tillsynsmail/A 10145-2026 tillsynsbegäran mail.docx", "A 10145-2026")</f>
        <v/>
      </c>
    </row>
    <row r="62" ht="15" customHeight="1">
      <c r="A62" t="inlineStr">
        <is>
          <t>A 38583-2026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46283</v>
      </c>
      <c r="E62" s="1" t="n">
        <v>46288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Månlåsbräken</t>
        </is>
      </c>
      <c r="W62">
        <f>HYPERLINK("https://klasma.github.io/Logging_2101/artfynd/A 38583-2026 artfynd.xlsx", "A 38583-2026")</f>
        <v/>
      </c>
      <c r="X62">
        <f>HYPERLINK("https://klasma.github.io/Logging_2101/kartor/A 38583-2026 karta.png", "A 38583-2026")</f>
        <v/>
      </c>
      <c r="Y62">
        <f>HYPERLINK("https://klasma.github.io/Logging_2101/kartor_geotiff/A 38583-2026 georefererad karta.tif", "A 38583-2026")</f>
        <v/>
      </c>
      <c r="AA62">
        <f>HYPERLINK("https://klasma.github.io/Logging_2101/klagomål/A 38583-2026 FSC-klagomål.docx", "A 38583-2026")</f>
        <v/>
      </c>
      <c r="AB62">
        <f>HYPERLINK("https://klasma.github.io/Logging_2101/klagomålsmail/A 38583-2026 FSC-klagomål mail.docx", "A 38583-2026")</f>
        <v/>
      </c>
      <c r="AC62">
        <f>HYPERLINK("https://klasma.github.io/Logging_2101/tillsyn/A 38583-2026 tillsynsbegäran.docx", "A 38583-2026")</f>
        <v/>
      </c>
      <c r="AD62">
        <f>HYPERLINK("https://klasma.github.io/Logging_2101/tillsynsmail/A 38583-2026 tillsynsbegäran mail.docx", "A 38583-2026")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46288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46288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46288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46288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46288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46288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46288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46288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46288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46288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46288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46288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46288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46288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46288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46288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46288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46288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46288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46288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46288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46288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46288</v>
      </c>
      <c r="F85" t="inlineStr">
        <is>
          <t>GÄVLEBORGS LÄN</t>
        </is>
      </c>
      <c r="G85" t="inlineStr">
        <is>
          <t>OCKELBO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46288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46288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46288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46288</v>
      </c>
      <c r="F89" t="inlineStr">
        <is>
          <t>GÄVLEBORGS LÄN</t>
        </is>
      </c>
      <c r="G89" t="inlineStr">
        <is>
          <t>OCKELBO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44663</v>
      </c>
      <c r="E90" s="1" t="n">
        <v>46288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44480</v>
      </c>
      <c r="E91" s="1" t="n">
        <v>46288</v>
      </c>
      <c r="F91" t="inlineStr">
        <is>
          <t>GÄVLEBORGS LÄN</t>
        </is>
      </c>
      <c r="G91" t="inlineStr">
        <is>
          <t>OCKELBO</t>
        </is>
      </c>
      <c r="I91" t="n">
        <v>10.8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36210-2024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46288</v>
      </c>
      <c r="F92" t="inlineStr">
        <is>
          <t>GÄVLEBORGS LÄN</t>
        </is>
      </c>
      <c r="G92" t="inlineStr">
        <is>
          <t>OCKELBO</t>
        </is>
      </c>
      <c r="H92" t="inlineStr">
        <is>
          <t>Kyrkan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46288</v>
      </c>
      <c r="F93" t="inlineStr">
        <is>
          <t>GÄVLEBORGS LÄN</t>
        </is>
      </c>
      <c r="G93" t="inlineStr">
        <is>
          <t>OCKELBO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37386-2023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45156</v>
      </c>
      <c r="E94" s="1" t="n">
        <v>46288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45611</v>
      </c>
      <c r="E95" s="1" t="n">
        <v>46288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36521-2022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44804</v>
      </c>
      <c r="E96" s="1" t="n">
        <v>46288</v>
      </c>
      <c r="F96" t="inlineStr">
        <is>
          <t>GÄVLEBORGS LÄN</t>
        </is>
      </c>
      <c r="G96" t="inlineStr">
        <is>
          <t>OCKELBO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44889</v>
      </c>
      <c r="E97" s="1" t="n">
        <v>46288</v>
      </c>
      <c r="F97" t="inlineStr">
        <is>
          <t>GÄVLEBORGS LÄN</t>
        </is>
      </c>
      <c r="G97" t="inlineStr">
        <is>
          <t>OCKELBO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44890</v>
      </c>
      <c r="E98" s="1" t="n">
        <v>46288</v>
      </c>
      <c r="F98" t="inlineStr">
        <is>
          <t>GÄVLEBORGS LÄN</t>
        </is>
      </c>
      <c r="G98" t="inlineStr">
        <is>
          <t>OCKELBO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39062-2024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46288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46288</v>
      </c>
      <c r="F100" t="inlineStr">
        <is>
          <t>GÄVLEBORGS LÄN</t>
        </is>
      </c>
      <c r="G100" t="inlineStr">
        <is>
          <t>OCKELBO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46288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45252</v>
      </c>
      <c r="E102" s="1" t="n">
        <v>46288</v>
      </c>
      <c r="F102" t="inlineStr">
        <is>
          <t>GÄVLEBORGS LÄN</t>
        </is>
      </c>
      <c r="G102" t="inlineStr">
        <is>
          <t>OCKELBO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46288</v>
      </c>
      <c r="F103" t="inlineStr">
        <is>
          <t>GÄVLEBORGS LÄN</t>
        </is>
      </c>
      <c r="G103" t="inlineStr">
        <is>
          <t>OCKELBO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54309-2024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45617</v>
      </c>
      <c r="E104" s="1" t="n">
        <v>46288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45341</v>
      </c>
      <c r="E105" s="1" t="n">
        <v>46288</v>
      </c>
      <c r="F105" t="inlineStr">
        <is>
          <t>GÄVLEBORGS LÄN</t>
        </is>
      </c>
      <c r="G105" t="inlineStr">
        <is>
          <t>OCKELBO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46288</v>
      </c>
      <c r="F106" t="inlineStr">
        <is>
          <t>GÄVLEBORGS LÄN</t>
        </is>
      </c>
      <c r="G106" t="inlineStr">
        <is>
          <t>OCKELBO</t>
        </is>
      </c>
      <c r="H106" t="inlineStr">
        <is>
          <t>Kyrkan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44950</v>
      </c>
      <c r="E107" s="1" t="n">
        <v>46288</v>
      </c>
      <c r="F107" t="inlineStr">
        <is>
          <t>GÄVLEBORGS LÄN</t>
        </is>
      </c>
      <c r="G107" t="inlineStr">
        <is>
          <t>OCKELBO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46288</v>
      </c>
      <c r="F108" t="inlineStr">
        <is>
          <t>GÄVLEBORGS LÄN</t>
        </is>
      </c>
      <c r="G108" t="inlineStr">
        <is>
          <t>OCKELBO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46288</v>
      </c>
      <c r="F109" t="inlineStr">
        <is>
          <t>GÄVLEBORGS LÄN</t>
        </is>
      </c>
      <c r="G109" t="inlineStr">
        <is>
          <t>OCKELBO</t>
        </is>
      </c>
      <c r="I109" t="n">
        <v>14.8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44797</v>
      </c>
      <c r="E110" s="1" t="n">
        <v>46288</v>
      </c>
      <c r="F110" t="inlineStr">
        <is>
          <t>GÄVLEBORGS LÄN</t>
        </is>
      </c>
      <c r="G110" t="inlineStr">
        <is>
          <t>OCKELBO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54807-2024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45618</v>
      </c>
      <c r="E111" s="1" t="n">
        <v>46288</v>
      </c>
      <c r="F111" t="inlineStr">
        <is>
          <t>GÄVLEBORGS LÄN</t>
        </is>
      </c>
      <c r="G111" t="inlineStr">
        <is>
          <t>OCKELBO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46288</v>
      </c>
      <c r="F112" t="inlineStr">
        <is>
          <t>GÄVLEBORGS LÄN</t>
        </is>
      </c>
      <c r="G112" t="inlineStr">
        <is>
          <t>OCKELBO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45132</v>
      </c>
      <c r="E113" s="1" t="n">
        <v>46288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45611</v>
      </c>
      <c r="E114" s="1" t="n">
        <v>46288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44950</v>
      </c>
      <c r="E115" s="1" t="n">
        <v>46288</v>
      </c>
      <c r="F115" t="inlineStr">
        <is>
          <t>GÄVLEBORGS LÄN</t>
        </is>
      </c>
      <c r="G115" t="inlineStr">
        <is>
          <t>OCKELBO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46288</v>
      </c>
      <c r="F116" t="inlineStr">
        <is>
          <t>GÄVLEBORGS LÄN</t>
        </is>
      </c>
      <c r="G116" t="inlineStr">
        <is>
          <t>OCKELBO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19762-2024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45432</v>
      </c>
      <c r="E117" s="1" t="n">
        <v>46288</v>
      </c>
      <c r="F117" t="inlineStr">
        <is>
          <t>GÄVLEBORGS LÄN</t>
        </is>
      </c>
      <c r="G117" t="inlineStr">
        <is>
          <t>OCKELBO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20231-2024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45434</v>
      </c>
      <c r="E118" s="1" t="n">
        <v>46288</v>
      </c>
      <c r="F118" t="inlineStr">
        <is>
          <t>GÄVLEBORGS LÄN</t>
        </is>
      </c>
      <c r="G118" t="inlineStr">
        <is>
          <t>OCKELBO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40218-2023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46288</v>
      </c>
      <c r="F119" t="inlineStr">
        <is>
          <t>GÄVLEBORGS LÄN</t>
        </is>
      </c>
      <c r="G119" t="inlineStr">
        <is>
          <t>OCKELBO</t>
        </is>
      </c>
      <c r="I119" t="n">
        <v>13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55422-2022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44887</v>
      </c>
      <c r="E120" s="1" t="n">
        <v>46288</v>
      </c>
      <c r="F120" t="inlineStr">
        <is>
          <t>GÄVLEBORGS LÄN</t>
        </is>
      </c>
      <c r="G120" t="inlineStr">
        <is>
          <t>OCKELBO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46288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45488</v>
      </c>
      <c r="E122" s="1" t="n">
        <v>46288</v>
      </c>
      <c r="F122" t="inlineStr">
        <is>
          <t>GÄVLEBORGS LÄN</t>
        </is>
      </c>
      <c r="G122" t="inlineStr">
        <is>
          <t>OCKELBO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46288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18291-2023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46288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46288</v>
      </c>
      <c r="F125" t="inlineStr">
        <is>
          <t>GÄVLEBORGS LÄN</t>
        </is>
      </c>
      <c r="G125" t="inlineStr">
        <is>
          <t>OCKELBO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46288</v>
      </c>
      <c r="F126" t="inlineStr">
        <is>
          <t>GÄVLEBORGS LÄN</t>
        </is>
      </c>
      <c r="G126" t="inlineStr">
        <is>
          <t>OCKELBO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46288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32011-2024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45510</v>
      </c>
      <c r="E128" s="1" t="n">
        <v>46288</v>
      </c>
      <c r="F128" t="inlineStr">
        <is>
          <t>GÄVLEBORGS LÄN</t>
        </is>
      </c>
      <c r="G128" t="inlineStr">
        <is>
          <t>OCKELBO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17682-2026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46121</v>
      </c>
      <c r="E129" s="1" t="n">
        <v>46288</v>
      </c>
      <c r="F129" t="inlineStr">
        <is>
          <t>GÄVLEBORGS LÄN</t>
        </is>
      </c>
      <c r="G129" t="inlineStr">
        <is>
          <t>OCKELBO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45719</v>
      </c>
      <c r="E130" s="1" t="n">
        <v>46288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öst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45551</v>
      </c>
      <c r="E131" s="1" t="n">
        <v>46288</v>
      </c>
      <c r="F131" t="inlineStr">
        <is>
          <t>GÄVLEBORGS LÄN</t>
        </is>
      </c>
      <c r="G131" t="inlineStr">
        <is>
          <t>OCKELBO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45223</v>
      </c>
      <c r="E132" s="1" t="n">
        <v>46288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46288</v>
      </c>
      <c r="F133" t="inlineStr">
        <is>
          <t>GÄVLEBORGS LÄN</t>
        </is>
      </c>
      <c r="G133" t="inlineStr">
        <is>
          <t>OCKELBO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46288</v>
      </c>
      <c r="F134" t="inlineStr">
        <is>
          <t>GÄVLEBORGS LÄN</t>
        </is>
      </c>
      <c r="G134" t="inlineStr">
        <is>
          <t>OCKELBO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46288</v>
      </c>
      <c r="F135" t="inlineStr">
        <is>
          <t>GÄVLEBORGS LÄN</t>
        </is>
      </c>
      <c r="G135" t="inlineStr">
        <is>
          <t>OCKELBO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46137</v>
      </c>
      <c r="E136" s="1" t="n">
        <v>46288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46288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46288</v>
      </c>
      <c r="F138" t="inlineStr">
        <is>
          <t>GÄVLEBORGS LÄN</t>
        </is>
      </c>
      <c r="G138" t="inlineStr">
        <is>
          <t>OCKELBO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46288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46288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46288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46288</v>
      </c>
      <c r="F142" t="inlineStr">
        <is>
          <t>GÄVLEBORGS LÄN</t>
        </is>
      </c>
      <c r="G142" t="inlineStr">
        <is>
          <t>OCKELBO</t>
        </is>
      </c>
      <c r="H142" t="inlineStr">
        <is>
          <t>Kyrkan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46288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46288</v>
      </c>
      <c r="F144" t="inlineStr">
        <is>
          <t>GÄVLEBORGS LÄN</t>
        </is>
      </c>
      <c r="G144" t="inlineStr">
        <is>
          <t>OCKELBO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46288</v>
      </c>
      <c r="F145" t="inlineStr">
        <is>
          <t>GÄVLEBORGS LÄN</t>
        </is>
      </c>
      <c r="G145" t="inlineStr">
        <is>
          <t>OCKELBO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46288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46288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46288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46288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46288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46288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46288</v>
      </c>
      <c r="F152" t="inlineStr">
        <is>
          <t>GÄVLEBORGS LÄN</t>
        </is>
      </c>
      <c r="G152" t="inlineStr">
        <is>
          <t>OCKELBO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36604-2025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45870</v>
      </c>
      <c r="E153" s="1" t="n">
        <v>46288</v>
      </c>
      <c r="F153" t="inlineStr">
        <is>
          <t>GÄVLEBORGS LÄN</t>
        </is>
      </c>
      <c r="G153" t="inlineStr">
        <is>
          <t>OCKELBO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46288</v>
      </c>
      <c r="F154" t="inlineStr">
        <is>
          <t>GÄVLEBORGS LÄN</t>
        </is>
      </c>
      <c r="G154" t="inlineStr">
        <is>
          <t>OCKELBO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46288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46288</v>
      </c>
      <c r="F156" t="inlineStr">
        <is>
          <t>GÄVLEBORGS LÄN</t>
        </is>
      </c>
      <c r="G156" t="inlineStr">
        <is>
          <t>OCKELBO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46137</v>
      </c>
      <c r="E157" s="1" t="n">
        <v>46288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46137</v>
      </c>
      <c r="E158" s="1" t="n">
        <v>46288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46288</v>
      </c>
      <c r="F159" t="inlineStr">
        <is>
          <t>GÄVLEBORGS LÄN</t>
        </is>
      </c>
      <c r="G159" t="inlineStr">
        <is>
          <t>OCKELBO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46288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46288</v>
      </c>
      <c r="F161" t="inlineStr">
        <is>
          <t>GÄVLEBORGS LÄN</t>
        </is>
      </c>
      <c r="G161" t="inlineStr">
        <is>
          <t>OCKELBO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46288</v>
      </c>
      <c r="F162" t="inlineStr">
        <is>
          <t>GÄVLEBORGS LÄN</t>
        </is>
      </c>
      <c r="G162" t="inlineStr">
        <is>
          <t>OCKELBO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46288</v>
      </c>
      <c r="F163" t="inlineStr">
        <is>
          <t>GÄVLEBORGS LÄN</t>
        </is>
      </c>
      <c r="G163" t="inlineStr">
        <is>
          <t>OCKELBO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46288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46288</v>
      </c>
      <c r="F165" t="inlineStr">
        <is>
          <t>GÄVLEBORGS LÄN</t>
        </is>
      </c>
      <c r="G165" t="inlineStr">
        <is>
          <t>OCKELBO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46288</v>
      </c>
      <c r="F166" t="inlineStr">
        <is>
          <t>GÄVLEBORGS LÄN</t>
        </is>
      </c>
      <c r="G166" t="inlineStr">
        <is>
          <t>OCKELBO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45184</v>
      </c>
      <c r="E167" s="1" t="n">
        <v>46288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46288</v>
      </c>
      <c r="F168" t="inlineStr">
        <is>
          <t>GÄVLEBORGS LÄN</t>
        </is>
      </c>
      <c r="G168" t="inlineStr">
        <is>
          <t>OCKELBO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46036</v>
      </c>
      <c r="E169" s="1" t="n">
        <v>46288</v>
      </c>
      <c r="F169" t="inlineStr">
        <is>
          <t>GÄVLEBORGS LÄN</t>
        </is>
      </c>
      <c r="G169" t="inlineStr">
        <is>
          <t>OCKELBO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46288</v>
      </c>
      <c r="F170" t="inlineStr">
        <is>
          <t>GÄVLEBORGS LÄN</t>
        </is>
      </c>
      <c r="G170" t="inlineStr">
        <is>
          <t>OCKELBO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46288</v>
      </c>
      <c r="F171" t="inlineStr">
        <is>
          <t>GÄVLEBORGS LÄN</t>
        </is>
      </c>
      <c r="G171" t="inlineStr">
        <is>
          <t>OCKELBO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46288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46288</v>
      </c>
      <c r="F173" t="inlineStr">
        <is>
          <t>GÄVLEBORGS LÄN</t>
        </is>
      </c>
      <c r="G173" t="inlineStr">
        <is>
          <t>OCKELBO</t>
        </is>
      </c>
      <c r="I173" t="n">
        <v>18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46288</v>
      </c>
      <c r="F174" t="inlineStr">
        <is>
          <t>GÄVLEBORGS LÄN</t>
        </is>
      </c>
      <c r="G174" t="inlineStr">
        <is>
          <t>OCKELBO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46139</v>
      </c>
      <c r="E175" s="1" t="n">
        <v>46288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32087-2025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45835</v>
      </c>
      <c r="E176" s="1" t="n">
        <v>46288</v>
      </c>
      <c r="F176" t="inlineStr">
        <is>
          <t>GÄVLEBORGS LÄN</t>
        </is>
      </c>
      <c r="G176" t="inlineStr">
        <is>
          <t>OCKELBO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46107</v>
      </c>
      <c r="E177" s="1" t="n">
        <v>46288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20.4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46288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46288</v>
      </c>
      <c r="F179" t="inlineStr">
        <is>
          <t>GÄVLEBORGS LÄN</t>
        </is>
      </c>
      <c r="G179" t="inlineStr">
        <is>
          <t>OCKELBO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46288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46288</v>
      </c>
      <c r="F181" t="inlineStr">
        <is>
          <t>GÄVLEBORGS LÄN</t>
        </is>
      </c>
      <c r="G181" t="inlineStr">
        <is>
          <t>OCKELBO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46288</v>
      </c>
      <c r="F182" t="inlineStr">
        <is>
          <t>GÄVLEBORGS LÄN</t>
        </is>
      </c>
      <c r="G182" t="inlineStr">
        <is>
          <t>OCKELBO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46288</v>
      </c>
      <c r="F183" t="inlineStr">
        <is>
          <t>GÄVLEBORGS LÄN</t>
        </is>
      </c>
      <c r="G183" t="inlineStr">
        <is>
          <t>OCKELBO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46064</v>
      </c>
      <c r="E184" s="1" t="n">
        <v>46288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46288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46138</v>
      </c>
      <c r="E186" s="1" t="n">
        <v>46288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46288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46065</v>
      </c>
      <c r="E188" s="1" t="n">
        <v>46288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46288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45139</v>
      </c>
      <c r="E190" s="1" t="n">
        <v>46288</v>
      </c>
      <c r="F190" t="inlineStr">
        <is>
          <t>GÄVLEBORGS LÄN</t>
        </is>
      </c>
      <c r="G190" t="inlineStr">
        <is>
          <t>OCKELBO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45712</v>
      </c>
      <c r="E191" s="1" t="n">
        <v>46288</v>
      </c>
      <c r="F191" t="inlineStr">
        <is>
          <t>GÄVLEBORGS LÄN</t>
        </is>
      </c>
      <c r="G191" t="inlineStr">
        <is>
          <t>OCKELBO</t>
        </is>
      </c>
      <c r="I191" t="n">
        <v>14.7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46288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46288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45705</v>
      </c>
      <c r="E194" s="1" t="n">
        <v>46288</v>
      </c>
      <c r="F194" t="inlineStr">
        <is>
          <t>GÄVLEBORGS LÄN</t>
        </is>
      </c>
      <c r="G194" t="inlineStr">
        <is>
          <t>OCKELBO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46288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46288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46288</v>
      </c>
      <c r="F197" t="inlineStr">
        <is>
          <t>GÄVLEBORGS LÄN</t>
        </is>
      </c>
      <c r="G197" t="inlineStr">
        <is>
          <t>OCKELBO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46140</v>
      </c>
      <c r="E198" s="1" t="n">
        <v>46288</v>
      </c>
      <c r="F198" t="inlineStr">
        <is>
          <t>GÄVLEBORGS LÄN</t>
        </is>
      </c>
      <c r="G198" t="inlineStr">
        <is>
          <t>OCKELBO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46288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45608</v>
      </c>
      <c r="E200" s="1" t="n">
        <v>46288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46288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44700</v>
      </c>
      <c r="E202" s="1" t="n">
        <v>46288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46288</v>
      </c>
      <c r="F203" t="inlineStr">
        <is>
          <t>GÄVLEBORGS LÄN</t>
        </is>
      </c>
      <c r="G203" t="inlineStr">
        <is>
          <t>OCKELBO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46288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60699-2024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46288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46288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45027</v>
      </c>
      <c r="E207" s="1" t="n">
        <v>46288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46288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45602</v>
      </c>
      <c r="E209" s="1" t="n">
        <v>46288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46288</v>
      </c>
      <c r="F210" t="inlineStr">
        <is>
          <t>GÄVLEBORGS LÄN</t>
        </is>
      </c>
      <c r="G210" t="inlineStr">
        <is>
          <t>OCKELBO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46064</v>
      </c>
      <c r="E211" s="1" t="n">
        <v>46288</v>
      </c>
      <c r="F211" t="inlineStr">
        <is>
          <t>GÄVLEBORGS LÄN</t>
        </is>
      </c>
      <c r="G211" t="inlineStr">
        <is>
          <t>OCKELBO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46288</v>
      </c>
      <c r="F212" t="inlineStr">
        <is>
          <t>GÄVLEBORGS LÄN</t>
        </is>
      </c>
      <c r="G212" t="inlineStr">
        <is>
          <t>OCKELBO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46288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46288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66825-2021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44522</v>
      </c>
      <c r="E215" s="1" t="n">
        <v>46288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46288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45554</v>
      </c>
      <c r="E217" s="1" t="n">
        <v>46288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46288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46288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46288</v>
      </c>
      <c r="F220" t="inlineStr">
        <is>
          <t>GÄVLEBORGS LÄN</t>
        </is>
      </c>
      <c r="G220" t="inlineStr">
        <is>
          <t>OCKELBO</t>
        </is>
      </c>
      <c r="I220" t="n">
        <v>11.9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46288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48221-2024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45590</v>
      </c>
      <c r="E222" s="1" t="n">
        <v>46288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46288</v>
      </c>
      <c r="F223" t="inlineStr">
        <is>
          <t>GÄVLEBORGS LÄN</t>
        </is>
      </c>
      <c r="G223" t="inlineStr">
        <is>
          <t>OCKELBO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46288</v>
      </c>
      <c r="F224" t="inlineStr">
        <is>
          <t>GÄVLEBORGS LÄN</t>
        </is>
      </c>
      <c r="G224" t="inlineStr">
        <is>
          <t>OCKELBO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61622-2021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46288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46288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44845</v>
      </c>
      <c r="E227" s="1" t="n">
        <v>46288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67768-2021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44525</v>
      </c>
      <c r="E228" s="1" t="n">
        <v>46288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46288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45107</v>
      </c>
      <c r="E230" s="1" t="n">
        <v>46288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46288</v>
      </c>
      <c r="F231" t="inlineStr">
        <is>
          <t>GÄVLEBORGS LÄN</t>
        </is>
      </c>
      <c r="G231" t="inlineStr">
        <is>
          <t>OCKELBO</t>
        </is>
      </c>
      <c r="I231" t="n">
        <v>36.1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46288</v>
      </c>
      <c r="F232" t="inlineStr">
        <is>
          <t>GÄVLEBORGS LÄN</t>
        </is>
      </c>
      <c r="G232" t="inlineStr">
        <is>
          <t>OCKELBO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46288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46288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45334</v>
      </c>
      <c r="E235" s="1" t="n">
        <v>46288</v>
      </c>
      <c r="F235" t="inlineStr">
        <is>
          <t>GÄVLEBORGS LÄN</t>
        </is>
      </c>
      <c r="G235" t="inlineStr">
        <is>
          <t>OCKELBO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60915-2024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46288</v>
      </c>
      <c r="F236" t="inlineStr">
        <is>
          <t>GÄVLEBORGS LÄN</t>
        </is>
      </c>
      <c r="G236" t="inlineStr">
        <is>
          <t>OCKELBO</t>
        </is>
      </c>
      <c r="H236" t="inlineStr">
        <is>
          <t>Kyrkan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46288</v>
      </c>
      <c r="F237" t="inlineStr">
        <is>
          <t>GÄVLEBORGS LÄN</t>
        </is>
      </c>
      <c r="G237" t="inlineStr">
        <is>
          <t>OCKELBO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30422-2023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45111</v>
      </c>
      <c r="E238" s="1" t="n">
        <v>46288</v>
      </c>
      <c r="F238" t="inlineStr">
        <is>
          <t>GÄVLEBORGS LÄN</t>
        </is>
      </c>
      <c r="G238" t="inlineStr">
        <is>
          <t>OCKELBO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46288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46027</v>
      </c>
      <c r="E240" s="1" t="n">
        <v>46288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45478</v>
      </c>
      <c r="E241" s="1" t="n">
        <v>46288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21582-2024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46288</v>
      </c>
      <c r="F242" t="inlineStr">
        <is>
          <t>GÄVLEBORGS LÄN</t>
        </is>
      </c>
      <c r="G242" t="inlineStr">
        <is>
          <t>OCKELBO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46288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46288</v>
      </c>
      <c r="F244" t="inlineStr">
        <is>
          <t>GÄVLEBORGS LÄN</t>
        </is>
      </c>
      <c r="G244" t="inlineStr">
        <is>
          <t>OCKELBO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46288</v>
      </c>
      <c r="F245" t="inlineStr">
        <is>
          <t>GÄVLEBORGS LÄN</t>
        </is>
      </c>
      <c r="G245" t="inlineStr">
        <is>
          <t>OCKELBO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7907-2026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46288</v>
      </c>
      <c r="F246" t="inlineStr">
        <is>
          <t>GÄVLEBORGS LÄN</t>
        </is>
      </c>
      <c r="G246" t="inlineStr">
        <is>
          <t>OCKELBO</t>
        </is>
      </c>
      <c r="I246" t="n">
        <v>11.5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20502-2026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46288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11.2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20641-2026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46288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46288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45488</v>
      </c>
      <c r="E250" s="1" t="n">
        <v>46288</v>
      </c>
      <c r="F250" t="inlineStr">
        <is>
          <t>GÄVLEBORGS LÄN</t>
        </is>
      </c>
      <c r="G250" t="inlineStr">
        <is>
          <t>OCKELBO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46288</v>
      </c>
      <c r="F251" t="inlineStr">
        <is>
          <t>GÄVLEBORGS LÄN</t>
        </is>
      </c>
      <c r="G251" t="inlineStr">
        <is>
          <t>OCKELBO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46288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46288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46288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46125</v>
      </c>
      <c r="E255" s="1" t="n">
        <v>46288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12708-2026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46288</v>
      </c>
      <c r="F256" t="inlineStr">
        <is>
          <t>GÄVLEBORGS LÄN</t>
        </is>
      </c>
      <c r="G256" t="inlineStr">
        <is>
          <t>OCKELBO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46288</v>
      </c>
      <c r="F257" t="inlineStr">
        <is>
          <t>GÄVLEBORGS LÄN</t>
        </is>
      </c>
      <c r="G257" t="inlineStr">
        <is>
          <t>OCKELBO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7955-2026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46063</v>
      </c>
      <c r="E258" s="1" t="n">
        <v>46288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46288</v>
      </c>
      <c r="F259" t="inlineStr">
        <is>
          <t>GÄVLEBORGS LÄN</t>
        </is>
      </c>
      <c r="G259" t="inlineStr">
        <is>
          <t>OCKELBO</t>
        </is>
      </c>
      <c r="I259" t="n">
        <v>10.3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46288</v>
      </c>
      <c r="F260" t="inlineStr">
        <is>
          <t>GÄVLEBORGS LÄN</t>
        </is>
      </c>
      <c r="G260" t="inlineStr">
        <is>
          <t>OCKELBO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46288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46288</v>
      </c>
      <c r="F262" t="inlineStr">
        <is>
          <t>GÄVLEBORGS LÄN</t>
        </is>
      </c>
      <c r="G262" t="inlineStr">
        <is>
          <t>OCKELBO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46288</v>
      </c>
      <c r="F263" t="inlineStr">
        <is>
          <t>GÄVLEBORGS LÄN</t>
        </is>
      </c>
      <c r="G263" t="inlineStr">
        <is>
          <t>OCKELBO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46288</v>
      </c>
      <c r="F264" t="inlineStr">
        <is>
          <t>GÄVLEBORGS LÄN</t>
        </is>
      </c>
      <c r="G264" t="inlineStr">
        <is>
          <t>OCKELBO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46288</v>
      </c>
      <c r="F265" t="inlineStr">
        <is>
          <t>GÄVLEBORGS LÄN</t>
        </is>
      </c>
      <c r="G265" t="inlineStr">
        <is>
          <t>OCKELBO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46288</v>
      </c>
      <c r="F266" t="inlineStr">
        <is>
          <t>GÄVLEBORGS LÄN</t>
        </is>
      </c>
      <c r="G266" t="inlineStr">
        <is>
          <t>OCKELBO</t>
        </is>
      </c>
      <c r="I266" t="n">
        <v>9.300000000000001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45450</v>
      </c>
      <c r="E267" s="1" t="n">
        <v>46288</v>
      </c>
      <c r="F267" t="inlineStr">
        <is>
          <t>GÄVLEBORGS LÄN</t>
        </is>
      </c>
      <c r="G267" t="inlineStr">
        <is>
          <t>OCKELBO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46077</v>
      </c>
      <c r="E268" s="1" t="n">
        <v>46288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46288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20481-2026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46288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46288</v>
      </c>
      <c r="F271" t="inlineStr">
        <is>
          <t>GÄVLEBORGS LÄN</t>
        </is>
      </c>
      <c r="G271" t="inlineStr">
        <is>
          <t>OCKELBO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46288</v>
      </c>
      <c r="F272" t="inlineStr">
        <is>
          <t>GÄVLEBORGS LÄN</t>
        </is>
      </c>
      <c r="G272" t="inlineStr">
        <is>
          <t>OCKELBO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46288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46288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45994</v>
      </c>
      <c r="E275" s="1" t="n">
        <v>46288</v>
      </c>
      <c r="F275" t="inlineStr">
        <is>
          <t>GÄVLEBORGS LÄN</t>
        </is>
      </c>
      <c r="G275" t="inlineStr">
        <is>
          <t>OCKELBO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46288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18549-2026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46288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17951-2026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46122</v>
      </c>
      <c r="E278" s="1" t="n">
        <v>46288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18097-2026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46125</v>
      </c>
      <c r="E279" s="1" t="n">
        <v>46288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46147</v>
      </c>
      <c r="E280" s="1" t="n">
        <v>46288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öst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46288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öst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46148</v>
      </c>
      <c r="E282" s="1" t="n">
        <v>46288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46148</v>
      </c>
      <c r="E283" s="1" t="n">
        <v>46288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46288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46149</v>
      </c>
      <c r="E285" s="1" t="n">
        <v>46288</v>
      </c>
      <c r="F285" t="inlineStr">
        <is>
          <t>GÄVLEBORGS LÄN</t>
        </is>
      </c>
      <c r="G285" t="inlineStr">
        <is>
          <t>OCKELBO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21459-2026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46148</v>
      </c>
      <c r="E286" s="1" t="n">
        <v>46288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21468-2026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46288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46288</v>
      </c>
      <c r="F288" t="inlineStr">
        <is>
          <t>GÄVLEBORGS LÄN</t>
        </is>
      </c>
      <c r="G288" t="inlineStr">
        <is>
          <t>OCKELBO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46100</v>
      </c>
      <c r="E289" s="1" t="n">
        <v>46288</v>
      </c>
      <c r="F289" t="inlineStr">
        <is>
          <t>GÄVLEBORGS LÄN</t>
        </is>
      </c>
      <c r="G289" t="inlineStr">
        <is>
          <t>OCKELBO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48855-2025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46288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46119</v>
      </c>
      <c r="E291" s="1" t="n">
        <v>46288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29963-2024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45488</v>
      </c>
      <c r="E292" s="1" t="n">
        <v>46288</v>
      </c>
      <c r="F292" t="inlineStr">
        <is>
          <t>GÄVLEBORGS LÄN</t>
        </is>
      </c>
      <c r="G292" t="inlineStr">
        <is>
          <t>OCKELBO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46288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46288</v>
      </c>
      <c r="F294" t="inlineStr">
        <is>
          <t>GÄVLEBORGS LÄN</t>
        </is>
      </c>
      <c r="G294" t="inlineStr">
        <is>
          <t>OCKELBO</t>
        </is>
      </c>
      <c r="I294" t="n">
        <v>11.1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46288</v>
      </c>
      <c r="F295" t="inlineStr">
        <is>
          <t>GÄVLEBORGS LÄN</t>
        </is>
      </c>
      <c r="G295" t="inlineStr">
        <is>
          <t>OCKELBO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22151-2022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44712</v>
      </c>
      <c r="E296" s="1" t="n">
        <v>46288</v>
      </c>
      <c r="F296" t="inlineStr">
        <is>
          <t>GÄVLEBORGS LÄN</t>
        </is>
      </c>
      <c r="G296" t="inlineStr">
        <is>
          <t>OCKELBO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46288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46128</v>
      </c>
      <c r="E298" s="1" t="n">
        <v>46288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45301</v>
      </c>
      <c r="E299" s="1" t="n">
        <v>46288</v>
      </c>
      <c r="F299" t="inlineStr">
        <is>
          <t>GÄVLEBORGS LÄN</t>
        </is>
      </c>
      <c r="G299" t="inlineStr">
        <is>
          <t>OCKELBO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46288</v>
      </c>
      <c r="F300" t="inlineStr">
        <is>
          <t>GÄVLEBORGS LÄN</t>
        </is>
      </c>
      <c r="G300" t="inlineStr">
        <is>
          <t>OCKELBO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46288</v>
      </c>
      <c r="F301" t="inlineStr">
        <is>
          <t>GÄVLEBORGS LÄN</t>
        </is>
      </c>
      <c r="G301" t="inlineStr">
        <is>
          <t>OCKELBO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46288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45237</v>
      </c>
      <c r="E303" s="1" t="n">
        <v>46288</v>
      </c>
      <c r="F303" t="inlineStr">
        <is>
          <t>GÄVLEBORGS LÄN</t>
        </is>
      </c>
      <c r="G303" t="inlineStr">
        <is>
          <t>OCKELBO</t>
        </is>
      </c>
      <c r="I303" t="n">
        <v>14.6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46288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46288</v>
      </c>
      <c r="F305" t="inlineStr">
        <is>
          <t>GÄVLEBORGS LÄN</t>
        </is>
      </c>
      <c r="G305" t="inlineStr">
        <is>
          <t>OCKELBO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46609-2025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45926</v>
      </c>
      <c r="E306" s="1" t="n">
        <v>46288</v>
      </c>
      <c r="F306" t="inlineStr">
        <is>
          <t>GÄVLEBORGS LÄN</t>
        </is>
      </c>
      <c r="G306" t="inlineStr">
        <is>
          <t>OCKELBO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46288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22569-2026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46155</v>
      </c>
      <c r="E308" s="1" t="n">
        <v>46288</v>
      </c>
      <c r="F308" t="inlineStr">
        <is>
          <t>GÄVLEBORGS LÄN</t>
        </is>
      </c>
      <c r="G308" t="inlineStr">
        <is>
          <t>OCKELBO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46154</v>
      </c>
      <c r="E309" s="1" t="n">
        <v>46288</v>
      </c>
      <c r="F309" t="inlineStr">
        <is>
          <t>GÄVLEBORGS LÄN</t>
        </is>
      </c>
      <c r="G309" t="inlineStr">
        <is>
          <t>OCKELBO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46155</v>
      </c>
      <c r="E310" s="1" t="n">
        <v>46288</v>
      </c>
      <c r="F310" t="inlineStr">
        <is>
          <t>GÄVLEBORGS LÄN</t>
        </is>
      </c>
      <c r="G310" t="inlineStr">
        <is>
          <t>OCKELBO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46288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45747</v>
      </c>
      <c r="E312" s="1" t="n">
        <v>46288</v>
      </c>
      <c r="F312" t="inlineStr">
        <is>
          <t>GÄVLEBORGS LÄN</t>
        </is>
      </c>
      <c r="G312" t="inlineStr">
        <is>
          <t>OCKELBO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46119</v>
      </c>
      <c r="E313" s="1" t="n">
        <v>46288</v>
      </c>
      <c r="F313" t="inlineStr">
        <is>
          <t>GÄVLEBORGS LÄN</t>
        </is>
      </c>
      <c r="G313" t="inlineStr">
        <is>
          <t>OCKELBO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46056</v>
      </c>
      <c r="E314" s="1" t="n">
        <v>46288</v>
      </c>
      <c r="F314" t="inlineStr">
        <is>
          <t>GÄVLEBORGS LÄN</t>
        </is>
      </c>
      <c r="G314" t="inlineStr">
        <is>
          <t>OCKELBO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46288</v>
      </c>
      <c r="F315" t="inlineStr">
        <is>
          <t>GÄVLEBORGS LÄN</t>
        </is>
      </c>
      <c r="G315" t="inlineStr">
        <is>
          <t>OCKELBO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46288</v>
      </c>
      <c r="F316" t="inlineStr">
        <is>
          <t>GÄVLEBORGS LÄN</t>
        </is>
      </c>
      <c r="G316" t="inlineStr">
        <is>
          <t>OCKELBO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46288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46088</v>
      </c>
      <c r="E318" s="1" t="n">
        <v>46288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9.199999999999999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46288</v>
      </c>
      <c r="F319" t="inlineStr">
        <is>
          <t>GÄVLEBORGS LÄN</t>
        </is>
      </c>
      <c r="G319" t="inlineStr">
        <is>
          <t>OCKELBO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46288</v>
      </c>
      <c r="F320" t="inlineStr">
        <is>
          <t>GÄVLEBORGS LÄN</t>
        </is>
      </c>
      <c r="G320" t="inlineStr">
        <is>
          <t>OCKELBO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46288</v>
      </c>
      <c r="F321" t="inlineStr">
        <is>
          <t>GÄVLEBORGS LÄN</t>
        </is>
      </c>
      <c r="G321" t="inlineStr">
        <is>
          <t>OCKELBO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46288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46288</v>
      </c>
      <c r="F323" t="inlineStr">
        <is>
          <t>GÄVLEBORGS LÄN</t>
        </is>
      </c>
      <c r="G323" t="inlineStr">
        <is>
          <t>OCKELBO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46288</v>
      </c>
      <c r="F324" t="inlineStr">
        <is>
          <t>GÄVLEBORGS LÄN</t>
        </is>
      </c>
      <c r="G324" t="inlineStr">
        <is>
          <t>OCKELBO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46288</v>
      </c>
      <c r="F325" t="inlineStr">
        <is>
          <t>GÄVLEBORGS LÄN</t>
        </is>
      </c>
      <c r="G325" t="inlineStr">
        <is>
          <t>OCKELBO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22712-2026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46156</v>
      </c>
      <c r="E326" s="1" t="n">
        <v>46288</v>
      </c>
      <c r="F326" t="inlineStr">
        <is>
          <t>GÄVLEBORGS LÄN</t>
        </is>
      </c>
      <c r="G326" t="inlineStr">
        <is>
          <t>OCKELBO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46288</v>
      </c>
      <c r="F327" t="inlineStr">
        <is>
          <t>GÄVLEBORGS LÄN</t>
        </is>
      </c>
      <c r="G327" t="inlineStr">
        <is>
          <t>OCKELBO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46288</v>
      </c>
      <c r="F328" t="inlineStr">
        <is>
          <t>GÄVLEBORGS LÄN</t>
        </is>
      </c>
      <c r="G328" t="inlineStr">
        <is>
          <t>OCKELBO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46288</v>
      </c>
      <c r="F329" t="inlineStr">
        <is>
          <t>GÄVLEBORGS LÄN</t>
        </is>
      </c>
      <c r="G329" t="inlineStr">
        <is>
          <t>OCKELBO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23040-2026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46161</v>
      </c>
      <c r="E330" s="1" t="n">
        <v>46288</v>
      </c>
      <c r="F330" t="inlineStr">
        <is>
          <t>GÄVLEBORGS LÄN</t>
        </is>
      </c>
      <c r="G330" t="inlineStr">
        <is>
          <t>OCKELBO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46161</v>
      </c>
      <c r="E331" s="1" t="n">
        <v>46288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45952</v>
      </c>
      <c r="E332" s="1" t="n">
        <v>46288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46288</v>
      </c>
      <c r="F333" t="inlineStr">
        <is>
          <t>GÄVLEBORGS LÄN</t>
        </is>
      </c>
      <c r="G333" t="inlineStr">
        <is>
          <t>OCKELBO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46288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46288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52461-2025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46288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46160</v>
      </c>
      <c r="E337" s="1" t="n">
        <v>46288</v>
      </c>
      <c r="F337" t="inlineStr">
        <is>
          <t>GÄVLEBORGS LÄN</t>
        </is>
      </c>
      <c r="G337" t="inlineStr">
        <is>
          <t>OCKELBO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46288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11.3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46161</v>
      </c>
      <c r="E339" s="1" t="n">
        <v>46288</v>
      </c>
      <c r="F339" t="inlineStr">
        <is>
          <t>GÄVLEBORGS LÄN</t>
        </is>
      </c>
      <c r="G339" t="inlineStr">
        <is>
          <t>OCKELBO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45700</v>
      </c>
      <c r="E340" s="1" t="n">
        <v>46288</v>
      </c>
      <c r="F340" t="inlineStr">
        <is>
          <t>GÄVLEBORGS LÄN</t>
        </is>
      </c>
      <c r="G340" t="inlineStr">
        <is>
          <t>OCKELBO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45342</v>
      </c>
      <c r="E341" s="1" t="n">
        <v>46288</v>
      </c>
      <c r="F341" t="inlineStr">
        <is>
          <t>GÄVLEBORGS LÄN</t>
        </is>
      </c>
      <c r="G341" t="inlineStr">
        <is>
          <t>OCKELBO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46288</v>
      </c>
      <c r="F342" t="inlineStr">
        <is>
          <t>GÄVLEBORGS LÄN</t>
        </is>
      </c>
      <c r="G342" t="inlineStr">
        <is>
          <t>OCKELBO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54879-2025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45967</v>
      </c>
      <c r="E343" s="1" t="n">
        <v>46288</v>
      </c>
      <c r="F343" t="inlineStr">
        <is>
          <t>GÄVLEBORGS LÄN</t>
        </is>
      </c>
      <c r="G343" t="inlineStr">
        <is>
          <t>OCKELBO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54880-2025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45967</v>
      </c>
      <c r="E344" s="1" t="n">
        <v>46288</v>
      </c>
      <c r="F344" t="inlineStr">
        <is>
          <t>GÄVLEBORGS LÄN</t>
        </is>
      </c>
      <c r="G344" t="inlineStr">
        <is>
          <t>OCKELBO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23513-2026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46288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46288</v>
      </c>
      <c r="F346" t="inlineStr">
        <is>
          <t>GÄVLEBORGS LÄN</t>
        </is>
      </c>
      <c r="G346" t="inlineStr">
        <is>
          <t>OCKELBO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46288</v>
      </c>
      <c r="F347" t="inlineStr">
        <is>
          <t>GÄVLEBORGS LÄN</t>
        </is>
      </c>
      <c r="G347" t="inlineStr">
        <is>
          <t>OCKELBO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46288</v>
      </c>
      <c r="F348" t="inlineStr">
        <is>
          <t>GÄVLEBORGS LÄN</t>
        </is>
      </c>
      <c r="G348" t="inlineStr">
        <is>
          <t>OCKELBO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46288</v>
      </c>
      <c r="F349" t="inlineStr">
        <is>
          <t>GÄVLEBORGS LÄN</t>
        </is>
      </c>
      <c r="G349" t="inlineStr">
        <is>
          <t>OCKELBO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46288</v>
      </c>
      <c r="F350" t="inlineStr">
        <is>
          <t>GÄVLEBORGS LÄN</t>
        </is>
      </c>
      <c r="G350" t="inlineStr">
        <is>
          <t>OCKELBO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46288</v>
      </c>
      <c r="F351" t="inlineStr">
        <is>
          <t>GÄVLEBORGS LÄN</t>
        </is>
      </c>
      <c r="G351" t="inlineStr">
        <is>
          <t>OCKELBO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46288</v>
      </c>
      <c r="F352" t="inlineStr">
        <is>
          <t>GÄVLEBORGS LÄN</t>
        </is>
      </c>
      <c r="G352" t="inlineStr">
        <is>
          <t>OCKELBO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46288</v>
      </c>
      <c r="F353" t="inlineStr">
        <is>
          <t>GÄVLEBORGS LÄN</t>
        </is>
      </c>
      <c r="G353" t="inlineStr">
        <is>
          <t>OCKELBO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46288</v>
      </c>
      <c r="F354" t="inlineStr">
        <is>
          <t>GÄVLEBORGS LÄN</t>
        </is>
      </c>
      <c r="G354" t="inlineStr">
        <is>
          <t>OCKELBO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46288</v>
      </c>
      <c r="F355" t="inlineStr">
        <is>
          <t>GÄVLEBORGS LÄN</t>
        </is>
      </c>
      <c r="G355" t="inlineStr">
        <is>
          <t>OCKELBO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55911-2025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45973</v>
      </c>
      <c r="E356" s="1" t="n">
        <v>46288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46288</v>
      </c>
      <c r="F357" t="inlineStr">
        <is>
          <t>GÄVLEBORGS LÄN</t>
        </is>
      </c>
      <c r="G357" t="inlineStr">
        <is>
          <t>OCKELBO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45754</v>
      </c>
      <c r="E358" s="1" t="n">
        <v>46288</v>
      </c>
      <c r="F358" t="inlineStr">
        <is>
          <t>GÄVLEBORGS LÄN</t>
        </is>
      </c>
      <c r="G358" t="inlineStr">
        <is>
          <t>OCKELBO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45330</v>
      </c>
      <c r="E359" s="1" t="n">
        <v>46288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46288</v>
      </c>
      <c r="F360" t="inlineStr">
        <is>
          <t>GÄVLEBORGS LÄN</t>
        </is>
      </c>
      <c r="G360" t="inlineStr">
        <is>
          <t>OCKELBO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46288</v>
      </c>
      <c r="F361" t="inlineStr">
        <is>
          <t>GÄVLEBORGS LÄN</t>
        </is>
      </c>
      <c r="G361" t="inlineStr">
        <is>
          <t>OCKELBO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46288</v>
      </c>
      <c r="F362" t="inlineStr">
        <is>
          <t>GÄVLEBORGS LÄN</t>
        </is>
      </c>
      <c r="G362" t="inlineStr">
        <is>
          <t>OCKELBO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46288</v>
      </c>
      <c r="F363" t="inlineStr">
        <is>
          <t>GÄVLEBORGS LÄN</t>
        </is>
      </c>
      <c r="G363" t="inlineStr">
        <is>
          <t>OCKELBO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46288</v>
      </c>
      <c r="F364" t="inlineStr">
        <is>
          <t>GÄVLEBORGS LÄN</t>
        </is>
      </c>
      <c r="G364" t="inlineStr">
        <is>
          <t>OCKELBO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46164</v>
      </c>
      <c r="E365" s="1" t="n">
        <v>46288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46288</v>
      </c>
      <c r="F366" t="inlineStr">
        <is>
          <t>GÄVLEBORGS LÄN</t>
        </is>
      </c>
      <c r="G366" t="inlineStr">
        <is>
          <t>OCKELBO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56876-2025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46288</v>
      </c>
      <c r="F367" t="inlineStr">
        <is>
          <t>GÄVLEBORGS LÄN</t>
        </is>
      </c>
      <c r="G367" t="inlineStr">
        <is>
          <t>OCKELBO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46288</v>
      </c>
      <c r="F368" t="inlineStr">
        <is>
          <t>GÄVLEBORGS LÄN</t>
        </is>
      </c>
      <c r="G368" t="inlineStr">
        <is>
          <t>OCKELBO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46288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45106</v>
      </c>
      <c r="E370" s="1" t="n">
        <v>46288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46288</v>
      </c>
      <c r="F371" t="inlineStr">
        <is>
          <t>GÄVLEBORGS LÄN</t>
        </is>
      </c>
      <c r="G371" t="inlineStr">
        <is>
          <t>OCKELBO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46288</v>
      </c>
      <c r="F372" t="inlineStr">
        <is>
          <t>GÄVLEBORGS LÄN</t>
        </is>
      </c>
      <c r="G372" t="inlineStr">
        <is>
          <t>OCKELBO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46169</v>
      </c>
      <c r="E373" s="1" t="n">
        <v>46288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46288</v>
      </c>
      <c r="F374" t="inlineStr">
        <is>
          <t>GÄVLEBORGS LÄN</t>
        </is>
      </c>
      <c r="G374" t="inlineStr">
        <is>
          <t>OCKELBO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46288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46288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58299-2025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46288</v>
      </c>
      <c r="F377" t="inlineStr">
        <is>
          <t>GÄVLEBORGS LÄN</t>
        </is>
      </c>
      <c r="G377" t="inlineStr">
        <is>
          <t>OCKELBO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45986</v>
      </c>
      <c r="E378" s="1" t="n">
        <v>46288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46288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46288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46288</v>
      </c>
      <c r="F381" t="inlineStr">
        <is>
          <t>GÄVLEBORGS LÄN</t>
        </is>
      </c>
      <c r="G381" t="inlineStr">
        <is>
          <t>OCKELBO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46288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46288</v>
      </c>
      <c r="F383" t="inlineStr">
        <is>
          <t>GÄVLEBORGS LÄN</t>
        </is>
      </c>
      <c r="G383" t="inlineStr">
        <is>
          <t>OCKELBO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58727-2025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46288</v>
      </c>
      <c r="F384" t="inlineStr">
        <is>
          <t>GÄVLEBORGS LÄN</t>
        </is>
      </c>
      <c r="G384" t="inlineStr">
        <is>
          <t>OCKELBO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46288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45674</v>
      </c>
      <c r="E386" s="1" t="n">
        <v>46288</v>
      </c>
      <c r="F386" t="inlineStr">
        <is>
          <t>GÄVLEBORGS LÄN</t>
        </is>
      </c>
      <c r="G386" t="inlineStr">
        <is>
          <t>OCKELBO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46288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46288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46288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46288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46288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45258</v>
      </c>
      <c r="E392" s="1" t="n">
        <v>46288</v>
      </c>
      <c r="F392" t="inlineStr">
        <is>
          <t>GÄVLEBORGS LÄN</t>
        </is>
      </c>
      <c r="G392" t="inlineStr">
        <is>
          <t>OCKELBO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46288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46288</v>
      </c>
      <c r="F394" t="inlineStr">
        <is>
          <t>GÄVLEBORGS LÄN</t>
        </is>
      </c>
      <c r="G394" t="inlineStr">
        <is>
          <t>OCKELBO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46023</v>
      </c>
      <c r="E395" s="1" t="n">
        <v>46288</v>
      </c>
      <c r="F395" t="inlineStr">
        <is>
          <t>GÄVLEBORGS LÄN</t>
        </is>
      </c>
      <c r="G395" t="inlineStr">
        <is>
          <t>OCKELBO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46288</v>
      </c>
      <c r="F396" t="inlineStr">
        <is>
          <t>GÄVLEBORGS LÄN</t>
        </is>
      </c>
      <c r="G396" t="inlineStr">
        <is>
          <t>OCKELBO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60527-2025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45995</v>
      </c>
      <c r="E397" s="1" t="n">
        <v>46288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46288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60183-2025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45994</v>
      </c>
      <c r="E399" s="1" t="n">
        <v>46288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65259-2023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45291</v>
      </c>
      <c r="E400" s="1" t="n">
        <v>46288</v>
      </c>
      <c r="F400" t="inlineStr">
        <is>
          <t>GÄVLEBORGS LÄN</t>
        </is>
      </c>
      <c r="G400" t="inlineStr">
        <is>
          <t>OCKELBO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54944-2025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45967</v>
      </c>
      <c r="E401" s="1" t="n">
        <v>46288</v>
      </c>
      <c r="F401" t="inlineStr">
        <is>
          <t>GÄVLEBORGS LÄN</t>
        </is>
      </c>
      <c r="G401" t="inlineStr">
        <is>
          <t>OCKELBO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46288</v>
      </c>
      <c r="F402" t="inlineStr">
        <is>
          <t>GÄVLEBORGS LÄN</t>
        </is>
      </c>
      <c r="G402" t="inlineStr">
        <is>
          <t>OCKELBO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56352-2024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45624</v>
      </c>
      <c r="E403" s="1" t="n">
        <v>46288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46288</v>
      </c>
      <c r="F404" t="inlineStr">
        <is>
          <t>GÄVLEBORGS LÄN</t>
        </is>
      </c>
      <c r="G404" t="inlineStr">
        <is>
          <t>OCKELBO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45996</v>
      </c>
      <c r="E405" s="1" t="n">
        <v>46288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46288</v>
      </c>
      <c r="F406" t="inlineStr">
        <is>
          <t>GÄVLEBORGS LÄN</t>
        </is>
      </c>
      <c r="G406" t="inlineStr">
        <is>
          <t>OCKELBO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46000</v>
      </c>
      <c r="E407" s="1" t="n">
        <v>46288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39430-2024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45551</v>
      </c>
      <c r="E408" s="1" t="n">
        <v>46288</v>
      </c>
      <c r="F408" t="inlineStr">
        <is>
          <t>GÄVLEBORGS LÄN</t>
        </is>
      </c>
      <c r="G408" t="inlineStr">
        <is>
          <t>OCKELBO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46288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46288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62196-2025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46006</v>
      </c>
      <c r="E411" s="1" t="n">
        <v>46288</v>
      </c>
      <c r="F411" t="inlineStr">
        <is>
          <t>GÄVLEBORGS LÄN</t>
        </is>
      </c>
      <c r="G411" t="inlineStr">
        <is>
          <t>OCKELBO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45989</v>
      </c>
      <c r="E412" s="1" t="n">
        <v>46288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46288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46288</v>
      </c>
      <c r="F414" t="inlineStr">
        <is>
          <t>GÄVLEBORGS LÄN</t>
        </is>
      </c>
      <c r="G414" t="inlineStr">
        <is>
          <t>OCKELBO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46288</v>
      </c>
      <c r="F415" t="inlineStr">
        <is>
          <t>GÄVLEBORGS LÄN</t>
        </is>
      </c>
      <c r="G415" t="inlineStr">
        <is>
          <t>OCKELBO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45649</v>
      </c>
      <c r="E416" s="1" t="n">
        <v>46288</v>
      </c>
      <c r="F416" t="inlineStr">
        <is>
          <t>GÄVLEBORGS LÄN</t>
        </is>
      </c>
      <c r="G416" t="inlineStr">
        <is>
          <t>OCKELBO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46013</v>
      </c>
      <c r="E417" s="1" t="n">
        <v>46288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46288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25525-2026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46177</v>
      </c>
      <c r="E419" s="1" t="n">
        <v>46288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9.4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63224-2025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46010</v>
      </c>
      <c r="E420" s="1" t="n">
        <v>46288</v>
      </c>
      <c r="F420" t="inlineStr">
        <is>
          <t>GÄVLEBORGS LÄN</t>
        </is>
      </c>
      <c r="G420" t="inlineStr">
        <is>
          <t>OCKELBO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46177</v>
      </c>
      <c r="E421" s="1" t="n">
        <v>46288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46288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63616-2025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46014</v>
      </c>
      <c r="E423" s="1" t="n">
        <v>46288</v>
      </c>
      <c r="F423" t="inlineStr">
        <is>
          <t>GÄVLEBORGS LÄN</t>
        </is>
      </c>
      <c r="G423" t="inlineStr">
        <is>
          <t>OCKELBO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64006-2025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46021</v>
      </c>
      <c r="E424" s="1" t="n">
        <v>46288</v>
      </c>
      <c r="F424" t="inlineStr">
        <is>
          <t>GÄVLEBORGS LÄN</t>
        </is>
      </c>
      <c r="G424" t="inlineStr">
        <is>
          <t>OCKELBO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50197-2024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46288</v>
      </c>
      <c r="F425" t="inlineStr">
        <is>
          <t>GÄVLEBORGS LÄN</t>
        </is>
      </c>
      <c r="G425" t="inlineStr">
        <is>
          <t>OCKELBO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46156</v>
      </c>
      <c r="E426" s="1" t="n">
        <v>46288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46288</v>
      </c>
      <c r="F427" t="inlineStr">
        <is>
          <t>GÄVLEBORGS LÄN</t>
        </is>
      </c>
      <c r="G427" t="inlineStr">
        <is>
          <t>OCKELBO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46288</v>
      </c>
      <c r="F428" t="inlineStr">
        <is>
          <t>GÄVLEBORGS LÄN</t>
        </is>
      </c>
      <c r="G428" t="inlineStr">
        <is>
          <t>OCKELBO</t>
        </is>
      </c>
      <c r="I428" t="n">
        <v>16.2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46288</v>
      </c>
      <c r="F429" t="inlineStr">
        <is>
          <t>GÄVLEBORGS LÄN</t>
        </is>
      </c>
      <c r="G429" t="inlineStr">
        <is>
          <t>OCKELBO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46027</v>
      </c>
      <c r="E430" s="1" t="n">
        <v>46288</v>
      </c>
      <c r="F430" t="inlineStr">
        <is>
          <t>GÄVLEBORGS LÄN</t>
        </is>
      </c>
      <c r="G430" t="inlineStr">
        <is>
          <t>OCKELBO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46027</v>
      </c>
      <c r="E431" s="1" t="n">
        <v>46288</v>
      </c>
      <c r="F431" t="inlineStr">
        <is>
          <t>GÄVLEBORGS LÄN</t>
        </is>
      </c>
      <c r="G431" t="inlineStr">
        <is>
          <t>OCKELBO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46024</v>
      </c>
      <c r="E432" s="1" t="n">
        <v>46288</v>
      </c>
      <c r="F432" t="inlineStr">
        <is>
          <t>GÄVLEBORGS LÄN</t>
        </is>
      </c>
      <c r="G432" t="inlineStr">
        <is>
          <t>OCKELBO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46027</v>
      </c>
      <c r="E433" s="1" t="n">
        <v>46288</v>
      </c>
      <c r="F433" t="inlineStr">
        <is>
          <t>GÄVLEBORGS LÄN</t>
        </is>
      </c>
      <c r="G433" t="inlineStr">
        <is>
          <t>OCKELBO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46288</v>
      </c>
      <c r="F434" t="inlineStr">
        <is>
          <t>GÄVLEBORGS LÄN</t>
        </is>
      </c>
      <c r="G434" t="inlineStr">
        <is>
          <t>OCKELBO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46028</v>
      </c>
      <c r="E435" s="1" t="n">
        <v>46288</v>
      </c>
      <c r="F435" t="inlineStr">
        <is>
          <t>GÄVLEBORGS LÄN</t>
        </is>
      </c>
      <c r="G435" t="inlineStr">
        <is>
          <t>OCKELBO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46028</v>
      </c>
      <c r="E436" s="1" t="n">
        <v>46288</v>
      </c>
      <c r="F436" t="inlineStr">
        <is>
          <t>GÄVLEBORGS LÄN</t>
        </is>
      </c>
      <c r="G436" t="inlineStr">
        <is>
          <t>OCKELBO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46288</v>
      </c>
      <c r="F437" t="inlineStr">
        <is>
          <t>GÄVLEBORGS LÄN</t>
        </is>
      </c>
      <c r="G437" t="inlineStr">
        <is>
          <t>OCKELBO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46024</v>
      </c>
      <c r="E438" s="1" t="n">
        <v>46288</v>
      </c>
      <c r="F438" t="inlineStr">
        <is>
          <t>GÄVLEBORGS LÄN</t>
        </is>
      </c>
      <c r="G438" t="inlineStr">
        <is>
          <t>OCKELBO</t>
        </is>
      </c>
      <c r="I438" t="n">
        <v>12.9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46288</v>
      </c>
      <c r="F439" t="inlineStr">
        <is>
          <t>GÄVLEBORGS LÄN</t>
        </is>
      </c>
      <c r="G439" t="inlineStr">
        <is>
          <t>OCKELBO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46288</v>
      </c>
      <c r="F440" t="inlineStr">
        <is>
          <t>GÄVLEBORGS LÄN</t>
        </is>
      </c>
      <c r="G440" t="inlineStr">
        <is>
          <t>OCKELBO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46288</v>
      </c>
      <c r="F441" t="inlineStr">
        <is>
          <t>GÄVLEBORGS LÄN</t>
        </is>
      </c>
      <c r="G441" t="inlineStr">
        <is>
          <t>OCKELBO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26131-2026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46181</v>
      </c>
      <c r="E442" s="1" t="n">
        <v>46288</v>
      </c>
      <c r="F442" t="inlineStr">
        <is>
          <t>GÄVLEBORGS LÄN</t>
        </is>
      </c>
      <c r="G442" t="inlineStr">
        <is>
          <t>OCKELBO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46031</v>
      </c>
      <c r="E443" s="1" t="n">
        <v>46288</v>
      </c>
      <c r="F443" t="inlineStr">
        <is>
          <t>GÄVLEBORGS LÄN</t>
        </is>
      </c>
      <c r="G443" t="inlineStr">
        <is>
          <t>OCKELBO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46288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46288</v>
      </c>
      <c r="F445" t="inlineStr">
        <is>
          <t>GÄVLEBORGS LÄN</t>
        </is>
      </c>
      <c r="G445" t="inlineStr">
        <is>
          <t>OCKELBO</t>
        </is>
      </c>
      <c r="I445" t="n">
        <v>9.4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46033</v>
      </c>
      <c r="E446" s="1" t="n">
        <v>46288</v>
      </c>
      <c r="F446" t="inlineStr">
        <is>
          <t>GÄVLEBORGS LÄN</t>
        </is>
      </c>
      <c r="G446" t="inlineStr">
        <is>
          <t>OCKELBO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46035</v>
      </c>
      <c r="E447" s="1" t="n">
        <v>46288</v>
      </c>
      <c r="F447" t="inlineStr">
        <is>
          <t>GÄVLEBORGS LÄN</t>
        </is>
      </c>
      <c r="G447" t="inlineStr">
        <is>
          <t>OCKELBO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46288</v>
      </c>
      <c r="F448" t="inlineStr">
        <is>
          <t>GÄVLEBORGS LÄN</t>
        </is>
      </c>
      <c r="G448" t="inlineStr">
        <is>
          <t>OCKELBO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46288</v>
      </c>
      <c r="F449" t="inlineStr">
        <is>
          <t>GÄVLEBORGS LÄN</t>
        </is>
      </c>
      <c r="G449" t="inlineStr">
        <is>
          <t>OCKELBO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45455</v>
      </c>
      <c r="E450" s="1" t="n">
        <v>46288</v>
      </c>
      <c r="F450" t="inlineStr">
        <is>
          <t>GÄVLEBORGS LÄN</t>
        </is>
      </c>
      <c r="G450" t="inlineStr">
        <is>
          <t>OCKELBO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46288</v>
      </c>
      <c r="F451" t="inlineStr">
        <is>
          <t>GÄVLEBORGS LÄN</t>
        </is>
      </c>
      <c r="G451" t="inlineStr">
        <is>
          <t>OCKELBO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46288</v>
      </c>
      <c r="F452" t="inlineStr">
        <is>
          <t>GÄVLEBORGS LÄN</t>
        </is>
      </c>
      <c r="G452" t="inlineStr">
        <is>
          <t>OCKELBO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46288</v>
      </c>
      <c r="F453" t="inlineStr">
        <is>
          <t>GÄVLEBORGS LÄN</t>
        </is>
      </c>
      <c r="G453" t="inlineStr">
        <is>
          <t>OCKELBO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46288</v>
      </c>
      <c r="F454" t="inlineStr">
        <is>
          <t>GÄVLEBORGS LÄN</t>
        </is>
      </c>
      <c r="G454" t="inlineStr">
        <is>
          <t>OCKELBO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46288</v>
      </c>
      <c r="F455" t="inlineStr">
        <is>
          <t>GÄVLEBORGS LÄN</t>
        </is>
      </c>
      <c r="G455" t="inlineStr">
        <is>
          <t>OCKELBO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46288</v>
      </c>
      <c r="F456" t="inlineStr">
        <is>
          <t>GÄVLEBORGS LÄN</t>
        </is>
      </c>
      <c r="G456" t="inlineStr">
        <is>
          <t>OCKELBO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46288</v>
      </c>
      <c r="F457" t="inlineStr">
        <is>
          <t>GÄVLEBORGS LÄN</t>
        </is>
      </c>
      <c r="G457" t="inlineStr">
        <is>
          <t>OCKELBO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46288</v>
      </c>
      <c r="F458" t="inlineStr">
        <is>
          <t>GÄVLEBORGS LÄN</t>
        </is>
      </c>
      <c r="G458" t="inlineStr">
        <is>
          <t>OCKELBO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46288</v>
      </c>
      <c r="F459" t="inlineStr">
        <is>
          <t>GÄVLEBORGS LÄN</t>
        </is>
      </c>
      <c r="G459" t="inlineStr">
        <is>
          <t>OCKELBO</t>
        </is>
      </c>
      <c r="I459" t="n">
        <v>16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46288</v>
      </c>
      <c r="F460" t="inlineStr">
        <is>
          <t>GÄVLEBORGS LÄN</t>
        </is>
      </c>
      <c r="G460" t="inlineStr">
        <is>
          <t>OCKELBO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46288</v>
      </c>
      <c r="F461" t="inlineStr">
        <is>
          <t>GÄVLEBORGS LÄN</t>
        </is>
      </c>
      <c r="G461" t="inlineStr">
        <is>
          <t>OCKELBO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27231-2026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46288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46288</v>
      </c>
      <c r="F463" t="inlineStr">
        <is>
          <t>GÄVLEBORGS LÄN</t>
        </is>
      </c>
      <c r="G463" t="inlineStr">
        <is>
          <t>OCKELBO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46288</v>
      </c>
      <c r="F464" t="inlineStr">
        <is>
          <t>GÄVLEBORGS LÄN</t>
        </is>
      </c>
      <c r="G464" t="inlineStr">
        <is>
          <t>OCKELBO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46038</v>
      </c>
      <c r="E465" s="1" t="n">
        <v>46288</v>
      </c>
      <c r="F465" t="inlineStr">
        <is>
          <t>GÄVLEBORGS LÄN</t>
        </is>
      </c>
      <c r="G465" t="inlineStr">
        <is>
          <t>OCKELBO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46288</v>
      </c>
      <c r="F466" t="inlineStr">
        <is>
          <t>GÄVLEBORGS LÄN</t>
        </is>
      </c>
      <c r="G466" t="inlineStr">
        <is>
          <t>OCKELBO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46288</v>
      </c>
      <c r="F467" t="inlineStr">
        <is>
          <t>GÄVLEBORGS LÄN</t>
        </is>
      </c>
      <c r="G467" t="inlineStr">
        <is>
          <t>OCKELBO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46288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12.8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54817-2022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44883</v>
      </c>
      <c r="E469" s="1" t="n">
        <v>46288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26924-2026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46288</v>
      </c>
      <c r="F470" t="inlineStr">
        <is>
          <t>GÄVLEBORGS LÄN</t>
        </is>
      </c>
      <c r="G470" t="inlineStr">
        <is>
          <t>OCKELBO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46288</v>
      </c>
      <c r="F471" t="inlineStr">
        <is>
          <t>GÄVLEBORGS LÄN</t>
        </is>
      </c>
      <c r="G471" t="inlineStr">
        <is>
          <t>OCKELBO</t>
        </is>
      </c>
      <c r="I471" t="n">
        <v>14.6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46288</v>
      </c>
      <c r="F472" t="inlineStr">
        <is>
          <t>GÄVLEBORGS LÄN</t>
        </is>
      </c>
      <c r="G472" t="inlineStr">
        <is>
          <t>OCKELBO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46288</v>
      </c>
      <c r="F473" t="inlineStr">
        <is>
          <t>GÄVLEBORGS LÄN</t>
        </is>
      </c>
      <c r="G473" t="inlineStr">
        <is>
          <t>OCKELBO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46288</v>
      </c>
      <c r="F474" t="inlineStr">
        <is>
          <t>GÄVLEBORGS LÄN</t>
        </is>
      </c>
      <c r="G474" t="inlineStr">
        <is>
          <t>OCKELBO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46288</v>
      </c>
      <c r="F475" t="inlineStr">
        <is>
          <t>GÄVLEBORGS LÄN</t>
        </is>
      </c>
      <c r="G475" t="inlineStr">
        <is>
          <t>OCKELBO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57614-2025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45981</v>
      </c>
      <c r="E476" s="1" t="n">
        <v>46288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46288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46288</v>
      </c>
      <c r="F478" t="inlineStr">
        <is>
          <t>GÄVLEBORGS LÄN</t>
        </is>
      </c>
      <c r="G478" t="inlineStr">
        <is>
          <t>OCKELBO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46044</v>
      </c>
      <c r="E479" s="1" t="n">
        <v>46288</v>
      </c>
      <c r="F479" t="inlineStr">
        <is>
          <t>GÄVLEBORGS LÄN</t>
        </is>
      </c>
      <c r="G479" t="inlineStr">
        <is>
          <t>OCKELBO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46045</v>
      </c>
      <c r="E480" s="1" t="n">
        <v>46288</v>
      </c>
      <c r="F480" t="inlineStr">
        <is>
          <t>GÄVLEBORGS LÄN</t>
        </is>
      </c>
      <c r="G480" t="inlineStr">
        <is>
          <t>OCKELBO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46076</v>
      </c>
      <c r="E481" s="1" t="n">
        <v>46288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46288</v>
      </c>
      <c r="F482" t="inlineStr">
        <is>
          <t>GÄVLEBORGS LÄN</t>
        </is>
      </c>
      <c r="G482" t="inlineStr">
        <is>
          <t>OCKELBO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27623-2026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46288</v>
      </c>
      <c r="F483" t="inlineStr">
        <is>
          <t>GÄVLEBORGS LÄN</t>
        </is>
      </c>
      <c r="G483" t="inlineStr">
        <is>
          <t>OCKELBO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46288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46288</v>
      </c>
      <c r="F485" t="inlineStr">
        <is>
          <t>GÄVLEBORGS LÄN</t>
        </is>
      </c>
      <c r="G485" t="inlineStr">
        <is>
          <t>OCKELBO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53702-2024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45615</v>
      </c>
      <c r="E486" s="1" t="n">
        <v>46288</v>
      </c>
      <c r="F486" t="inlineStr">
        <is>
          <t>GÄVLEBORGS LÄN</t>
        </is>
      </c>
      <c r="G486" t="inlineStr">
        <is>
          <t>OCKELBO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46189</v>
      </c>
      <c r="E487" s="1" t="n">
        <v>46288</v>
      </c>
      <c r="F487" t="inlineStr">
        <is>
          <t>GÄVLEBORGS LÄN</t>
        </is>
      </c>
      <c r="G487" t="inlineStr">
        <is>
          <t>OCKELBO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46288</v>
      </c>
      <c r="F488" t="inlineStr">
        <is>
          <t>GÄVLEBORGS LÄN</t>
        </is>
      </c>
      <c r="G488" t="inlineStr">
        <is>
          <t>OCKELBO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46288</v>
      </c>
      <c r="F489" t="inlineStr">
        <is>
          <t>GÄVLEBORGS LÄN</t>
        </is>
      </c>
      <c r="G489" t="inlineStr">
        <is>
          <t>OCKELBO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46038</v>
      </c>
      <c r="E490" s="1" t="n">
        <v>46288</v>
      </c>
      <c r="F490" t="inlineStr">
        <is>
          <t>GÄVLEBORGS LÄN</t>
        </is>
      </c>
      <c r="G490" t="inlineStr">
        <is>
          <t>OCKELBO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46288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27379-2026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46288</v>
      </c>
      <c r="F492" t="inlineStr">
        <is>
          <t>GÄVLEBORGS LÄN</t>
        </is>
      </c>
      <c r="G492" t="inlineStr">
        <is>
          <t>OCKELBO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27382-2026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46288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46288</v>
      </c>
      <c r="F494" t="inlineStr">
        <is>
          <t>GÄVLEBORGS LÄN</t>
        </is>
      </c>
      <c r="G494" t="inlineStr">
        <is>
          <t>OCKELBO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46288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46288</v>
      </c>
      <c r="F496" t="inlineStr">
        <is>
          <t>GÄVLEBORGS LÄN</t>
        </is>
      </c>
      <c r="G496" t="inlineStr">
        <is>
          <t>OCKELBO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46288</v>
      </c>
      <c r="F497" t="inlineStr">
        <is>
          <t>GÄVLEBORGS LÄN</t>
        </is>
      </c>
      <c r="G497" t="inlineStr">
        <is>
          <t>OCKELBO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46288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46051</v>
      </c>
      <c r="E499" s="1" t="n">
        <v>46288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46288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40196-2024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45554</v>
      </c>
      <c r="E501" s="1" t="n">
        <v>46288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46051</v>
      </c>
      <c r="E502" s="1" t="n">
        <v>46288</v>
      </c>
      <c r="F502" t="inlineStr">
        <is>
          <t>GÄVLEBORGS LÄN</t>
        </is>
      </c>
      <c r="G502" t="inlineStr">
        <is>
          <t>OCKELBO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46288</v>
      </c>
      <c r="F503" t="inlineStr">
        <is>
          <t>GÄVLEBORGS LÄN</t>
        </is>
      </c>
      <c r="G503" t="inlineStr">
        <is>
          <t>OCKELBO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46288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46053</v>
      </c>
      <c r="E505" s="1" t="n">
        <v>46288</v>
      </c>
      <c r="F505" t="inlineStr">
        <is>
          <t>GÄVLEBORGS LÄN</t>
        </is>
      </c>
      <c r="G505" t="inlineStr">
        <is>
          <t>OCKELBO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46288</v>
      </c>
      <c r="F506" t="inlineStr">
        <is>
          <t>GÄVLEBORGS LÄN</t>
        </is>
      </c>
      <c r="G506" t="inlineStr">
        <is>
          <t>OCKELBO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46288</v>
      </c>
      <c r="F507" t="inlineStr">
        <is>
          <t>GÄVLEBORGS LÄN</t>
        </is>
      </c>
      <c r="G507" t="inlineStr">
        <is>
          <t>OCKELBO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46288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46288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54977-2024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45620</v>
      </c>
      <c r="E510" s="1" t="n">
        <v>46288</v>
      </c>
      <c r="F510" t="inlineStr">
        <is>
          <t>GÄVLEBORGS LÄN</t>
        </is>
      </c>
      <c r="G510" t="inlineStr">
        <is>
          <t>OCKELBO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46288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46288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45203</v>
      </c>
      <c r="E513" s="1" t="n">
        <v>46288</v>
      </c>
      <c r="F513" t="inlineStr">
        <is>
          <t>GÄVLEBORGS LÄN</t>
        </is>
      </c>
      <c r="G513" t="inlineStr">
        <is>
          <t>OCKELBO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46288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9.4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46288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46288</v>
      </c>
      <c r="F516" t="inlineStr">
        <is>
          <t>GÄVLEBORGS LÄN</t>
        </is>
      </c>
      <c r="G516" t="inlineStr">
        <is>
          <t>OCKELBO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46057</v>
      </c>
      <c r="E517" s="1" t="n">
        <v>46288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6698-2026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46288</v>
      </c>
      <c r="F518" t="inlineStr">
        <is>
          <t>GÄVLEBORGS LÄN</t>
        </is>
      </c>
      <c r="G518" t="inlineStr">
        <is>
          <t>OCKELBO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46288</v>
      </c>
      <c r="F519" t="inlineStr">
        <is>
          <t>GÄVLEBORGS LÄN</t>
        </is>
      </c>
      <c r="G519" t="inlineStr">
        <is>
          <t>OCKELBO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46288</v>
      </c>
      <c r="F520" t="inlineStr">
        <is>
          <t>GÄVLEBORGS LÄN</t>
        </is>
      </c>
      <c r="G520" t="inlineStr">
        <is>
          <t>OCKELBO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46288</v>
      </c>
      <c r="F521" t="inlineStr">
        <is>
          <t>GÄVLEBORGS LÄN</t>
        </is>
      </c>
      <c r="G521" t="inlineStr">
        <is>
          <t>OCKELBO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46288</v>
      </c>
      <c r="F522" t="inlineStr">
        <is>
          <t>GÄVLEBORGS LÄN</t>
        </is>
      </c>
      <c r="G522" t="inlineStr">
        <is>
          <t>OCKELBO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46288</v>
      </c>
      <c r="F523" t="inlineStr">
        <is>
          <t>GÄVLEBORGS LÄN</t>
        </is>
      </c>
      <c r="G523" t="inlineStr">
        <is>
          <t>OCKELBO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46059</v>
      </c>
      <c r="E524" s="1" t="n">
        <v>46288</v>
      </c>
      <c r="F524" t="inlineStr">
        <is>
          <t>GÄVLEBORGS LÄN</t>
        </is>
      </c>
      <c r="G524" t="inlineStr">
        <is>
          <t>OCKELBO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46288</v>
      </c>
      <c r="F525" t="inlineStr">
        <is>
          <t>GÄVLEBORGS LÄN</t>
        </is>
      </c>
      <c r="G525" t="inlineStr">
        <is>
          <t>OCKELBO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7769-2026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46062</v>
      </c>
      <c r="E526" s="1" t="n">
        <v>46288</v>
      </c>
      <c r="F526" t="inlineStr">
        <is>
          <t>GÄVLEBORGS LÄN</t>
        </is>
      </c>
      <c r="G526" t="inlineStr">
        <is>
          <t>OCKELBO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7639-2026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46062</v>
      </c>
      <c r="E527" s="1" t="n">
        <v>46288</v>
      </c>
      <c r="F527" t="inlineStr">
        <is>
          <t>GÄVLEBORGS LÄN</t>
        </is>
      </c>
      <c r="G527" t="inlineStr">
        <is>
          <t>OCKELBO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46288</v>
      </c>
      <c r="F528" t="inlineStr">
        <is>
          <t>GÄVLEBORGS LÄN</t>
        </is>
      </c>
      <c r="G528" t="inlineStr">
        <is>
          <t>OCKELBO</t>
        </is>
      </c>
      <c r="H528" t="inlineStr">
        <is>
          <t>Kyrkan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8402-2026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46065</v>
      </c>
      <c r="E529" s="1" t="n">
        <v>46288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46064</v>
      </c>
      <c r="E530" s="1" t="n">
        <v>46288</v>
      </c>
      <c r="F530" t="inlineStr">
        <is>
          <t>GÄVLEBORGS LÄN</t>
        </is>
      </c>
      <c r="G530" t="inlineStr">
        <is>
          <t>OCKELBO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8351-2026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46288</v>
      </c>
      <c r="F531" t="inlineStr">
        <is>
          <t>GÄVLEBORGS LÄN</t>
        </is>
      </c>
      <c r="G531" t="inlineStr">
        <is>
          <t>OCKELBO</t>
        </is>
      </c>
      <c r="I531" t="n">
        <v>17.4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8429-2026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46065</v>
      </c>
      <c r="E532" s="1" t="n">
        <v>46288</v>
      </c>
      <c r="F532" t="inlineStr">
        <is>
          <t>GÄVLEBORGS LÄN</t>
        </is>
      </c>
      <c r="G532" t="inlineStr">
        <is>
          <t>OCKELBO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8354-2026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46288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14937-2024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45398</v>
      </c>
      <c r="E534" s="1" t="n">
        <v>46288</v>
      </c>
      <c r="F534" t="inlineStr">
        <is>
          <t>GÄVLEBORGS LÄN</t>
        </is>
      </c>
      <c r="G534" t="inlineStr">
        <is>
          <t>OCKELBO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33880-2023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45134</v>
      </c>
      <c r="E535" s="1" t="n">
        <v>46288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33881-2023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45134</v>
      </c>
      <c r="E536" s="1" t="n">
        <v>46288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46288</v>
      </c>
      <c r="F537" t="inlineStr">
        <is>
          <t>GÄVLEBORGS LÄN</t>
        </is>
      </c>
      <c r="G537" t="inlineStr">
        <is>
          <t>OCKELBO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28725-2026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46288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46288</v>
      </c>
      <c r="F539" t="inlineStr">
        <is>
          <t>GÄVLEBORGS LÄN</t>
        </is>
      </c>
      <c r="G539" t="inlineStr">
        <is>
          <t>OCKELBO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46288</v>
      </c>
      <c r="F540" t="inlineStr">
        <is>
          <t>GÄVLEBORGS LÄN</t>
        </is>
      </c>
      <c r="G540" t="inlineStr">
        <is>
          <t>OCKELBO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8933-2026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46069</v>
      </c>
      <c r="E541" s="1" t="n">
        <v>46288</v>
      </c>
      <c r="F541" t="inlineStr">
        <is>
          <t>GÄVLEBORGS LÄN</t>
        </is>
      </c>
      <c r="G541" t="inlineStr">
        <is>
          <t>OCKELBO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9464-2026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46288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46288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46288</v>
      </c>
      <c r="F544" t="inlineStr">
        <is>
          <t>GÄVLEBORGS LÄN</t>
        </is>
      </c>
      <c r="G544" t="inlineStr">
        <is>
          <t>OCKELBO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9416-2026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46071</v>
      </c>
      <c r="E545" s="1" t="n">
        <v>46288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46288</v>
      </c>
      <c r="F546" t="inlineStr">
        <is>
          <t>GÄVLEBORGS LÄN</t>
        </is>
      </c>
      <c r="G546" t="inlineStr">
        <is>
          <t>OCKELBO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9557-2026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46288</v>
      </c>
      <c r="F547" t="inlineStr">
        <is>
          <t>GÄVLEBORGS LÄN</t>
        </is>
      </c>
      <c r="G547" t="inlineStr">
        <is>
          <t>OCKELBO</t>
        </is>
      </c>
      <c r="I547" t="n">
        <v>10.4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46071</v>
      </c>
      <c r="E548" s="1" t="n">
        <v>46288</v>
      </c>
      <c r="F548" t="inlineStr">
        <is>
          <t>GÄVLEBORGS LÄN</t>
        </is>
      </c>
      <c r="G548" t="inlineStr">
        <is>
          <t>OCKELBO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9505-2026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46071</v>
      </c>
      <c r="E549" s="1" t="n">
        <v>46288</v>
      </c>
      <c r="F549" t="inlineStr">
        <is>
          <t>GÄVLEBORGS LÄN</t>
        </is>
      </c>
      <c r="G549" t="inlineStr">
        <is>
          <t>OCKELBO</t>
        </is>
      </c>
      <c r="I549" t="n">
        <v>8.1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44281-2022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44839</v>
      </c>
      <c r="E550" s="1" t="n">
        <v>46288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46288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46031</v>
      </c>
      <c r="E552" s="1" t="n">
        <v>46288</v>
      </c>
      <c r="F552" t="inlineStr">
        <is>
          <t>GÄVLEBORGS LÄN</t>
        </is>
      </c>
      <c r="G552" t="inlineStr">
        <is>
          <t>OCKELBO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46288</v>
      </c>
      <c r="F553" t="inlineStr">
        <is>
          <t>GÄVLEBORGS LÄN</t>
        </is>
      </c>
      <c r="G553" t="inlineStr">
        <is>
          <t>OCKELBO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9681-2026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46288</v>
      </c>
      <c r="F554" t="inlineStr">
        <is>
          <t>GÄVLEBORGS LÄN</t>
        </is>
      </c>
      <c r="G554" t="inlineStr">
        <is>
          <t>OCKELBO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46288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46288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9997-2026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46073</v>
      </c>
      <c r="E557" s="1" t="n">
        <v>46288</v>
      </c>
      <c r="F557" t="inlineStr">
        <is>
          <t>GÄVLEBORGS LÄN</t>
        </is>
      </c>
      <c r="G557" t="inlineStr">
        <is>
          <t>OCKELBO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10501-2026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46077</v>
      </c>
      <c r="E558" s="1" t="n">
        <v>46288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46288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46077</v>
      </c>
      <c r="E560" s="1" t="n">
        <v>46288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öst AB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10454-2026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46077</v>
      </c>
      <c r="E561" s="1" t="n">
        <v>46288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10456-2026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46077</v>
      </c>
      <c r="E562" s="1" t="n">
        <v>46288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öst AB</t>
        </is>
      </c>
      <c r="I562" t="n">
        <v>45.7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29078-2026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46288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47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46288</v>
      </c>
      <c r="F564" t="inlineStr">
        <is>
          <t>GÄVLEBORGS LÄN</t>
        </is>
      </c>
      <c r="G564" t="inlineStr">
        <is>
          <t>OCKELBO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10159-2026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46288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46288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öst AB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60497-2021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44496</v>
      </c>
      <c r="E567" s="1" t="n">
        <v>46288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46288</v>
      </c>
      <c r="F568" t="inlineStr">
        <is>
          <t>GÄVLEBORGS LÄN</t>
        </is>
      </c>
      <c r="G568" t="inlineStr">
        <is>
          <t>OCKELBO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46079</v>
      </c>
      <c r="E569" s="1" t="n">
        <v>46288</v>
      </c>
      <c r="F569" t="inlineStr">
        <is>
          <t>GÄVLEBORGS LÄN</t>
        </is>
      </c>
      <c r="G569" t="inlineStr">
        <is>
          <t>OCKELBO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46288</v>
      </c>
      <c r="F570" t="inlineStr">
        <is>
          <t>GÄVLEBORGS LÄN</t>
        </is>
      </c>
      <c r="G570" t="inlineStr">
        <is>
          <t>OCKELBO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46288</v>
      </c>
      <c r="F571" t="inlineStr">
        <is>
          <t>GÄVLEBORGS LÄN</t>
        </is>
      </c>
      <c r="G571" t="inlineStr">
        <is>
          <t>OCKELBO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11300-2026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46080</v>
      </c>
      <c r="E572" s="1" t="n">
        <v>46288</v>
      </c>
      <c r="F572" t="inlineStr">
        <is>
          <t>GÄVLEBORGS LÄN</t>
        </is>
      </c>
      <c r="G572" t="inlineStr">
        <is>
          <t>OCKELBO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46079</v>
      </c>
      <c r="E573" s="1" t="n">
        <v>46288</v>
      </c>
      <c r="F573" t="inlineStr">
        <is>
          <t>GÄVLEBORGS LÄN</t>
        </is>
      </c>
      <c r="G573" t="inlineStr">
        <is>
          <t>OCKELBO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18326-2026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46126</v>
      </c>
      <c r="E574" s="1" t="n">
        <v>46288</v>
      </c>
      <c r="F574" t="inlineStr">
        <is>
          <t>GÄVLEBORGS LÄN</t>
        </is>
      </c>
      <c r="G574" t="inlineStr">
        <is>
          <t>OCKELBO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11496-2026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46288</v>
      </c>
      <c r="F575" t="inlineStr">
        <is>
          <t>GÄVLEBORGS LÄN</t>
        </is>
      </c>
      <c r="G575" t="inlineStr">
        <is>
          <t>OCKELBO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45699</v>
      </c>
      <c r="E576" s="1" t="n">
        <v>46288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46288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11423-2026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46288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11810-2026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46288</v>
      </c>
      <c r="F579" t="inlineStr">
        <is>
          <t>GÄVLEBORGS LÄN</t>
        </is>
      </c>
      <c r="G579" t="inlineStr">
        <is>
          <t>OCKELBO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45184</v>
      </c>
      <c r="E580" s="1" t="n">
        <v>46288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12341-2026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46087</v>
      </c>
      <c r="E581" s="1" t="n">
        <v>46288</v>
      </c>
      <c r="F581" t="inlineStr">
        <is>
          <t>GÄVLEBORGS LÄN</t>
        </is>
      </c>
      <c r="G581" t="inlineStr">
        <is>
          <t>OCKELBO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46288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46089</v>
      </c>
      <c r="E583" s="1" t="n">
        <v>46288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46288</v>
      </c>
      <c r="F584" t="inlineStr">
        <is>
          <t>GÄVLEBORGS LÄN</t>
        </is>
      </c>
      <c r="G584" t="inlineStr">
        <is>
          <t>OCKELBO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46091</v>
      </c>
      <c r="E585" s="1" t="n">
        <v>46288</v>
      </c>
      <c r="F585" t="inlineStr">
        <is>
          <t>GÄVLEBORGS LÄN</t>
        </is>
      </c>
      <c r="G585" t="inlineStr">
        <is>
          <t>OCKELBO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46288</v>
      </c>
      <c r="F586" t="inlineStr">
        <is>
          <t>GÄVLEBORGS LÄN</t>
        </is>
      </c>
      <c r="G586" t="inlineStr">
        <is>
          <t>OCKELBO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46288</v>
      </c>
      <c r="F587" t="inlineStr">
        <is>
          <t>GÄVLEBORGS LÄN</t>
        </is>
      </c>
      <c r="G587" t="inlineStr">
        <is>
          <t>OCKELBO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26481-2026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46183</v>
      </c>
      <c r="E588" s="1" t="n">
        <v>46288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14827-2026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46288</v>
      </c>
      <c r="F589" t="inlineStr">
        <is>
          <t>GÄVLEBORGS LÄN</t>
        </is>
      </c>
      <c r="G589" t="inlineStr">
        <is>
          <t>OCKELBO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46288</v>
      </c>
      <c r="F590" t="inlineStr">
        <is>
          <t>GÄVLEBORGS LÄN</t>
        </is>
      </c>
      <c r="G590" t="inlineStr">
        <is>
          <t>OCKELBO</t>
        </is>
      </c>
      <c r="H590" t="inlineStr">
        <is>
          <t>Naturvårdsverket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29611-2026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46288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46094</v>
      </c>
      <c r="E592" s="1" t="n">
        <v>46288</v>
      </c>
      <c r="F592" t="inlineStr">
        <is>
          <t>GÄVLEBORGS LÄN</t>
        </is>
      </c>
      <c r="G592" t="inlineStr">
        <is>
          <t>OCKELBO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46288</v>
      </c>
      <c r="F593" t="inlineStr">
        <is>
          <t>GÄVLEBORGS LÄN</t>
        </is>
      </c>
      <c r="G593" t="inlineStr">
        <is>
          <t>OCKELBO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13321-2026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46288</v>
      </c>
      <c r="F594" t="inlineStr">
        <is>
          <t>GÄVLEBORGS LÄN</t>
        </is>
      </c>
      <c r="G594" t="inlineStr">
        <is>
          <t>OCKELBO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46288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13162-2026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46288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46288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32123-2024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45511</v>
      </c>
      <c r="E598" s="1" t="n">
        <v>46288</v>
      </c>
      <c r="F598" t="inlineStr">
        <is>
          <t>GÄVLEBORGS LÄN</t>
        </is>
      </c>
      <c r="G598" t="inlineStr">
        <is>
          <t>OCKELBO</t>
        </is>
      </c>
      <c r="I598" t="n">
        <v>11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46098</v>
      </c>
      <c r="E599" s="1" t="n">
        <v>46288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13972-2026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46288</v>
      </c>
      <c r="F600" t="inlineStr">
        <is>
          <t>GÄVLEBORGS LÄN</t>
        </is>
      </c>
      <c r="G600" t="inlineStr">
        <is>
          <t>OCKELBO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40140-2022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44820</v>
      </c>
      <c r="E601" s="1" t="n">
        <v>46288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46288</v>
      </c>
      <c r="F602" t="inlineStr">
        <is>
          <t>GÄVLEBORGS LÄN</t>
        </is>
      </c>
      <c r="G602" t="inlineStr">
        <is>
          <t>OCKELBO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46288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13962-2026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46288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45152</v>
      </c>
      <c r="E605" s="1" t="n">
        <v>46288</v>
      </c>
      <c r="F605" t="inlineStr">
        <is>
          <t>GÄVLEBORGS LÄN</t>
        </is>
      </c>
      <c r="G605" t="inlineStr">
        <is>
          <t>OCKELBO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46097</v>
      </c>
      <c r="E606" s="1" t="n">
        <v>46288</v>
      </c>
      <c r="F606" t="inlineStr">
        <is>
          <t>GÄVLEBORGS LÄN</t>
        </is>
      </c>
      <c r="G606" t="inlineStr">
        <is>
          <t>OCKELBO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46288</v>
      </c>
      <c r="F607" t="inlineStr">
        <is>
          <t>GÄVLEBORGS LÄN</t>
        </is>
      </c>
      <c r="G607" t="inlineStr">
        <is>
          <t>OCKELBO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46288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12983-2022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44643</v>
      </c>
      <c r="E609" s="1" t="n">
        <v>46288</v>
      </c>
      <c r="F609" t="inlineStr">
        <is>
          <t>GÄVLEBORGS LÄN</t>
        </is>
      </c>
      <c r="G609" t="inlineStr">
        <is>
          <t>OCKELBO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56631-2022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44893</v>
      </c>
      <c r="E610" s="1" t="n">
        <v>46288</v>
      </c>
      <c r="F610" t="inlineStr">
        <is>
          <t>GÄVLEBORGS LÄN</t>
        </is>
      </c>
      <c r="G610" t="inlineStr">
        <is>
          <t>OCKELBO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29687-2023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46288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46288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14439-2026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46100</v>
      </c>
      <c r="E613" s="1" t="n">
        <v>46288</v>
      </c>
      <c r="F613" t="inlineStr">
        <is>
          <t>GÄVLEBORGS LÄN</t>
        </is>
      </c>
      <c r="G613" t="inlineStr">
        <is>
          <t>OCKELBO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14441-2026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46100</v>
      </c>
      <c r="E614" s="1" t="n">
        <v>46288</v>
      </c>
      <c r="F614" t="inlineStr">
        <is>
          <t>GÄVLEBORGS LÄN</t>
        </is>
      </c>
      <c r="G614" t="inlineStr">
        <is>
          <t>OCKELBO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46099</v>
      </c>
      <c r="E615" s="1" t="n">
        <v>46288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56634-2023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45243</v>
      </c>
      <c r="E616" s="1" t="n">
        <v>46288</v>
      </c>
      <c r="F616" t="inlineStr">
        <is>
          <t>GÄVLEBORGS LÄN</t>
        </is>
      </c>
      <c r="G616" t="inlineStr">
        <is>
          <t>OCKELBO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15018-2026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46104</v>
      </c>
      <c r="E617" s="1" t="n">
        <v>46288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46288</v>
      </c>
      <c r="F618" t="inlineStr">
        <is>
          <t>GÄVLEBORGS LÄN</t>
        </is>
      </c>
      <c r="G618" t="inlineStr">
        <is>
          <t>OCKELBO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46288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46288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46288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34.1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14972-2026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46104</v>
      </c>
      <c r="E622" s="1" t="n">
        <v>46288</v>
      </c>
      <c r="F622" t="inlineStr">
        <is>
          <t>GÄVLEBORGS LÄN</t>
        </is>
      </c>
      <c r="G622" t="inlineStr">
        <is>
          <t>OCKELBO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15067-2026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46104</v>
      </c>
      <c r="E623" s="1" t="n">
        <v>46288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14756-2026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46288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15042-2026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46104</v>
      </c>
      <c r="E625" s="1" t="n">
        <v>46288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1716-2025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45671</v>
      </c>
      <c r="E626" s="1" t="n">
        <v>46288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15648-2026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46288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15575-2026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46288</v>
      </c>
      <c r="F628" t="inlineStr">
        <is>
          <t>GÄVLEBORGS LÄN</t>
        </is>
      </c>
      <c r="G628" t="inlineStr">
        <is>
          <t>OCKELBO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15572-2026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46288</v>
      </c>
      <c r="F629" t="inlineStr">
        <is>
          <t>GÄVLEBORGS LÄN</t>
        </is>
      </c>
      <c r="G629" t="inlineStr">
        <is>
          <t>OCKELBO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46288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14169-2026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46288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15151-2026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46105</v>
      </c>
      <c r="E632" s="1" t="n">
        <v>46288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öst AB</t>
        </is>
      </c>
      <c r="I632" t="n">
        <v>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49207-2023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45210</v>
      </c>
      <c r="E633" s="1" t="n">
        <v>46288</v>
      </c>
      <c r="F633" t="inlineStr">
        <is>
          <t>GÄVLEBORGS LÄN</t>
        </is>
      </c>
      <c r="G633" t="inlineStr">
        <is>
          <t>OCKELBO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15678-2026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46106</v>
      </c>
      <c r="E634" s="1" t="n">
        <v>46288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15679-2026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46106</v>
      </c>
      <c r="E635" s="1" t="n">
        <v>46288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6.2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29415-2026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46203</v>
      </c>
      <c r="E636" s="1" t="n">
        <v>46288</v>
      </c>
      <c r="F636" t="inlineStr">
        <is>
          <t>GÄVLEBORGS LÄN</t>
        </is>
      </c>
      <c r="G636" t="inlineStr">
        <is>
          <t>OCKELBO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16006-2026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46108</v>
      </c>
      <c r="E637" s="1" t="n">
        <v>46288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9.699999999999999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16054-2026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46108</v>
      </c>
      <c r="E638" s="1" t="n">
        <v>46288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46111</v>
      </c>
      <c r="E639" s="1" t="n">
        <v>46288</v>
      </c>
      <c r="F639" t="inlineStr">
        <is>
          <t>GÄVLEBORGS LÄN</t>
        </is>
      </c>
      <c r="G639" t="inlineStr">
        <is>
          <t>OCKELBO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16535-2026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46288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16667-2026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46112</v>
      </c>
      <c r="E641" s="1" t="n">
        <v>46288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16481-2026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46112</v>
      </c>
      <c r="E642" s="1" t="n">
        <v>46288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16388-2026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46288</v>
      </c>
      <c r="F643" t="inlineStr">
        <is>
          <t>GÄVLEBORGS LÄN</t>
        </is>
      </c>
      <c r="G643" t="inlineStr">
        <is>
          <t>OCKELBO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48804-2024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45593</v>
      </c>
      <c r="E644" s="1" t="n">
        <v>46288</v>
      </c>
      <c r="F644" t="inlineStr">
        <is>
          <t>GÄVLEBORGS LÄN</t>
        </is>
      </c>
      <c r="G644" t="inlineStr">
        <is>
          <t>OCKELBO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46114</v>
      </c>
      <c r="E645" s="1" t="n">
        <v>46288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9.4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16991-2026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46114</v>
      </c>
      <c r="E646" s="1" t="n">
        <v>46288</v>
      </c>
      <c r="F646" t="inlineStr">
        <is>
          <t>GÄVLEBORGS LÄN</t>
        </is>
      </c>
      <c r="G646" t="inlineStr">
        <is>
          <t>OCKELBO</t>
        </is>
      </c>
      <c r="I646" t="n">
        <v>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17115-2026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46114</v>
      </c>
      <c r="E647" s="1" t="n">
        <v>46288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16989-2026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46114</v>
      </c>
      <c r="E648" s="1" t="n">
        <v>46288</v>
      </c>
      <c r="F648" t="inlineStr">
        <is>
          <t>GÄVLEBORGS LÄN</t>
        </is>
      </c>
      <c r="G648" t="inlineStr">
        <is>
          <t>OCKELBO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46288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10268-2026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46076</v>
      </c>
      <c r="E650" s="1" t="n">
        <v>46288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öst AB</t>
        </is>
      </c>
      <c r="I650" t="n">
        <v>7.7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46205</v>
      </c>
      <c r="E651" s="1" t="n">
        <v>46288</v>
      </c>
      <c r="F651" t="inlineStr">
        <is>
          <t>GÄVLEBORGS LÄN</t>
        </is>
      </c>
      <c r="G651" t="inlineStr">
        <is>
          <t>OCKELBO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10290-2026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46076</v>
      </c>
      <c r="E652" s="1" t="n">
        <v>46288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öst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10457-2026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46077</v>
      </c>
      <c r="E653" s="1" t="n">
        <v>46288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öst AB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17224-2026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46119</v>
      </c>
      <c r="E654" s="1" t="n">
        <v>46288</v>
      </c>
      <c r="F654" t="inlineStr">
        <is>
          <t>GÄVLEBORGS LÄN</t>
        </is>
      </c>
      <c r="G654" t="inlineStr">
        <is>
          <t>OCKELBO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10326-2026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46076</v>
      </c>
      <c r="E655" s="1" t="n">
        <v>46288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öst AB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46288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3034-2025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45678</v>
      </c>
      <c r="E657" s="1" t="n">
        <v>46288</v>
      </c>
      <c r="F657" t="inlineStr">
        <is>
          <t>GÄVLEBORGS LÄN</t>
        </is>
      </c>
      <c r="G657" t="inlineStr">
        <is>
          <t>OCKELBO</t>
        </is>
      </c>
      <c r="I657" t="n">
        <v>8.1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17202-2026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46118</v>
      </c>
      <c r="E658" s="1" t="n">
        <v>46288</v>
      </c>
      <c r="F658" t="inlineStr">
        <is>
          <t>GÄVLEBORGS LÄN</t>
        </is>
      </c>
      <c r="G658" t="inlineStr">
        <is>
          <t>OCKELBO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10309-2026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46076</v>
      </c>
      <c r="E659" s="1" t="n">
        <v>46288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öst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17709-2026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46121</v>
      </c>
      <c r="E660" s="1" t="n">
        <v>46288</v>
      </c>
      <c r="F660" t="inlineStr">
        <is>
          <t>GÄVLEBORGS LÄN</t>
        </is>
      </c>
      <c r="G660" t="inlineStr">
        <is>
          <t>OCKELBO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46121</v>
      </c>
      <c r="E661" s="1" t="n">
        <v>46288</v>
      </c>
      <c r="F661" t="inlineStr">
        <is>
          <t>GÄVLEBORGS LÄN</t>
        </is>
      </c>
      <c r="G661" t="inlineStr">
        <is>
          <t>OCKELBO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17600-2026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46121</v>
      </c>
      <c r="E662" s="1" t="n">
        <v>46288</v>
      </c>
      <c r="F662" t="inlineStr">
        <is>
          <t>GÄVLEBORGS LÄN</t>
        </is>
      </c>
      <c r="G662" t="inlineStr">
        <is>
          <t>OCKELBO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37438-2023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45156</v>
      </c>
      <c r="E663" s="1" t="n">
        <v>46288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46288</v>
      </c>
      <c r="F664" t="inlineStr">
        <is>
          <t>GÄVLEBORGS LÄN</t>
        </is>
      </c>
      <c r="G664" t="inlineStr">
        <is>
          <t>OCKELBO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46125</v>
      </c>
      <c r="E665" s="1" t="n">
        <v>46288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18234-2026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46126</v>
      </c>
      <c r="E666" s="1" t="n">
        <v>46288</v>
      </c>
      <c r="F666" t="inlineStr">
        <is>
          <t>GÄVLEBORGS LÄN</t>
        </is>
      </c>
      <c r="G666" t="inlineStr">
        <is>
          <t>OCKELBO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45674</v>
      </c>
      <c r="E667" s="1" t="n">
        <v>46288</v>
      </c>
      <c r="F667" t="inlineStr">
        <is>
          <t>GÄVLEBORGS LÄN</t>
        </is>
      </c>
      <c r="G667" t="inlineStr">
        <is>
          <t>OCKELBO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46126</v>
      </c>
      <c r="E668" s="1" t="n">
        <v>46288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13855-2026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46288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18426-2026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46127</v>
      </c>
      <c r="E670" s="1" t="n">
        <v>46288</v>
      </c>
      <c r="F670" t="inlineStr">
        <is>
          <t>GÄVLEBORGS LÄN</t>
        </is>
      </c>
      <c r="G670" t="inlineStr">
        <is>
          <t>OCKELBO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15255-2026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46105</v>
      </c>
      <c r="E671" s="1" t="n">
        <v>46288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18513-2026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46127</v>
      </c>
      <c r="E672" s="1" t="n">
        <v>46288</v>
      </c>
      <c r="F672" t="inlineStr">
        <is>
          <t>GÄVLEBORGS LÄN</t>
        </is>
      </c>
      <c r="G672" t="inlineStr">
        <is>
          <t>OCKELBO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46288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18705-2026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46128</v>
      </c>
      <c r="E674" s="1" t="n">
        <v>46288</v>
      </c>
      <c r="F674" t="inlineStr">
        <is>
          <t>GÄVLEBORGS LÄN</t>
        </is>
      </c>
      <c r="G674" t="inlineStr">
        <is>
          <t>OCKELBO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46288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18669-2026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46128</v>
      </c>
      <c r="E676" s="1" t="n">
        <v>46288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15581-2026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46106</v>
      </c>
      <c r="E677" s="1" t="n">
        <v>46288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öst AB</t>
        </is>
      </c>
      <c r="I677" t="n">
        <v>7.6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18457-2026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46127</v>
      </c>
      <c r="E678" s="1" t="n">
        <v>46288</v>
      </c>
      <c r="F678" t="inlineStr">
        <is>
          <t>GÄVLEBORGS LÄN</t>
        </is>
      </c>
      <c r="G678" t="inlineStr">
        <is>
          <t>OCKELBO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30031-2026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46206</v>
      </c>
      <c r="E679" s="1" t="n">
        <v>46288</v>
      </c>
      <c r="F679" t="inlineStr">
        <is>
          <t>GÄVLEBORGS LÄN</t>
        </is>
      </c>
      <c r="G679" t="inlineStr">
        <is>
          <t>OCKELBO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19213-2026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46132</v>
      </c>
      <c r="E680" s="1" t="n">
        <v>46288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19271-2026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46133</v>
      </c>
      <c r="E681" s="1" t="n">
        <v>46288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19068-2026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46132</v>
      </c>
      <c r="E682" s="1" t="n">
        <v>46288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19277-2026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46133</v>
      </c>
      <c r="E683" s="1" t="n">
        <v>46288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46132</v>
      </c>
      <c r="E684" s="1" t="n">
        <v>46288</v>
      </c>
      <c r="F684" t="inlineStr">
        <is>
          <t>GÄVLEBORGS LÄN</t>
        </is>
      </c>
      <c r="G684" t="inlineStr">
        <is>
          <t>OCKELBO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46288</v>
      </c>
      <c r="F685" t="inlineStr">
        <is>
          <t>GÄVLEBORGS LÄN</t>
        </is>
      </c>
      <c r="G685" t="inlineStr">
        <is>
          <t>OCKELBO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46288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19139-2026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46132</v>
      </c>
      <c r="E687" s="1" t="n">
        <v>46288</v>
      </c>
      <c r="F687" t="inlineStr">
        <is>
          <t>GÄVLEBORGS LÄN</t>
        </is>
      </c>
      <c r="G687" t="inlineStr">
        <is>
          <t>OCKELBO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19424-2026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46133</v>
      </c>
      <c r="E688" s="1" t="n">
        <v>46288</v>
      </c>
      <c r="F688" t="inlineStr">
        <is>
          <t>GÄVLEBORGS LÄN</t>
        </is>
      </c>
      <c r="G688" t="inlineStr">
        <is>
          <t>OCKELBO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46288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17.7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46288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19142-2026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46288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19491-2026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46134</v>
      </c>
      <c r="E692" s="1" t="n">
        <v>46288</v>
      </c>
      <c r="F692" t="inlineStr">
        <is>
          <t>GÄVLEBORGS LÄN</t>
        </is>
      </c>
      <c r="G692" t="inlineStr">
        <is>
          <t>OCKELBO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19603-2026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46134</v>
      </c>
      <c r="E693" s="1" t="n">
        <v>46288</v>
      </c>
      <c r="F693" t="inlineStr">
        <is>
          <t>GÄVLEBORGS LÄN</t>
        </is>
      </c>
      <c r="G693" t="inlineStr">
        <is>
          <t>OCKELBO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34944-2024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45527</v>
      </c>
      <c r="E694" s="1" t="n">
        <v>46288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17117-2026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46114</v>
      </c>
      <c r="E695" s="1" t="n">
        <v>46288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46288</v>
      </c>
      <c r="F696" t="inlineStr">
        <is>
          <t>GÄVLEBORGS LÄN</t>
        </is>
      </c>
      <c r="G696" t="inlineStr">
        <is>
          <t>OCKELBO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19431-2026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46133</v>
      </c>
      <c r="E697" s="1" t="n">
        <v>46288</v>
      </c>
      <c r="F697" t="inlineStr">
        <is>
          <t>GÄVLEBORGS LÄN</t>
        </is>
      </c>
      <c r="G697" t="inlineStr">
        <is>
          <t>OCKELBO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46134</v>
      </c>
      <c r="E698" s="1" t="n">
        <v>46288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32301-2022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44781</v>
      </c>
      <c r="E699" s="1" t="n">
        <v>46288</v>
      </c>
      <c r="F699" t="inlineStr">
        <is>
          <t>GÄVLEBORGS LÄN</t>
        </is>
      </c>
      <c r="G699" t="inlineStr">
        <is>
          <t>OCKELBO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29835-2026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46288</v>
      </c>
      <c r="F700" t="inlineStr">
        <is>
          <t>GÄVLEBORGS LÄN</t>
        </is>
      </c>
      <c r="G700" t="inlineStr">
        <is>
          <t>OCKELBO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61116-2023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45261</v>
      </c>
      <c r="E701" s="1" t="n">
        <v>46288</v>
      </c>
      <c r="F701" t="inlineStr">
        <is>
          <t>GÄVLEBORGS LÄN</t>
        </is>
      </c>
      <c r="G701" t="inlineStr">
        <is>
          <t>OCKELBO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46254</v>
      </c>
      <c r="E702" s="1" t="n">
        <v>46288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46288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17730-2025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45758</v>
      </c>
      <c r="E704" s="1" t="n">
        <v>46288</v>
      </c>
      <c r="F704" t="inlineStr">
        <is>
          <t>GÄVLEBORGS LÄN</t>
        </is>
      </c>
      <c r="G704" t="inlineStr">
        <is>
          <t>OCKELBO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34765-2026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46258</v>
      </c>
      <c r="E705" s="1" t="n">
        <v>46288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36362-2024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45534</v>
      </c>
      <c r="E706" s="1" t="n">
        <v>46288</v>
      </c>
      <c r="F706" t="inlineStr">
        <is>
          <t>GÄVLEBORGS LÄN</t>
        </is>
      </c>
      <c r="G706" t="inlineStr">
        <is>
          <t>OCKELBO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5558-2024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45334</v>
      </c>
      <c r="E707" s="1" t="n">
        <v>46288</v>
      </c>
      <c r="F707" t="inlineStr">
        <is>
          <t>GÄVLEBORGS LÄN</t>
        </is>
      </c>
      <c r="G707" t="inlineStr">
        <is>
          <t>OCKELBO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52335-2024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45609</v>
      </c>
      <c r="E708" s="1" t="n">
        <v>46288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46052</v>
      </c>
      <c r="E709" s="1" t="n">
        <v>46288</v>
      </c>
      <c r="F709" t="inlineStr">
        <is>
          <t>GÄVLEBORGS LÄN</t>
        </is>
      </c>
      <c r="G709" t="inlineStr">
        <is>
          <t>OCKELBO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46213</v>
      </c>
      <c r="E710" s="1" t="n">
        <v>46288</v>
      </c>
      <c r="F710" t="inlineStr">
        <is>
          <t>GÄVLEBORGS LÄN</t>
        </is>
      </c>
      <c r="G710" t="inlineStr">
        <is>
          <t>OCKELBO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15966-2023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45022</v>
      </c>
      <c r="E711" s="1" t="n">
        <v>46288</v>
      </c>
      <c r="F711" t="inlineStr">
        <is>
          <t>GÄVLEBORGS LÄN</t>
        </is>
      </c>
      <c r="G711" t="inlineStr">
        <is>
          <t>OCKELBO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45139</v>
      </c>
      <c r="E712" s="1" t="n">
        <v>46288</v>
      </c>
      <c r="F712" t="inlineStr">
        <is>
          <t>GÄVLEBORGS LÄN</t>
        </is>
      </c>
      <c r="G712" t="inlineStr">
        <is>
          <t>OCKELBO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46260</v>
      </c>
      <c r="E713" s="1" t="n">
        <v>46288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55070-2023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45237</v>
      </c>
      <c r="E714" s="1" t="n">
        <v>46288</v>
      </c>
      <c r="F714" t="inlineStr">
        <is>
          <t>GÄVLEBORGS LÄN</t>
        </is>
      </c>
      <c r="G714" t="inlineStr">
        <is>
          <t>OCKELBO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45698</v>
      </c>
      <c r="E715" s="1" t="n">
        <v>46288</v>
      </c>
      <c r="F715" t="inlineStr">
        <is>
          <t>GÄVLEBORGS LÄN</t>
        </is>
      </c>
      <c r="G715" t="inlineStr">
        <is>
          <t>OCKELBO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31277-2026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46218</v>
      </c>
      <c r="E716" s="1" t="n">
        <v>46288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11734-2025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45727</v>
      </c>
      <c r="E717" s="1" t="n">
        <v>46288</v>
      </c>
      <c r="F717" t="inlineStr">
        <is>
          <t>GÄVLEBORGS LÄN</t>
        </is>
      </c>
      <c r="G717" t="inlineStr">
        <is>
          <t>OCKELBO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9461-2026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46071</v>
      </c>
      <c r="E718" s="1" t="n">
        <v>46288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46220</v>
      </c>
      <c r="E719" s="1" t="n">
        <v>46288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13931-2026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46098</v>
      </c>
      <c r="E720" s="1" t="n">
        <v>46288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30798-2024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45497</v>
      </c>
      <c r="E721" s="1" t="n">
        <v>46288</v>
      </c>
      <c r="F721" t="inlineStr">
        <is>
          <t>GÄVLEBORGS LÄN</t>
        </is>
      </c>
      <c r="G721" t="inlineStr">
        <is>
          <t>OCKELBO</t>
        </is>
      </c>
      <c r="I721" t="n">
        <v>8.699999999999999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58156-2025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45982</v>
      </c>
      <c r="E722" s="1" t="n">
        <v>46288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36097-2026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46267</v>
      </c>
      <c r="E723" s="1" t="n">
        <v>46288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43799-2022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44838</v>
      </c>
      <c r="E724" s="1" t="n">
        <v>46288</v>
      </c>
      <c r="F724" t="inlineStr">
        <is>
          <t>GÄVLEBORGS LÄN</t>
        </is>
      </c>
      <c r="G724" t="inlineStr">
        <is>
          <t>OCKELBO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37391-2023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46288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31519-2026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46223</v>
      </c>
      <c r="E726" s="1" t="n">
        <v>46288</v>
      </c>
      <c r="F726" t="inlineStr">
        <is>
          <t>GÄVLEBORGS LÄN</t>
        </is>
      </c>
      <c r="G726" t="inlineStr">
        <is>
          <t>OCKELBO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46223</v>
      </c>
      <c r="E727" s="1" t="n">
        <v>46288</v>
      </c>
      <c r="F727" t="inlineStr">
        <is>
          <t>GÄVLEBORGS LÄN</t>
        </is>
      </c>
      <c r="G727" t="inlineStr">
        <is>
          <t>OCKELBO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31591-2026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46224</v>
      </c>
      <c r="E728" s="1" t="n">
        <v>46288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31530-2026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46223</v>
      </c>
      <c r="E729" s="1" t="n">
        <v>46288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33987-2023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46288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33879-2023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45134</v>
      </c>
      <c r="E731" s="1" t="n">
        <v>46288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31571-2026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46224</v>
      </c>
      <c r="E732" s="1" t="n">
        <v>46288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49529-2024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45596</v>
      </c>
      <c r="E733" s="1" t="n">
        <v>46288</v>
      </c>
      <c r="F733" t="inlineStr">
        <is>
          <t>GÄVLEBORGS LÄN</t>
        </is>
      </c>
      <c r="G733" t="inlineStr">
        <is>
          <t>OCKELBO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36280-2026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46268</v>
      </c>
      <c r="E734" s="1" t="n">
        <v>46288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36562-2026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46269</v>
      </c>
      <c r="E735" s="1" t="n">
        <v>46288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36467-2026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46269</v>
      </c>
      <c r="E736" s="1" t="n">
        <v>46288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56034-2023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45240</v>
      </c>
      <c r="E737" s="1" t="n">
        <v>46288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36380-2026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46268</v>
      </c>
      <c r="E738" s="1" t="n">
        <v>46288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52330-2024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45609</v>
      </c>
      <c r="E739" s="1" t="n">
        <v>46288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5.6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34449-2023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45139</v>
      </c>
      <c r="E740" s="1" t="n">
        <v>46288</v>
      </c>
      <c r="F740" t="inlineStr">
        <is>
          <t>GÄVLEBORGS LÄN</t>
        </is>
      </c>
      <c r="G740" t="inlineStr">
        <is>
          <t>OCKELBO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31804-2026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46230</v>
      </c>
      <c r="E741" s="1" t="n">
        <v>46288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37845-2024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45544</v>
      </c>
      <c r="E742" s="1" t="n">
        <v>46288</v>
      </c>
      <c r="F742" t="inlineStr">
        <is>
          <t>GÄVLEBORGS LÄN</t>
        </is>
      </c>
      <c r="G742" t="inlineStr">
        <is>
          <t>OCKELBO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31971-2026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46232</v>
      </c>
      <c r="E743" s="1" t="n">
        <v>46288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37321-2026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46275</v>
      </c>
      <c r="E744" s="1" t="n">
        <v>46288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46274</v>
      </c>
      <c r="E745" s="1" t="n">
        <v>46288</v>
      </c>
      <c r="F745" t="inlineStr">
        <is>
          <t>GÄVLEBORGS LÄN</t>
        </is>
      </c>
      <c r="G745" t="inlineStr">
        <is>
          <t>OCKELBO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28965-2024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45481</v>
      </c>
      <c r="E746" s="1" t="n">
        <v>46288</v>
      </c>
      <c r="F746" t="inlineStr">
        <is>
          <t>GÄVLEBORGS LÄN</t>
        </is>
      </c>
      <c r="G746" t="inlineStr">
        <is>
          <t>OCKELBO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55906-2024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45623</v>
      </c>
      <c r="E747" s="1" t="n">
        <v>46288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37487-2026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46288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20605-2026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46140</v>
      </c>
      <c r="E749" s="1" t="n">
        <v>46288</v>
      </c>
      <c r="F749" t="inlineStr">
        <is>
          <t>GÄVLEBORGS LÄN</t>
        </is>
      </c>
      <c r="G749" t="inlineStr">
        <is>
          <t>OCKELBO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24228-2022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44725</v>
      </c>
      <c r="E750" s="1" t="n">
        <v>46288</v>
      </c>
      <c r="F750" t="inlineStr">
        <is>
          <t>GÄVLEBORGS LÄN</t>
        </is>
      </c>
      <c r="G750" t="inlineStr">
        <is>
          <t>OCKELBO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37841-2026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46279</v>
      </c>
      <c r="E751" s="1" t="n">
        <v>46288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20408-2026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46140</v>
      </c>
      <c r="E752" s="1" t="n">
        <v>46288</v>
      </c>
      <c r="F752" t="inlineStr">
        <is>
          <t>GÄVLEBORGS LÄN</t>
        </is>
      </c>
      <c r="G752" t="inlineStr">
        <is>
          <t>OCKELBO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64609-2023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45281</v>
      </c>
      <c r="E753" s="1" t="n">
        <v>46288</v>
      </c>
      <c r="F753" t="inlineStr">
        <is>
          <t>GÄVLEBORGS LÄN</t>
        </is>
      </c>
      <c r="G753" t="inlineStr">
        <is>
          <t>OCKELBO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3626-2023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44950</v>
      </c>
      <c r="E754" s="1" t="n">
        <v>46288</v>
      </c>
      <c r="F754" t="inlineStr">
        <is>
          <t>GÄVLEBORGS LÄN</t>
        </is>
      </c>
      <c r="G754" t="inlineStr">
        <is>
          <t>OCKELBO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45068</v>
      </c>
      <c r="E755" s="1" t="n">
        <v>46288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19774-2025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45771</v>
      </c>
      <c r="E756" s="1" t="n">
        <v>46288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21878-2023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45068</v>
      </c>
      <c r="E757" s="1" t="n">
        <v>46288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36295-2024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45534</v>
      </c>
      <c r="E758" s="1" t="n">
        <v>46288</v>
      </c>
      <c r="F758" t="inlineStr">
        <is>
          <t>GÄVLEBORGS LÄN</t>
        </is>
      </c>
      <c r="G758" t="inlineStr">
        <is>
          <t>OCKELBO</t>
        </is>
      </c>
      <c r="I758" t="n">
        <v>7.9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53488-2023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45230</v>
      </c>
      <c r="E759" s="1" t="n">
        <v>46288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37442-2023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46288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22385-2023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45070</v>
      </c>
      <c r="E761" s="1" t="n">
        <v>46288</v>
      </c>
      <c r="F761" t="inlineStr">
        <is>
          <t>GÄVLEBORGS LÄN</t>
        </is>
      </c>
      <c r="G761" t="inlineStr">
        <is>
          <t>OCKELBO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56741-2024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45628</v>
      </c>
      <c r="E762" s="1" t="n">
        <v>46288</v>
      </c>
      <c r="F762" t="inlineStr">
        <is>
          <t>GÄVLEBORGS LÄN</t>
        </is>
      </c>
      <c r="G762" t="inlineStr">
        <is>
          <t>OCKELBO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19772-2025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45771</v>
      </c>
      <c r="E763" s="1" t="n">
        <v>46288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38648-2026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46283</v>
      </c>
      <c r="E764" s="1" t="n">
        <v>46288</v>
      </c>
      <c r="F764" t="inlineStr">
        <is>
          <t>GÄVLEBORGS LÄN</t>
        </is>
      </c>
      <c r="G764" t="inlineStr">
        <is>
          <t>OCKELBO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38668-2026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46283</v>
      </c>
      <c r="E765" s="1" t="n">
        <v>46288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29567-2024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45484</v>
      </c>
      <c r="E766" s="1" t="n">
        <v>46288</v>
      </c>
      <c r="F766" t="inlineStr">
        <is>
          <t>GÄVLEBORGS LÄN</t>
        </is>
      </c>
      <c r="G766" t="inlineStr">
        <is>
          <t>OCKELBO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64367-2023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45280</v>
      </c>
      <c r="E767" s="1" t="n">
        <v>46288</v>
      </c>
      <c r="F767" t="inlineStr">
        <is>
          <t>GÄVLEBORGS LÄN</t>
        </is>
      </c>
      <c r="G767" t="inlineStr">
        <is>
          <t>OCKELBO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55715-2023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45239</v>
      </c>
      <c r="E768" s="1" t="n">
        <v>46288</v>
      </c>
      <c r="F768" t="inlineStr">
        <is>
          <t>GÄVLEBORGS LÄN</t>
        </is>
      </c>
      <c r="G768" t="inlineStr">
        <is>
          <t>OCKELBO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50194-2024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45600</v>
      </c>
      <c r="E769" s="1" t="n">
        <v>46288</v>
      </c>
      <c r="F769" t="inlineStr">
        <is>
          <t>GÄVLEBORGS LÄN</t>
        </is>
      </c>
      <c r="G769" t="inlineStr">
        <is>
          <t>OCKELBO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15247-2025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45744</v>
      </c>
      <c r="E770" s="1" t="n">
        <v>46288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22952-2023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45072</v>
      </c>
      <c r="E771" s="1" t="n">
        <v>46288</v>
      </c>
      <c r="F771" t="inlineStr">
        <is>
          <t>GÄVLEBORGS LÄN</t>
        </is>
      </c>
      <c r="G771" t="inlineStr">
        <is>
          <t>OCKELBO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14071-2026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46099</v>
      </c>
      <c r="E772" s="1" t="n">
        <v>46288</v>
      </c>
      <c r="F772" t="inlineStr">
        <is>
          <t>GÄVLEBORGS LÄN</t>
        </is>
      </c>
      <c r="G772" t="inlineStr">
        <is>
          <t>OCKELBO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33176-2026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46245</v>
      </c>
      <c r="E773" s="1" t="n">
        <v>46288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5887-2026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46052</v>
      </c>
      <c r="E774" s="1" t="n">
        <v>46288</v>
      </c>
      <c r="F774" t="inlineStr">
        <is>
          <t>GÄVLEBORGS LÄN</t>
        </is>
      </c>
      <c r="G774" t="inlineStr">
        <is>
          <t>OCKELBO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22824-2024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45448</v>
      </c>
      <c r="E775" s="1" t="n">
        <v>46288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1143-2025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45666</v>
      </c>
      <c r="E776" s="1" t="n">
        <v>46288</v>
      </c>
      <c r="F776" t="inlineStr">
        <is>
          <t>GÄVLEBORGS LÄN</t>
        </is>
      </c>
      <c r="G776" t="inlineStr">
        <is>
          <t>OCKELBO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61750-2023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45265</v>
      </c>
      <c r="E777" s="1" t="n">
        <v>46288</v>
      </c>
      <c r="F777" t="inlineStr">
        <is>
          <t>GÄVLEBORGS LÄN</t>
        </is>
      </c>
      <c r="G777" t="inlineStr">
        <is>
          <t>OCKELBO</t>
        </is>
      </c>
      <c r="I777" t="n">
        <v>11.2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33985-2023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45134</v>
      </c>
      <c r="E778" s="1" t="n">
        <v>46288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3628-2023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44950</v>
      </c>
      <c r="E779" s="1" t="n">
        <v>46288</v>
      </c>
      <c r="F779" t="inlineStr">
        <is>
          <t>GÄVLEBORGS LÄN</t>
        </is>
      </c>
      <c r="G779" t="inlineStr">
        <is>
          <t>OCKELBO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20775-2025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45776</v>
      </c>
      <c r="E780" s="1" t="n">
        <v>46288</v>
      </c>
      <c r="F780" t="inlineStr">
        <is>
          <t>GÄVLEBORGS LÄN</t>
        </is>
      </c>
      <c r="G780" t="inlineStr">
        <is>
          <t>OCKELBO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23780-2024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45455</v>
      </c>
      <c r="E781" s="1" t="n">
        <v>46288</v>
      </c>
      <c r="F781" t="inlineStr">
        <is>
          <t>GÄVLEBORGS LÄN</t>
        </is>
      </c>
      <c r="G781" t="inlineStr">
        <is>
          <t>OCKELBO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52273-2024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45608</v>
      </c>
      <c r="E782" s="1" t="n">
        <v>46288</v>
      </c>
      <c r="F782" t="inlineStr">
        <is>
          <t>GÄVLEBORGS LÄN</t>
        </is>
      </c>
      <c r="G782" t="inlineStr">
        <is>
          <t>OCKELBO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37848-2024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45544</v>
      </c>
      <c r="E783" s="1" t="n">
        <v>46288</v>
      </c>
      <c r="F783" t="inlineStr">
        <is>
          <t>GÄVLEBORGS LÄN</t>
        </is>
      </c>
      <c r="G783" t="inlineStr">
        <is>
          <t>OCKELBO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60253-2023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45258</v>
      </c>
      <c r="E784" s="1" t="n">
        <v>46288</v>
      </c>
      <c r="F784" t="inlineStr">
        <is>
          <t>GÄVLEBORGS LÄN</t>
        </is>
      </c>
      <c r="G784" t="inlineStr">
        <is>
          <t>OCKELBO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22385-2025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45786</v>
      </c>
      <c r="E785" s="1" t="n">
        <v>46288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22387-2025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45786</v>
      </c>
      <c r="E786" s="1" t="n">
        <v>46288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28584-2024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45478</v>
      </c>
      <c r="E787" s="1" t="n">
        <v>46288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54323-2024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45617</v>
      </c>
      <c r="E788" s="1" t="n">
        <v>46288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28181-2022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44746</v>
      </c>
      <c r="E789" s="1" t="n">
        <v>46288</v>
      </c>
      <c r="F789" t="inlineStr">
        <is>
          <t>GÄVLEBORGS LÄN</t>
        </is>
      </c>
      <c r="G789" t="inlineStr">
        <is>
          <t>OCKELBO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20689-2025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45776</v>
      </c>
      <c r="E790" s="1" t="n">
        <v>46288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16.2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23004-2025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45790</v>
      </c>
      <c r="E791" s="1" t="n">
        <v>46288</v>
      </c>
      <c r="F791" t="inlineStr">
        <is>
          <t>GÄVLEBORGS LÄN</t>
        </is>
      </c>
      <c r="G791" t="inlineStr">
        <is>
          <t>OCKELBO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55011-2024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45621</v>
      </c>
      <c r="E792" s="1" t="n">
        <v>46288</v>
      </c>
      <c r="F792" t="inlineStr">
        <is>
          <t>GÄVLEBORGS LÄN</t>
        </is>
      </c>
      <c r="G792" t="inlineStr">
        <is>
          <t>OCKELBO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26085-2024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45468</v>
      </c>
      <c r="E793" s="1" t="n">
        <v>46288</v>
      </c>
      <c r="F793" t="inlineStr">
        <is>
          <t>GÄVLEBORGS LÄN</t>
        </is>
      </c>
      <c r="G793" t="inlineStr">
        <is>
          <t>OCKELBO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48803-2024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45593</v>
      </c>
      <c r="E794" s="1" t="n">
        <v>46288</v>
      </c>
      <c r="F794" t="inlineStr">
        <is>
          <t>GÄVLEBORGS LÄN</t>
        </is>
      </c>
      <c r="G794" t="inlineStr">
        <is>
          <t>OCKELBO</t>
        </is>
      </c>
      <c r="I794" t="n">
        <v>9.4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16752-2025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45754</v>
      </c>
      <c r="E795" s="1" t="n">
        <v>46288</v>
      </c>
      <c r="F795" t="inlineStr">
        <is>
          <t>GÄVLEBORGS LÄN</t>
        </is>
      </c>
      <c r="G795" t="inlineStr">
        <is>
          <t>OCKELBO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15403-2022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44659</v>
      </c>
      <c r="E796" s="1" t="n">
        <v>46288</v>
      </c>
      <c r="F796" t="inlineStr">
        <is>
          <t>GÄVLEBORGS LÄN</t>
        </is>
      </c>
      <c r="G796" t="inlineStr">
        <is>
          <t>OCKELBO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64924-2023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45282</v>
      </c>
      <c r="E797" s="1" t="n">
        <v>46288</v>
      </c>
      <c r="F797" t="inlineStr">
        <is>
          <t>GÄVLEBORGS LÄN</t>
        </is>
      </c>
      <c r="G797" t="inlineStr">
        <is>
          <t>OCKELBO</t>
        </is>
      </c>
      <c r="I797" t="n">
        <v>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20207-2024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45434</v>
      </c>
      <c r="E798" s="1" t="n">
        <v>46288</v>
      </c>
      <c r="F798" t="inlineStr">
        <is>
          <t>GÄVLEBORGS LÄN</t>
        </is>
      </c>
      <c r="G798" t="inlineStr">
        <is>
          <t>OCKELBO</t>
        </is>
      </c>
      <c r="I798" t="n">
        <v>7.6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49470-2024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45596</v>
      </c>
      <c r="E799" s="1" t="n">
        <v>46288</v>
      </c>
      <c r="F799" t="inlineStr">
        <is>
          <t>GÄVLEBORGS LÄN</t>
        </is>
      </c>
      <c r="G799" t="inlineStr">
        <is>
          <t>OCKELBO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15502-2025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45747</v>
      </c>
      <c r="E800" s="1" t="n">
        <v>46288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25640-2025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45803</v>
      </c>
      <c r="E801" s="1" t="n">
        <v>46288</v>
      </c>
      <c r="F801" t="inlineStr">
        <is>
          <t>GÄVLEBORGS LÄN</t>
        </is>
      </c>
      <c r="G801" t="inlineStr">
        <is>
          <t>OCKELBO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25233-2025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46288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46288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25248-2025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46288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25191-2025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45800</v>
      </c>
      <c r="E805" s="1" t="n">
        <v>46288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25234-2025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46288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25250-2025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45800</v>
      </c>
      <c r="E807" s="1" t="n">
        <v>46288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26195-2025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45805</v>
      </c>
      <c r="E808" s="1" t="n">
        <v>46288</v>
      </c>
      <c r="F808" t="inlineStr">
        <is>
          <t>GÄVLEBORGS LÄN</t>
        </is>
      </c>
      <c r="G808" t="inlineStr">
        <is>
          <t>OCKELBO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27990-2025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46288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7.8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28080-2025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46288</v>
      </c>
      <c r="F810" t="inlineStr">
        <is>
          <t>GÄVLEBORGS LÄN</t>
        </is>
      </c>
      <c r="G810" t="inlineStr">
        <is>
          <t>OCKELBO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28006-2025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46288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8.1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28669-2025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45819</v>
      </c>
      <c r="E812" s="1" t="n">
        <v>46288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28576-2025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46288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29158-2025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45821</v>
      </c>
      <c r="E814" s="1" t="n">
        <v>46288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29274-2025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46288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30179-2025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45827</v>
      </c>
      <c r="E816" s="1" t="n">
        <v>46288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30331-2025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45827</v>
      </c>
      <c r="E817" s="1" t="n">
        <v>46288</v>
      </c>
      <c r="F817" t="inlineStr">
        <is>
          <t>GÄVLEBORGS LÄN</t>
        </is>
      </c>
      <c r="G817" t="inlineStr">
        <is>
          <t>OCKELBO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30229-2025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45827</v>
      </c>
      <c r="E818" s="1" t="n">
        <v>46288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30152-2025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45827</v>
      </c>
      <c r="E819" s="1" t="n">
        <v>46288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32449-2025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45838</v>
      </c>
      <c r="E820" s="1" t="n">
        <v>46288</v>
      </c>
      <c r="F820" t="inlineStr">
        <is>
          <t>GÄVLEBORGS LÄN</t>
        </is>
      </c>
      <c r="G820" t="inlineStr">
        <is>
          <t>OCKELBO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33231-2025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45840</v>
      </c>
      <c r="E821" s="1" t="n">
        <v>46288</v>
      </c>
      <c r="F821" t="inlineStr">
        <is>
          <t>GÄVLEBORGS LÄN</t>
        </is>
      </c>
      <c r="G821" t="inlineStr">
        <is>
          <t>OCKELBO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33228-2025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45840</v>
      </c>
      <c r="E822" s="1" t="n">
        <v>46288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30011-2023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45109</v>
      </c>
      <c r="E823" s="1" t="n">
        <v>46288</v>
      </c>
      <c r="F823" t="inlineStr">
        <is>
          <t>GÄVLEBORGS LÄN</t>
        </is>
      </c>
      <c r="G823" t="inlineStr">
        <is>
          <t>OCKELBO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10149-2025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45719</v>
      </c>
      <c r="E824" s="1" t="n">
        <v>46288</v>
      </c>
      <c r="F824" t="inlineStr">
        <is>
          <t>GÄVLEBORGS LÄN</t>
        </is>
      </c>
      <c r="G824" t="inlineStr">
        <is>
          <t>OCKELBO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23006-2023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45073</v>
      </c>
      <c r="E825" s="1" t="n">
        <v>46288</v>
      </c>
      <c r="F825" t="inlineStr">
        <is>
          <t>GÄVLEBORGS LÄN</t>
        </is>
      </c>
      <c r="G825" t="inlineStr">
        <is>
          <t>OCKELBO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35017-2025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45851</v>
      </c>
      <c r="E826" s="1" t="n">
        <v>46288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27.8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282-2024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45323</v>
      </c>
      <c r="E827" s="1" t="n">
        <v>46288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5063-2024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45638</v>
      </c>
      <c r="E828" s="1" t="n">
        <v>46288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154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195-2024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45315</v>
      </c>
      <c r="E829" s="1" t="n">
        <v>46288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46.4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411-2025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45699</v>
      </c>
      <c r="E830" s="1" t="n">
        <v>46288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24.3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7041-2022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44904</v>
      </c>
      <c r="E831" s="1" t="n">
        <v>46288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22.8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297-2026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46058</v>
      </c>
      <c r="E832" s="1" t="n">
        <v>46288</v>
      </c>
      <c r="F832" t="inlineStr">
        <is>
          <t>GÄVLEBORGS LÄN</t>
        </is>
      </c>
      <c r="G832" t="inlineStr">
        <is>
          <t>OCKELBO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657-2026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46089</v>
      </c>
      <c r="E833" s="1" t="n">
        <v>46288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131.3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1344-2026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46288</v>
      </c>
      <c r="F834" t="inlineStr">
        <is>
          <t>GÄVLEBORGS LÄN</t>
        </is>
      </c>
      <c r="G834" t="inlineStr">
        <is>
          <t>OCKELBO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1345-2026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46288</v>
      </c>
      <c r="F835" t="inlineStr">
        <is>
          <t>GÄVLEBORGS LÄN</t>
        </is>
      </c>
      <c r="G835" t="inlineStr">
        <is>
          <t>OCKELBO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190-2026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46048</v>
      </c>
      <c r="E836" s="1" t="n">
        <v>46288</v>
      </c>
      <c r="F836" t="inlineStr">
        <is>
          <t>GÄVLEBORGS LÄN</t>
        </is>
      </c>
      <c r="G836" t="inlineStr">
        <is>
          <t>OCKELBO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2026-09-23T01:51:57Z</dcterms:created>
  <dcterms:modified xmlns:dcterms="http://purl.org/dc/terms/" xmlns:xsi="http://www.w3.org/2001/XMLSchema-instance" xsi:type="dcterms:W3CDTF">2026-09-23T01:51:58Z</dcterms:modified>
</cp:coreProperties>
</file>