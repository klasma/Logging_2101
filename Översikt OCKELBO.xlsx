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46046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46043.56674768519</v>
      </c>
      <c r="C3" s="1" t="n">
        <v>46046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46046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27199-2025</t>
        </is>
      </c>
      <c r="B5" s="1" t="n">
        <v>45812.38626157407</v>
      </c>
      <c r="C5" s="1" t="n">
        <v>46046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Dropptaggsvamp
Mattlummer</t>
        </is>
      </c>
      <c r="S5">
        <f>HYPERLINK("https://klasma.github.io/Logging_2101/artfynd/A 27199-2025 artfynd.xlsx", "A 27199-2025")</f>
        <v/>
      </c>
      <c r="T5">
        <f>HYPERLINK("https://klasma.github.io/Logging_2101/kartor/A 27199-2025 karta.png", "A 27199-2025")</f>
        <v/>
      </c>
      <c r="U5">
        <f>HYPERLINK("https://klasma.github.io/Logging_2101/knärot/A 27199-2025 karta knärot.png", "A 27199-2025")</f>
        <v/>
      </c>
      <c r="V5">
        <f>HYPERLINK("https://klasma.github.io/Logging_2101/klagomål/A 27199-2025 FSC-klagomål.docx", "A 27199-2025")</f>
        <v/>
      </c>
      <c r="W5">
        <f>HYPERLINK("https://klasma.github.io/Logging_2101/klagomålsmail/A 27199-2025 FSC-klagomål mail.docx", "A 27199-2025")</f>
        <v/>
      </c>
      <c r="X5">
        <f>HYPERLINK("https://klasma.github.io/Logging_2101/tillsyn/A 27199-2025 tillsynsbegäran.docx", "A 27199-2025")</f>
        <v/>
      </c>
      <c r="Y5">
        <f>HYPERLINK("https://klasma.github.io/Logging_2101/tillsynsmail/A 27199-2025 tillsynsbegäran mail.docx", "A 27199-2025")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46046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830-2026</t>
        </is>
      </c>
      <c r="B7" s="1" t="n">
        <v>46030.36605324074</v>
      </c>
      <c r="C7" s="1" t="n">
        <v>46046</v>
      </c>
      <c r="D7" t="inlineStr">
        <is>
          <t>GÄVLEBORGS LÄN</t>
        </is>
      </c>
      <c r="E7" t="inlineStr">
        <is>
          <t>OCKELBO</t>
        </is>
      </c>
      <c r="G7" t="n">
        <v>14.9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Nattviol
Mattlummer
Revlummer</t>
        </is>
      </c>
      <c r="S7">
        <f>HYPERLINK("https://klasma.github.io/Logging_2101/artfynd/A 830-2026 artfynd.xlsx", "A 830-2026")</f>
        <v/>
      </c>
      <c r="T7">
        <f>HYPERLINK("https://klasma.github.io/Logging_2101/kartor/A 830-2026 karta.png", "A 830-2026")</f>
        <v/>
      </c>
      <c r="V7">
        <f>HYPERLINK("https://klasma.github.io/Logging_2101/klagomål/A 830-2026 FSC-klagomål.docx", "A 830-2026")</f>
        <v/>
      </c>
      <c r="W7">
        <f>HYPERLINK("https://klasma.github.io/Logging_2101/klagomålsmail/A 830-2026 FSC-klagomål mail.docx", "A 830-2026")</f>
        <v/>
      </c>
      <c r="X7">
        <f>HYPERLINK("https://klasma.github.io/Logging_2101/tillsyn/A 830-2026 tillsynsbegäran.docx", "A 830-2026")</f>
        <v/>
      </c>
      <c r="Y7">
        <f>HYPERLINK("https://klasma.github.io/Logging_2101/tillsynsmail/A 830-2026 tillsynsbegäran mail.docx", "A 830-2026")</f>
        <v/>
      </c>
    </row>
    <row r="8" ht="15" customHeight="1">
      <c r="A8" t="inlineStr">
        <is>
          <t>A 31303-2023</t>
        </is>
      </c>
      <c r="B8" s="1" t="n">
        <v>45114.44133101852</v>
      </c>
      <c r="C8" s="1" t="n">
        <v>46046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9.699999999999999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HYPERLINK("https://klasma.github.io/Logging_2101/artfynd/A 31303-2023 artfynd.xlsx", "A 31303-2023")</f>
        <v/>
      </c>
      <c r="T8">
        <f>HYPERLINK("https://klasma.github.io/Logging_2101/kartor/A 31303-2023 karta.png", "A 31303-2023")</f>
        <v/>
      </c>
      <c r="V8">
        <f>HYPERLINK("https://klasma.github.io/Logging_2101/klagomål/A 31303-2023 FSC-klagomål.docx", "A 31303-2023")</f>
        <v/>
      </c>
      <c r="W8">
        <f>HYPERLINK("https://klasma.github.io/Logging_2101/klagomålsmail/A 31303-2023 FSC-klagomål mail.docx", "A 31303-2023")</f>
        <v/>
      </c>
      <c r="X8">
        <f>HYPERLINK("https://klasma.github.io/Logging_2101/tillsyn/A 31303-2023 tillsynsbegäran.docx", "A 31303-2023")</f>
        <v/>
      </c>
      <c r="Y8">
        <f>HYPERLINK("https://klasma.github.io/Logging_2101/tillsynsmail/A 31303-2023 tillsynsbegäran mail.docx", "A 31303-2023")</f>
        <v/>
      </c>
      <c r="Z8">
        <f>HYPERLINK("https://klasma.github.io/Logging_2101/fåglar/A 31303-2023 prioriterade fågelarter.docx", "A 31303-2023")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46046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38035-2025</t>
        </is>
      </c>
      <c r="B10" s="1" t="n">
        <v>45882.3721875</v>
      </c>
      <c r="C10" s="1" t="n">
        <v>46046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Grönpyrola</t>
        </is>
      </c>
      <c r="S10">
        <f>HYPERLINK("https://klasma.github.io/Logging_2101/artfynd/A 38035-2025 artfynd.xlsx", "A 38035-2025")</f>
        <v/>
      </c>
      <c r="T10">
        <f>HYPERLINK("https://klasma.github.io/Logging_2101/kartor/A 38035-2025 karta.png", "A 38035-2025")</f>
        <v/>
      </c>
      <c r="V10">
        <f>HYPERLINK("https://klasma.github.io/Logging_2101/klagomål/A 38035-2025 FSC-klagomål.docx", "A 38035-2025")</f>
        <v/>
      </c>
      <c r="W10">
        <f>HYPERLINK("https://klasma.github.io/Logging_2101/klagomålsmail/A 38035-2025 FSC-klagomål mail.docx", "A 38035-2025")</f>
        <v/>
      </c>
      <c r="X10">
        <f>HYPERLINK("https://klasma.github.io/Logging_2101/tillsyn/A 38035-2025 tillsynsbegäran.docx", "A 38035-2025")</f>
        <v/>
      </c>
      <c r="Y10">
        <f>HYPERLINK("https://klasma.github.io/Logging_2101/tillsynsmail/A 38035-2025 tillsynsbegäran mail.docx", "A 38035-2025")</f>
        <v/>
      </c>
    </row>
    <row r="11" ht="15" customHeight="1">
      <c r="A11" t="inlineStr">
        <is>
          <t>A 3525-2025</t>
        </is>
      </c>
      <c r="B11" s="1" t="n">
        <v>45680.61361111111</v>
      </c>
      <c r="C11" s="1" t="n">
        <v>46046</v>
      </c>
      <c r="D11" t="inlineStr">
        <is>
          <t>GÄVLEBORGS LÄN</t>
        </is>
      </c>
      <c r="E11" t="inlineStr">
        <is>
          <t>OCKELBO</t>
        </is>
      </c>
      <c r="G11" t="n">
        <v>6.9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Rovspindling</t>
        </is>
      </c>
      <c r="S11">
        <f>HYPERLINK("https://klasma.github.io/Logging_2101/artfynd/A 3525-2025 artfynd.xlsx", "A 3525-2025")</f>
        <v/>
      </c>
      <c r="T11">
        <f>HYPERLINK("https://klasma.github.io/Logging_2101/kartor/A 3525-2025 karta.png", "A 3525-2025")</f>
        <v/>
      </c>
      <c r="V11">
        <f>HYPERLINK("https://klasma.github.io/Logging_2101/klagomål/A 3525-2025 FSC-klagomål.docx", "A 3525-2025")</f>
        <v/>
      </c>
      <c r="W11">
        <f>HYPERLINK("https://klasma.github.io/Logging_2101/klagomålsmail/A 3525-2025 FSC-klagomål mail.docx", "A 3525-2025")</f>
        <v/>
      </c>
      <c r="X11">
        <f>HYPERLINK("https://klasma.github.io/Logging_2101/tillsyn/A 3525-2025 tillsynsbegäran.docx", "A 3525-2025")</f>
        <v/>
      </c>
      <c r="Y11">
        <f>HYPERLINK("https://klasma.github.io/Logging_2101/tillsynsmail/A 3525-2025 tillsynsbegäran mail.docx", "A 3525-2025")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46046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9479-2025</t>
        </is>
      </c>
      <c r="B13" s="1" t="n">
        <v>45715.47814814815</v>
      </c>
      <c r="C13" s="1" t="n">
        <v>46046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öst AB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HYPERLINK("https://klasma.github.io/Logging_2101/artfynd/A 9479-2025 artfynd.xlsx", "A 9479-2025")</f>
        <v/>
      </c>
      <c r="T13">
        <f>HYPERLINK("https://klasma.github.io/Logging_2101/kartor/A 9479-2025 karta.png", "A 9479-2025")</f>
        <v/>
      </c>
      <c r="V13">
        <f>HYPERLINK("https://klasma.github.io/Logging_2101/klagomål/A 9479-2025 FSC-klagomål.docx", "A 9479-2025")</f>
        <v/>
      </c>
      <c r="W13">
        <f>HYPERLINK("https://klasma.github.io/Logging_2101/klagomålsmail/A 9479-2025 FSC-klagomål mail.docx", "A 9479-2025")</f>
        <v/>
      </c>
      <c r="X13">
        <f>HYPERLINK("https://klasma.github.io/Logging_2101/tillsyn/A 9479-2025 tillsynsbegäran.docx", "A 9479-2025")</f>
        <v/>
      </c>
      <c r="Y13">
        <f>HYPERLINK("https://klasma.github.io/Logging_2101/tillsynsmail/A 9479-2025 tillsynsbegäran mail.docx", "A 9479-2025")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46046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46046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60615-2021</t>
        </is>
      </c>
      <c r="B16" s="1" t="n">
        <v>44496.58844907407</v>
      </c>
      <c r="C16" s="1" t="n">
        <v>46046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57946-2023</t>
        </is>
      </c>
      <c r="B17" s="1" t="n">
        <v>45247.56151620371</v>
      </c>
      <c r="C17" s="1" t="n">
        <v>46046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57946-2023 artfynd.xlsx", "A 57946-2023")</f>
        <v/>
      </c>
      <c r="T17">
        <f>HYPERLINK("https://klasma.github.io/Logging_2101/kartor/A 57946-2023 karta.png", "A 57946-2023")</f>
        <v/>
      </c>
      <c r="V17">
        <f>HYPERLINK("https://klasma.github.io/Logging_2101/klagomål/A 57946-2023 FSC-klagomål.docx", "A 57946-2023")</f>
        <v/>
      </c>
      <c r="W17">
        <f>HYPERLINK("https://klasma.github.io/Logging_2101/klagomålsmail/A 57946-2023 FSC-klagomål mail.docx", "A 57946-2023")</f>
        <v/>
      </c>
      <c r="X17">
        <f>HYPERLINK("https://klasma.github.io/Logging_2101/tillsyn/A 57946-2023 tillsynsbegäran.docx", "A 57946-2023")</f>
        <v/>
      </c>
      <c r="Y17">
        <f>HYPERLINK("https://klasma.github.io/Logging_2101/tillsynsmail/A 57946-2023 tillsynsbegäran mail.docx", "A 57946-2023")</f>
        <v/>
      </c>
    </row>
    <row r="18" ht="15" customHeight="1">
      <c r="A18" t="inlineStr">
        <is>
          <t>A 26463-2024</t>
        </is>
      </c>
      <c r="B18" s="1" t="n">
        <v>45469.53998842592</v>
      </c>
      <c r="C18" s="1" t="n">
        <v>46046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26463-2024 artfynd.xlsx", "A 26463-2024")</f>
        <v/>
      </c>
      <c r="T18">
        <f>HYPERLINK("https://klasma.github.io/Logging_2101/kartor/A 26463-2024 karta.png", "A 26463-2024")</f>
        <v/>
      </c>
      <c r="V18">
        <f>HYPERLINK("https://klasma.github.io/Logging_2101/klagomål/A 26463-2024 FSC-klagomål.docx", "A 26463-2024")</f>
        <v/>
      </c>
      <c r="W18">
        <f>HYPERLINK("https://klasma.github.io/Logging_2101/klagomålsmail/A 26463-2024 FSC-klagomål mail.docx", "A 26463-2024")</f>
        <v/>
      </c>
      <c r="X18">
        <f>HYPERLINK("https://klasma.github.io/Logging_2101/tillsyn/A 26463-2024 tillsynsbegäran.docx", "A 26463-2024")</f>
        <v/>
      </c>
      <c r="Y18">
        <f>HYPERLINK("https://klasma.github.io/Logging_2101/tillsynsmail/A 26463-2024 tillsynsbegäran mail.docx", "A 26463-2024")</f>
        <v/>
      </c>
    </row>
    <row r="19" ht="15" customHeight="1">
      <c r="A19" t="inlineStr">
        <is>
          <t>A 62989-2025</t>
        </is>
      </c>
      <c r="B19" s="1" t="n">
        <v>46009.51313657407</v>
      </c>
      <c r="C19" s="1" t="n">
        <v>46046</v>
      </c>
      <c r="D19" t="inlineStr">
        <is>
          <t>GÄVLEBORGS LÄN</t>
        </is>
      </c>
      <c r="E19" t="inlineStr">
        <is>
          <t>OCKELBO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HYPERLINK("https://klasma.github.io/Logging_2101/artfynd/A 62989-2025 artfynd.xlsx", "A 62989-2025")</f>
        <v/>
      </c>
      <c r="T19">
        <f>HYPERLINK("https://klasma.github.io/Logging_2101/kartor/A 62989-2025 karta.png", "A 62989-2025")</f>
        <v/>
      </c>
      <c r="V19">
        <f>HYPERLINK("https://klasma.github.io/Logging_2101/klagomål/A 62989-2025 FSC-klagomål.docx", "A 62989-2025")</f>
        <v/>
      </c>
      <c r="W19">
        <f>HYPERLINK("https://klasma.github.io/Logging_2101/klagomålsmail/A 62989-2025 FSC-klagomål mail.docx", "A 62989-2025")</f>
        <v/>
      </c>
      <c r="X19">
        <f>HYPERLINK("https://klasma.github.io/Logging_2101/tillsyn/A 62989-2025 tillsynsbegäran.docx", "A 62989-2025")</f>
        <v/>
      </c>
      <c r="Y19">
        <f>HYPERLINK("https://klasma.github.io/Logging_2101/tillsynsmail/A 62989-2025 tillsynsbegäran mail.docx", "A 62989-2025")</f>
        <v/>
      </c>
    </row>
    <row r="20" ht="15" customHeight="1">
      <c r="A20" t="inlineStr">
        <is>
          <t>A 287-2026</t>
        </is>
      </c>
      <c r="B20" s="1" t="n">
        <v>46027.4950925926</v>
      </c>
      <c r="C20" s="1" t="n">
        <v>46046</v>
      </c>
      <c r="D20" t="inlineStr">
        <is>
          <t>GÄVLEBORGS LÄN</t>
        </is>
      </c>
      <c r="E20" t="inlineStr">
        <is>
          <t>OCKELBO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HYPERLINK("https://klasma.github.io/Logging_2101/artfynd/A 287-2026 artfynd.xlsx", "A 287-2026")</f>
        <v/>
      </c>
      <c r="T20">
        <f>HYPERLINK("https://klasma.github.io/Logging_2101/kartor/A 287-2026 karta.png", "A 287-2026")</f>
        <v/>
      </c>
      <c r="V20">
        <f>HYPERLINK("https://klasma.github.io/Logging_2101/klagomål/A 287-2026 FSC-klagomål.docx", "A 287-2026")</f>
        <v/>
      </c>
      <c r="W20">
        <f>HYPERLINK("https://klasma.github.io/Logging_2101/klagomålsmail/A 287-2026 FSC-klagomål mail.docx", "A 287-2026")</f>
        <v/>
      </c>
      <c r="X20">
        <f>HYPERLINK("https://klasma.github.io/Logging_2101/tillsyn/A 287-2026 tillsynsbegäran.docx", "A 287-2026")</f>
        <v/>
      </c>
      <c r="Y20">
        <f>HYPERLINK("https://klasma.github.io/Logging_2101/tillsynsmail/A 287-2026 tillsynsbegäran mail.docx", "A 287-2026")</f>
        <v/>
      </c>
    </row>
    <row r="21" ht="15" customHeight="1">
      <c r="A21" t="inlineStr">
        <is>
          <t>A 4009-2026</t>
        </is>
      </c>
      <c r="B21" s="1" t="n">
        <v>46044.40725694445</v>
      </c>
      <c r="C21" s="1" t="n">
        <v>46046</v>
      </c>
      <c r="D21" t="inlineStr">
        <is>
          <t>GÄVLEBORGS LÄN</t>
        </is>
      </c>
      <c r="E21" t="inlineStr">
        <is>
          <t>OCKELBO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4009-2026 artfynd.xlsx", "A 4009-2026")</f>
        <v/>
      </c>
      <c r="T21">
        <f>HYPERLINK("https://klasma.github.io/Logging_2101/kartor/A 4009-2026 karta.png", "A 4009-2026")</f>
        <v/>
      </c>
      <c r="V21">
        <f>HYPERLINK("https://klasma.github.io/Logging_2101/klagomål/A 4009-2026 FSC-klagomål.docx", "A 4009-2026")</f>
        <v/>
      </c>
      <c r="W21">
        <f>HYPERLINK("https://klasma.github.io/Logging_2101/klagomålsmail/A 4009-2026 FSC-klagomål mail.docx", "A 4009-2026")</f>
        <v/>
      </c>
      <c r="X21">
        <f>HYPERLINK("https://klasma.github.io/Logging_2101/tillsyn/A 4009-2026 tillsynsbegäran.docx", "A 4009-2026")</f>
        <v/>
      </c>
      <c r="Y21">
        <f>HYPERLINK("https://klasma.github.io/Logging_2101/tillsynsmail/A 4009-2026 tillsynsbegäran mail.docx", "A 4009-2026")</f>
        <v/>
      </c>
    </row>
    <row r="22" ht="15" customHeight="1">
      <c r="A22" t="inlineStr">
        <is>
          <t>A 3439-2026</t>
        </is>
      </c>
      <c r="B22" s="1" t="n">
        <v>46042</v>
      </c>
      <c r="C22" s="1" t="n">
        <v>46046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58.3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HYPERLINK("https://klasma.github.io/Logging_2101/artfynd/A 3439-2026 artfynd.xlsx", "A 3439-2026")</f>
        <v/>
      </c>
      <c r="T22">
        <f>HYPERLINK("https://klasma.github.io/Logging_2101/kartor/A 3439-2026 karta.png", "A 3439-2026")</f>
        <v/>
      </c>
      <c r="V22">
        <f>HYPERLINK("https://klasma.github.io/Logging_2101/klagomål/A 3439-2026 FSC-klagomål.docx", "A 3439-2026")</f>
        <v/>
      </c>
      <c r="W22">
        <f>HYPERLINK("https://klasma.github.io/Logging_2101/klagomålsmail/A 3439-2026 FSC-klagomål mail.docx", "A 3439-2026")</f>
        <v/>
      </c>
      <c r="X22">
        <f>HYPERLINK("https://klasma.github.io/Logging_2101/tillsyn/A 3439-2026 tillsynsbegäran.docx", "A 3439-2026")</f>
        <v/>
      </c>
      <c r="Y22">
        <f>HYPERLINK("https://klasma.github.io/Logging_2101/tillsynsmail/A 3439-2026 tillsynsbegäran mail.docx", "A 3439-2026")</f>
        <v/>
      </c>
      <c r="Z22">
        <f>HYPERLINK("https://klasma.github.io/Logging_2101/fåglar/A 3439-2026 prioriterade fågelarter.docx", "A 3439-2026")</f>
        <v/>
      </c>
    </row>
    <row r="23" ht="15" customHeight="1">
      <c r="A23" t="inlineStr">
        <is>
          <t>A 4180-2026</t>
        </is>
      </c>
      <c r="B23" s="1" t="n">
        <v>46044.68267361111</v>
      </c>
      <c r="C23" s="1" t="n">
        <v>46046</v>
      </c>
      <c r="D23" t="inlineStr">
        <is>
          <t>GÄVLEBORGS LÄN</t>
        </is>
      </c>
      <c r="E23" t="inlineStr">
        <is>
          <t>OCKELBO</t>
        </is>
      </c>
      <c r="G23" t="n">
        <v>15.9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4180-2026 artfynd.xlsx", "A 4180-2026")</f>
        <v/>
      </c>
      <c r="T23">
        <f>HYPERLINK("https://klasma.github.io/Logging_2101/kartor/A 4180-2026 karta.png", "A 4180-2026")</f>
        <v/>
      </c>
      <c r="V23">
        <f>HYPERLINK("https://klasma.github.io/Logging_2101/klagomål/A 4180-2026 FSC-klagomål.docx", "A 4180-2026")</f>
        <v/>
      </c>
      <c r="W23">
        <f>HYPERLINK("https://klasma.github.io/Logging_2101/klagomålsmail/A 4180-2026 FSC-klagomål mail.docx", "A 4180-2026")</f>
        <v/>
      </c>
      <c r="X23">
        <f>HYPERLINK("https://klasma.github.io/Logging_2101/tillsyn/A 4180-2026 tillsynsbegäran.docx", "A 4180-2026")</f>
        <v/>
      </c>
      <c r="Y23">
        <f>HYPERLINK("https://klasma.github.io/Logging_2101/tillsynsmail/A 4180-2026 tillsynsbegäran mail.docx", "A 4180-2026")</f>
        <v/>
      </c>
    </row>
    <row r="24" ht="15" customHeight="1">
      <c r="A24" t="inlineStr">
        <is>
          <t>A 32266-2021</t>
        </is>
      </c>
      <c r="B24" s="1" t="n">
        <v>44371</v>
      </c>
      <c r="C24" s="1" t="n">
        <v>46046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34722-2022</t>
        </is>
      </c>
      <c r="B25" s="1" t="n">
        <v>44795.59144675926</v>
      </c>
      <c r="C25" s="1" t="n">
        <v>46046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48201-2022</t>
        </is>
      </c>
      <c r="B26" s="1" t="n">
        <v>44858.42059027778</v>
      </c>
      <c r="C26" s="1" t="n">
        <v>46046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22585-2021</t>
        </is>
      </c>
      <c r="B27" s="1" t="n">
        <v>44327.39894675926</v>
      </c>
      <c r="C27" s="1" t="n">
        <v>46046</v>
      </c>
      <c r="D27" t="inlineStr">
        <is>
          <t>GÄVLEBORGS LÄN</t>
        </is>
      </c>
      <c r="E27" t="inlineStr">
        <is>
          <t>OCKELBO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51257-2021</t>
        </is>
      </c>
      <c r="B28" s="1" t="n">
        <v>44460</v>
      </c>
      <c r="C28" s="1" t="n">
        <v>46046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22580-2021</t>
        </is>
      </c>
      <c r="B29" s="1" t="n">
        <v>44327.39097222222</v>
      </c>
      <c r="C29" s="1" t="n">
        <v>46046</v>
      </c>
      <c r="D29" t="inlineStr">
        <is>
          <t>GÄVLEBORGS LÄN</t>
        </is>
      </c>
      <c r="E29" t="inlineStr">
        <is>
          <t>OCKELBO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34712-2022</t>
        </is>
      </c>
      <c r="B30" s="1" t="n">
        <v>44795.58167824074</v>
      </c>
      <c r="C30" s="1" t="n">
        <v>46046</v>
      </c>
      <c r="D30" t="inlineStr">
        <is>
          <t>GÄVLEBORGS LÄN</t>
        </is>
      </c>
      <c r="E30" t="inlineStr">
        <is>
          <t>OCKELBO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39888-2021</t>
        </is>
      </c>
      <c r="B31" s="1" t="n">
        <v>44417.70143518518</v>
      </c>
      <c r="C31" s="1" t="n">
        <v>46046</v>
      </c>
      <c r="D31" t="inlineStr">
        <is>
          <t>GÄVLEBORGS LÄN</t>
        </is>
      </c>
      <c r="E31" t="inlineStr">
        <is>
          <t>OCKELBO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37709-2021</t>
        </is>
      </c>
      <c r="B32" s="1" t="n">
        <v>44400.56368055556</v>
      </c>
      <c r="C32" s="1" t="n">
        <v>46046</v>
      </c>
      <c r="D32" t="inlineStr">
        <is>
          <t>GÄVLEBORGS LÄN</t>
        </is>
      </c>
      <c r="E32" t="inlineStr">
        <is>
          <t>OCKELBO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24803-2021</t>
        </is>
      </c>
      <c r="B33" s="1" t="n">
        <v>44340.65736111111</v>
      </c>
      <c r="C33" s="1" t="n">
        <v>46046</v>
      </c>
      <c r="D33" t="inlineStr">
        <is>
          <t>GÄVLEBORGS LÄN</t>
        </is>
      </c>
      <c r="E33" t="inlineStr">
        <is>
          <t>OCKELBO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51206-2021</t>
        </is>
      </c>
      <c r="B34" s="1" t="n">
        <v>44460</v>
      </c>
      <c r="C34" s="1" t="n">
        <v>46046</v>
      </c>
      <c r="D34" t="inlineStr">
        <is>
          <t>GÄVLEBORGS LÄN</t>
        </is>
      </c>
      <c r="E34" t="inlineStr">
        <is>
          <t>OCKELBO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56282-2021</t>
        </is>
      </c>
      <c r="B35" s="1" t="n">
        <v>44479</v>
      </c>
      <c r="C35" s="1" t="n">
        <v>46046</v>
      </c>
      <c r="D35" t="inlineStr">
        <is>
          <t>GÄVLEBORGS LÄN</t>
        </is>
      </c>
      <c r="E35" t="inlineStr">
        <is>
          <t>OCKELBO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68541-2021</t>
        </is>
      </c>
      <c r="B36" s="1" t="n">
        <v>44529.48662037037</v>
      </c>
      <c r="C36" s="1" t="n">
        <v>46046</v>
      </c>
      <c r="D36" t="inlineStr">
        <is>
          <t>GÄVLEBORGS LÄN</t>
        </is>
      </c>
      <c r="E36" t="inlineStr">
        <is>
          <t>OCKELBO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69833-2021</t>
        </is>
      </c>
      <c r="B37" s="1" t="n">
        <v>44532.6444212963</v>
      </c>
      <c r="C37" s="1" t="n">
        <v>46046</v>
      </c>
      <c r="D37" t="inlineStr">
        <is>
          <t>GÄVLEBORGS LÄN</t>
        </is>
      </c>
      <c r="E37" t="inlineStr">
        <is>
          <t>OCKELBO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39325-2022</t>
        </is>
      </c>
      <c r="B38" s="1" t="n">
        <v>44817</v>
      </c>
      <c r="C38" s="1" t="n">
        <v>46046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37701-2021</t>
        </is>
      </c>
      <c r="B39" s="1" t="n">
        <v>44400.53994212963</v>
      </c>
      <c r="C39" s="1" t="n">
        <v>46046</v>
      </c>
      <c r="D39" t="inlineStr">
        <is>
          <t>GÄVLEBORGS LÄN</t>
        </is>
      </c>
      <c r="E39" t="inlineStr">
        <is>
          <t>OCKELBO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46046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46046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40159-2021</t>
        </is>
      </c>
      <c r="B42" s="1" t="n">
        <v>44418</v>
      </c>
      <c r="C42" s="1" t="n">
        <v>46046</v>
      </c>
      <c r="D42" t="inlineStr">
        <is>
          <t>GÄVLEBORGS LÄN</t>
        </is>
      </c>
      <c r="E42" t="inlineStr">
        <is>
          <t>OCKELBO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46046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51250-2021</t>
        </is>
      </c>
      <c r="B44" s="1" t="n">
        <v>44460</v>
      </c>
      <c r="C44" s="1" t="n">
        <v>46046</v>
      </c>
      <c r="D44" t="inlineStr">
        <is>
          <t>GÄVLEBORGS LÄN</t>
        </is>
      </c>
      <c r="E44" t="inlineStr">
        <is>
          <t>OCKELBO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46046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46046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48381-2022</t>
        </is>
      </c>
      <c r="B47" s="1" t="n">
        <v>44858.59162037037</v>
      </c>
      <c r="C47" s="1" t="n">
        <v>46046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10100-2021</t>
        </is>
      </c>
      <c r="B48" s="1" t="n">
        <v>44256</v>
      </c>
      <c r="C48" s="1" t="n">
        <v>46046</v>
      </c>
      <c r="D48" t="inlineStr">
        <is>
          <t>GÄVLEBORGS LÄN</t>
        </is>
      </c>
      <c r="E48" t="inlineStr">
        <is>
          <t>OCKELBO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22035-2022</t>
        </is>
      </c>
      <c r="B49" s="1" t="n">
        <v>44711.63396990741</v>
      </c>
      <c r="C49" s="1" t="n">
        <v>46046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46046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34709-2022</t>
        </is>
      </c>
      <c r="B51" s="1" t="n">
        <v>44795.57931712963</v>
      </c>
      <c r="C51" s="1" t="n">
        <v>46046</v>
      </c>
      <c r="D51" t="inlineStr">
        <is>
          <t>GÄVLEBORGS LÄN</t>
        </is>
      </c>
      <c r="E51" t="inlineStr">
        <is>
          <t>OCKELBO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48205-2022</t>
        </is>
      </c>
      <c r="B52" s="1" t="n">
        <v>44858.42241898148</v>
      </c>
      <c r="C52" s="1" t="n">
        <v>46046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41622-2021</t>
        </is>
      </c>
      <c r="B53" s="1" t="n">
        <v>44425</v>
      </c>
      <c r="C53" s="1" t="n">
        <v>46046</v>
      </c>
      <c r="D53" t="inlineStr">
        <is>
          <t>GÄVLEBORGS LÄN</t>
        </is>
      </c>
      <c r="E53" t="inlineStr">
        <is>
          <t>OCKELBO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45522-2021</t>
        </is>
      </c>
      <c r="B54" s="1" t="n">
        <v>44440</v>
      </c>
      <c r="C54" s="1" t="n">
        <v>46046</v>
      </c>
      <c r="D54" t="inlineStr">
        <is>
          <t>GÄVLEBORGS LÄN</t>
        </is>
      </c>
      <c r="E54" t="inlineStr">
        <is>
          <t>OCKELBO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51708-2021</t>
        </is>
      </c>
      <c r="B55" s="1" t="n">
        <v>44462</v>
      </c>
      <c r="C55" s="1" t="n">
        <v>46046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34854-2021</t>
        </is>
      </c>
      <c r="B56" s="1" t="n">
        <v>44383</v>
      </c>
      <c r="C56" s="1" t="n">
        <v>46046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37705-2021</t>
        </is>
      </c>
      <c r="B57" s="1" t="n">
        <v>44400.55195601852</v>
      </c>
      <c r="C57" s="1" t="n">
        <v>46046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46046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19776-2021</t>
        </is>
      </c>
      <c r="B59" s="1" t="n">
        <v>44313</v>
      </c>
      <c r="C59" s="1" t="n">
        <v>46046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25583-2021</t>
        </is>
      </c>
      <c r="B60" s="1" t="n">
        <v>44343</v>
      </c>
      <c r="C60" s="1" t="n">
        <v>46046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69580-2021</t>
        </is>
      </c>
      <c r="B61" s="1" t="n">
        <v>44532.35103009259</v>
      </c>
      <c r="C61" s="1" t="n">
        <v>46046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12987-2022</t>
        </is>
      </c>
      <c r="B62" s="1" t="n">
        <v>44643.42163194445</v>
      </c>
      <c r="C62" s="1" t="n">
        <v>46046</v>
      </c>
      <c r="D62" t="inlineStr">
        <is>
          <t>GÄVLEBORGS LÄN</t>
        </is>
      </c>
      <c r="E62" t="inlineStr">
        <is>
          <t>OCKELBO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28006-2021</t>
        </is>
      </c>
      <c r="B63" s="1" t="n">
        <v>44355.33836805556</v>
      </c>
      <c r="C63" s="1" t="n">
        <v>46046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38604-2021</t>
        </is>
      </c>
      <c r="B64" s="1" t="n">
        <v>44409.33064814815</v>
      </c>
      <c r="C64" s="1" t="n">
        <v>46046</v>
      </c>
      <c r="D64" t="inlineStr">
        <is>
          <t>GÄVLEBORGS LÄN</t>
        </is>
      </c>
      <c r="E64" t="inlineStr">
        <is>
          <t>OCKELBO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35846-2022</t>
        </is>
      </c>
      <c r="B65" s="1" t="n">
        <v>44802.41177083334</v>
      </c>
      <c r="C65" s="1" t="n">
        <v>46046</v>
      </c>
      <c r="D65" t="inlineStr">
        <is>
          <t>GÄVLEBORGS LÄN</t>
        </is>
      </c>
      <c r="E65" t="inlineStr">
        <is>
          <t>OCKELBO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22581-2021</t>
        </is>
      </c>
      <c r="B66" s="1" t="n">
        <v>44327.39258101852</v>
      </c>
      <c r="C66" s="1" t="n">
        <v>46046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22583-2021</t>
        </is>
      </c>
      <c r="B67" s="1" t="n">
        <v>44327.396875</v>
      </c>
      <c r="C67" s="1" t="n">
        <v>46046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51271-2021</t>
        </is>
      </c>
      <c r="B68" s="1" t="n">
        <v>44460</v>
      </c>
      <c r="C68" s="1" t="n">
        <v>46046</v>
      </c>
      <c r="D68" t="inlineStr">
        <is>
          <t>GÄVLEBORGS LÄN</t>
        </is>
      </c>
      <c r="E68" t="inlineStr">
        <is>
          <t>OCKELBO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54152-2022</t>
        </is>
      </c>
      <c r="B69" s="1" t="n">
        <v>44881.63907407408</v>
      </c>
      <c r="C69" s="1" t="n">
        <v>46046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9287-2021</t>
        </is>
      </c>
      <c r="B70" s="1" t="n">
        <v>44250</v>
      </c>
      <c r="C70" s="1" t="n">
        <v>46046</v>
      </c>
      <c r="D70" t="inlineStr">
        <is>
          <t>GÄVLEBORGS LÄN</t>
        </is>
      </c>
      <c r="E70" t="inlineStr">
        <is>
          <t>OCKELBO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35245-2021</t>
        </is>
      </c>
      <c r="B71" s="1" t="n">
        <v>44384.58857638889</v>
      </c>
      <c r="C71" s="1" t="n">
        <v>46046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15705-2022</t>
        </is>
      </c>
      <c r="B72" s="1" t="n">
        <v>44663.44337962963</v>
      </c>
      <c r="C72" s="1" t="n">
        <v>46046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21291-2022</t>
        </is>
      </c>
      <c r="B73" s="1" t="n">
        <v>44705.48972222222</v>
      </c>
      <c r="C73" s="1" t="n">
        <v>46046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50762-2021</t>
        </is>
      </c>
      <c r="B74" s="1" t="n">
        <v>44460.42206018518</v>
      </c>
      <c r="C74" s="1" t="n">
        <v>46046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51565-2021</t>
        </is>
      </c>
      <c r="B75" s="1" t="n">
        <v>44460</v>
      </c>
      <c r="C75" s="1" t="n">
        <v>46046</v>
      </c>
      <c r="D75" t="inlineStr">
        <is>
          <t>GÄVLEBORGS LÄN</t>
        </is>
      </c>
      <c r="E75" t="inlineStr">
        <is>
          <t>OCKELBO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42313-2023</t>
        </is>
      </c>
      <c r="B76" s="1" t="n">
        <v>45180.46878472222</v>
      </c>
      <c r="C76" s="1" t="n">
        <v>46046</v>
      </c>
      <c r="D76" t="inlineStr">
        <is>
          <t>GÄVLEBORGS LÄN</t>
        </is>
      </c>
      <c r="E76" t="inlineStr">
        <is>
          <t>OCKELBO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51747-2022</t>
        </is>
      </c>
      <c r="B77" s="1" t="n">
        <v>44872.49866898148</v>
      </c>
      <c r="C77" s="1" t="n">
        <v>46046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36521-2022</t>
        </is>
      </c>
      <c r="B78" s="1" t="n">
        <v>44804.53847222222</v>
      </c>
      <c r="C78" s="1" t="n">
        <v>46046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23707-2021</t>
        </is>
      </c>
      <c r="B79" s="1" t="n">
        <v>44334.68707175926</v>
      </c>
      <c r="C79" s="1" t="n">
        <v>46046</v>
      </c>
      <c r="D79" t="inlineStr">
        <is>
          <t>GÄVLEBORGS LÄN</t>
        </is>
      </c>
      <c r="E79" t="inlineStr">
        <is>
          <t>OCKELBO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29953-2024</t>
        </is>
      </c>
      <c r="B80" s="1" t="n">
        <v>45488.44724537037</v>
      </c>
      <c r="C80" s="1" t="n">
        <v>46046</v>
      </c>
      <c r="D80" t="inlineStr">
        <is>
          <t>GÄVLEBORGS LÄN</t>
        </is>
      </c>
      <c r="E80" t="inlineStr">
        <is>
          <t>OCKELBO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53702-2024</t>
        </is>
      </c>
      <c r="B81" s="1" t="n">
        <v>45615.39707175926</v>
      </c>
      <c r="C81" s="1" t="n">
        <v>46046</v>
      </c>
      <c r="D81" t="inlineStr">
        <is>
          <t>GÄVLEBORGS LÄN</t>
        </is>
      </c>
      <c r="E81" t="inlineStr">
        <is>
          <t>OCKELBO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53139-2024</t>
        </is>
      </c>
      <c r="B82" s="1" t="n">
        <v>45611.59930555556</v>
      </c>
      <c r="C82" s="1" t="n">
        <v>46046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22587-2021</t>
        </is>
      </c>
      <c r="B83" s="1" t="n">
        <v>44327.40118055556</v>
      </c>
      <c r="C83" s="1" t="n">
        <v>46046</v>
      </c>
      <c r="D83" t="inlineStr">
        <is>
          <t>GÄVLEBORGS LÄN</t>
        </is>
      </c>
      <c r="E83" t="inlineStr">
        <is>
          <t>OCKELBO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56635-2021</t>
        </is>
      </c>
      <c r="B84" s="1" t="n">
        <v>44480</v>
      </c>
      <c r="C84" s="1" t="n">
        <v>46046</v>
      </c>
      <c r="D84" t="inlineStr">
        <is>
          <t>GÄVLEBORGS LÄN</t>
        </is>
      </c>
      <c r="E84" t="inlineStr">
        <is>
          <t>OCKELBO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26499-2021</t>
        </is>
      </c>
      <c r="B85" s="1" t="n">
        <v>44348.44310185185</v>
      </c>
      <c r="C85" s="1" t="n">
        <v>46046</v>
      </c>
      <c r="D85" t="inlineStr">
        <is>
          <t>GÄVLEBORGS LÄN</t>
        </is>
      </c>
      <c r="E85" t="inlineStr">
        <is>
          <t>OCKELBO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56232-2022</t>
        </is>
      </c>
      <c r="B86" s="1" t="n">
        <v>44890.52128472222</v>
      </c>
      <c r="C86" s="1" t="n">
        <v>46046</v>
      </c>
      <c r="D86" t="inlineStr">
        <is>
          <t>GÄVLEBORGS LÄN</t>
        </is>
      </c>
      <c r="E86" t="inlineStr">
        <is>
          <t>OCKELBO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64364-2023</t>
        </is>
      </c>
      <c r="B87" s="1" t="n">
        <v>45280.52896990741</v>
      </c>
      <c r="C87" s="1" t="n">
        <v>46046</v>
      </c>
      <c r="D87" t="inlineStr">
        <is>
          <t>GÄVLEBORGS LÄN</t>
        </is>
      </c>
      <c r="E87" t="inlineStr">
        <is>
          <t>OCKELBO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29437-2021</t>
        </is>
      </c>
      <c r="B88" s="1" t="n">
        <v>44361.58487268518</v>
      </c>
      <c r="C88" s="1" t="n">
        <v>46046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5571-2024</t>
        </is>
      </c>
      <c r="B89" s="1" t="n">
        <v>45334</v>
      </c>
      <c r="C89" s="1" t="n">
        <v>46046</v>
      </c>
      <c r="D89" t="inlineStr">
        <is>
          <t>GÄVLEBORGS LÄN</t>
        </is>
      </c>
      <c r="E89" t="inlineStr">
        <is>
          <t>OCKELBO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48148-2023</t>
        </is>
      </c>
      <c r="B90" s="1" t="n">
        <v>45205.40086805556</v>
      </c>
      <c r="C90" s="1" t="n">
        <v>46046</v>
      </c>
      <c r="D90" t="inlineStr">
        <is>
          <t>GÄVLEBORGS LÄN</t>
        </is>
      </c>
      <c r="E90" t="inlineStr">
        <is>
          <t>OCKELBO</t>
        </is>
      </c>
      <c r="F90" t="inlineStr">
        <is>
          <t>Kyrkan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28918-2021</t>
        </is>
      </c>
      <c r="B91" s="1" t="n">
        <v>44358</v>
      </c>
      <c r="C91" s="1" t="n">
        <v>46046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54627-2024</t>
        </is>
      </c>
      <c r="B92" s="1" t="n">
        <v>45617.82288194444</v>
      </c>
      <c r="C92" s="1" t="n">
        <v>46046</v>
      </c>
      <c r="D92" t="inlineStr">
        <is>
          <t>GÄVLEBORGS LÄN</t>
        </is>
      </c>
      <c r="E92" t="inlineStr">
        <is>
          <t>OCKELBO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60915-2024</t>
        </is>
      </c>
      <c r="B93" s="1" t="n">
        <v>45645.33822916666</v>
      </c>
      <c r="C93" s="1" t="n">
        <v>46046</v>
      </c>
      <c r="D93" t="inlineStr">
        <is>
          <t>GÄVLEBORGS LÄN</t>
        </is>
      </c>
      <c r="E93" t="inlineStr">
        <is>
          <t>OCKELBO</t>
        </is>
      </c>
      <c r="F93" t="inlineStr">
        <is>
          <t>Kyrkan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28586-2024</t>
        </is>
      </c>
      <c r="B94" s="1" t="n">
        <v>45478</v>
      </c>
      <c r="C94" s="1" t="n">
        <v>46046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37386-2023</t>
        </is>
      </c>
      <c r="B95" s="1" t="n">
        <v>45156</v>
      </c>
      <c r="C95" s="1" t="n">
        <v>46046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21582-2024</t>
        </is>
      </c>
      <c r="B96" s="1" t="n">
        <v>45441.70758101852</v>
      </c>
      <c r="C96" s="1" t="n">
        <v>46046</v>
      </c>
      <c r="D96" t="inlineStr">
        <is>
          <t>GÄVLEBORGS LÄN</t>
        </is>
      </c>
      <c r="E96" t="inlineStr">
        <is>
          <t>OCKELBO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32282-2021</t>
        </is>
      </c>
      <c r="B97" s="1" t="n">
        <v>44371.49859953704</v>
      </c>
      <c r="C97" s="1" t="n">
        <v>46046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55952-2022</t>
        </is>
      </c>
      <c r="B98" s="1" t="n">
        <v>44889</v>
      </c>
      <c r="C98" s="1" t="n">
        <v>46046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59976-2023</t>
        </is>
      </c>
      <c r="B99" s="1" t="n">
        <v>45254</v>
      </c>
      <c r="C99" s="1" t="n">
        <v>46046</v>
      </c>
      <c r="D99" t="inlineStr">
        <is>
          <t>GÄVLEBORGS LÄN</t>
        </is>
      </c>
      <c r="E99" t="inlineStr">
        <is>
          <t>OCKELBO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59978-2023</t>
        </is>
      </c>
      <c r="B100" s="1" t="n">
        <v>45254</v>
      </c>
      <c r="C100" s="1" t="n">
        <v>46046</v>
      </c>
      <c r="D100" t="inlineStr">
        <is>
          <t>GÄVLEBORGS LÄN</t>
        </is>
      </c>
      <c r="E100" t="inlineStr">
        <is>
          <t>OCKELBO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39062-2024</t>
        </is>
      </c>
      <c r="B101" s="1" t="n">
        <v>45548.50462962963</v>
      </c>
      <c r="C101" s="1" t="n">
        <v>46046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9464-2025</t>
        </is>
      </c>
      <c r="B102" s="1" t="n">
        <v>45715.4665625</v>
      </c>
      <c r="C102" s="1" t="n">
        <v>46046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öst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36210-2024</t>
        </is>
      </c>
      <c r="B103" s="1" t="n">
        <v>45534.45524305556</v>
      </c>
      <c r="C103" s="1" t="n">
        <v>46046</v>
      </c>
      <c r="D103" t="inlineStr">
        <is>
          <t>GÄVLEBORGS LÄN</t>
        </is>
      </c>
      <c r="E103" t="inlineStr">
        <is>
          <t>OCKELBO</t>
        </is>
      </c>
      <c r="F103" t="inlineStr">
        <is>
          <t>Kyrkan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23072-2024</t>
        </is>
      </c>
      <c r="B104" s="1" t="n">
        <v>45450.46739583334</v>
      </c>
      <c r="C104" s="1" t="n">
        <v>46046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10445-2024</t>
        </is>
      </c>
      <c r="B105" s="1" t="n">
        <v>45366.33762731482</v>
      </c>
      <c r="C105" s="1" t="n">
        <v>46046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53393-2022</t>
        </is>
      </c>
      <c r="B106" s="1" t="n">
        <v>44879</v>
      </c>
      <c r="C106" s="1" t="n">
        <v>46046</v>
      </c>
      <c r="D106" t="inlineStr">
        <is>
          <t>GÄVLEBORGS LÄN</t>
        </is>
      </c>
      <c r="E106" t="inlineStr">
        <is>
          <t>OCKELBO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38799-2024</t>
        </is>
      </c>
      <c r="B107" s="1" t="n">
        <v>45547</v>
      </c>
      <c r="C107" s="1" t="n">
        <v>46046</v>
      </c>
      <c r="D107" t="inlineStr">
        <is>
          <t>GÄVLEBORGS LÄN</t>
        </is>
      </c>
      <c r="E107" t="inlineStr">
        <is>
          <t>OCKELBO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49448-2023</t>
        </is>
      </c>
      <c r="B108" s="1" t="n">
        <v>45211</v>
      </c>
      <c r="C108" s="1" t="n">
        <v>46046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3628-2023</t>
        </is>
      </c>
      <c r="B109" s="1" t="n">
        <v>44950.64807870371</v>
      </c>
      <c r="C109" s="1" t="n">
        <v>46046</v>
      </c>
      <c r="D109" t="inlineStr">
        <is>
          <t>GÄVLEBORGS LÄN</t>
        </is>
      </c>
      <c r="E109" t="inlineStr">
        <is>
          <t>OCKELBO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59063-2023</t>
        </is>
      </c>
      <c r="B110" s="1" t="n">
        <v>45252.81868055555</v>
      </c>
      <c r="C110" s="1" t="n">
        <v>46046</v>
      </c>
      <c r="D110" t="inlineStr">
        <is>
          <t>GÄVLEBORGS LÄN</t>
        </is>
      </c>
      <c r="E110" t="inlineStr">
        <is>
          <t>OCKELBO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28966-2024</t>
        </is>
      </c>
      <c r="B111" s="1" t="n">
        <v>45481.43993055556</v>
      </c>
      <c r="C111" s="1" t="n">
        <v>46046</v>
      </c>
      <c r="D111" t="inlineStr">
        <is>
          <t>GÄVLEBORGS LÄN</t>
        </is>
      </c>
      <c r="E111" t="inlineStr">
        <is>
          <t>OCKELBO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20782-2025</t>
        </is>
      </c>
      <c r="B112" s="1" t="n">
        <v>45776</v>
      </c>
      <c r="C112" s="1" t="n">
        <v>46046</v>
      </c>
      <c r="D112" t="inlineStr">
        <is>
          <t>GÄVLEBORGS LÄN</t>
        </is>
      </c>
      <c r="E112" t="inlineStr">
        <is>
          <t>OCKELBO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29963-2024</t>
        </is>
      </c>
      <c r="B113" s="1" t="n">
        <v>45488.46547453704</v>
      </c>
      <c r="C113" s="1" t="n">
        <v>46046</v>
      </c>
      <c r="D113" t="inlineStr">
        <is>
          <t>GÄVLEBORGS LÄN</t>
        </is>
      </c>
      <c r="E113" t="inlineStr">
        <is>
          <t>OCKELBO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22151-2022</t>
        </is>
      </c>
      <c r="B114" s="1" t="n">
        <v>44712.42891203704</v>
      </c>
      <c r="C114" s="1" t="n">
        <v>46046</v>
      </c>
      <c r="D114" t="inlineStr">
        <is>
          <t>GÄVLEBORGS LÄN</t>
        </is>
      </c>
      <c r="E114" t="inlineStr">
        <is>
          <t>OCKELBO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921-2024</t>
        </is>
      </c>
      <c r="B115" s="1" t="n">
        <v>45301</v>
      </c>
      <c r="C115" s="1" t="n">
        <v>46046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39710-2023</t>
        </is>
      </c>
      <c r="B116" s="1" t="n">
        <v>45167.61197916666</v>
      </c>
      <c r="C116" s="1" t="n">
        <v>46046</v>
      </c>
      <c r="D116" t="inlineStr">
        <is>
          <t>GÄVLEBORGS LÄN</t>
        </is>
      </c>
      <c r="E116" t="inlineStr">
        <is>
          <t>OCKELBO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20775-2025</t>
        </is>
      </c>
      <c r="B117" s="1" t="n">
        <v>45776.59355324074</v>
      </c>
      <c r="C117" s="1" t="n">
        <v>46046</v>
      </c>
      <c r="D117" t="inlineStr">
        <is>
          <t>GÄVLEBORGS LÄN</t>
        </is>
      </c>
      <c r="E117" t="inlineStr">
        <is>
          <t>OCKELBO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55112-2023</t>
        </is>
      </c>
      <c r="B118" s="1" t="n">
        <v>45237.47232638889</v>
      </c>
      <c r="C118" s="1" t="n">
        <v>46046</v>
      </c>
      <c r="D118" t="inlineStr">
        <is>
          <t>GÄVLEBORGS LÄN</t>
        </is>
      </c>
      <c r="E118" t="inlineStr">
        <is>
          <t>OCKELBO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48804-2024</t>
        </is>
      </c>
      <c r="B119" s="1" t="n">
        <v>45593.66212962963</v>
      </c>
      <c r="C119" s="1" t="n">
        <v>46046</v>
      </c>
      <c r="D119" t="inlineStr">
        <is>
          <t>GÄVLEBORGS LÄN</t>
        </is>
      </c>
      <c r="E119" t="inlineStr">
        <is>
          <t>OCKELBO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30422-2023</t>
        </is>
      </c>
      <c r="B120" s="1" t="n">
        <v>45111.53038194445</v>
      </c>
      <c r="C120" s="1" t="n">
        <v>46046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54309-2024</t>
        </is>
      </c>
      <c r="B121" s="1" t="n">
        <v>45617.34234953704</v>
      </c>
      <c r="C121" s="1" t="n">
        <v>46046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15325-2025</t>
        </is>
      </c>
      <c r="B122" s="1" t="n">
        <v>45747.33708333333</v>
      </c>
      <c r="C122" s="1" t="n">
        <v>46046</v>
      </c>
      <c r="D122" t="inlineStr">
        <is>
          <t>GÄVLEBORGS LÄN</t>
        </is>
      </c>
      <c r="E122" t="inlineStr">
        <is>
          <t>OCKELBO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16989-2025</t>
        </is>
      </c>
      <c r="B123" s="1" t="n">
        <v>45755.4960300926</v>
      </c>
      <c r="C123" s="1" t="n">
        <v>46046</v>
      </c>
      <c r="D123" t="inlineStr">
        <is>
          <t>GÄVLEBORGS LÄN</t>
        </is>
      </c>
      <c r="E123" t="inlineStr">
        <is>
          <t>OCKELBO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23780-2024</t>
        </is>
      </c>
      <c r="B124" s="1" t="n">
        <v>45455.39258101852</v>
      </c>
      <c r="C124" s="1" t="n">
        <v>46046</v>
      </c>
      <c r="D124" t="inlineStr">
        <is>
          <t>GÄVLEBORGS LÄN</t>
        </is>
      </c>
      <c r="E124" t="inlineStr">
        <is>
          <t>OCKELBO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21886-2025</t>
        </is>
      </c>
      <c r="B125" s="1" t="n">
        <v>45784.42454861111</v>
      </c>
      <c r="C125" s="1" t="n">
        <v>46046</v>
      </c>
      <c r="D125" t="inlineStr">
        <is>
          <t>GÄVLEBORGS LÄN</t>
        </is>
      </c>
      <c r="E125" t="inlineStr">
        <is>
          <t>OCKELBO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33384-2024</t>
        </is>
      </c>
      <c r="B126" s="1" t="n">
        <v>45519.47035879629</v>
      </c>
      <c r="C126" s="1" t="n">
        <v>46046</v>
      </c>
      <c r="D126" t="inlineStr">
        <is>
          <t>GÄVLEBORGS LÄN</t>
        </is>
      </c>
      <c r="E126" t="inlineStr">
        <is>
          <t>OCKELBO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52273-2024</t>
        </is>
      </c>
      <c r="B127" s="1" t="n">
        <v>45608.66064814815</v>
      </c>
      <c r="C127" s="1" t="n">
        <v>46046</v>
      </c>
      <c r="D127" t="inlineStr">
        <is>
          <t>GÄVLEBORGS LÄN</t>
        </is>
      </c>
      <c r="E127" t="inlineStr">
        <is>
          <t>OCKELBO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29968-2024</t>
        </is>
      </c>
      <c r="B128" s="1" t="n">
        <v>45488.47298611111</v>
      </c>
      <c r="C128" s="1" t="n">
        <v>46046</v>
      </c>
      <c r="D128" t="inlineStr">
        <is>
          <t>GÄVLEBORGS LÄN</t>
        </is>
      </c>
      <c r="E128" t="inlineStr">
        <is>
          <t>OCKELBO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37848-2024</t>
        </is>
      </c>
      <c r="B129" s="1" t="n">
        <v>45544.3709837963</v>
      </c>
      <c r="C129" s="1" t="n">
        <v>46046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22105-2025</t>
        </is>
      </c>
      <c r="B130" s="1" t="n">
        <v>45785.48791666667</v>
      </c>
      <c r="C130" s="1" t="n">
        <v>46046</v>
      </c>
      <c r="D130" t="inlineStr">
        <is>
          <t>GÄVLEBORGS LÄN</t>
        </is>
      </c>
      <c r="E130" t="inlineStr">
        <is>
          <t>OCKELBO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60253-2023</t>
        </is>
      </c>
      <c r="B131" s="1" t="n">
        <v>45258</v>
      </c>
      <c r="C131" s="1" t="n">
        <v>46046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6568-2024</t>
        </is>
      </c>
      <c r="B132" s="1" t="n">
        <v>45341.46197916667</v>
      </c>
      <c r="C132" s="1" t="n">
        <v>46046</v>
      </c>
      <c r="D132" t="inlineStr">
        <is>
          <t>GÄVLEBORGS LÄN</t>
        </is>
      </c>
      <c r="E132" t="inlineStr">
        <is>
          <t>OCKELBO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60962-2024</t>
        </is>
      </c>
      <c r="B133" s="1" t="n">
        <v>45645.39519675926</v>
      </c>
      <c r="C133" s="1" t="n">
        <v>46046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22385-2025</t>
        </is>
      </c>
      <c r="B134" s="1" t="n">
        <v>45786.50641203704</v>
      </c>
      <c r="C134" s="1" t="n">
        <v>46046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22387-2025</t>
        </is>
      </c>
      <c r="B135" s="1" t="n">
        <v>45786.50910879629</v>
      </c>
      <c r="C135" s="1" t="n">
        <v>46046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61335-2022</t>
        </is>
      </c>
      <c r="B136" s="1" t="n">
        <v>44915.66561342592</v>
      </c>
      <c r="C136" s="1" t="n">
        <v>46046</v>
      </c>
      <c r="D136" t="inlineStr">
        <is>
          <t>GÄVLEBORGS LÄN</t>
        </is>
      </c>
      <c r="E136" t="inlineStr">
        <is>
          <t>OCKELBO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28584-2024</t>
        </is>
      </c>
      <c r="B137" s="1" t="n">
        <v>45478</v>
      </c>
      <c r="C137" s="1" t="n">
        <v>46046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54323-2024</t>
        </is>
      </c>
      <c r="B138" s="1" t="n">
        <v>45617.35549768519</v>
      </c>
      <c r="C138" s="1" t="n">
        <v>46046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28181-2022</t>
        </is>
      </c>
      <c r="B139" s="1" t="n">
        <v>44746.58283564815</v>
      </c>
      <c r="C139" s="1" t="n">
        <v>46046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23255-2024</t>
        </is>
      </c>
      <c r="B140" s="1" t="n">
        <v>45453.36412037037</v>
      </c>
      <c r="C140" s="1" t="n">
        <v>46046</v>
      </c>
      <c r="D140" t="inlineStr">
        <is>
          <t>GÄVLEBORGS LÄN</t>
        </is>
      </c>
      <c r="E140" t="inlineStr">
        <is>
          <t>OCKELBO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21418-2024</t>
        </is>
      </c>
      <c r="B141" s="1" t="n">
        <v>45441</v>
      </c>
      <c r="C141" s="1" t="n">
        <v>46046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22376-2025</t>
        </is>
      </c>
      <c r="B142" s="1" t="n">
        <v>45786.48606481482</v>
      </c>
      <c r="C142" s="1" t="n">
        <v>46046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6617-2025</t>
        </is>
      </c>
      <c r="B143" s="1" t="n">
        <v>45700</v>
      </c>
      <c r="C143" s="1" t="n">
        <v>46046</v>
      </c>
      <c r="D143" t="inlineStr">
        <is>
          <t>GÄVLEBORGS LÄN</t>
        </is>
      </c>
      <c r="E143" t="inlineStr">
        <is>
          <t>OCKELBO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23316-2025</t>
        </is>
      </c>
      <c r="B144" s="1" t="n">
        <v>45791.61199074074</v>
      </c>
      <c r="C144" s="1" t="n">
        <v>46046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3034-2025</t>
        </is>
      </c>
      <c r="B145" s="1" t="n">
        <v>45678.59506944445</v>
      </c>
      <c r="C145" s="1" t="n">
        <v>46046</v>
      </c>
      <c r="D145" t="inlineStr">
        <is>
          <t>GÄVLEBORGS LÄN</t>
        </is>
      </c>
      <c r="E145" t="inlineStr">
        <is>
          <t>OCKELBO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20689-2025</t>
        </is>
      </c>
      <c r="B146" s="1" t="n">
        <v>45776.45578703703</v>
      </c>
      <c r="C146" s="1" t="n">
        <v>46046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6742-2024</t>
        </is>
      </c>
      <c r="B147" s="1" t="n">
        <v>45342.40693287037</v>
      </c>
      <c r="C147" s="1" t="n">
        <v>46046</v>
      </c>
      <c r="D147" t="inlineStr">
        <is>
          <t>GÄVLEBORGS LÄN</t>
        </is>
      </c>
      <c r="E147" t="inlineStr">
        <is>
          <t>OCKELBO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23004-2025</t>
        </is>
      </c>
      <c r="B148" s="1" t="n">
        <v>45790.60747685185</v>
      </c>
      <c r="C148" s="1" t="n">
        <v>46046</v>
      </c>
      <c r="D148" t="inlineStr">
        <is>
          <t>GÄVLEBORGS LÄN</t>
        </is>
      </c>
      <c r="E148" t="inlineStr">
        <is>
          <t>OCKELBO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55011-2024</t>
        </is>
      </c>
      <c r="B149" s="1" t="n">
        <v>45621.34652777778</v>
      </c>
      <c r="C149" s="1" t="n">
        <v>46046</v>
      </c>
      <c r="D149" t="inlineStr">
        <is>
          <t>GÄVLEBORGS LÄN</t>
        </is>
      </c>
      <c r="E149" t="inlineStr">
        <is>
          <t>OCKELBO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7276-2023</t>
        </is>
      </c>
      <c r="B150" s="1" t="n">
        <v>44970</v>
      </c>
      <c r="C150" s="1" t="n">
        <v>46046</v>
      </c>
      <c r="D150" t="inlineStr">
        <is>
          <t>GÄVLEBORGS LÄN</t>
        </is>
      </c>
      <c r="E150" t="inlineStr">
        <is>
          <t>OCKELBO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23541-2025</t>
        </is>
      </c>
      <c r="B151" s="1" t="n">
        <v>45792.55434027778</v>
      </c>
      <c r="C151" s="1" t="n">
        <v>46046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61319-2024</t>
        </is>
      </c>
      <c r="B152" s="1" t="n">
        <v>45646.33236111111</v>
      </c>
      <c r="C152" s="1" t="n">
        <v>46046</v>
      </c>
      <c r="D152" t="inlineStr">
        <is>
          <t>GÄVLEBORGS LÄN</t>
        </is>
      </c>
      <c r="E152" t="inlineStr">
        <is>
          <t>OCKELBO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26085-2024</t>
        </is>
      </c>
      <c r="B153" s="1" t="n">
        <v>45468.38417824074</v>
      </c>
      <c r="C153" s="1" t="n">
        <v>46046</v>
      </c>
      <c r="D153" t="inlineStr">
        <is>
          <t>GÄVLEBORGS LÄN</t>
        </is>
      </c>
      <c r="E153" t="inlineStr">
        <is>
          <t>OCKELBO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48803-2024</t>
        </is>
      </c>
      <c r="B154" s="1" t="n">
        <v>45593.66165509259</v>
      </c>
      <c r="C154" s="1" t="n">
        <v>46046</v>
      </c>
      <c r="D154" t="inlineStr">
        <is>
          <t>GÄVLEBORGS LÄN</t>
        </is>
      </c>
      <c r="E154" t="inlineStr">
        <is>
          <t>OCKELBO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37438-2023</t>
        </is>
      </c>
      <c r="B155" s="1" t="n">
        <v>45156</v>
      </c>
      <c r="C155" s="1" t="n">
        <v>46046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9447-2025</t>
        </is>
      </c>
      <c r="B156" s="1" t="n">
        <v>45715.42207175926</v>
      </c>
      <c r="C156" s="1" t="n">
        <v>46046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öst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12480-2021</t>
        </is>
      </c>
      <c r="B157" s="1" t="n">
        <v>44267.69099537037</v>
      </c>
      <c r="C157" s="1" t="n">
        <v>46046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3620-2023</t>
        </is>
      </c>
      <c r="B158" s="1" t="n">
        <v>44950</v>
      </c>
      <c r="C158" s="1" t="n">
        <v>46046</v>
      </c>
      <c r="D158" t="inlineStr">
        <is>
          <t>GÄVLEBORGS LÄN</t>
        </is>
      </c>
      <c r="E158" t="inlineStr">
        <is>
          <t>OCKELBO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6058-2023</t>
        </is>
      </c>
      <c r="B159" s="1" t="n">
        <v>44964</v>
      </c>
      <c r="C159" s="1" t="n">
        <v>46046</v>
      </c>
      <c r="D159" t="inlineStr">
        <is>
          <t>GÄVLEBORGS LÄN</t>
        </is>
      </c>
      <c r="E159" t="inlineStr">
        <is>
          <t>OCKELBO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16752-2025</t>
        </is>
      </c>
      <c r="B160" s="1" t="n">
        <v>45754.56815972222</v>
      </c>
      <c r="C160" s="1" t="n">
        <v>46046</v>
      </c>
      <c r="D160" t="inlineStr">
        <is>
          <t>GÄVLEBORGS LÄN</t>
        </is>
      </c>
      <c r="E160" t="inlineStr">
        <is>
          <t>OCKELBO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20059-2025</t>
        </is>
      </c>
      <c r="B161" s="1" t="n">
        <v>45772.41228009259</v>
      </c>
      <c r="C161" s="1" t="n">
        <v>46046</v>
      </c>
      <c r="D161" t="inlineStr">
        <is>
          <t>GÄVLEBORGS LÄN</t>
        </is>
      </c>
      <c r="E161" t="inlineStr">
        <is>
          <t>OCKELBO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16623-2025</t>
        </is>
      </c>
      <c r="B162" s="1" t="n">
        <v>45754.34134259259</v>
      </c>
      <c r="C162" s="1" t="n">
        <v>46046</v>
      </c>
      <c r="D162" t="inlineStr">
        <is>
          <t>GÄVLEBORGS LÄN</t>
        </is>
      </c>
      <c r="E162" t="inlineStr">
        <is>
          <t>OCKELBO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16629-2025</t>
        </is>
      </c>
      <c r="B163" s="1" t="n">
        <v>45754.36008101852</v>
      </c>
      <c r="C163" s="1" t="n">
        <v>46046</v>
      </c>
      <c r="D163" t="inlineStr">
        <is>
          <t>GÄVLEBORGS LÄN</t>
        </is>
      </c>
      <c r="E163" t="inlineStr">
        <is>
          <t>OCKELBO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59533-2023</t>
        </is>
      </c>
      <c r="B164" s="1" t="n">
        <v>45254.51929398148</v>
      </c>
      <c r="C164" s="1" t="n">
        <v>46046</v>
      </c>
      <c r="D164" t="inlineStr">
        <is>
          <t>GÄVLEBORGS LÄN</t>
        </is>
      </c>
      <c r="E164" t="inlineStr">
        <is>
          <t>OCKELBO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3267-2025</t>
        </is>
      </c>
      <c r="B165" s="1" t="n">
        <v>45679.57982638889</v>
      </c>
      <c r="C165" s="1" t="n">
        <v>46046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2555-2025</t>
        </is>
      </c>
      <c r="B166" s="1" t="n">
        <v>45674.64806712963</v>
      </c>
      <c r="C166" s="1" t="n">
        <v>46046</v>
      </c>
      <c r="D166" t="inlineStr">
        <is>
          <t>GÄVLEBORGS LÄN</t>
        </is>
      </c>
      <c r="E166" t="inlineStr">
        <is>
          <t>OCKELBO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15403-2022</t>
        </is>
      </c>
      <c r="B167" s="1" t="n">
        <v>44659</v>
      </c>
      <c r="C167" s="1" t="n">
        <v>46046</v>
      </c>
      <c r="D167" t="inlineStr">
        <is>
          <t>GÄVLEBORGS LÄN</t>
        </is>
      </c>
      <c r="E167" t="inlineStr">
        <is>
          <t>OCKELBO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5131-2024</t>
        </is>
      </c>
      <c r="B168" s="1" t="n">
        <v>45330.44824074074</v>
      </c>
      <c r="C168" s="1" t="n">
        <v>46046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19495-2024</t>
        </is>
      </c>
      <c r="B169" s="1" t="n">
        <v>45429.58289351852</v>
      </c>
      <c r="C169" s="1" t="n">
        <v>46046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17538-2025</t>
        </is>
      </c>
      <c r="B170" s="1" t="n">
        <v>45757.60380787037</v>
      </c>
      <c r="C170" s="1" t="n">
        <v>46046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64924-2023</t>
        </is>
      </c>
      <c r="B171" s="1" t="n">
        <v>45282</v>
      </c>
      <c r="C171" s="1" t="n">
        <v>46046</v>
      </c>
      <c r="D171" t="inlineStr">
        <is>
          <t>GÄVLEBORGS LÄN</t>
        </is>
      </c>
      <c r="E171" t="inlineStr">
        <is>
          <t>OCKELBO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20207-2024</t>
        </is>
      </c>
      <c r="B172" s="1" t="n">
        <v>45434.65519675926</v>
      </c>
      <c r="C172" s="1" t="n">
        <v>46046</v>
      </c>
      <c r="D172" t="inlineStr">
        <is>
          <t>GÄVLEBORGS LÄN</t>
        </is>
      </c>
      <c r="E172" t="inlineStr">
        <is>
          <t>OCKELBO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29534-2023</t>
        </is>
      </c>
      <c r="B173" s="1" t="n">
        <v>45106.63590277778</v>
      </c>
      <c r="C173" s="1" t="n">
        <v>46046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16738-2025</t>
        </is>
      </c>
      <c r="B174" s="1" t="n">
        <v>45754.54916666666</v>
      </c>
      <c r="C174" s="1" t="n">
        <v>46046</v>
      </c>
      <c r="D174" t="inlineStr">
        <is>
          <t>GÄVLEBORGS LÄN</t>
        </is>
      </c>
      <c r="E174" t="inlineStr">
        <is>
          <t>OCKELBO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34944-2024</t>
        </is>
      </c>
      <c r="B175" s="1" t="n">
        <v>45527.46929398148</v>
      </c>
      <c r="C175" s="1" t="n">
        <v>46046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49470-2024</t>
        </is>
      </c>
      <c r="B176" s="1" t="n">
        <v>45596.34179398148</v>
      </c>
      <c r="C176" s="1" t="n">
        <v>46046</v>
      </c>
      <c r="D176" t="inlineStr">
        <is>
          <t>GÄVLEBORGS LÄN</t>
        </is>
      </c>
      <c r="E176" t="inlineStr">
        <is>
          <t>OCKELBO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15502-2025</t>
        </is>
      </c>
      <c r="B177" s="1" t="n">
        <v>45747.58980324074</v>
      </c>
      <c r="C177" s="1" t="n">
        <v>46046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20231-2024</t>
        </is>
      </c>
      <c r="B178" s="1" t="n">
        <v>45434</v>
      </c>
      <c r="C178" s="1" t="n">
        <v>46046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35054-2022</t>
        </is>
      </c>
      <c r="B179" s="1" t="n">
        <v>44797.3377662037</v>
      </c>
      <c r="C179" s="1" t="n">
        <v>46046</v>
      </c>
      <c r="D179" t="inlineStr">
        <is>
          <t>GÄVLEBORGS LÄN</t>
        </is>
      </c>
      <c r="E179" t="inlineStr">
        <is>
          <t>OCKELBO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2556-2025</t>
        </is>
      </c>
      <c r="B180" s="1" t="n">
        <v>45674.64923611111</v>
      </c>
      <c r="C180" s="1" t="n">
        <v>46046</v>
      </c>
      <c r="D180" t="inlineStr">
        <is>
          <t>GÄVLEBORGS LÄN</t>
        </is>
      </c>
      <c r="E180" t="inlineStr">
        <is>
          <t>OCKELBO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25640-2025</t>
        </is>
      </c>
      <c r="B181" s="1" t="n">
        <v>45803.60325231482</v>
      </c>
      <c r="C181" s="1" t="n">
        <v>46046</v>
      </c>
      <c r="D181" t="inlineStr">
        <is>
          <t>GÄVLEBORGS LÄN</t>
        </is>
      </c>
      <c r="E181" t="inlineStr">
        <is>
          <t>OCKELBO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32301-2022</t>
        </is>
      </c>
      <c r="B182" s="1" t="n">
        <v>44781.62321759259</v>
      </c>
      <c r="C182" s="1" t="n">
        <v>46046</v>
      </c>
      <c r="D182" t="inlineStr">
        <is>
          <t>GÄVLEBORGS LÄN</t>
        </is>
      </c>
      <c r="E182" t="inlineStr">
        <is>
          <t>OCKELBO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25233-2025</t>
        </is>
      </c>
      <c r="B183" s="1" t="n">
        <v>45800.48542824074</v>
      </c>
      <c r="C183" s="1" t="n">
        <v>46046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25168-2025</t>
        </is>
      </c>
      <c r="B184" s="1" t="n">
        <v>45800.43626157408</v>
      </c>
      <c r="C184" s="1" t="n">
        <v>46046</v>
      </c>
      <c r="D184" t="inlineStr">
        <is>
          <t>GÄVLEBORGS LÄN</t>
        </is>
      </c>
      <c r="E184" t="inlineStr">
        <is>
          <t>OCKELBO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25404-2025</t>
        </is>
      </c>
      <c r="B185" s="1" t="n">
        <v>45800.65675925926</v>
      </c>
      <c r="C185" s="1" t="n">
        <v>46046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25564-2025</t>
        </is>
      </c>
      <c r="B186" s="1" t="n">
        <v>45803.45716435185</v>
      </c>
      <c r="C186" s="1" t="n">
        <v>46046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25512-2025</t>
        </is>
      </c>
      <c r="B187" s="1" t="n">
        <v>45803.36275462963</v>
      </c>
      <c r="C187" s="1" t="n">
        <v>46046</v>
      </c>
      <c r="D187" t="inlineStr">
        <is>
          <t>GÄVLEBORGS LÄN</t>
        </is>
      </c>
      <c r="E187" t="inlineStr">
        <is>
          <t>OCKELBO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25518-2025</t>
        </is>
      </c>
      <c r="B188" s="1" t="n">
        <v>45803.38435185186</v>
      </c>
      <c r="C188" s="1" t="n">
        <v>46046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60148-2023</t>
        </is>
      </c>
      <c r="B189" s="1" t="n">
        <v>45258.52659722222</v>
      </c>
      <c r="C189" s="1" t="n">
        <v>46046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25246-2025</t>
        </is>
      </c>
      <c r="B190" s="1" t="n">
        <v>45800.49399305556</v>
      </c>
      <c r="C190" s="1" t="n">
        <v>46046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25248-2025</t>
        </is>
      </c>
      <c r="B191" s="1" t="n">
        <v>45800.49638888889</v>
      </c>
      <c r="C191" s="1" t="n">
        <v>46046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25191-2025</t>
        </is>
      </c>
      <c r="B192" s="1" t="n">
        <v>45800.45778935185</v>
      </c>
      <c r="C192" s="1" t="n">
        <v>46046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25234-2025</t>
        </is>
      </c>
      <c r="B193" s="1" t="n">
        <v>45800.48849537037</v>
      </c>
      <c r="C193" s="1" t="n">
        <v>46046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10150-2023</t>
        </is>
      </c>
      <c r="B194" s="1" t="n">
        <v>44986</v>
      </c>
      <c r="C194" s="1" t="n">
        <v>46046</v>
      </c>
      <c r="D194" t="inlineStr">
        <is>
          <t>GÄVLEBORGS LÄN</t>
        </is>
      </c>
      <c r="E194" t="inlineStr">
        <is>
          <t>OCKELBO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9859-2025</t>
        </is>
      </c>
      <c r="B195" s="1" t="n">
        <v>45716.62736111111</v>
      </c>
      <c r="C195" s="1" t="n">
        <v>46046</v>
      </c>
      <c r="D195" t="inlineStr">
        <is>
          <t>GÄVLEBORGS LÄN</t>
        </is>
      </c>
      <c r="E195" t="inlineStr">
        <is>
          <t>OCKELBO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25250-2025</t>
        </is>
      </c>
      <c r="B196" s="1" t="n">
        <v>45800.49899305555</v>
      </c>
      <c r="C196" s="1" t="n">
        <v>46046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54807-2024</t>
        </is>
      </c>
      <c r="B197" s="1" t="n">
        <v>45618.51423611111</v>
      </c>
      <c r="C197" s="1" t="n">
        <v>46046</v>
      </c>
      <c r="D197" t="inlineStr">
        <is>
          <t>GÄVLEBORGS LÄN</t>
        </is>
      </c>
      <c r="E197" t="inlineStr">
        <is>
          <t>OCKELBO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61116-2023</t>
        </is>
      </c>
      <c r="B198" s="1" t="n">
        <v>45261</v>
      </c>
      <c r="C198" s="1" t="n">
        <v>46046</v>
      </c>
      <c r="D198" t="inlineStr">
        <is>
          <t>GÄVLEBORGS LÄN</t>
        </is>
      </c>
      <c r="E198" t="inlineStr">
        <is>
          <t>OCKELBO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19909-2023</t>
        </is>
      </c>
      <c r="B199" s="1" t="n">
        <v>45054.4237037037</v>
      </c>
      <c r="C199" s="1" t="n">
        <v>46046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19919-2023</t>
        </is>
      </c>
      <c r="B200" s="1" t="n">
        <v>45054.44943287037</v>
      </c>
      <c r="C200" s="1" t="n">
        <v>46046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49740-2024</t>
        </is>
      </c>
      <c r="B201" s="1" t="n">
        <v>45596.92895833333</v>
      </c>
      <c r="C201" s="1" t="n">
        <v>46046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26195-2025</t>
        </is>
      </c>
      <c r="B202" s="1" t="n">
        <v>45805.49575231481</v>
      </c>
      <c r="C202" s="1" t="n">
        <v>46046</v>
      </c>
      <c r="D202" t="inlineStr">
        <is>
          <t>GÄVLEBORGS LÄN</t>
        </is>
      </c>
      <c r="E202" t="inlineStr">
        <is>
          <t>OCKELBO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25318-2021</t>
        </is>
      </c>
      <c r="B203" s="1" t="n">
        <v>44342</v>
      </c>
      <c r="C203" s="1" t="n">
        <v>46046</v>
      </c>
      <c r="D203" t="inlineStr">
        <is>
          <t>GÄVLEBORGS LÄN</t>
        </is>
      </c>
      <c r="E203" t="inlineStr">
        <is>
          <t>OCKELBO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65259-2023</t>
        </is>
      </c>
      <c r="B204" s="1" t="n">
        <v>45291.52712962963</v>
      </c>
      <c r="C204" s="1" t="n">
        <v>46046</v>
      </c>
      <c r="D204" t="inlineStr">
        <is>
          <t>GÄVLEBORGS LÄN</t>
        </is>
      </c>
      <c r="E204" t="inlineStr">
        <is>
          <t>OCKELBO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40794-2024</t>
        </is>
      </c>
      <c r="B205" s="1" t="n">
        <v>45558.50545138889</v>
      </c>
      <c r="C205" s="1" t="n">
        <v>46046</v>
      </c>
      <c r="D205" t="inlineStr">
        <is>
          <t>GÄVLEBORGS LÄN</t>
        </is>
      </c>
      <c r="E205" t="inlineStr">
        <is>
          <t>OCKELBO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57485-2024</t>
        </is>
      </c>
      <c r="B206" s="1" t="n">
        <v>45630.35421296296</v>
      </c>
      <c r="C206" s="1" t="n">
        <v>46046</v>
      </c>
      <c r="D206" t="inlineStr">
        <is>
          <t>GÄVLEBORGS LÄN</t>
        </is>
      </c>
      <c r="E206" t="inlineStr">
        <is>
          <t>OCKELBO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56352-2024</t>
        </is>
      </c>
      <c r="B207" s="1" t="n">
        <v>45624.92115740741</v>
      </c>
      <c r="C207" s="1" t="n">
        <v>46046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56376-2024</t>
        </is>
      </c>
      <c r="B208" s="1" t="n">
        <v>45625.33287037037</v>
      </c>
      <c r="C208" s="1" t="n">
        <v>46046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53137-2024</t>
        </is>
      </c>
      <c r="B209" s="1" t="n">
        <v>45611.59655092593</v>
      </c>
      <c r="C209" s="1" t="n">
        <v>46046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56615-2024</t>
        </is>
      </c>
      <c r="B210" s="1" t="n">
        <v>45625.65038194445</v>
      </c>
      <c r="C210" s="1" t="n">
        <v>46046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öst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33617-2023</t>
        </is>
      </c>
      <c r="B211" s="1" t="n">
        <v>45132.37506944445</v>
      </c>
      <c r="C211" s="1" t="n">
        <v>46046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11385-2025</t>
        </is>
      </c>
      <c r="B212" s="1" t="n">
        <v>45726.56340277778</v>
      </c>
      <c r="C212" s="1" t="n">
        <v>46046</v>
      </c>
      <c r="D212" t="inlineStr">
        <is>
          <t>GÄVLEBORGS LÄN</t>
        </is>
      </c>
      <c r="E212" t="inlineStr">
        <is>
          <t>OCKELBO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19886-2023</t>
        </is>
      </c>
      <c r="B213" s="1" t="n">
        <v>45054.36821759259</v>
      </c>
      <c r="C213" s="1" t="n">
        <v>46046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39430-2024</t>
        </is>
      </c>
      <c r="B214" s="1" t="n">
        <v>45551.59668981482</v>
      </c>
      <c r="C214" s="1" t="n">
        <v>46046</v>
      </c>
      <c r="D214" t="inlineStr">
        <is>
          <t>GÄVLEBORGS LÄN</t>
        </is>
      </c>
      <c r="E214" t="inlineStr">
        <is>
          <t>OCKELBO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21936-2024</t>
        </is>
      </c>
      <c r="B215" s="1" t="n">
        <v>45443.47413194444</v>
      </c>
      <c r="C215" s="1" t="n">
        <v>46046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12767-2025</t>
        </is>
      </c>
      <c r="B216" s="1" t="n">
        <v>45733.57708333333</v>
      </c>
      <c r="C216" s="1" t="n">
        <v>46046</v>
      </c>
      <c r="D216" t="inlineStr">
        <is>
          <t>GÄVLEBORGS LÄN</t>
        </is>
      </c>
      <c r="E216" t="inlineStr">
        <is>
          <t>OCKELBO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26821-2025</t>
        </is>
      </c>
      <c r="B217" s="1" t="n">
        <v>45810.64354166666</v>
      </c>
      <c r="C217" s="1" t="n">
        <v>46046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4069-2024</t>
        </is>
      </c>
      <c r="B218" s="1" t="n">
        <v>45323.56510416666</v>
      </c>
      <c r="C218" s="1" t="n">
        <v>46046</v>
      </c>
      <c r="D218" t="inlineStr">
        <is>
          <t>GÄVLEBORGS LÄN</t>
        </is>
      </c>
      <c r="E218" t="inlineStr">
        <is>
          <t>OCKELBO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3593-2023</t>
        </is>
      </c>
      <c r="B219" s="1" t="n">
        <v>44950.56905092593</v>
      </c>
      <c r="C219" s="1" t="n">
        <v>46046</v>
      </c>
      <c r="D219" t="inlineStr">
        <is>
          <t>GÄVLEBORGS LÄN</t>
        </is>
      </c>
      <c r="E219" t="inlineStr">
        <is>
          <t>OCKELBO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52125-2024</t>
        </is>
      </c>
      <c r="B220" s="1" t="n">
        <v>45608.46461805556</v>
      </c>
      <c r="C220" s="1" t="n">
        <v>46046</v>
      </c>
      <c r="D220" t="inlineStr">
        <is>
          <t>GÄVLEBORGS LÄN</t>
        </is>
      </c>
      <c r="E220" t="inlineStr">
        <is>
          <t>OCKELBO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36553-2021</t>
        </is>
      </c>
      <c r="B221" s="1" t="n">
        <v>44391</v>
      </c>
      <c r="C221" s="1" t="n">
        <v>46046</v>
      </c>
      <c r="D221" t="inlineStr">
        <is>
          <t>GÄVLEBORGS LÄN</t>
        </is>
      </c>
      <c r="E221" t="inlineStr">
        <is>
          <t>OCKELBO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49571-2022</t>
        </is>
      </c>
      <c r="B222" s="1" t="n">
        <v>44862.33306712963</v>
      </c>
      <c r="C222" s="1" t="n">
        <v>46046</v>
      </c>
      <c r="D222" t="inlineStr">
        <is>
          <t>GÄVLEBORGS LÄN</t>
        </is>
      </c>
      <c r="E222" t="inlineStr">
        <is>
          <t>OCKELBO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61732-2024</t>
        </is>
      </c>
      <c r="B223" s="1" t="n">
        <v>45649.34438657408</v>
      </c>
      <c r="C223" s="1" t="n">
        <v>46046</v>
      </c>
      <c r="D223" t="inlineStr">
        <is>
          <t>GÄVLEBORGS LÄN</t>
        </is>
      </c>
      <c r="E223" t="inlineStr">
        <is>
          <t>OCKELBO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52206-2024</t>
        </is>
      </c>
      <c r="B224" s="1" t="n">
        <v>45608.58549768518</v>
      </c>
      <c r="C224" s="1" t="n">
        <v>46046</v>
      </c>
      <c r="D224" t="inlineStr">
        <is>
          <t>GÄVLEBORGS LÄN</t>
        </is>
      </c>
      <c r="E224" t="inlineStr">
        <is>
          <t>OCKELBO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27990-2025</t>
        </is>
      </c>
      <c r="B225" s="1" t="n">
        <v>45817.58722222222</v>
      </c>
      <c r="C225" s="1" t="n">
        <v>46046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27997-2025</t>
        </is>
      </c>
      <c r="B226" s="1" t="n">
        <v>45817.59430555555</v>
      </c>
      <c r="C226" s="1" t="n">
        <v>46046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28080-2025</t>
        </is>
      </c>
      <c r="B227" s="1" t="n">
        <v>45817.70028935185</v>
      </c>
      <c r="C227" s="1" t="n">
        <v>46046</v>
      </c>
      <c r="D227" t="inlineStr">
        <is>
          <t>GÄVLEBORGS LÄN</t>
        </is>
      </c>
      <c r="E227" t="inlineStr">
        <is>
          <t>OCKELBO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29885-2023</t>
        </is>
      </c>
      <c r="B228" s="1" t="n">
        <v>45107.63166666667</v>
      </c>
      <c r="C228" s="1" t="n">
        <v>46046</v>
      </c>
      <c r="D228" t="inlineStr">
        <is>
          <t>GÄVLEBORGS LÄN</t>
        </is>
      </c>
      <c r="E228" t="inlineStr">
        <is>
          <t>OCKELBO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28006-2025</t>
        </is>
      </c>
      <c r="B229" s="1" t="n">
        <v>45817.59944444444</v>
      </c>
      <c r="C229" s="1" t="n">
        <v>46046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19762-2024</t>
        </is>
      </c>
      <c r="B230" s="1" t="n">
        <v>45432.6987037037</v>
      </c>
      <c r="C230" s="1" t="n">
        <v>46046</v>
      </c>
      <c r="D230" t="inlineStr">
        <is>
          <t>GÄVLEBORGS LÄN</t>
        </is>
      </c>
      <c r="E230" t="inlineStr">
        <is>
          <t>OCKELBO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33278-2021</t>
        </is>
      </c>
      <c r="B231" s="1" t="n">
        <v>44377</v>
      </c>
      <c r="C231" s="1" t="n">
        <v>46046</v>
      </c>
      <c r="D231" t="inlineStr">
        <is>
          <t>GÄVLEBORGS LÄN</t>
        </is>
      </c>
      <c r="E231" t="inlineStr">
        <is>
          <t>OCKELBO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17690-2025</t>
        </is>
      </c>
      <c r="B232" s="1" t="n">
        <v>45758.40640046296</v>
      </c>
      <c r="C232" s="1" t="n">
        <v>46046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55154-2024</t>
        </is>
      </c>
      <c r="B233" s="1" t="n">
        <v>45621.4991087963</v>
      </c>
      <c r="C233" s="1" t="n">
        <v>46046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28669-2025</t>
        </is>
      </c>
      <c r="B234" s="1" t="n">
        <v>45819.66730324074</v>
      </c>
      <c r="C234" s="1" t="n">
        <v>46046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50197-2024</t>
        </is>
      </c>
      <c r="B235" s="1" t="n">
        <v>45600.48857638889</v>
      </c>
      <c r="C235" s="1" t="n">
        <v>46046</v>
      </c>
      <c r="D235" t="inlineStr">
        <is>
          <t>GÄVLEBORGS LÄN</t>
        </is>
      </c>
      <c r="E235" t="inlineStr">
        <is>
          <t>OCKELBO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28576-2025</t>
        </is>
      </c>
      <c r="B236" s="1" t="n">
        <v>45819.5671412037</v>
      </c>
      <c r="C236" s="1" t="n">
        <v>46046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62096-2024</t>
        </is>
      </c>
      <c r="B237" s="1" t="n">
        <v>45656.49635416667</v>
      </c>
      <c r="C237" s="1" t="n">
        <v>46046</v>
      </c>
      <c r="D237" t="inlineStr">
        <is>
          <t>GÄVLEBORGS LÄN</t>
        </is>
      </c>
      <c r="E237" t="inlineStr">
        <is>
          <t>OCKELBO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21878-2024</t>
        </is>
      </c>
      <c r="B238" s="1" t="n">
        <v>45443.3383912037</v>
      </c>
      <c r="C238" s="1" t="n">
        <v>46046</v>
      </c>
      <c r="D238" t="inlineStr">
        <is>
          <t>GÄVLEBORGS LÄN</t>
        </is>
      </c>
      <c r="E238" t="inlineStr">
        <is>
          <t>OCKELBO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28966-2025</t>
        </is>
      </c>
      <c r="B239" s="1" t="n">
        <v>45821.34212962963</v>
      </c>
      <c r="C239" s="1" t="n">
        <v>46046</v>
      </c>
      <c r="D239" t="inlineStr">
        <is>
          <t>GÄVLEBORGS LÄN</t>
        </is>
      </c>
      <c r="E239" t="inlineStr">
        <is>
          <t>OCKELBO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28963-2025</t>
        </is>
      </c>
      <c r="B240" s="1" t="n">
        <v>45821.32741898148</v>
      </c>
      <c r="C240" s="1" t="n">
        <v>46046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61389-2024</t>
        </is>
      </c>
      <c r="B241" s="1" t="n">
        <v>45646.41528935185</v>
      </c>
      <c r="C241" s="1" t="n">
        <v>46046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29158-2025</t>
        </is>
      </c>
      <c r="B242" s="1" t="n">
        <v>45821.65914351852</v>
      </c>
      <c r="C242" s="1" t="n">
        <v>46046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40218-2023</t>
        </is>
      </c>
      <c r="B243" s="1" t="n">
        <v>45169.45846064815</v>
      </c>
      <c r="C243" s="1" t="n">
        <v>46046</v>
      </c>
      <c r="D243" t="inlineStr">
        <is>
          <t>GÄVLEBORGS LÄN</t>
        </is>
      </c>
      <c r="E243" t="inlineStr">
        <is>
          <t>OCKELBO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28740-2025</t>
        </is>
      </c>
      <c r="B244" s="1" t="n">
        <v>45820.38311342592</v>
      </c>
      <c r="C244" s="1" t="n">
        <v>46046</v>
      </c>
      <c r="D244" t="inlineStr">
        <is>
          <t>GÄVLEBORGS LÄN</t>
        </is>
      </c>
      <c r="E244" t="inlineStr">
        <is>
          <t>OCKELBO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29113-2025</t>
        </is>
      </c>
      <c r="B245" s="1" t="n">
        <v>45821.58765046296</v>
      </c>
      <c r="C245" s="1" t="n">
        <v>46046</v>
      </c>
      <c r="D245" t="inlineStr">
        <is>
          <t>GÄVLEBORGS LÄN</t>
        </is>
      </c>
      <c r="E245" t="inlineStr">
        <is>
          <t>OCKELBO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29274-2025</t>
        </is>
      </c>
      <c r="B246" s="1" t="n">
        <v>45824.41335648148</v>
      </c>
      <c r="C246" s="1" t="n">
        <v>46046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29116-2025</t>
        </is>
      </c>
      <c r="B247" s="1" t="n">
        <v>45821.59091435185</v>
      </c>
      <c r="C247" s="1" t="n">
        <v>46046</v>
      </c>
      <c r="D247" t="inlineStr">
        <is>
          <t>GÄVLEBORGS LÄN</t>
        </is>
      </c>
      <c r="E247" t="inlineStr">
        <is>
          <t>OCKELBO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23772-2024</t>
        </is>
      </c>
      <c r="B248" s="1" t="n">
        <v>45455.3833912037</v>
      </c>
      <c r="C248" s="1" t="n">
        <v>46046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59941-2024</t>
        </is>
      </c>
      <c r="B249" s="1" t="n">
        <v>45642.33047453704</v>
      </c>
      <c r="C249" s="1" t="n">
        <v>46046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öst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55422-2022</t>
        </is>
      </c>
      <c r="B250" s="1" t="n">
        <v>44887</v>
      </c>
      <c r="C250" s="1" t="n">
        <v>46046</v>
      </c>
      <c r="D250" t="inlineStr">
        <is>
          <t>GÄVLEBORGS LÄN</t>
        </is>
      </c>
      <c r="E250" t="inlineStr">
        <is>
          <t>OCKELBO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30179-2025</t>
        </is>
      </c>
      <c r="B251" s="1" t="n">
        <v>45827.34570601852</v>
      </c>
      <c r="C251" s="1" t="n">
        <v>46046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30280-2025</t>
        </is>
      </c>
      <c r="B252" s="1" t="n">
        <v>45827.45775462963</v>
      </c>
      <c r="C252" s="1" t="n">
        <v>46046</v>
      </c>
      <c r="D252" t="inlineStr">
        <is>
          <t>GÄVLEBORGS LÄN</t>
        </is>
      </c>
      <c r="E252" t="inlineStr">
        <is>
          <t>OCKELBO</t>
        </is>
      </c>
      <c r="F252" t="inlineStr">
        <is>
          <t>Kyrkan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30331-2025</t>
        </is>
      </c>
      <c r="B253" s="1" t="n">
        <v>45827.50730324074</v>
      </c>
      <c r="C253" s="1" t="n">
        <v>46046</v>
      </c>
      <c r="D253" t="inlineStr">
        <is>
          <t>GÄVLEBORGS LÄN</t>
        </is>
      </c>
      <c r="E253" t="inlineStr">
        <is>
          <t>OCKELBO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30229-2025</t>
        </is>
      </c>
      <c r="B254" s="1" t="n">
        <v>45827.3822337963</v>
      </c>
      <c r="C254" s="1" t="n">
        <v>46046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26367-2024</t>
        </is>
      </c>
      <c r="B255" s="1" t="n">
        <v>45469.3924537037</v>
      </c>
      <c r="C255" s="1" t="n">
        <v>46046</v>
      </c>
      <c r="D255" t="inlineStr">
        <is>
          <t>GÄVLEBORGS LÄN</t>
        </is>
      </c>
      <c r="E255" t="inlineStr">
        <is>
          <t>OCKELBO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17548-2025</t>
        </is>
      </c>
      <c r="B256" s="1" t="n">
        <v>45757.61045138889</v>
      </c>
      <c r="C256" s="1" t="n">
        <v>46046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30152-2025</t>
        </is>
      </c>
      <c r="B257" s="1" t="n">
        <v>45827.3172337963</v>
      </c>
      <c r="C257" s="1" t="n">
        <v>46046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29851-2025</t>
        </is>
      </c>
      <c r="B258" s="1" t="n">
        <v>45826.33542824074</v>
      </c>
      <c r="C258" s="1" t="n">
        <v>46046</v>
      </c>
      <c r="D258" t="inlineStr">
        <is>
          <t>GÄVLEBORGS LÄN</t>
        </is>
      </c>
      <c r="E258" t="inlineStr">
        <is>
          <t>OCKELBO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54817-2022</t>
        </is>
      </c>
      <c r="B259" s="1" t="n">
        <v>44883.78270833333</v>
      </c>
      <c r="C259" s="1" t="n">
        <v>46046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6128-2024</t>
        </is>
      </c>
      <c r="B260" s="1" t="n">
        <v>45337</v>
      </c>
      <c r="C260" s="1" t="n">
        <v>46046</v>
      </c>
      <c r="D260" t="inlineStr">
        <is>
          <t>GÄVLEBORGS LÄN</t>
        </is>
      </c>
      <c r="E260" t="inlineStr">
        <is>
          <t>OCKELBO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20407-2023</t>
        </is>
      </c>
      <c r="B261" s="1" t="n">
        <v>45056.63667824074</v>
      </c>
      <c r="C261" s="1" t="n">
        <v>46046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31402-2025</t>
        </is>
      </c>
      <c r="B262" s="1" t="n">
        <v>45833.47171296296</v>
      </c>
      <c r="C262" s="1" t="n">
        <v>46046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31298-2025</t>
        </is>
      </c>
      <c r="B263" s="1" t="n">
        <v>45833.37363425926</v>
      </c>
      <c r="C263" s="1" t="n">
        <v>46046</v>
      </c>
      <c r="D263" t="inlineStr">
        <is>
          <t>GÄVLEBORGS LÄN</t>
        </is>
      </c>
      <c r="E263" t="inlineStr">
        <is>
          <t>OCKELBO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19178-2023</t>
        </is>
      </c>
      <c r="B264" s="1" t="n">
        <v>45048.62515046296</v>
      </c>
      <c r="C264" s="1" t="n">
        <v>46046</v>
      </c>
      <c r="D264" t="inlineStr">
        <is>
          <t>GÄVLEBORGS LÄN</t>
        </is>
      </c>
      <c r="E264" t="inlineStr">
        <is>
          <t>OCKELBO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29954-2024</t>
        </is>
      </c>
      <c r="B265" s="1" t="n">
        <v>45488.45084490741</v>
      </c>
      <c r="C265" s="1" t="n">
        <v>46046</v>
      </c>
      <c r="D265" t="inlineStr">
        <is>
          <t>GÄVLEBORGS LÄN</t>
        </is>
      </c>
      <c r="E265" t="inlineStr">
        <is>
          <t>OCKELBO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46074-2024</t>
        </is>
      </c>
      <c r="B266" s="1" t="n">
        <v>45581</v>
      </c>
      <c r="C266" s="1" t="n">
        <v>46046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18291-2023</t>
        </is>
      </c>
      <c r="B267" s="1" t="n">
        <v>45041.56773148148</v>
      </c>
      <c r="C267" s="1" t="n">
        <v>46046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8662-2025</t>
        </is>
      </c>
      <c r="B268" s="1" t="n">
        <v>45712.39575231481</v>
      </c>
      <c r="C268" s="1" t="n">
        <v>46046</v>
      </c>
      <c r="D268" t="inlineStr">
        <is>
          <t>GÄVLEBORGS LÄN</t>
        </is>
      </c>
      <c r="E268" t="inlineStr">
        <is>
          <t>OCKELBO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40196-2024</t>
        </is>
      </c>
      <c r="B269" s="1" t="n">
        <v>45554.57899305555</v>
      </c>
      <c r="C269" s="1" t="n">
        <v>46046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31497-2025</t>
        </is>
      </c>
      <c r="B270" s="1" t="n">
        <v>45833.58438657408</v>
      </c>
      <c r="C270" s="1" t="n">
        <v>46046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54977-2024</t>
        </is>
      </c>
      <c r="B271" s="1" t="n">
        <v>45620.68857638889</v>
      </c>
      <c r="C271" s="1" t="n">
        <v>46046</v>
      </c>
      <c r="D271" t="inlineStr">
        <is>
          <t>GÄVLEBORGS LÄN</t>
        </is>
      </c>
      <c r="E271" t="inlineStr">
        <is>
          <t>OCKELBO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47674-2023</t>
        </is>
      </c>
      <c r="B272" s="1" t="n">
        <v>45203.60052083333</v>
      </c>
      <c r="C272" s="1" t="n">
        <v>46046</v>
      </c>
      <c r="D272" t="inlineStr">
        <is>
          <t>GÄVLEBORGS LÄN</t>
        </is>
      </c>
      <c r="E272" t="inlineStr">
        <is>
          <t>OCKELBO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6891-2025</t>
        </is>
      </c>
      <c r="B273" s="1" t="n">
        <v>45701</v>
      </c>
      <c r="C273" s="1" t="n">
        <v>46046</v>
      </c>
      <c r="D273" t="inlineStr">
        <is>
          <t>GÄVLEBORGS LÄN</t>
        </is>
      </c>
      <c r="E273" t="inlineStr">
        <is>
          <t>OCKELBO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32011-2024</t>
        </is>
      </c>
      <c r="B274" s="1" t="n">
        <v>45510</v>
      </c>
      <c r="C274" s="1" t="n">
        <v>46046</v>
      </c>
      <c r="D274" t="inlineStr">
        <is>
          <t>GÄVLEBORGS LÄN</t>
        </is>
      </c>
      <c r="E274" t="inlineStr">
        <is>
          <t>OCKELBO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32043-2025</t>
        </is>
      </c>
      <c r="B275" s="1" t="n">
        <v>45835</v>
      </c>
      <c r="C275" s="1" t="n">
        <v>46046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32816-2025</t>
        </is>
      </c>
      <c r="B276" s="1" t="n">
        <v>45839</v>
      </c>
      <c r="C276" s="1" t="n">
        <v>46046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30349-2023</t>
        </is>
      </c>
      <c r="B277" s="1" t="n">
        <v>45111.39857638889</v>
      </c>
      <c r="C277" s="1" t="n">
        <v>46046</v>
      </c>
      <c r="D277" t="inlineStr">
        <is>
          <t>GÄVLEBORGS LÄN</t>
        </is>
      </c>
      <c r="E277" t="inlineStr">
        <is>
          <t>OCKELBO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32824-2025</t>
        </is>
      </c>
      <c r="B278" s="1" t="n">
        <v>45839</v>
      </c>
      <c r="C278" s="1" t="n">
        <v>46046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32449-2025</t>
        </is>
      </c>
      <c r="B279" s="1" t="n">
        <v>45838.38739583334</v>
      </c>
      <c r="C279" s="1" t="n">
        <v>46046</v>
      </c>
      <c r="D279" t="inlineStr">
        <is>
          <t>GÄVLEBORGS LÄN</t>
        </is>
      </c>
      <c r="E279" t="inlineStr">
        <is>
          <t>OCKELBO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44457-2024</t>
        </is>
      </c>
      <c r="B280" s="1" t="n">
        <v>45574.35596064815</v>
      </c>
      <c r="C280" s="1" t="n">
        <v>46046</v>
      </c>
      <c r="D280" t="inlineStr">
        <is>
          <t>GÄVLEBORGS LÄN</t>
        </is>
      </c>
      <c r="E280" t="inlineStr">
        <is>
          <t>OCKELBO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22179-2023</t>
        </is>
      </c>
      <c r="B281" s="1" t="n">
        <v>45069</v>
      </c>
      <c r="C281" s="1" t="n">
        <v>46046</v>
      </c>
      <c r="D281" t="inlineStr">
        <is>
          <t>GÄVLEBORGS LÄN</t>
        </is>
      </c>
      <c r="E281" t="inlineStr">
        <is>
          <t>OCKELBO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33231-2025</t>
        </is>
      </c>
      <c r="B282" s="1" t="n">
        <v>45840.64146990741</v>
      </c>
      <c r="C282" s="1" t="n">
        <v>46046</v>
      </c>
      <c r="D282" t="inlineStr">
        <is>
          <t>GÄVLEBORGS LÄN</t>
        </is>
      </c>
      <c r="E282" t="inlineStr">
        <is>
          <t>OCKELBO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33079-2025</t>
        </is>
      </c>
      <c r="B283" s="1" t="n">
        <v>45840.46055555555</v>
      </c>
      <c r="C283" s="1" t="n">
        <v>46046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33115-2025</t>
        </is>
      </c>
      <c r="B284" s="1" t="n">
        <v>45840.49201388889</v>
      </c>
      <c r="C284" s="1" t="n">
        <v>46046</v>
      </c>
      <c r="D284" t="inlineStr">
        <is>
          <t>GÄVLEBORGS LÄN</t>
        </is>
      </c>
      <c r="E284" t="inlineStr">
        <is>
          <t>OCKELBO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33124-2025</t>
        </is>
      </c>
      <c r="B285" s="1" t="n">
        <v>45840.4965162037</v>
      </c>
      <c r="C285" s="1" t="n">
        <v>46046</v>
      </c>
      <c r="D285" t="inlineStr">
        <is>
          <t>GÄVLEBORGS LÄN</t>
        </is>
      </c>
      <c r="E285" t="inlineStr">
        <is>
          <t>OCKELBO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14937-2024</t>
        </is>
      </c>
      <c r="B286" s="1" t="n">
        <v>45398.67929398148</v>
      </c>
      <c r="C286" s="1" t="n">
        <v>46046</v>
      </c>
      <c r="D286" t="inlineStr">
        <is>
          <t>GÄVLEBORGS LÄN</t>
        </is>
      </c>
      <c r="E286" t="inlineStr">
        <is>
          <t>OCKELBO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16737-2025</t>
        </is>
      </c>
      <c r="B287" s="1" t="n">
        <v>45754.54491898148</v>
      </c>
      <c r="C287" s="1" t="n">
        <v>46046</v>
      </c>
      <c r="D287" t="inlineStr">
        <is>
          <t>GÄVLEBORGS LÄN</t>
        </is>
      </c>
      <c r="E287" t="inlineStr">
        <is>
          <t>OCKELBO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33880-2023</t>
        </is>
      </c>
      <c r="B288" s="1" t="n">
        <v>45134</v>
      </c>
      <c r="C288" s="1" t="n">
        <v>46046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33881-2023</t>
        </is>
      </c>
      <c r="B289" s="1" t="n">
        <v>45134</v>
      </c>
      <c r="C289" s="1" t="n">
        <v>46046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33083-2025</t>
        </is>
      </c>
      <c r="B290" s="1" t="n">
        <v>45840.46547453704</v>
      </c>
      <c r="C290" s="1" t="n">
        <v>46046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33384-2025</t>
        </is>
      </c>
      <c r="B291" s="1" t="n">
        <v>45841.40467592593</v>
      </c>
      <c r="C291" s="1" t="n">
        <v>46046</v>
      </c>
      <c r="D291" t="inlineStr">
        <is>
          <t>GÄVLEBORGS LÄN</t>
        </is>
      </c>
      <c r="E291" t="inlineStr">
        <is>
          <t>OCKELBO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33228-2025</t>
        </is>
      </c>
      <c r="B292" s="1" t="n">
        <v>45840.63861111111</v>
      </c>
      <c r="C292" s="1" t="n">
        <v>46046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51989-2023</t>
        </is>
      </c>
      <c r="B293" s="1" t="n">
        <v>45223.58224537037</v>
      </c>
      <c r="C293" s="1" t="n">
        <v>46046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61456-2024</t>
        </is>
      </c>
      <c r="B294" s="1" t="n">
        <v>45646.4966087963</v>
      </c>
      <c r="C294" s="1" t="n">
        <v>46046</v>
      </c>
      <c r="D294" t="inlineStr">
        <is>
          <t>GÄVLEBORGS LÄN</t>
        </is>
      </c>
      <c r="E294" t="inlineStr">
        <is>
          <t>OCKELBO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30011-2023</t>
        </is>
      </c>
      <c r="B295" s="1" t="n">
        <v>45109.84071759259</v>
      </c>
      <c r="C295" s="1" t="n">
        <v>46046</v>
      </c>
      <c r="D295" t="inlineStr">
        <is>
          <t>GÄVLEBORGS LÄN</t>
        </is>
      </c>
      <c r="E295" t="inlineStr">
        <is>
          <t>OCKELBO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10149-2025</t>
        </is>
      </c>
      <c r="B296" s="1" t="n">
        <v>45719.64081018518</v>
      </c>
      <c r="C296" s="1" t="n">
        <v>46046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23006-2023</t>
        </is>
      </c>
      <c r="B297" s="1" t="n">
        <v>45073</v>
      </c>
      <c r="C297" s="1" t="n">
        <v>46046</v>
      </c>
      <c r="D297" t="inlineStr">
        <is>
          <t>GÄVLEBORGS LÄN</t>
        </is>
      </c>
      <c r="E297" t="inlineStr">
        <is>
          <t>OCKELBO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44281-2022</t>
        </is>
      </c>
      <c r="B298" s="1" t="n">
        <v>44839</v>
      </c>
      <c r="C298" s="1" t="n">
        <v>46046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30009-2023</t>
        </is>
      </c>
      <c r="B299" s="1" t="n">
        <v>45109.83574074074</v>
      </c>
      <c r="C299" s="1" t="n">
        <v>46046</v>
      </c>
      <c r="D299" t="inlineStr">
        <is>
          <t>GÄVLEBORGS LÄN</t>
        </is>
      </c>
      <c r="E299" t="inlineStr">
        <is>
          <t>OCKELBO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33769-2025</t>
        </is>
      </c>
      <c r="B300" s="1" t="n">
        <v>45842.39043981482</v>
      </c>
      <c r="C300" s="1" t="n">
        <v>46046</v>
      </c>
      <c r="D300" t="inlineStr">
        <is>
          <t>GÄVLEBORGS LÄN</t>
        </is>
      </c>
      <c r="E300" t="inlineStr">
        <is>
          <t>OCKELBO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7827-2025</t>
        </is>
      </c>
      <c r="B301" s="1" t="n">
        <v>45706.64928240741</v>
      </c>
      <c r="C301" s="1" t="n">
        <v>46046</v>
      </c>
      <c r="D301" t="inlineStr">
        <is>
          <t>GÄVLEBORGS LÄN</t>
        </is>
      </c>
      <c r="E301" t="inlineStr">
        <is>
          <t>OCKELBO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60497-2021</t>
        </is>
      </c>
      <c r="B302" s="1" t="n">
        <v>44496.48552083333</v>
      </c>
      <c r="C302" s="1" t="n">
        <v>46046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34952-2025</t>
        </is>
      </c>
      <c r="B303" s="1" t="n">
        <v>45849.59908564815</v>
      </c>
      <c r="C303" s="1" t="n">
        <v>46046</v>
      </c>
      <c r="D303" t="inlineStr">
        <is>
          <t>GÄVLEBORGS LÄN</t>
        </is>
      </c>
      <c r="E303" t="inlineStr">
        <is>
          <t>OCKELBO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34950-2025</t>
        </is>
      </c>
      <c r="B304" s="1" t="n">
        <v>45849.59491898148</v>
      </c>
      <c r="C304" s="1" t="n">
        <v>46046</v>
      </c>
      <c r="D304" t="inlineStr">
        <is>
          <t>GÄVLEBORGS LÄN</t>
        </is>
      </c>
      <c r="E304" t="inlineStr">
        <is>
          <t>OCKELBO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50739-2021</t>
        </is>
      </c>
      <c r="B305" s="1" t="n">
        <v>44460.39326388889</v>
      </c>
      <c r="C305" s="1" t="n">
        <v>46046</v>
      </c>
      <c r="D305" t="inlineStr">
        <is>
          <t>GÄVLEBORGS LÄN</t>
        </is>
      </c>
      <c r="E305" t="inlineStr">
        <is>
          <t>OCKELBO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35017-2025</t>
        </is>
      </c>
      <c r="B306" s="1" t="n">
        <v>45851</v>
      </c>
      <c r="C306" s="1" t="n">
        <v>46046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55216-2024</t>
        </is>
      </c>
      <c r="B307" s="1" t="n">
        <v>45621.57118055555</v>
      </c>
      <c r="C307" s="1" t="n">
        <v>46046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6396-2025</t>
        </is>
      </c>
      <c r="B308" s="1" t="n">
        <v>45699.43766203704</v>
      </c>
      <c r="C308" s="1" t="n">
        <v>46046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14661-2025</t>
        </is>
      </c>
      <c r="B309" s="1" t="n">
        <v>45742.53079861111</v>
      </c>
      <c r="C309" s="1" t="n">
        <v>46046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54976-2024</t>
        </is>
      </c>
      <c r="B310" s="1" t="n">
        <v>45620.6840162037</v>
      </c>
      <c r="C310" s="1" t="n">
        <v>46046</v>
      </c>
      <c r="D310" t="inlineStr">
        <is>
          <t>GÄVLEBORGS LÄN</t>
        </is>
      </c>
      <c r="E310" t="inlineStr">
        <is>
          <t>OCKELBO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38292-2021</t>
        </is>
      </c>
      <c r="B311" s="1" t="n">
        <v>44406.33724537037</v>
      </c>
      <c r="C311" s="1" t="n">
        <v>46046</v>
      </c>
      <c r="D311" t="inlineStr">
        <is>
          <t>GÄVLEBORGS LÄN</t>
        </is>
      </c>
      <c r="E311" t="inlineStr">
        <is>
          <t>OCKELBO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7919-2025</t>
        </is>
      </c>
      <c r="B312" s="1" t="n">
        <v>45707.35554398148</v>
      </c>
      <c r="C312" s="1" t="n">
        <v>46046</v>
      </c>
      <c r="D312" t="inlineStr">
        <is>
          <t>GÄVLEBORGS LÄN</t>
        </is>
      </c>
      <c r="E312" t="inlineStr">
        <is>
          <t>OCKELBO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43550-2023</t>
        </is>
      </c>
      <c r="B313" s="1" t="n">
        <v>45184</v>
      </c>
      <c r="C313" s="1" t="n">
        <v>46046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36779-2022</t>
        </is>
      </c>
      <c r="B314" s="1" t="n">
        <v>44805</v>
      </c>
      <c r="C314" s="1" t="n">
        <v>46046</v>
      </c>
      <c r="D314" t="inlineStr">
        <is>
          <t>GÄVLEBORGS LÄN</t>
        </is>
      </c>
      <c r="E314" t="inlineStr">
        <is>
          <t>OCKELBO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43538-2023</t>
        </is>
      </c>
      <c r="B315" s="1" t="n">
        <v>45184</v>
      </c>
      <c r="C315" s="1" t="n">
        <v>46046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35625-2025</t>
        </is>
      </c>
      <c r="B316" s="1" t="n">
        <v>45859.4297337963</v>
      </c>
      <c r="C316" s="1" t="n">
        <v>46046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35614-2025</t>
        </is>
      </c>
      <c r="B317" s="1" t="n">
        <v>45859.376875</v>
      </c>
      <c r="C317" s="1" t="n">
        <v>46046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17730-2025</t>
        </is>
      </c>
      <c r="B318" s="1" t="n">
        <v>45758.46114583333</v>
      </c>
      <c r="C318" s="1" t="n">
        <v>46046</v>
      </c>
      <c r="D318" t="inlineStr">
        <is>
          <t>GÄVLEBORGS LÄN</t>
        </is>
      </c>
      <c r="E318" t="inlineStr">
        <is>
          <t>OCKELBO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36362-2024</t>
        </is>
      </c>
      <c r="B319" s="1" t="n">
        <v>45534.64778935185</v>
      </c>
      <c r="C319" s="1" t="n">
        <v>46046</v>
      </c>
      <c r="D319" t="inlineStr">
        <is>
          <t>GÄVLEBORGS LÄN</t>
        </is>
      </c>
      <c r="E319" t="inlineStr">
        <is>
          <t>OCKELBO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5558-2024</t>
        </is>
      </c>
      <c r="B320" s="1" t="n">
        <v>45334.4608912037</v>
      </c>
      <c r="C320" s="1" t="n">
        <v>46046</v>
      </c>
      <c r="D320" t="inlineStr">
        <is>
          <t>GÄVLEBORGS LÄN</t>
        </is>
      </c>
      <c r="E320" t="inlineStr">
        <is>
          <t>OCKELBO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17208-2025</t>
        </is>
      </c>
      <c r="B321" s="1" t="n">
        <v>45756.43231481482</v>
      </c>
      <c r="C321" s="1" t="n">
        <v>46046</v>
      </c>
      <c r="D321" t="inlineStr">
        <is>
          <t>GÄVLEBORGS LÄN</t>
        </is>
      </c>
      <c r="E321" t="inlineStr">
        <is>
          <t>OCKELBO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30242-2024</t>
        </is>
      </c>
      <c r="B322" s="1" t="n">
        <v>45490</v>
      </c>
      <c r="C322" s="1" t="n">
        <v>46046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34440-2023</t>
        </is>
      </c>
      <c r="B323" s="1" t="n">
        <v>45139.65960648148</v>
      </c>
      <c r="C323" s="1" t="n">
        <v>46046</v>
      </c>
      <c r="D323" t="inlineStr">
        <is>
          <t>GÄVLEBORGS LÄN</t>
        </is>
      </c>
      <c r="E323" t="inlineStr">
        <is>
          <t>OCKELBO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35870-2025</t>
        </is>
      </c>
      <c r="B324" s="1" t="n">
        <v>45862.30469907408</v>
      </c>
      <c r="C324" s="1" t="n">
        <v>46046</v>
      </c>
      <c r="D324" t="inlineStr">
        <is>
          <t>GÄVLEBORGS LÄN</t>
        </is>
      </c>
      <c r="E324" t="inlineStr">
        <is>
          <t>OCKELBO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52335-2024</t>
        </is>
      </c>
      <c r="B325" s="1" t="n">
        <v>45609</v>
      </c>
      <c r="C325" s="1" t="n">
        <v>46046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7478-2025</t>
        </is>
      </c>
      <c r="B326" s="1" t="n">
        <v>45705</v>
      </c>
      <c r="C326" s="1" t="n">
        <v>46046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60132-2024</t>
        </is>
      </c>
      <c r="B327" s="1" t="n">
        <v>45642.59554398148</v>
      </c>
      <c r="C327" s="1" t="n">
        <v>46046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öst AB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32123-2024</t>
        </is>
      </c>
      <c r="B328" s="1" t="n">
        <v>45511.46820601852</v>
      </c>
      <c r="C328" s="1" t="n">
        <v>46046</v>
      </c>
      <c r="D328" t="inlineStr">
        <is>
          <t>GÄVLEBORGS LÄN</t>
        </is>
      </c>
      <c r="E328" t="inlineStr">
        <is>
          <t>OCKELBO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59451-2024</t>
        </is>
      </c>
      <c r="B329" s="1" t="n">
        <v>45638</v>
      </c>
      <c r="C329" s="1" t="n">
        <v>46046</v>
      </c>
      <c r="D329" t="inlineStr">
        <is>
          <t>GÄVLEBORGS LÄN</t>
        </is>
      </c>
      <c r="E329" t="inlineStr">
        <is>
          <t>OCKELBO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40140-2022</t>
        </is>
      </c>
      <c r="B330" s="1" t="n">
        <v>44820</v>
      </c>
      <c r="C330" s="1" t="n">
        <v>46046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36343-2023</t>
        </is>
      </c>
      <c r="B331" s="1" t="n">
        <v>45152.45767361111</v>
      </c>
      <c r="C331" s="1" t="n">
        <v>46046</v>
      </c>
      <c r="D331" t="inlineStr">
        <is>
          <t>GÄVLEBORGS LÄN</t>
        </is>
      </c>
      <c r="E331" t="inlineStr">
        <is>
          <t>OCKELBO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42585-2023</t>
        </is>
      </c>
      <c r="B332" s="1" t="n">
        <v>45181</v>
      </c>
      <c r="C332" s="1" t="n">
        <v>46046</v>
      </c>
      <c r="D332" t="inlineStr">
        <is>
          <t>GÄVLEBORGS LÄN</t>
        </is>
      </c>
      <c r="E332" t="inlineStr">
        <is>
          <t>OCKELBO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12983-2022</t>
        </is>
      </c>
      <c r="B333" s="1" t="n">
        <v>44643.41052083333</v>
      </c>
      <c r="C333" s="1" t="n">
        <v>46046</v>
      </c>
      <c r="D333" t="inlineStr">
        <is>
          <t>GÄVLEBORGS LÄN</t>
        </is>
      </c>
      <c r="E333" t="inlineStr">
        <is>
          <t>OCKELBO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56631-2022</t>
        </is>
      </c>
      <c r="B334" s="1" t="n">
        <v>44893.61184027778</v>
      </c>
      <c r="C334" s="1" t="n">
        <v>46046</v>
      </c>
      <c r="D334" t="inlineStr">
        <is>
          <t>GÄVLEBORGS LÄN</t>
        </is>
      </c>
      <c r="E334" t="inlineStr">
        <is>
          <t>OCKELBO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36604-2025</t>
        </is>
      </c>
      <c r="B335" s="1" t="n">
        <v>45870</v>
      </c>
      <c r="C335" s="1" t="n">
        <v>46046</v>
      </c>
      <c r="D335" t="inlineStr">
        <is>
          <t>GÄVLEBORGS LÄN</t>
        </is>
      </c>
      <c r="E335" t="inlineStr">
        <is>
          <t>OCKELBO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52241-2024</t>
        </is>
      </c>
      <c r="B336" s="1" t="n">
        <v>45608.61949074074</v>
      </c>
      <c r="C336" s="1" t="n">
        <v>46046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52243-2024</t>
        </is>
      </c>
      <c r="B337" s="1" t="n">
        <v>45608.62261574074</v>
      </c>
      <c r="C337" s="1" t="n">
        <v>46046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29687-2023</t>
        </is>
      </c>
      <c r="B338" s="1" t="n">
        <v>45107.38415509259</v>
      </c>
      <c r="C338" s="1" t="n">
        <v>46046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20660-2022</t>
        </is>
      </c>
      <c r="B339" s="1" t="n">
        <v>44700.6490162037</v>
      </c>
      <c r="C339" s="1" t="n">
        <v>46046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15966-2023</t>
        </is>
      </c>
      <c r="B340" s="1" t="n">
        <v>45022.66271990741</v>
      </c>
      <c r="C340" s="1" t="n">
        <v>46046</v>
      </c>
      <c r="D340" t="inlineStr">
        <is>
          <t>GÄVLEBORGS LÄN</t>
        </is>
      </c>
      <c r="E340" t="inlineStr">
        <is>
          <t>OCKELBO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56634-2023</t>
        </is>
      </c>
      <c r="B341" s="1" t="n">
        <v>45243.71267361111</v>
      </c>
      <c r="C341" s="1" t="n">
        <v>46046</v>
      </c>
      <c r="D341" t="inlineStr">
        <is>
          <t>GÄVLEBORGS LÄN</t>
        </is>
      </c>
      <c r="E341" t="inlineStr">
        <is>
          <t>OCKELBO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34444-2023</t>
        </is>
      </c>
      <c r="B342" s="1" t="n">
        <v>45139.6669212963</v>
      </c>
      <c r="C342" s="1" t="n">
        <v>46046</v>
      </c>
      <c r="D342" t="inlineStr">
        <is>
          <t>GÄVLEBORGS LÄN</t>
        </is>
      </c>
      <c r="E342" t="inlineStr">
        <is>
          <t>OCKELBO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10238-2024</t>
        </is>
      </c>
      <c r="B343" s="1" t="n">
        <v>45365.36416666667</v>
      </c>
      <c r="C343" s="1" t="n">
        <v>46046</v>
      </c>
      <c r="D343" t="inlineStr">
        <is>
          <t>GÄVLEBORGS LÄN</t>
        </is>
      </c>
      <c r="E343" t="inlineStr">
        <is>
          <t>OCKELBO</t>
        </is>
      </c>
      <c r="F343" t="inlineStr">
        <is>
          <t>Kyrkan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1716-2025</t>
        </is>
      </c>
      <c r="B344" s="1" t="n">
        <v>45671.3278587963</v>
      </c>
      <c r="C344" s="1" t="n">
        <v>46046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49207-2023</t>
        </is>
      </c>
      <c r="B345" s="1" t="n">
        <v>45210</v>
      </c>
      <c r="C345" s="1" t="n">
        <v>46046</v>
      </c>
      <c r="D345" t="inlineStr">
        <is>
          <t>GÄVLEBORGS LÄN</t>
        </is>
      </c>
      <c r="E345" t="inlineStr">
        <is>
          <t>OCKELBO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47841-2023</t>
        </is>
      </c>
      <c r="B346" s="1" t="n">
        <v>45204</v>
      </c>
      <c r="C346" s="1" t="n">
        <v>46046</v>
      </c>
      <c r="D346" t="inlineStr">
        <is>
          <t>GÄVLEBORGS LÄN</t>
        </is>
      </c>
      <c r="E346" t="inlineStr">
        <is>
          <t>OCKELBO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28853-2025</t>
        </is>
      </c>
      <c r="B347" s="1" t="n">
        <v>45820.57949074074</v>
      </c>
      <c r="C347" s="1" t="n">
        <v>46046</v>
      </c>
      <c r="D347" t="inlineStr">
        <is>
          <t>GÄVLEBORGS LÄN</t>
        </is>
      </c>
      <c r="E347" t="inlineStr">
        <is>
          <t>OCKELBO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38652-2025</t>
        </is>
      </c>
      <c r="B348" s="1" t="n">
        <v>45884.59181712963</v>
      </c>
      <c r="C348" s="1" t="n">
        <v>46046</v>
      </c>
      <c r="D348" t="inlineStr">
        <is>
          <t>GÄVLEBORGS LÄN</t>
        </is>
      </c>
      <c r="E348" t="inlineStr">
        <is>
          <t>OCKELBO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27243-2025</t>
        </is>
      </c>
      <c r="B349" s="1" t="n">
        <v>45812.46144675926</v>
      </c>
      <c r="C349" s="1" t="n">
        <v>46046</v>
      </c>
      <c r="D349" t="inlineStr">
        <is>
          <t>GÄVLEBORGS LÄN</t>
        </is>
      </c>
      <c r="E349" t="inlineStr">
        <is>
          <t>OCKELBO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55070-2023</t>
        </is>
      </c>
      <c r="B350" s="1" t="n">
        <v>45237</v>
      </c>
      <c r="C350" s="1" t="n">
        <v>46046</v>
      </c>
      <c r="D350" t="inlineStr">
        <is>
          <t>GÄVLEBORGS LÄN</t>
        </is>
      </c>
      <c r="E350" t="inlineStr">
        <is>
          <t>OCKELBO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6194-2025</t>
        </is>
      </c>
      <c r="B351" s="1" t="n">
        <v>45698.46994212963</v>
      </c>
      <c r="C351" s="1" t="n">
        <v>46046</v>
      </c>
      <c r="D351" t="inlineStr">
        <is>
          <t>GÄVLEBORGS LÄN</t>
        </is>
      </c>
      <c r="E351" t="inlineStr">
        <is>
          <t>OCKELBO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9964-2025</t>
        </is>
      </c>
      <c r="B352" s="1" t="n">
        <v>45719.37508101852</v>
      </c>
      <c r="C352" s="1" t="n">
        <v>46046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öst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38732-2025</t>
        </is>
      </c>
      <c r="B353" s="1" t="n">
        <v>45887.35770833334</v>
      </c>
      <c r="C353" s="1" t="n">
        <v>46046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39424-2024</t>
        </is>
      </c>
      <c r="B354" s="1" t="n">
        <v>45551.58315972222</v>
      </c>
      <c r="C354" s="1" t="n">
        <v>46046</v>
      </c>
      <c r="D354" t="inlineStr">
        <is>
          <t>GÄVLEBORGS LÄN</t>
        </is>
      </c>
      <c r="E354" t="inlineStr">
        <is>
          <t>OCKELBO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11734-2025</t>
        </is>
      </c>
      <c r="B355" s="1" t="n">
        <v>45727.61972222223</v>
      </c>
      <c r="C355" s="1" t="n">
        <v>46046</v>
      </c>
      <c r="D355" t="inlineStr">
        <is>
          <t>GÄVLEBORGS LÄN</t>
        </is>
      </c>
      <c r="E355" t="inlineStr">
        <is>
          <t>OCKELBO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38339-2025</t>
        </is>
      </c>
      <c r="B356" s="1" t="n">
        <v>45883.49462962963</v>
      </c>
      <c r="C356" s="1" t="n">
        <v>46046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50968-2024</t>
        </is>
      </c>
      <c r="B357" s="1" t="n">
        <v>45603.33167824074</v>
      </c>
      <c r="C357" s="1" t="n">
        <v>46046</v>
      </c>
      <c r="D357" t="inlineStr">
        <is>
          <t>GÄVLEBORGS LÄN</t>
        </is>
      </c>
      <c r="E357" t="inlineStr">
        <is>
          <t>OCKELBO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38420-2025</t>
        </is>
      </c>
      <c r="B358" s="1" t="n">
        <v>45883.62131944444</v>
      </c>
      <c r="C358" s="1" t="n">
        <v>46046</v>
      </c>
      <c r="D358" t="inlineStr">
        <is>
          <t>GÄVLEBORGS LÄN</t>
        </is>
      </c>
      <c r="E358" t="inlineStr">
        <is>
          <t>OCKELBO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24927-2025</t>
        </is>
      </c>
      <c r="B359" s="1" t="n">
        <v>45799.55334490741</v>
      </c>
      <c r="C359" s="1" t="n">
        <v>46046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38731-2025</t>
        </is>
      </c>
      <c r="B360" s="1" t="n">
        <v>45887.35001157408</v>
      </c>
      <c r="C360" s="1" t="n">
        <v>46046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47100-2024</t>
        </is>
      </c>
      <c r="B361" s="1" t="n">
        <v>45586.54471064815</v>
      </c>
      <c r="C361" s="1" t="n">
        <v>46046</v>
      </c>
      <c r="D361" t="inlineStr">
        <is>
          <t>GÄVLEBORGS LÄN</t>
        </is>
      </c>
      <c r="E361" t="inlineStr">
        <is>
          <t>OCKELBO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10326-2023</t>
        </is>
      </c>
      <c r="B362" s="1" t="n">
        <v>44987.31462962963</v>
      </c>
      <c r="C362" s="1" t="n">
        <v>46046</v>
      </c>
      <c r="D362" t="inlineStr">
        <is>
          <t>GÄVLEBORGS LÄN</t>
        </is>
      </c>
      <c r="E362" t="inlineStr">
        <is>
          <t>OCKELBO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38650-2025</t>
        </is>
      </c>
      <c r="B363" s="1" t="n">
        <v>45884.5896875</v>
      </c>
      <c r="C363" s="1" t="n">
        <v>46046</v>
      </c>
      <c r="D363" t="inlineStr">
        <is>
          <t>GÄVLEBORGS LÄN</t>
        </is>
      </c>
      <c r="E363" t="inlineStr">
        <is>
          <t>OCKELBO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30418-2023</t>
        </is>
      </c>
      <c r="B364" s="1" t="n">
        <v>45111.52043981481</v>
      </c>
      <c r="C364" s="1" t="n">
        <v>46046</v>
      </c>
      <c r="D364" t="inlineStr">
        <is>
          <t>GÄVLEBORGS LÄN</t>
        </is>
      </c>
      <c r="E364" t="inlineStr">
        <is>
          <t>OCKELBO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30798-2024</t>
        </is>
      </c>
      <c r="B365" s="1" t="n">
        <v>45497.36582175926</v>
      </c>
      <c r="C365" s="1" t="n">
        <v>46046</v>
      </c>
      <c r="D365" t="inlineStr">
        <is>
          <t>GÄVLEBORGS LÄN</t>
        </is>
      </c>
      <c r="E365" t="inlineStr">
        <is>
          <t>OCKELBO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22821-2024</t>
        </is>
      </c>
      <c r="B366" s="1" t="n">
        <v>45448</v>
      </c>
      <c r="C366" s="1" t="n">
        <v>46046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43799-2022</t>
        </is>
      </c>
      <c r="B367" s="1" t="n">
        <v>44838</v>
      </c>
      <c r="C367" s="1" t="n">
        <v>46046</v>
      </c>
      <c r="D367" t="inlineStr">
        <is>
          <t>GÄVLEBORGS LÄN</t>
        </is>
      </c>
      <c r="E367" t="inlineStr">
        <is>
          <t>OCKELBO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37391-2023</t>
        </is>
      </c>
      <c r="B368" s="1" t="n">
        <v>45156</v>
      </c>
      <c r="C368" s="1" t="n">
        <v>46046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33987-2023</t>
        </is>
      </c>
      <c r="B369" s="1" t="n">
        <v>45134</v>
      </c>
      <c r="C369" s="1" t="n">
        <v>46046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33879-2023</t>
        </is>
      </c>
      <c r="B370" s="1" t="n">
        <v>45134.05142361111</v>
      </c>
      <c r="C370" s="1" t="n">
        <v>46046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39360-2025</t>
        </is>
      </c>
      <c r="B371" s="1" t="n">
        <v>45889.55805555556</v>
      </c>
      <c r="C371" s="1" t="n">
        <v>46046</v>
      </c>
      <c r="D371" t="inlineStr">
        <is>
          <t>GÄVLEBORGS LÄN</t>
        </is>
      </c>
      <c r="E371" t="inlineStr">
        <is>
          <t>OCKELBO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49529-2024</t>
        </is>
      </c>
      <c r="B372" s="1" t="n">
        <v>45596.4116087963</v>
      </c>
      <c r="C372" s="1" t="n">
        <v>46046</v>
      </c>
      <c r="D372" t="inlineStr">
        <is>
          <t>GÄVLEBORGS LÄN</t>
        </is>
      </c>
      <c r="E372" t="inlineStr">
        <is>
          <t>OCKELBO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39035-2025</t>
        </is>
      </c>
      <c r="B373" s="1" t="n">
        <v>45888.42207175926</v>
      </c>
      <c r="C373" s="1" t="n">
        <v>46046</v>
      </c>
      <c r="D373" t="inlineStr">
        <is>
          <t>GÄVLEBORGS LÄN</t>
        </is>
      </c>
      <c r="E373" t="inlineStr">
        <is>
          <t>OCKELBO</t>
        </is>
      </c>
      <c r="F373" t="inlineStr">
        <is>
          <t>Kyrkan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39142-2025</t>
        </is>
      </c>
      <c r="B374" s="1" t="n">
        <v>45888.59596064815</v>
      </c>
      <c r="C374" s="1" t="n">
        <v>46046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39329-2025</t>
        </is>
      </c>
      <c r="B375" s="1" t="n">
        <v>45889.48412037037</v>
      </c>
      <c r="C375" s="1" t="n">
        <v>46046</v>
      </c>
      <c r="D375" t="inlineStr">
        <is>
          <t>GÄVLEBORGS LÄN</t>
        </is>
      </c>
      <c r="E375" t="inlineStr">
        <is>
          <t>OCKELBO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39359-2025</t>
        </is>
      </c>
      <c r="B376" s="1" t="n">
        <v>45889.55767361111</v>
      </c>
      <c r="C376" s="1" t="n">
        <v>46046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39324-2025</t>
        </is>
      </c>
      <c r="B377" s="1" t="n">
        <v>45889.47886574074</v>
      </c>
      <c r="C377" s="1" t="n">
        <v>46046</v>
      </c>
      <c r="D377" t="inlineStr">
        <is>
          <t>GÄVLEBORGS LÄN</t>
        </is>
      </c>
      <c r="E377" t="inlineStr">
        <is>
          <t>OCKELBO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39325-2025</t>
        </is>
      </c>
      <c r="B378" s="1" t="n">
        <v>45889.48163194444</v>
      </c>
      <c r="C378" s="1" t="n">
        <v>46046</v>
      </c>
      <c r="D378" t="inlineStr">
        <is>
          <t>GÄVLEBORGS LÄN</t>
        </is>
      </c>
      <c r="E378" t="inlineStr">
        <is>
          <t>OCKELBO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39723-2025</t>
        </is>
      </c>
      <c r="B379" s="1" t="n">
        <v>45891.33346064815</v>
      </c>
      <c r="C379" s="1" t="n">
        <v>46046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46636-2024</t>
        </is>
      </c>
      <c r="B380" s="1" t="n">
        <v>45583.34546296296</v>
      </c>
      <c r="C380" s="1" t="n">
        <v>46046</v>
      </c>
      <c r="D380" t="inlineStr">
        <is>
          <t>GÄVLEBORGS LÄN</t>
        </is>
      </c>
      <c r="E380" t="inlineStr">
        <is>
          <t>OCKELBO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56034-2023</t>
        </is>
      </c>
      <c r="B381" s="1" t="n">
        <v>45240.43925925926</v>
      </c>
      <c r="C381" s="1" t="n">
        <v>46046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15195-2025</t>
        </is>
      </c>
      <c r="B382" s="1" t="n">
        <v>45744.56231481482</v>
      </c>
      <c r="C382" s="1" t="n">
        <v>46046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33361-2025</t>
        </is>
      </c>
      <c r="B383" s="1" t="n">
        <v>45841.38190972222</v>
      </c>
      <c r="C383" s="1" t="n">
        <v>46046</v>
      </c>
      <c r="D383" t="inlineStr">
        <is>
          <t>GÄVLEBORGS LÄN</t>
        </is>
      </c>
      <c r="E383" t="inlineStr">
        <is>
          <t>OCKELBO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52330-2024</t>
        </is>
      </c>
      <c r="B384" s="1" t="n">
        <v>45609.31627314815</v>
      </c>
      <c r="C384" s="1" t="n">
        <v>46046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34449-2023</t>
        </is>
      </c>
      <c r="B385" s="1" t="n">
        <v>45139.67980324074</v>
      </c>
      <c r="C385" s="1" t="n">
        <v>46046</v>
      </c>
      <c r="D385" t="inlineStr">
        <is>
          <t>GÄVLEBORGS LÄN</t>
        </is>
      </c>
      <c r="E385" t="inlineStr">
        <is>
          <t>OCKELBO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22293-2024</t>
        </is>
      </c>
      <c r="B386" s="1" t="n">
        <v>45446.55873842593</v>
      </c>
      <c r="C386" s="1" t="n">
        <v>46046</v>
      </c>
      <c r="D386" t="inlineStr">
        <is>
          <t>GÄVLEBORGS LÄN</t>
        </is>
      </c>
      <c r="E386" t="inlineStr">
        <is>
          <t>OCKELBO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55146-2024</t>
        </is>
      </c>
      <c r="B387" s="1" t="n">
        <v>45621.48976851852</v>
      </c>
      <c r="C387" s="1" t="n">
        <v>46046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31302-2025</t>
        </is>
      </c>
      <c r="B388" s="1" t="n">
        <v>45833.38398148148</v>
      </c>
      <c r="C388" s="1" t="n">
        <v>46046</v>
      </c>
      <c r="D388" t="inlineStr">
        <is>
          <t>GÄVLEBORGS LÄN</t>
        </is>
      </c>
      <c r="E388" t="inlineStr">
        <is>
          <t>OCKELBO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16771-2025</t>
        </is>
      </c>
      <c r="B389" s="1" t="n">
        <v>45754.57960648148</v>
      </c>
      <c r="C389" s="1" t="n">
        <v>46046</v>
      </c>
      <c r="D389" t="inlineStr">
        <is>
          <t>GÄVLEBORGS LÄN</t>
        </is>
      </c>
      <c r="E389" t="inlineStr">
        <is>
          <t>OCKELBO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37845-2024</t>
        </is>
      </c>
      <c r="B390" s="1" t="n">
        <v>45544.3700462963</v>
      </c>
      <c r="C390" s="1" t="n">
        <v>46046</v>
      </c>
      <c r="D390" t="inlineStr">
        <is>
          <t>GÄVLEBORGS LÄN</t>
        </is>
      </c>
      <c r="E390" t="inlineStr">
        <is>
          <t>OCKELBO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40148-2025</t>
        </is>
      </c>
      <c r="B391" s="1" t="n">
        <v>45894.58084490741</v>
      </c>
      <c r="C391" s="1" t="n">
        <v>46046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9595-2025</t>
        </is>
      </c>
      <c r="B392" s="1" t="n">
        <v>45715</v>
      </c>
      <c r="C392" s="1" t="n">
        <v>46046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öst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40576-2025</t>
        </is>
      </c>
      <c r="B393" s="1" t="n">
        <v>45896.50693287037</v>
      </c>
      <c r="C393" s="1" t="n">
        <v>46046</v>
      </c>
      <c r="D393" t="inlineStr">
        <is>
          <t>GÄVLEBORGS LÄN</t>
        </is>
      </c>
      <c r="E393" t="inlineStr">
        <is>
          <t>OCKELBO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40525-2025</t>
        </is>
      </c>
      <c r="B394" s="1" t="n">
        <v>45896.37104166667</v>
      </c>
      <c r="C394" s="1" t="n">
        <v>46046</v>
      </c>
      <c r="D394" t="inlineStr">
        <is>
          <t>GÄVLEBORGS LÄN</t>
        </is>
      </c>
      <c r="E394" t="inlineStr">
        <is>
          <t>OCKELBO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32249-2025</t>
        </is>
      </c>
      <c r="B395" s="1" t="n">
        <v>45835.62361111111</v>
      </c>
      <c r="C395" s="1" t="n">
        <v>46046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41013-2025</t>
        </is>
      </c>
      <c r="B396" s="1" t="n">
        <v>45898.35738425926</v>
      </c>
      <c r="C396" s="1" t="n">
        <v>46046</v>
      </c>
      <c r="D396" t="inlineStr">
        <is>
          <t>GÄVLEBORGS LÄN</t>
        </is>
      </c>
      <c r="E396" t="inlineStr">
        <is>
          <t>OCKELBO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37580-2025</t>
        </is>
      </c>
      <c r="B397" s="1" t="n">
        <v>45880.38586805556</v>
      </c>
      <c r="C397" s="1" t="n">
        <v>46046</v>
      </c>
      <c r="D397" t="inlineStr">
        <is>
          <t>GÄVLEBORGS LÄN</t>
        </is>
      </c>
      <c r="E397" t="inlineStr">
        <is>
          <t>OCKELBO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28965-2024</t>
        </is>
      </c>
      <c r="B398" s="1" t="n">
        <v>45481.43787037037</v>
      </c>
      <c r="C398" s="1" t="n">
        <v>46046</v>
      </c>
      <c r="D398" t="inlineStr">
        <is>
          <t>GÄVLEBORGS LÄN</t>
        </is>
      </c>
      <c r="E398" t="inlineStr">
        <is>
          <t>OCKELBO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55906-2024</t>
        </is>
      </c>
      <c r="B399" s="1" t="n">
        <v>45623.58407407408</v>
      </c>
      <c r="C399" s="1" t="n">
        <v>46046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24941-2025</t>
        </is>
      </c>
      <c r="B400" s="1" t="n">
        <v>45799.56206018518</v>
      </c>
      <c r="C400" s="1" t="n">
        <v>46046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22597-2025</t>
        </is>
      </c>
      <c r="B401" s="1" t="n">
        <v>45789.41380787037</v>
      </c>
      <c r="C401" s="1" t="n">
        <v>46046</v>
      </c>
      <c r="D401" t="inlineStr">
        <is>
          <t>GÄVLEBORGS LÄN</t>
        </is>
      </c>
      <c r="E401" t="inlineStr">
        <is>
          <t>OCKELBO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14657-2025</t>
        </is>
      </c>
      <c r="B402" s="1" t="n">
        <v>45742.51152777778</v>
      </c>
      <c r="C402" s="1" t="n">
        <v>46046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14463-2021</t>
        </is>
      </c>
      <c r="B403" s="1" t="n">
        <v>44279.54775462963</v>
      </c>
      <c r="C403" s="1" t="n">
        <v>46046</v>
      </c>
      <c r="D403" t="inlineStr">
        <is>
          <t>GÄVLEBORGS LÄN</t>
        </is>
      </c>
      <c r="E403" t="inlineStr">
        <is>
          <t>OCKELBO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61130-2022</t>
        </is>
      </c>
      <c r="B404" s="1" t="n">
        <v>44915</v>
      </c>
      <c r="C404" s="1" t="n">
        <v>46046</v>
      </c>
      <c r="D404" t="inlineStr">
        <is>
          <t>GÄVLEBORGS LÄN</t>
        </is>
      </c>
      <c r="E404" t="inlineStr">
        <is>
          <t>OCKELBO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41901-2025</t>
        </is>
      </c>
      <c r="B405" s="1" t="n">
        <v>45903.39806712963</v>
      </c>
      <c r="C405" s="1" t="n">
        <v>46046</v>
      </c>
      <c r="D405" t="inlineStr">
        <is>
          <t>GÄVLEBORGS LÄN</t>
        </is>
      </c>
      <c r="E405" t="inlineStr">
        <is>
          <t>OCKELBO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41929-2025</t>
        </is>
      </c>
      <c r="B406" s="1" t="n">
        <v>45903.43053240741</v>
      </c>
      <c r="C406" s="1" t="n">
        <v>46046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41897-2025</t>
        </is>
      </c>
      <c r="B407" s="1" t="n">
        <v>45903.39152777778</v>
      </c>
      <c r="C407" s="1" t="n">
        <v>46046</v>
      </c>
      <c r="D407" t="inlineStr">
        <is>
          <t>GÄVLEBORGS LÄN</t>
        </is>
      </c>
      <c r="E407" t="inlineStr">
        <is>
          <t>OCKELBO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41899-2025</t>
        </is>
      </c>
      <c r="B408" s="1" t="n">
        <v>45903.39596064815</v>
      </c>
      <c r="C408" s="1" t="n">
        <v>46046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42060-2025</t>
        </is>
      </c>
      <c r="B409" s="1" t="n">
        <v>45903.64918981482</v>
      </c>
      <c r="C409" s="1" t="n">
        <v>46046</v>
      </c>
      <c r="D409" t="inlineStr">
        <is>
          <t>GÄVLEBORGS LÄN</t>
        </is>
      </c>
      <c r="E409" t="inlineStr">
        <is>
          <t>OCKELBO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41940-2025</t>
        </is>
      </c>
      <c r="B410" s="1" t="n">
        <v>45903.44436342592</v>
      </c>
      <c r="C410" s="1" t="n">
        <v>46046</v>
      </c>
      <c r="D410" t="inlineStr">
        <is>
          <t>GÄVLEBORGS LÄN</t>
        </is>
      </c>
      <c r="E410" t="inlineStr">
        <is>
          <t>OCKELBO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24228-2022</t>
        </is>
      </c>
      <c r="B411" s="1" t="n">
        <v>44725</v>
      </c>
      <c r="C411" s="1" t="n">
        <v>46046</v>
      </c>
      <c r="D411" t="inlineStr">
        <is>
          <t>GÄVLEBORGS LÄN</t>
        </is>
      </c>
      <c r="E411" t="inlineStr">
        <is>
          <t>OCKELBO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64609-2023</t>
        </is>
      </c>
      <c r="B412" s="1" t="n">
        <v>45281.50811342592</v>
      </c>
      <c r="C412" s="1" t="n">
        <v>46046</v>
      </c>
      <c r="D412" t="inlineStr">
        <is>
          <t>GÄVLEBORGS LÄN</t>
        </is>
      </c>
      <c r="E412" t="inlineStr">
        <is>
          <t>OCKELBO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16773-2025</t>
        </is>
      </c>
      <c r="B413" s="1" t="n">
        <v>45754.58219907407</v>
      </c>
      <c r="C413" s="1" t="n">
        <v>46046</v>
      </c>
      <c r="D413" t="inlineStr">
        <is>
          <t>GÄVLEBORGS LÄN</t>
        </is>
      </c>
      <c r="E413" t="inlineStr">
        <is>
          <t>OCKELBO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42440-2025</t>
        </is>
      </c>
      <c r="B414" s="1" t="n">
        <v>45905.4327662037</v>
      </c>
      <c r="C414" s="1" t="n">
        <v>46046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42386-2025</t>
        </is>
      </c>
      <c r="B415" s="1" t="n">
        <v>45905.35064814815</v>
      </c>
      <c r="C415" s="1" t="n">
        <v>46046</v>
      </c>
      <c r="D415" t="inlineStr">
        <is>
          <t>GÄVLEBORGS LÄN</t>
        </is>
      </c>
      <c r="E415" t="inlineStr">
        <is>
          <t>OCKELBO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3626-2023</t>
        </is>
      </c>
      <c r="B416" s="1" t="n">
        <v>44950</v>
      </c>
      <c r="C416" s="1" t="n">
        <v>46046</v>
      </c>
      <c r="D416" t="inlineStr">
        <is>
          <t>GÄVLEBORGS LÄN</t>
        </is>
      </c>
      <c r="E416" t="inlineStr">
        <is>
          <t>OCKELBO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32087-2025</t>
        </is>
      </c>
      <c r="B417" s="1" t="n">
        <v>45835.45553240741</v>
      </c>
      <c r="C417" s="1" t="n">
        <v>46046</v>
      </c>
      <c r="D417" t="inlineStr">
        <is>
          <t>GÄVLEBORGS LÄN</t>
        </is>
      </c>
      <c r="E417" t="inlineStr">
        <is>
          <t>OCKELBO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21900-2023</t>
        </is>
      </c>
      <c r="B418" s="1" t="n">
        <v>45068.53083333333</v>
      </c>
      <c r="C418" s="1" t="n">
        <v>46046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19774-2025</t>
        </is>
      </c>
      <c r="B419" s="1" t="n">
        <v>45771.42100694445</v>
      </c>
      <c r="C419" s="1" t="n">
        <v>46046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41044-2025</t>
        </is>
      </c>
      <c r="B420" s="1" t="n">
        <v>45898</v>
      </c>
      <c r="C420" s="1" t="n">
        <v>46046</v>
      </c>
      <c r="D420" t="inlineStr">
        <is>
          <t>GÄVLEBORGS LÄN</t>
        </is>
      </c>
      <c r="E420" t="inlineStr">
        <is>
          <t>OCKELBO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21878-2023</t>
        </is>
      </c>
      <c r="B421" s="1" t="n">
        <v>45068.47928240741</v>
      </c>
      <c r="C421" s="1" t="n">
        <v>46046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36295-2024</t>
        </is>
      </c>
      <c r="B422" s="1" t="n">
        <v>45534.60523148148</v>
      </c>
      <c r="C422" s="1" t="n">
        <v>46046</v>
      </c>
      <c r="D422" t="inlineStr">
        <is>
          <t>GÄVLEBORGS LÄN</t>
        </is>
      </c>
      <c r="E422" t="inlineStr">
        <is>
          <t>OCKELBO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42717-2025</t>
        </is>
      </c>
      <c r="B423" s="1" t="n">
        <v>45908.3884375</v>
      </c>
      <c r="C423" s="1" t="n">
        <v>46046</v>
      </c>
      <c r="D423" t="inlineStr">
        <is>
          <t>GÄVLEBORGS LÄN</t>
        </is>
      </c>
      <c r="E423" t="inlineStr">
        <is>
          <t>OCKELBO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HYPERLINK("https://klasma.github.io/Logging_2101/knärot/A 42717-2025 karta knärot.png", "A 42717-2025")</f>
        <v/>
      </c>
      <c r="V423">
        <f>HYPERLINK("https://klasma.github.io/Logging_2101/klagomål/A 42717-2025 FSC-klagomål.docx", "A 42717-2025")</f>
        <v/>
      </c>
      <c r="W423">
        <f>HYPERLINK("https://klasma.github.io/Logging_2101/klagomålsmail/A 42717-2025 FSC-klagomål mail.docx", "A 42717-2025")</f>
        <v/>
      </c>
      <c r="X423">
        <f>HYPERLINK("https://klasma.github.io/Logging_2101/tillsyn/A 42717-2025 tillsynsbegäran.docx", "A 42717-2025")</f>
        <v/>
      </c>
      <c r="Y423">
        <f>HYPERLINK("https://klasma.github.io/Logging_2101/tillsynsmail/A 42717-2025 tillsynsbegäran mail.docx", "A 42717-2025")</f>
        <v/>
      </c>
    </row>
    <row r="424" ht="15" customHeight="1">
      <c r="A424" t="inlineStr">
        <is>
          <t>A 43071-2025</t>
        </is>
      </c>
      <c r="B424" s="1" t="n">
        <v>45909.59766203703</v>
      </c>
      <c r="C424" s="1" t="n">
        <v>46046</v>
      </c>
      <c r="D424" t="inlineStr">
        <is>
          <t>GÄVLEBORGS LÄN</t>
        </is>
      </c>
      <c r="E424" t="inlineStr">
        <is>
          <t>OCKELBO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43436-2025</t>
        </is>
      </c>
      <c r="B425" s="1" t="n">
        <v>45911.4297337963</v>
      </c>
      <c r="C425" s="1" t="n">
        <v>46046</v>
      </c>
      <c r="D425" t="inlineStr">
        <is>
          <t>GÄVLEBORGS LÄN</t>
        </is>
      </c>
      <c r="E425" t="inlineStr">
        <is>
          <t>OCKELBO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20892-2025</t>
        </is>
      </c>
      <c r="B426" s="1" t="n">
        <v>45777.38662037037</v>
      </c>
      <c r="C426" s="1" t="n">
        <v>46046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43460-2025</t>
        </is>
      </c>
      <c r="B427" s="1" t="n">
        <v>45911.46778935185</v>
      </c>
      <c r="C427" s="1" t="n">
        <v>46046</v>
      </c>
      <c r="D427" t="inlineStr">
        <is>
          <t>GÄVLEBORGS LÄN</t>
        </is>
      </c>
      <c r="E427" t="inlineStr">
        <is>
          <t>OCKELBO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43424-2025</t>
        </is>
      </c>
      <c r="B428" s="1" t="n">
        <v>45911.41474537037</v>
      </c>
      <c r="C428" s="1" t="n">
        <v>46046</v>
      </c>
      <c r="D428" t="inlineStr">
        <is>
          <t>GÄVLEBORGS LÄN</t>
        </is>
      </c>
      <c r="E428" t="inlineStr">
        <is>
          <t>OCKELBO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43506-2025</t>
        </is>
      </c>
      <c r="B429" s="1" t="n">
        <v>45911.55394675926</v>
      </c>
      <c r="C429" s="1" t="n">
        <v>46046</v>
      </c>
      <c r="D429" t="inlineStr">
        <is>
          <t>GÄVLEBORGS LÄN</t>
        </is>
      </c>
      <c r="E429" t="inlineStr">
        <is>
          <t>OCKELBO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43509-2025</t>
        </is>
      </c>
      <c r="B430" s="1" t="n">
        <v>45911.55607638889</v>
      </c>
      <c r="C430" s="1" t="n">
        <v>46046</v>
      </c>
      <c r="D430" t="inlineStr">
        <is>
          <t>GÄVLEBORGS LÄN</t>
        </is>
      </c>
      <c r="E430" t="inlineStr">
        <is>
          <t>OCKELBO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43512-2025</t>
        </is>
      </c>
      <c r="B431" s="1" t="n">
        <v>45911.56153935185</v>
      </c>
      <c r="C431" s="1" t="n">
        <v>46046</v>
      </c>
      <c r="D431" t="inlineStr">
        <is>
          <t>GÄVLEBORGS LÄN</t>
        </is>
      </c>
      <c r="E431" t="inlineStr">
        <is>
          <t>OCKELBO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43423-2025</t>
        </is>
      </c>
      <c r="B432" s="1" t="n">
        <v>45911.41440972222</v>
      </c>
      <c r="C432" s="1" t="n">
        <v>46046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24.8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43447-2025</t>
        </is>
      </c>
      <c r="B433" s="1" t="n">
        <v>45911.45193287037</v>
      </c>
      <c r="C433" s="1" t="n">
        <v>46046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53488-2023</t>
        </is>
      </c>
      <c r="B434" s="1" t="n">
        <v>45230.35541666667</v>
      </c>
      <c r="C434" s="1" t="n">
        <v>46046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37442-2023</t>
        </is>
      </c>
      <c r="B435" s="1" t="n">
        <v>45156</v>
      </c>
      <c r="C435" s="1" t="n">
        <v>46046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22385-2023</t>
        </is>
      </c>
      <c r="B436" s="1" t="n">
        <v>45070.61877314815</v>
      </c>
      <c r="C436" s="1" t="n">
        <v>46046</v>
      </c>
      <c r="D436" t="inlineStr">
        <is>
          <t>GÄVLEBORGS LÄN</t>
        </is>
      </c>
      <c r="E436" t="inlineStr">
        <is>
          <t>OCKELBO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44548-2025</t>
        </is>
      </c>
      <c r="B437" s="1" t="n">
        <v>45917.33304398148</v>
      </c>
      <c r="C437" s="1" t="n">
        <v>46046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56741-2024</t>
        </is>
      </c>
      <c r="B438" s="1" t="n">
        <v>45628.36787037037</v>
      </c>
      <c r="C438" s="1" t="n">
        <v>46046</v>
      </c>
      <c r="D438" t="inlineStr">
        <is>
          <t>GÄVLEBORGS LÄN</t>
        </is>
      </c>
      <c r="E438" t="inlineStr">
        <is>
          <t>OCKELBO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19772-2025</t>
        </is>
      </c>
      <c r="B439" s="1" t="n">
        <v>45771.4179050926</v>
      </c>
      <c r="C439" s="1" t="n">
        <v>46046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44683-2025</t>
        </is>
      </c>
      <c r="B440" s="1" t="n">
        <v>45917.581875</v>
      </c>
      <c r="C440" s="1" t="n">
        <v>46046</v>
      </c>
      <c r="D440" t="inlineStr">
        <is>
          <t>GÄVLEBORGS LÄN</t>
        </is>
      </c>
      <c r="E440" t="inlineStr">
        <is>
          <t>OCKELBO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9459-2025</t>
        </is>
      </c>
      <c r="B441" s="1" t="n">
        <v>45715.44862268519</v>
      </c>
      <c r="C441" s="1" t="n">
        <v>46046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öst AB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44561-2025</t>
        </is>
      </c>
      <c r="B442" s="1" t="n">
        <v>45917.34569444445</v>
      </c>
      <c r="C442" s="1" t="n">
        <v>46046</v>
      </c>
      <c r="D442" t="inlineStr">
        <is>
          <t>GÄVLEBORGS LÄN</t>
        </is>
      </c>
      <c r="E442" t="inlineStr">
        <is>
          <t>OCKELBO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29567-2024</t>
        </is>
      </c>
      <c r="B443" s="1" t="n">
        <v>45484</v>
      </c>
      <c r="C443" s="1" t="n">
        <v>46046</v>
      </c>
      <c r="D443" t="inlineStr">
        <is>
          <t>GÄVLEBORGS LÄN</t>
        </is>
      </c>
      <c r="E443" t="inlineStr">
        <is>
          <t>OCKELBO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64367-2023</t>
        </is>
      </c>
      <c r="B444" s="1" t="n">
        <v>45280.53886574074</v>
      </c>
      <c r="C444" s="1" t="n">
        <v>46046</v>
      </c>
      <c r="D444" t="inlineStr">
        <is>
          <t>GÄVLEBORGS LÄN</t>
        </is>
      </c>
      <c r="E444" t="inlineStr">
        <is>
          <t>OCKELBO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55715-2023</t>
        </is>
      </c>
      <c r="B445" s="1" t="n">
        <v>45239</v>
      </c>
      <c r="C445" s="1" t="n">
        <v>46046</v>
      </c>
      <c r="D445" t="inlineStr">
        <is>
          <t>GÄVLEBORGS LÄN</t>
        </is>
      </c>
      <c r="E445" t="inlineStr">
        <is>
          <t>OCKELBO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4226-2023</t>
        </is>
      </c>
      <c r="B446" s="1" t="n">
        <v>44953</v>
      </c>
      <c r="C446" s="1" t="n">
        <v>46046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45287-2025</t>
        </is>
      </c>
      <c r="B447" s="1" t="n">
        <v>45919.92555555556</v>
      </c>
      <c r="C447" s="1" t="n">
        <v>46046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427-2024</t>
        </is>
      </c>
      <c r="B448" s="1" t="n">
        <v>45296</v>
      </c>
      <c r="C448" s="1" t="n">
        <v>46046</v>
      </c>
      <c r="D448" t="inlineStr">
        <is>
          <t>GÄVLEBORGS LÄN</t>
        </is>
      </c>
      <c r="E448" t="inlineStr">
        <is>
          <t>OCKELBO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45529-2025</t>
        </is>
      </c>
      <c r="B449" s="1" t="n">
        <v>45922.59997685185</v>
      </c>
      <c r="C449" s="1" t="n">
        <v>46046</v>
      </c>
      <c r="D449" t="inlineStr">
        <is>
          <t>GÄVLEBORGS LÄN</t>
        </is>
      </c>
      <c r="E449" t="inlineStr">
        <is>
          <t>OCKELBO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47849-2021</t>
        </is>
      </c>
      <c r="B450" s="1" t="n">
        <v>44448.65805555556</v>
      </c>
      <c r="C450" s="1" t="n">
        <v>46046</v>
      </c>
      <c r="D450" t="inlineStr">
        <is>
          <t>GÄVLEBORGS LÄN</t>
        </is>
      </c>
      <c r="E450" t="inlineStr">
        <is>
          <t>OCKELBO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50194-2024</t>
        </is>
      </c>
      <c r="B451" s="1" t="n">
        <v>45600.48512731482</v>
      </c>
      <c r="C451" s="1" t="n">
        <v>46046</v>
      </c>
      <c r="D451" t="inlineStr">
        <is>
          <t>GÄVLEBORGS LÄN</t>
        </is>
      </c>
      <c r="E451" t="inlineStr">
        <is>
          <t>OCKELBO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15247-2025</t>
        </is>
      </c>
      <c r="B452" s="1" t="n">
        <v>45744.62528935185</v>
      </c>
      <c r="C452" s="1" t="n">
        <v>46046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46320-2025</t>
        </is>
      </c>
      <c r="B453" s="1" t="n">
        <v>45925.4483912037</v>
      </c>
      <c r="C453" s="1" t="n">
        <v>46046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46316-2025</t>
        </is>
      </c>
      <c r="B454" s="1" t="n">
        <v>45925.44523148148</v>
      </c>
      <c r="C454" s="1" t="n">
        <v>46046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22952-2023</t>
        </is>
      </c>
      <c r="B455" s="1" t="n">
        <v>45072</v>
      </c>
      <c r="C455" s="1" t="n">
        <v>46046</v>
      </c>
      <c r="D455" t="inlineStr">
        <is>
          <t>GÄVLEBORGS LÄN</t>
        </is>
      </c>
      <c r="E455" t="inlineStr">
        <is>
          <t>OCKELBO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46881-2025</t>
        </is>
      </c>
      <c r="B456" s="1" t="n">
        <v>45929.34912037037</v>
      </c>
      <c r="C456" s="1" t="n">
        <v>46046</v>
      </c>
      <c r="D456" t="inlineStr">
        <is>
          <t>GÄVLEBORGS LÄN</t>
        </is>
      </c>
      <c r="E456" t="inlineStr">
        <is>
          <t>OCKELBO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60699-2024</t>
        </is>
      </c>
      <c r="B457" s="1" t="n">
        <v>45644.48552083333</v>
      </c>
      <c r="C457" s="1" t="n">
        <v>46046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34776-2025</t>
        </is>
      </c>
      <c r="B458" s="1" t="n">
        <v>45848.65737268519</v>
      </c>
      <c r="C458" s="1" t="n">
        <v>46046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50693-2024</t>
        </is>
      </c>
      <c r="B459" s="1" t="n">
        <v>45602.34721064815</v>
      </c>
      <c r="C459" s="1" t="n">
        <v>46046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34305-2025</t>
        </is>
      </c>
      <c r="B460" s="1" t="n">
        <v>45846.35457175926</v>
      </c>
      <c r="C460" s="1" t="n">
        <v>46046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27066-2021</t>
        </is>
      </c>
      <c r="B461" s="1" t="n">
        <v>44350.46327546296</v>
      </c>
      <c r="C461" s="1" t="n">
        <v>46046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46642-2025</t>
        </is>
      </c>
      <c r="B462" s="1" t="n">
        <v>45926.47118055556</v>
      </c>
      <c r="C462" s="1" t="n">
        <v>46046</v>
      </c>
      <c r="D462" t="inlineStr">
        <is>
          <t>GÄVLEBORGS LÄN</t>
        </is>
      </c>
      <c r="E462" t="inlineStr">
        <is>
          <t>OCKELBO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7344-2021</t>
        </is>
      </c>
      <c r="B463" s="1" t="n">
        <v>44239</v>
      </c>
      <c r="C463" s="1" t="n">
        <v>46046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7379-2021</t>
        </is>
      </c>
      <c r="B464" s="1" t="n">
        <v>44239</v>
      </c>
      <c r="C464" s="1" t="n">
        <v>46046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16141-2023</t>
        </is>
      </c>
      <c r="B465" s="1" t="n">
        <v>45027</v>
      </c>
      <c r="C465" s="1" t="n">
        <v>46046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50689-2024</t>
        </is>
      </c>
      <c r="B466" s="1" t="n">
        <v>45602</v>
      </c>
      <c r="C466" s="1" t="n">
        <v>46046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50692-2024</t>
        </is>
      </c>
      <c r="B467" s="1" t="n">
        <v>45602.34263888889</v>
      </c>
      <c r="C467" s="1" t="n">
        <v>46046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26448-2024</t>
        </is>
      </c>
      <c r="B468" s="1" t="n">
        <v>45469.50715277778</v>
      </c>
      <c r="C468" s="1" t="n">
        <v>46046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52140-2024</t>
        </is>
      </c>
      <c r="B469" s="1" t="n">
        <v>45608.50689814815</v>
      </c>
      <c r="C469" s="1" t="n">
        <v>46046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34766-2025</t>
        </is>
      </c>
      <c r="B470" s="1" t="n">
        <v>45848.64854166667</v>
      </c>
      <c r="C470" s="1" t="n">
        <v>46046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38401-2023</t>
        </is>
      </c>
      <c r="B471" s="1" t="n">
        <v>45162</v>
      </c>
      <c r="C471" s="1" t="n">
        <v>46046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7420-2021</t>
        </is>
      </c>
      <c r="B472" s="1" t="n">
        <v>44239</v>
      </c>
      <c r="C472" s="1" t="n">
        <v>46046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66825-2021</t>
        </is>
      </c>
      <c r="B473" s="1" t="n">
        <v>44522.40350694444</v>
      </c>
      <c r="C473" s="1" t="n">
        <v>46046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34291-2025</t>
        </is>
      </c>
      <c r="B474" s="1" t="n">
        <v>45846.3380787037</v>
      </c>
      <c r="C474" s="1" t="n">
        <v>46046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12371-2021</t>
        </is>
      </c>
      <c r="B475" s="1" t="n">
        <v>44267</v>
      </c>
      <c r="C475" s="1" t="n">
        <v>46046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40283-2024</t>
        </is>
      </c>
      <c r="B476" s="1" t="n">
        <v>45554.66199074074</v>
      </c>
      <c r="C476" s="1" t="n">
        <v>46046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34770-2025</t>
        </is>
      </c>
      <c r="B477" s="1" t="n">
        <v>45848.65394675926</v>
      </c>
      <c r="C477" s="1" t="n">
        <v>46046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50235-2023</t>
        </is>
      </c>
      <c r="B478" s="1" t="n">
        <v>45216.30402777778</v>
      </c>
      <c r="C478" s="1" t="n">
        <v>46046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21051-2025</t>
        </is>
      </c>
      <c r="B479" s="1" t="n">
        <v>45777.56392361111</v>
      </c>
      <c r="C479" s="1" t="n">
        <v>46046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40281-2024</t>
        </is>
      </c>
      <c r="B480" s="1" t="n">
        <v>45554.6590162037</v>
      </c>
      <c r="C480" s="1" t="n">
        <v>46046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18241-2025</t>
        </is>
      </c>
      <c r="B481" s="1" t="n">
        <v>45762.31237268518</v>
      </c>
      <c r="C481" s="1" t="n">
        <v>46046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46609-2025</t>
        </is>
      </c>
      <c r="B482" s="1" t="n">
        <v>45926.41898148148</v>
      </c>
      <c r="C482" s="1" t="n">
        <v>46046</v>
      </c>
      <c r="D482" t="inlineStr">
        <is>
          <t>GÄVLEBORGS LÄN</t>
        </is>
      </c>
      <c r="E482" t="inlineStr">
        <is>
          <t>OCKELBO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46481-2024</t>
        </is>
      </c>
      <c r="B483" s="1" t="n">
        <v>45582.57228009259</v>
      </c>
      <c r="C483" s="1" t="n">
        <v>46046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19241-2021</t>
        </is>
      </c>
      <c r="B484" s="1" t="n">
        <v>44309.36331018519</v>
      </c>
      <c r="C484" s="1" t="n">
        <v>46046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34797-2021</t>
        </is>
      </c>
      <c r="B485" s="1" t="n">
        <v>44383.30501157408</v>
      </c>
      <c r="C485" s="1" t="n">
        <v>46046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38893-2022</t>
        </is>
      </c>
      <c r="B486" s="1" t="n">
        <v>44816.58288194444</v>
      </c>
      <c r="C486" s="1" t="n">
        <v>46046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48221-2024</t>
        </is>
      </c>
      <c r="B487" s="1" t="n">
        <v>45590.36142361111</v>
      </c>
      <c r="C487" s="1" t="n">
        <v>46046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7425-2021</t>
        </is>
      </c>
      <c r="B488" s="1" t="n">
        <v>44239</v>
      </c>
      <c r="C488" s="1" t="n">
        <v>46046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47011-2025</t>
        </is>
      </c>
      <c r="B489" s="1" t="n">
        <v>45929.57289351852</v>
      </c>
      <c r="C489" s="1" t="n">
        <v>46046</v>
      </c>
      <c r="D489" t="inlineStr">
        <is>
          <t>GÄVLEBORGS LÄN</t>
        </is>
      </c>
      <c r="E489" t="inlineStr">
        <is>
          <t>OCKELBO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47016-2025</t>
        </is>
      </c>
      <c r="B490" s="1" t="n">
        <v>45929.57436342593</v>
      </c>
      <c r="C490" s="1" t="n">
        <v>46046</v>
      </c>
      <c r="D490" t="inlineStr">
        <is>
          <t>GÄVLEBORGS LÄN</t>
        </is>
      </c>
      <c r="E490" t="inlineStr">
        <is>
          <t>OCKELBO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61622-2021</t>
        </is>
      </c>
      <c r="B491" s="1" t="n">
        <v>44501.49077546296</v>
      </c>
      <c r="C491" s="1" t="n">
        <v>46046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34792-2024</t>
        </is>
      </c>
      <c r="B492" s="1" t="n">
        <v>45526.66439814815</v>
      </c>
      <c r="C492" s="1" t="n">
        <v>46046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54454-2024</t>
        </is>
      </c>
      <c r="B493" s="1" t="n">
        <v>45617.52900462963</v>
      </c>
      <c r="C493" s="1" t="n">
        <v>46046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45519-2022</t>
        </is>
      </c>
      <c r="B494" s="1" t="n">
        <v>44845</v>
      </c>
      <c r="C494" s="1" t="n">
        <v>46046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67768-2021</t>
        </is>
      </c>
      <c r="B495" s="1" t="n">
        <v>44525.3771412037</v>
      </c>
      <c r="C495" s="1" t="n">
        <v>46046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46485-2024</t>
        </is>
      </c>
      <c r="B496" s="1" t="n">
        <v>45582.57607638889</v>
      </c>
      <c r="C496" s="1" t="n">
        <v>46046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29768-2023</t>
        </is>
      </c>
      <c r="B497" s="1" t="n">
        <v>45107.48458333333</v>
      </c>
      <c r="C497" s="1" t="n">
        <v>46046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47267-2025</t>
        </is>
      </c>
      <c r="B498" s="1" t="n">
        <v>45930.45800925926</v>
      </c>
      <c r="C498" s="1" t="n">
        <v>46046</v>
      </c>
      <c r="D498" t="inlineStr">
        <is>
          <t>GÄVLEBORGS LÄN</t>
        </is>
      </c>
      <c r="E498" t="inlineStr">
        <is>
          <t>OCKELBO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47987-2025</t>
        </is>
      </c>
      <c r="B499" s="1" t="n">
        <v>45932.62010416666</v>
      </c>
      <c r="C499" s="1" t="n">
        <v>46046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22824-2024</t>
        </is>
      </c>
      <c r="B500" s="1" t="n">
        <v>45448</v>
      </c>
      <c r="C500" s="1" t="n">
        <v>46046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48186-2025</t>
        </is>
      </c>
      <c r="B501" s="1" t="n">
        <v>45933.46466435185</v>
      </c>
      <c r="C501" s="1" t="n">
        <v>46046</v>
      </c>
      <c r="D501" t="inlineStr">
        <is>
          <t>GÄVLEBORGS LÄN</t>
        </is>
      </c>
      <c r="E501" t="inlineStr">
        <is>
          <t>OCKELBO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1143-2025</t>
        </is>
      </c>
      <c r="B502" s="1" t="n">
        <v>45666.7081712963</v>
      </c>
      <c r="C502" s="1" t="n">
        <v>46046</v>
      </c>
      <c r="D502" t="inlineStr">
        <is>
          <t>GÄVLEBORGS LÄN</t>
        </is>
      </c>
      <c r="E502" t="inlineStr">
        <is>
          <t>OCKELBO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48115-2025</t>
        </is>
      </c>
      <c r="B503" s="1" t="n">
        <v>45933.35277777778</v>
      </c>
      <c r="C503" s="1" t="n">
        <v>46046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47990-2025</t>
        </is>
      </c>
      <c r="B504" s="1" t="n">
        <v>45932.62314814814</v>
      </c>
      <c r="C504" s="1" t="n">
        <v>46046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61750-2023</t>
        </is>
      </c>
      <c r="B505" s="1" t="n">
        <v>45265.79518518518</v>
      </c>
      <c r="C505" s="1" t="n">
        <v>46046</v>
      </c>
      <c r="D505" t="inlineStr">
        <is>
          <t>GÄVLEBORGS LÄN</t>
        </is>
      </c>
      <c r="E505" t="inlineStr">
        <is>
          <t>OCKELBO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33985-2023</t>
        </is>
      </c>
      <c r="B506" s="1" t="n">
        <v>45134.82828703704</v>
      </c>
      <c r="C506" s="1" t="n">
        <v>46046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8913-2025</t>
        </is>
      </c>
      <c r="B507" s="1" t="n">
        <v>45713.42717592593</v>
      </c>
      <c r="C507" s="1" t="n">
        <v>46046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öst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49027-2025</t>
        </is>
      </c>
      <c r="B508" s="1" t="n">
        <v>45937.62039351852</v>
      </c>
      <c r="C508" s="1" t="n">
        <v>46046</v>
      </c>
      <c r="D508" t="inlineStr">
        <is>
          <t>GÄVLEBORGS LÄN</t>
        </is>
      </c>
      <c r="E508" t="inlineStr">
        <is>
          <t>OCKELBO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49014-2025</t>
        </is>
      </c>
      <c r="B509" s="1" t="n">
        <v>45937.610625</v>
      </c>
      <c r="C509" s="1" t="n">
        <v>46046</v>
      </c>
      <c r="D509" t="inlineStr">
        <is>
          <t>GÄVLEBORGS LÄN</t>
        </is>
      </c>
      <c r="E509" t="inlineStr">
        <is>
          <t>OCKELBO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49503-2025</t>
        </is>
      </c>
      <c r="B510" s="1" t="n">
        <v>45939.37001157407</v>
      </c>
      <c r="C510" s="1" t="n">
        <v>46046</v>
      </c>
      <c r="D510" t="inlineStr">
        <is>
          <t>GÄVLEBORGS LÄN</t>
        </is>
      </c>
      <c r="E510" t="inlineStr">
        <is>
          <t>OCKELBO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49008-2025</t>
        </is>
      </c>
      <c r="B511" s="1" t="n">
        <v>45937.60611111111</v>
      </c>
      <c r="C511" s="1" t="n">
        <v>46046</v>
      </c>
      <c r="D511" t="inlineStr">
        <is>
          <t>GÄVLEBORGS LÄN</t>
        </is>
      </c>
      <c r="E511" t="inlineStr">
        <is>
          <t>OCKELBO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49259-2025</t>
        </is>
      </c>
      <c r="B512" s="1" t="n">
        <v>45938.49456018519</v>
      </c>
      <c r="C512" s="1" t="n">
        <v>46046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48996-2025</t>
        </is>
      </c>
      <c r="B513" s="1" t="n">
        <v>45937.58770833333</v>
      </c>
      <c r="C513" s="1" t="n">
        <v>46046</v>
      </c>
      <c r="D513" t="inlineStr">
        <is>
          <t>GÄVLEBORGS LÄN</t>
        </is>
      </c>
      <c r="E513" t="inlineStr">
        <is>
          <t>OCKELBO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48855-2025</t>
        </is>
      </c>
      <c r="B514" s="1" t="n">
        <v>45937.43577546296</v>
      </c>
      <c r="C514" s="1" t="n">
        <v>46046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49032-2025</t>
        </is>
      </c>
      <c r="B515" s="1" t="n">
        <v>45937.6262037037</v>
      </c>
      <c r="C515" s="1" t="n">
        <v>46046</v>
      </c>
      <c r="D515" t="inlineStr">
        <is>
          <t>GÄVLEBORGS LÄN</t>
        </is>
      </c>
      <c r="E515" t="inlineStr">
        <is>
          <t>OCKELBO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31822-2025</t>
        </is>
      </c>
      <c r="B516" s="1" t="n">
        <v>45834</v>
      </c>
      <c r="C516" s="1" t="n">
        <v>46046</v>
      </c>
      <c r="D516" t="inlineStr">
        <is>
          <t>GÄVLEBORGS LÄN</t>
        </is>
      </c>
      <c r="E516" t="inlineStr">
        <is>
          <t>OCKELBO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50696-2025</t>
        </is>
      </c>
      <c r="B517" s="1" t="n">
        <v>45945.89071759259</v>
      </c>
      <c r="C517" s="1" t="n">
        <v>46046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51098-2025</t>
        </is>
      </c>
      <c r="B518" s="1" t="n">
        <v>45947.48436342592</v>
      </c>
      <c r="C518" s="1" t="n">
        <v>46046</v>
      </c>
      <c r="D518" t="inlineStr">
        <is>
          <t>GÄVLEBORGS LÄN</t>
        </is>
      </c>
      <c r="E518" t="inlineStr">
        <is>
          <t>OCKELBO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52259-2025</t>
        </is>
      </c>
      <c r="B519" s="1" t="n">
        <v>45953.51040509259</v>
      </c>
      <c r="C519" s="1" t="n">
        <v>46046</v>
      </c>
      <c r="D519" t="inlineStr">
        <is>
          <t>GÄVLEBORGS LÄN</t>
        </is>
      </c>
      <c r="E519" t="inlineStr">
        <is>
          <t>OCKELBO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51892-2025</t>
        </is>
      </c>
      <c r="B520" s="1" t="n">
        <v>45952.42239583333</v>
      </c>
      <c r="C520" s="1" t="n">
        <v>46046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52241-2025</t>
        </is>
      </c>
      <c r="B521" s="1" t="n">
        <v>45953.46417824074</v>
      </c>
      <c r="C521" s="1" t="n">
        <v>46046</v>
      </c>
      <c r="D521" t="inlineStr">
        <is>
          <t>GÄVLEBORGS LÄN</t>
        </is>
      </c>
      <c r="E521" t="inlineStr">
        <is>
          <t>OCKELBO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50742-2025</t>
        </is>
      </c>
      <c r="B522" s="1" t="n">
        <v>45946.38253472222</v>
      </c>
      <c r="C522" s="1" t="n">
        <v>46046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52880-2025</t>
        </is>
      </c>
      <c r="B523" s="1" t="n">
        <v>45957.54447916667</v>
      </c>
      <c r="C523" s="1" t="n">
        <v>46046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52635-2025</t>
        </is>
      </c>
      <c r="B524" s="1" t="n">
        <v>45954.7355787037</v>
      </c>
      <c r="C524" s="1" t="n">
        <v>46046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52461-2025</t>
        </is>
      </c>
      <c r="B525" s="1" t="n">
        <v>45954.43909722222</v>
      </c>
      <c r="C525" s="1" t="n">
        <v>46046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52769-2025</t>
        </is>
      </c>
      <c r="B526" s="1" t="n">
        <v>45957.40206018519</v>
      </c>
      <c r="C526" s="1" t="n">
        <v>46046</v>
      </c>
      <c r="D526" t="inlineStr">
        <is>
          <t>GÄVLEBORGS LÄN</t>
        </is>
      </c>
      <c r="E526" t="inlineStr">
        <is>
          <t>OCKELBO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53078-2025</t>
        </is>
      </c>
      <c r="B527" s="1" t="n">
        <v>45958.38793981481</v>
      </c>
      <c r="C527" s="1" t="n">
        <v>46046</v>
      </c>
      <c r="D527" t="inlineStr">
        <is>
          <t>GÄVLEBORGS LÄN</t>
        </is>
      </c>
      <c r="E527" t="inlineStr">
        <is>
          <t>OCKELBO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53080-2025</t>
        </is>
      </c>
      <c r="B528" s="1" t="n">
        <v>45958.39484953704</v>
      </c>
      <c r="C528" s="1" t="n">
        <v>46046</v>
      </c>
      <c r="D528" t="inlineStr">
        <is>
          <t>GÄVLEBORGS LÄN</t>
        </is>
      </c>
      <c r="E528" t="inlineStr">
        <is>
          <t>OCKELBO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53391-2025</t>
        </is>
      </c>
      <c r="B529" s="1" t="n">
        <v>45959.55204861111</v>
      </c>
      <c r="C529" s="1" t="n">
        <v>46046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62196-2025</t>
        </is>
      </c>
      <c r="B530" s="1" t="n">
        <v>46006.55280092593</v>
      </c>
      <c r="C530" s="1" t="n">
        <v>46046</v>
      </c>
      <c r="D530" t="inlineStr">
        <is>
          <t>GÄVLEBORGS LÄN</t>
        </is>
      </c>
      <c r="E530" t="inlineStr">
        <is>
          <t>OCKELBO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62411-2025</t>
        </is>
      </c>
      <c r="B531" s="1" t="n">
        <v>46007.43958333333</v>
      </c>
      <c r="C531" s="1" t="n">
        <v>46046</v>
      </c>
      <c r="D531" t="inlineStr">
        <is>
          <t>GÄVLEBORGS LÄN</t>
        </is>
      </c>
      <c r="E531" t="inlineStr">
        <is>
          <t>OCKELBO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63061-2025</t>
        </is>
      </c>
      <c r="B532" s="1" t="n">
        <v>46009.65140046296</v>
      </c>
      <c r="C532" s="1" t="n">
        <v>46046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54655-2025</t>
        </is>
      </c>
      <c r="B533" s="1" t="n">
        <v>45966.38342592592</v>
      </c>
      <c r="C533" s="1" t="n">
        <v>46046</v>
      </c>
      <c r="D533" t="inlineStr">
        <is>
          <t>GÄVLEBORGS LÄN</t>
        </is>
      </c>
      <c r="E533" t="inlineStr">
        <is>
          <t>OCKELBO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54766-2025</t>
        </is>
      </c>
      <c r="B534" s="1" t="n">
        <v>45966.60378472223</v>
      </c>
      <c r="C534" s="1" t="n">
        <v>46046</v>
      </c>
      <c r="D534" t="inlineStr">
        <is>
          <t>GÄVLEBORGS LÄN</t>
        </is>
      </c>
      <c r="E534" t="inlineStr">
        <is>
          <t>OCKELBO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54879-2025</t>
        </is>
      </c>
      <c r="B535" s="1" t="n">
        <v>45967.33152777778</v>
      </c>
      <c r="C535" s="1" t="n">
        <v>46046</v>
      </c>
      <c r="D535" t="inlineStr">
        <is>
          <t>GÄVLEBORGS LÄN</t>
        </is>
      </c>
      <c r="E535" t="inlineStr">
        <is>
          <t>OCKELBO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54880-2025</t>
        </is>
      </c>
      <c r="B536" s="1" t="n">
        <v>45967.33255787037</v>
      </c>
      <c r="C536" s="1" t="n">
        <v>46046</v>
      </c>
      <c r="D536" t="inlineStr">
        <is>
          <t>GÄVLEBORGS LÄN</t>
        </is>
      </c>
      <c r="E536" t="inlineStr">
        <is>
          <t>OCKELBO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54944-2025</t>
        </is>
      </c>
      <c r="B537" s="1" t="n">
        <v>45967.4474537037</v>
      </c>
      <c r="C537" s="1" t="n">
        <v>46046</v>
      </c>
      <c r="D537" t="inlineStr">
        <is>
          <t>GÄVLEBORGS LÄN</t>
        </is>
      </c>
      <c r="E537" t="inlineStr">
        <is>
          <t>OCKELBO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62856-2025</t>
        </is>
      </c>
      <c r="B538" s="1" t="n">
        <v>46008.7390625</v>
      </c>
      <c r="C538" s="1" t="n">
        <v>46046</v>
      </c>
      <c r="D538" t="inlineStr">
        <is>
          <t>GÄVLEBORGS LÄN</t>
        </is>
      </c>
      <c r="E538" t="inlineStr">
        <is>
          <t>OCKELBO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62914-2025</t>
        </is>
      </c>
      <c r="B539" s="1" t="n">
        <v>46009.36662037037</v>
      </c>
      <c r="C539" s="1" t="n">
        <v>46046</v>
      </c>
      <c r="D539" t="inlineStr">
        <is>
          <t>GÄVLEBORGS LÄN</t>
        </is>
      </c>
      <c r="E539" t="inlineStr">
        <is>
          <t>OCKELBO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63017-2025</t>
        </is>
      </c>
      <c r="B540" s="1" t="n">
        <v>46009.59115740741</v>
      </c>
      <c r="C540" s="1" t="n">
        <v>46046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63459-2025</t>
        </is>
      </c>
      <c r="B541" s="1" t="n">
        <v>46013.42375</v>
      </c>
      <c r="C541" s="1" t="n">
        <v>46046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63464-2025</t>
        </is>
      </c>
      <c r="B542" s="1" t="n">
        <v>46013.42856481481</v>
      </c>
      <c r="C542" s="1" t="n">
        <v>46046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63224-2025</t>
        </is>
      </c>
      <c r="B543" s="1" t="n">
        <v>46010.49428240741</v>
      </c>
      <c r="C543" s="1" t="n">
        <v>46046</v>
      </c>
      <c r="D543" t="inlineStr">
        <is>
          <t>GÄVLEBORGS LÄN</t>
        </is>
      </c>
      <c r="E543" t="inlineStr">
        <is>
          <t>OCKELBO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55726-2025</t>
        </is>
      </c>
      <c r="B544" s="1" t="n">
        <v>45972.53399305556</v>
      </c>
      <c r="C544" s="1" t="n">
        <v>46046</v>
      </c>
      <c r="D544" t="inlineStr">
        <is>
          <t>GÄVLEBORGS LÄN</t>
        </is>
      </c>
      <c r="E544" t="inlineStr">
        <is>
          <t>OCKELBO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63611-2025</t>
        </is>
      </c>
      <c r="B545" s="1" t="n">
        <v>46014.34421296296</v>
      </c>
      <c r="C545" s="1" t="n">
        <v>46046</v>
      </c>
      <c r="D545" t="inlineStr">
        <is>
          <t>GÄVLEBORGS LÄN</t>
        </is>
      </c>
      <c r="E545" t="inlineStr">
        <is>
          <t>OCKELBO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55976-2025</t>
        </is>
      </c>
      <c r="B546" s="1" t="n">
        <v>45973.51217592593</v>
      </c>
      <c r="C546" s="1" t="n">
        <v>46046</v>
      </c>
      <c r="D546" t="inlineStr">
        <is>
          <t>GÄVLEBORGS LÄN</t>
        </is>
      </c>
      <c r="E546" t="inlineStr">
        <is>
          <t>OCKELBO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55859-2025</t>
        </is>
      </c>
      <c r="B547" s="1" t="n">
        <v>45973.33715277778</v>
      </c>
      <c r="C547" s="1" t="n">
        <v>46046</v>
      </c>
      <c r="D547" t="inlineStr">
        <is>
          <t>GÄVLEBORGS LÄN</t>
        </is>
      </c>
      <c r="E547" t="inlineStr">
        <is>
          <t>OCKELBO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55866-2025</t>
        </is>
      </c>
      <c r="B548" s="1" t="n">
        <v>45973.35025462963</v>
      </c>
      <c r="C548" s="1" t="n">
        <v>46046</v>
      </c>
      <c r="D548" t="inlineStr">
        <is>
          <t>GÄVLEBORGS LÄN</t>
        </is>
      </c>
      <c r="E548" t="inlineStr">
        <is>
          <t>OCKELBO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55632-2025</t>
        </is>
      </c>
      <c r="B549" s="1" t="n">
        <v>45972.34230324074</v>
      </c>
      <c r="C549" s="1" t="n">
        <v>46046</v>
      </c>
      <c r="D549" t="inlineStr">
        <is>
          <t>GÄVLEBORGS LÄN</t>
        </is>
      </c>
      <c r="E549" t="inlineStr">
        <is>
          <t>OCKELBO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55884-2025</t>
        </is>
      </c>
      <c r="B550" s="1" t="n">
        <v>45973.36832175926</v>
      </c>
      <c r="C550" s="1" t="n">
        <v>46046</v>
      </c>
      <c r="D550" t="inlineStr">
        <is>
          <t>GÄVLEBORGS LÄN</t>
        </is>
      </c>
      <c r="E550" t="inlineStr">
        <is>
          <t>OCKELBO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55920-2025</t>
        </is>
      </c>
      <c r="B551" s="1" t="n">
        <v>45973.4175462963</v>
      </c>
      <c r="C551" s="1" t="n">
        <v>46046</v>
      </c>
      <c r="D551" t="inlineStr">
        <is>
          <t>GÄVLEBORGS LÄN</t>
        </is>
      </c>
      <c r="E551" t="inlineStr">
        <is>
          <t>OCKELBO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55926-2025</t>
        </is>
      </c>
      <c r="B552" s="1" t="n">
        <v>45973.42826388889</v>
      </c>
      <c r="C552" s="1" t="n">
        <v>46046</v>
      </c>
      <c r="D552" t="inlineStr">
        <is>
          <t>GÄVLEBORGS LÄN</t>
        </is>
      </c>
      <c r="E552" t="inlineStr">
        <is>
          <t>OCKELBO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55629-2025</t>
        </is>
      </c>
      <c r="B553" s="1" t="n">
        <v>45972.33707175926</v>
      </c>
      <c r="C553" s="1" t="n">
        <v>46046</v>
      </c>
      <c r="D553" t="inlineStr">
        <is>
          <t>GÄVLEBORGS LÄN</t>
        </is>
      </c>
      <c r="E553" t="inlineStr">
        <is>
          <t>OCKELBO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63616-2025</t>
        </is>
      </c>
      <c r="B554" s="1" t="n">
        <v>46014.34641203703</v>
      </c>
      <c r="C554" s="1" t="n">
        <v>46046</v>
      </c>
      <c r="D554" t="inlineStr">
        <is>
          <t>GÄVLEBORGS LÄN</t>
        </is>
      </c>
      <c r="E554" t="inlineStr">
        <is>
          <t>OCKELBO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55778-2025</t>
        </is>
      </c>
      <c r="B555" s="1" t="n">
        <v>45972.6244212963</v>
      </c>
      <c r="C555" s="1" t="n">
        <v>46046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55911-2025</t>
        </is>
      </c>
      <c r="B556" s="1" t="n">
        <v>45973.39857638889</v>
      </c>
      <c r="C556" s="1" t="n">
        <v>46046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55913-2025</t>
        </is>
      </c>
      <c r="B557" s="1" t="n">
        <v>45973.4030787037</v>
      </c>
      <c r="C557" s="1" t="n">
        <v>46046</v>
      </c>
      <c r="D557" t="inlineStr">
        <is>
          <t>GÄVLEBORGS LÄN</t>
        </is>
      </c>
      <c r="E557" t="inlineStr">
        <is>
          <t>OCKELBO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56454-2025</t>
        </is>
      </c>
      <c r="B558" s="1" t="n">
        <v>45975.35673611111</v>
      </c>
      <c r="C558" s="1" t="n">
        <v>46046</v>
      </c>
      <c r="D558" t="inlineStr">
        <is>
          <t>GÄVLEBORGS LÄN</t>
        </is>
      </c>
      <c r="E558" t="inlineStr">
        <is>
          <t>OCKELBO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56877-2025</t>
        </is>
      </c>
      <c r="B559" s="1" t="n">
        <v>45978.53877314815</v>
      </c>
      <c r="C559" s="1" t="n">
        <v>46046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56888-2025</t>
        </is>
      </c>
      <c r="B560" s="1" t="n">
        <v>45978.56181712963</v>
      </c>
      <c r="C560" s="1" t="n">
        <v>46046</v>
      </c>
      <c r="D560" t="inlineStr">
        <is>
          <t>GÄVLEBORGS LÄN</t>
        </is>
      </c>
      <c r="E560" t="inlineStr">
        <is>
          <t>OCKELBO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56919-2025</t>
        </is>
      </c>
      <c r="B561" s="1" t="n">
        <v>45978.59431712963</v>
      </c>
      <c r="C561" s="1" t="n">
        <v>46046</v>
      </c>
      <c r="D561" t="inlineStr">
        <is>
          <t>GÄVLEBORGS LÄN</t>
        </is>
      </c>
      <c r="E561" t="inlineStr">
        <is>
          <t>OCKELBO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56921-2025</t>
        </is>
      </c>
      <c r="B562" s="1" t="n">
        <v>45978.59633101852</v>
      </c>
      <c r="C562" s="1" t="n">
        <v>46046</v>
      </c>
      <c r="D562" t="inlineStr">
        <is>
          <t>GÄVLEBORGS LÄN</t>
        </is>
      </c>
      <c r="E562" t="inlineStr">
        <is>
          <t>OCKELBO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56850-2025</t>
        </is>
      </c>
      <c r="B563" s="1" t="n">
        <v>45978.49068287037</v>
      </c>
      <c r="C563" s="1" t="n">
        <v>46046</v>
      </c>
      <c r="D563" t="inlineStr">
        <is>
          <t>GÄVLEBORGS LÄN</t>
        </is>
      </c>
      <c r="E563" t="inlineStr">
        <is>
          <t>OCKELBO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56882-2025</t>
        </is>
      </c>
      <c r="B564" s="1" t="n">
        <v>45978.55541666667</v>
      </c>
      <c r="C564" s="1" t="n">
        <v>46046</v>
      </c>
      <c r="D564" t="inlineStr">
        <is>
          <t>GÄVLEBORGS LÄN</t>
        </is>
      </c>
      <c r="E564" t="inlineStr">
        <is>
          <t>OCKELBO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56876-2025</t>
        </is>
      </c>
      <c r="B565" s="1" t="n">
        <v>45978.53752314814</v>
      </c>
      <c r="C565" s="1" t="n">
        <v>46046</v>
      </c>
      <c r="D565" t="inlineStr">
        <is>
          <t>GÄVLEBORGS LÄN</t>
        </is>
      </c>
      <c r="E565" t="inlineStr">
        <is>
          <t>OCKELBO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56803-2025</t>
        </is>
      </c>
      <c r="B566" s="1" t="n">
        <v>45978.44311342593</v>
      </c>
      <c r="C566" s="1" t="n">
        <v>46046</v>
      </c>
      <c r="D566" t="inlineStr">
        <is>
          <t>GÄVLEBORGS LÄN</t>
        </is>
      </c>
      <c r="E566" t="inlineStr">
        <is>
          <t>OCKELBO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57614-2025</t>
        </is>
      </c>
      <c r="B567" s="1" t="n">
        <v>45981.34307870371</v>
      </c>
      <c r="C567" s="1" t="n">
        <v>46046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335-2026</t>
        </is>
      </c>
      <c r="B568" s="1" t="n">
        <v>46027.59798611111</v>
      </c>
      <c r="C568" s="1" t="n">
        <v>46046</v>
      </c>
      <c r="D568" t="inlineStr">
        <is>
          <t>GÄVLEBORGS LÄN</t>
        </is>
      </c>
      <c r="E568" t="inlineStr">
        <is>
          <t>OCKELBO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58295-2025</t>
        </is>
      </c>
      <c r="B569" s="1" t="n">
        <v>45985.45576388889</v>
      </c>
      <c r="C569" s="1" t="n">
        <v>46046</v>
      </c>
      <c r="D569" t="inlineStr">
        <is>
          <t>GÄVLEBORGS LÄN</t>
        </is>
      </c>
      <c r="E569" t="inlineStr">
        <is>
          <t>OCKELBO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58299-2025</t>
        </is>
      </c>
      <c r="B570" s="1" t="n">
        <v>45985.45773148148</v>
      </c>
      <c r="C570" s="1" t="n">
        <v>46046</v>
      </c>
      <c r="D570" t="inlineStr">
        <is>
          <t>GÄVLEBORGS LÄN</t>
        </is>
      </c>
      <c r="E570" t="inlineStr">
        <is>
          <t>OCKELBO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299-2026</t>
        </is>
      </c>
      <c r="B571" s="1" t="n">
        <v>46027.51408564814</v>
      </c>
      <c r="C571" s="1" t="n">
        <v>46046</v>
      </c>
      <c r="D571" t="inlineStr">
        <is>
          <t>GÄVLEBORGS LÄN</t>
        </is>
      </c>
      <c r="E571" t="inlineStr">
        <is>
          <t>OCKELBO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58156-2025</t>
        </is>
      </c>
      <c r="B572" s="1" t="n">
        <v>45982.66631944444</v>
      </c>
      <c r="C572" s="1" t="n">
        <v>46046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350-2026</t>
        </is>
      </c>
      <c r="B573" s="1" t="n">
        <v>46027.63125</v>
      </c>
      <c r="C573" s="1" t="n">
        <v>46046</v>
      </c>
      <c r="D573" t="inlineStr">
        <is>
          <t>GÄVLEBORGS LÄN</t>
        </is>
      </c>
      <c r="E573" t="inlineStr">
        <is>
          <t>OCKELBO</t>
        </is>
      </c>
      <c r="G573" t="n">
        <v>16.2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327-2026</t>
        </is>
      </c>
      <c r="B574" s="1" t="n">
        <v>46027.59274305555</v>
      </c>
      <c r="C574" s="1" t="n">
        <v>46046</v>
      </c>
      <c r="D574" t="inlineStr">
        <is>
          <t>GÄVLEBORGS LÄN</t>
        </is>
      </c>
      <c r="E574" t="inlineStr">
        <is>
          <t>OCKELBO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346-2026</t>
        </is>
      </c>
      <c r="B575" s="1" t="n">
        <v>46027.61621527778</v>
      </c>
      <c r="C575" s="1" t="n">
        <v>46046</v>
      </c>
      <c r="D575" t="inlineStr">
        <is>
          <t>GÄVLEBORGS LÄN</t>
        </is>
      </c>
      <c r="E575" t="inlineStr">
        <is>
          <t>OCKELBO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342-2026</t>
        </is>
      </c>
      <c r="B576" s="1" t="n">
        <v>46027.61108796296</v>
      </c>
      <c r="C576" s="1" t="n">
        <v>46046</v>
      </c>
      <c r="D576" t="inlineStr">
        <is>
          <t>GÄVLEBORGS LÄN</t>
        </is>
      </c>
      <c r="E576" t="inlineStr">
        <is>
          <t>OCKELBO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58770-2025</t>
        </is>
      </c>
      <c r="B577" s="1" t="n">
        <v>45986.68657407408</v>
      </c>
      <c r="C577" s="1" t="n">
        <v>46046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463-2026</t>
        </is>
      </c>
      <c r="B578" s="1" t="n">
        <v>46029.38326388889</v>
      </c>
      <c r="C578" s="1" t="n">
        <v>46046</v>
      </c>
      <c r="D578" t="inlineStr">
        <is>
          <t>GÄVLEBORGS LÄN</t>
        </is>
      </c>
      <c r="E578" t="inlineStr">
        <is>
          <t>OCKELBO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469-2026</t>
        </is>
      </c>
      <c r="B579" s="1" t="n">
        <v>46029.38788194444</v>
      </c>
      <c r="C579" s="1" t="n">
        <v>46046</v>
      </c>
      <c r="D579" t="inlineStr">
        <is>
          <t>GÄVLEBORGS LÄN</t>
        </is>
      </c>
      <c r="E579" t="inlineStr">
        <is>
          <t>OCKELBO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461-2026</t>
        </is>
      </c>
      <c r="B580" s="1" t="n">
        <v>46029.38126157408</v>
      </c>
      <c r="C580" s="1" t="n">
        <v>46046</v>
      </c>
      <c r="D580" t="inlineStr">
        <is>
          <t>GÄVLEBORGS LÄN</t>
        </is>
      </c>
      <c r="E580" t="inlineStr">
        <is>
          <t>OCKELBO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465-2026</t>
        </is>
      </c>
      <c r="B581" s="1" t="n">
        <v>46029.38519675926</v>
      </c>
      <c r="C581" s="1" t="n">
        <v>46046</v>
      </c>
      <c r="D581" t="inlineStr">
        <is>
          <t>GÄVLEBORGS LÄN</t>
        </is>
      </c>
      <c r="E581" t="inlineStr">
        <is>
          <t>OCKELBO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58713-2025</t>
        </is>
      </c>
      <c r="B582" s="1" t="n">
        <v>45986.61143518519</v>
      </c>
      <c r="C582" s="1" t="n">
        <v>46046</v>
      </c>
      <c r="D582" t="inlineStr">
        <is>
          <t>GÄVLEBORGS LÄN</t>
        </is>
      </c>
      <c r="E582" t="inlineStr">
        <is>
          <t>OCKELBO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710-2026</t>
        </is>
      </c>
      <c r="B583" s="1" t="n">
        <v>46029.6222337963</v>
      </c>
      <c r="C583" s="1" t="n">
        <v>46046</v>
      </c>
      <c r="D583" t="inlineStr">
        <is>
          <t>GÄVLEBORGS LÄN</t>
        </is>
      </c>
      <c r="E583" t="inlineStr">
        <is>
          <t>OCKELBO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58718-2025</t>
        </is>
      </c>
      <c r="B584" s="1" t="n">
        <v>45986.61519675926</v>
      </c>
      <c r="C584" s="1" t="n">
        <v>46046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479-2026</t>
        </is>
      </c>
      <c r="B585" s="1" t="n">
        <v>46029.40497685185</v>
      </c>
      <c r="C585" s="1" t="n">
        <v>46046</v>
      </c>
      <c r="D585" t="inlineStr">
        <is>
          <t>GÄVLEBORGS LÄN</t>
        </is>
      </c>
      <c r="E585" t="inlineStr">
        <is>
          <t>OCKELBO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58768-2025</t>
        </is>
      </c>
      <c r="B586" s="1" t="n">
        <v>45986.67872685185</v>
      </c>
      <c r="C586" s="1" t="n">
        <v>46046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58727-2025</t>
        </is>
      </c>
      <c r="B587" s="1" t="n">
        <v>45986.62328703704</v>
      </c>
      <c r="C587" s="1" t="n">
        <v>46046</v>
      </c>
      <c r="D587" t="inlineStr">
        <is>
          <t>GÄVLEBORGS LÄN</t>
        </is>
      </c>
      <c r="E587" t="inlineStr">
        <is>
          <t>OCKELBO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1319-2026</t>
        </is>
      </c>
      <c r="B588" s="1" t="n">
        <v>46031.54403935185</v>
      </c>
      <c r="C588" s="1" t="n">
        <v>46046</v>
      </c>
      <c r="D588" t="inlineStr">
        <is>
          <t>GÄVLEBORGS LÄN</t>
        </is>
      </c>
      <c r="E588" t="inlineStr">
        <is>
          <t>OCKELBO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59383-2025</t>
        </is>
      </c>
      <c r="B589" s="1" t="n">
        <v>45989.45607638889</v>
      </c>
      <c r="C589" s="1" t="n">
        <v>46046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1349-2026</t>
        </is>
      </c>
      <c r="B590" s="1" t="n">
        <v>46031.59362268518</v>
      </c>
      <c r="C590" s="1" t="n">
        <v>46046</v>
      </c>
      <c r="D590" t="inlineStr">
        <is>
          <t>GÄVLEBORGS LÄN</t>
        </is>
      </c>
      <c r="E590" t="inlineStr">
        <is>
          <t>OCKELBO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59086-2025</t>
        </is>
      </c>
      <c r="B591" s="1" t="n">
        <v>45988.4421412037</v>
      </c>
      <c r="C591" s="1" t="n">
        <v>46046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1290-2026</t>
        </is>
      </c>
      <c r="B592" s="1" t="n">
        <v>46031.50452546297</v>
      </c>
      <c r="C592" s="1" t="n">
        <v>46046</v>
      </c>
      <c r="D592" t="inlineStr">
        <is>
          <t>GÄVLEBORGS LÄN</t>
        </is>
      </c>
      <c r="E592" t="inlineStr">
        <is>
          <t>OCKELBO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1295-2026</t>
        </is>
      </c>
      <c r="B593" s="1" t="n">
        <v>46031.51228009259</v>
      </c>
      <c r="C593" s="1" t="n">
        <v>46046</v>
      </c>
      <c r="D593" t="inlineStr">
        <is>
          <t>GÄVLEBORGS LÄN</t>
        </is>
      </c>
      <c r="E593" t="inlineStr">
        <is>
          <t>OCKELBO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1288-2026</t>
        </is>
      </c>
      <c r="B594" s="1" t="n">
        <v>46031.50038194445</v>
      </c>
      <c r="C594" s="1" t="n">
        <v>46046</v>
      </c>
      <c r="D594" t="inlineStr">
        <is>
          <t>GÄVLEBORGS LÄN</t>
        </is>
      </c>
      <c r="E594" t="inlineStr">
        <is>
          <t>OCKELBO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1293-2026</t>
        </is>
      </c>
      <c r="B595" s="1" t="n">
        <v>46031.50792824074</v>
      </c>
      <c r="C595" s="1" t="n">
        <v>46046</v>
      </c>
      <c r="D595" t="inlineStr">
        <is>
          <t>GÄVLEBORGS LÄN</t>
        </is>
      </c>
      <c r="E595" t="inlineStr">
        <is>
          <t>OCKELBO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1286-2026</t>
        </is>
      </c>
      <c r="B596" s="1" t="n">
        <v>46031.49777777777</v>
      </c>
      <c r="C596" s="1" t="n">
        <v>46046</v>
      </c>
      <c r="D596" t="inlineStr">
        <is>
          <t>GÄVLEBORGS LÄN</t>
        </is>
      </c>
      <c r="E596" t="inlineStr">
        <is>
          <t>OCKELBO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1456-2026</t>
        </is>
      </c>
      <c r="B597" s="1" t="n">
        <v>46033.53333333333</v>
      </c>
      <c r="C597" s="1" t="n">
        <v>46046</v>
      </c>
      <c r="D597" t="inlineStr">
        <is>
          <t>GÄVLEBORGS LÄN</t>
        </is>
      </c>
      <c r="E597" t="inlineStr">
        <is>
          <t>OCKELBO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1529-2026</t>
        </is>
      </c>
      <c r="B598" s="1" t="n">
        <v>46034.3709837963</v>
      </c>
      <c r="C598" s="1" t="n">
        <v>46046</v>
      </c>
      <c r="D598" t="inlineStr">
        <is>
          <t>GÄVLEBORGS LÄN</t>
        </is>
      </c>
      <c r="E598" t="inlineStr">
        <is>
          <t>OCKELBO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1730-2026</t>
        </is>
      </c>
      <c r="B599" s="1" t="n">
        <v>46034.63491898148</v>
      </c>
      <c r="C599" s="1" t="n">
        <v>46046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1866-2026</t>
        </is>
      </c>
      <c r="B600" s="1" t="n">
        <v>46035.450625</v>
      </c>
      <c r="C600" s="1" t="n">
        <v>46046</v>
      </c>
      <c r="D600" t="inlineStr">
        <is>
          <t>GÄVLEBORGS LÄN</t>
        </is>
      </c>
      <c r="E600" t="inlineStr">
        <is>
          <t>OCKELBO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1726-2026</t>
        </is>
      </c>
      <c r="B601" s="1" t="n">
        <v>46034.62466435185</v>
      </c>
      <c r="C601" s="1" t="n">
        <v>46046</v>
      </c>
      <c r="D601" t="inlineStr">
        <is>
          <t>GÄVLEBORGS LÄN</t>
        </is>
      </c>
      <c r="E601" t="inlineStr">
        <is>
          <t>OCKELBO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63791-2025</t>
        </is>
      </c>
      <c r="B602" s="1" t="n">
        <v>46019</v>
      </c>
      <c r="C602" s="1" t="n">
        <v>46046</v>
      </c>
      <c r="D602" t="inlineStr">
        <is>
          <t>GÄVLEBORGS LÄN</t>
        </is>
      </c>
      <c r="E602" t="inlineStr">
        <is>
          <t>OCKELBO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1722-2026</t>
        </is>
      </c>
      <c r="B603" s="1" t="n">
        <v>46034.61875</v>
      </c>
      <c r="C603" s="1" t="n">
        <v>46046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1724-2026</t>
        </is>
      </c>
      <c r="B604" s="1" t="n">
        <v>46034.62362268518</v>
      </c>
      <c r="C604" s="1" t="n">
        <v>46046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1738-2026</t>
        </is>
      </c>
      <c r="B605" s="1" t="n">
        <v>46034.64438657407</v>
      </c>
      <c r="C605" s="1" t="n">
        <v>46046</v>
      </c>
      <c r="D605" t="inlineStr">
        <is>
          <t>GÄVLEBORGS LÄN</t>
        </is>
      </c>
      <c r="E605" t="inlineStr">
        <is>
          <t>OCKELBO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1623-2026</t>
        </is>
      </c>
      <c r="B606" s="1" t="n">
        <v>46034.48016203703</v>
      </c>
      <c r="C606" s="1" t="n">
        <v>46046</v>
      </c>
      <c r="D606" t="inlineStr">
        <is>
          <t>GÄVLEBORGS LÄN</t>
        </is>
      </c>
      <c r="E606" t="inlineStr">
        <is>
          <t>OCKELBO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1884-2026</t>
        </is>
      </c>
      <c r="B607" s="1" t="n">
        <v>46035.48829861111</v>
      </c>
      <c r="C607" s="1" t="n">
        <v>46046</v>
      </c>
      <c r="D607" t="inlineStr">
        <is>
          <t>GÄVLEBORGS LÄN</t>
        </is>
      </c>
      <c r="E607" t="inlineStr">
        <is>
          <t>OCKELBO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1693-2026</t>
        </is>
      </c>
      <c r="B608" s="1" t="n">
        <v>46034.59131944444</v>
      </c>
      <c r="C608" s="1" t="n">
        <v>46046</v>
      </c>
      <c r="D608" t="inlineStr">
        <is>
          <t>GÄVLEBORGS LÄN</t>
        </is>
      </c>
      <c r="E608" t="inlineStr">
        <is>
          <t>OCKELBO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1865-2026</t>
        </is>
      </c>
      <c r="B609" s="1" t="n">
        <v>46035.44954861111</v>
      </c>
      <c r="C609" s="1" t="n">
        <v>46046</v>
      </c>
      <c r="D609" t="inlineStr">
        <is>
          <t>GÄVLEBORGS LÄN</t>
        </is>
      </c>
      <c r="E609" t="inlineStr">
        <is>
          <t>OCKELBO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1984-2026</t>
        </is>
      </c>
      <c r="B610" s="1" t="n">
        <v>46035.65653935185</v>
      </c>
      <c r="C610" s="1" t="n">
        <v>46046</v>
      </c>
      <c r="D610" t="inlineStr">
        <is>
          <t>GÄVLEBORGS LÄN</t>
        </is>
      </c>
      <c r="E610" t="inlineStr">
        <is>
          <t>OCKELBO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1981-2026</t>
        </is>
      </c>
      <c r="B611" s="1" t="n">
        <v>46035.65622685185</v>
      </c>
      <c r="C611" s="1" t="n">
        <v>46046</v>
      </c>
      <c r="D611" t="inlineStr">
        <is>
          <t>GÄVLEBORGS LÄN</t>
        </is>
      </c>
      <c r="E611" t="inlineStr">
        <is>
          <t>OCKELBO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2201-2026</t>
        </is>
      </c>
      <c r="B612" s="1" t="n">
        <v>46036.47611111111</v>
      </c>
      <c r="C612" s="1" t="n">
        <v>46046</v>
      </c>
      <c r="D612" t="inlineStr">
        <is>
          <t>GÄVLEBORGS LÄN</t>
        </is>
      </c>
      <c r="E612" t="inlineStr">
        <is>
          <t>OCKELBO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2207-2026</t>
        </is>
      </c>
      <c r="B613" s="1" t="n">
        <v>46036.48780092593</v>
      </c>
      <c r="C613" s="1" t="n">
        <v>46046</v>
      </c>
      <c r="D613" t="inlineStr">
        <is>
          <t>GÄVLEBORGS LÄN</t>
        </is>
      </c>
      <c r="E613" t="inlineStr">
        <is>
          <t>OCKELBO</t>
        </is>
      </c>
      <c r="G613" t="n">
        <v>16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2171-2026</t>
        </is>
      </c>
      <c r="B614" s="1" t="n">
        <v>46036.44969907407</v>
      </c>
      <c r="C614" s="1" t="n">
        <v>46046</v>
      </c>
      <c r="D614" t="inlineStr">
        <is>
          <t>GÄVLEBORGS LÄN</t>
        </is>
      </c>
      <c r="E614" t="inlineStr">
        <is>
          <t>OCKELBO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60120-2025</t>
        </is>
      </c>
      <c r="B615" s="1" t="n">
        <v>45994.33106481482</v>
      </c>
      <c r="C615" s="1" t="n">
        <v>46046</v>
      </c>
      <c r="D615" t="inlineStr">
        <is>
          <t>GÄVLEBORGS LÄN</t>
        </is>
      </c>
      <c r="E615" t="inlineStr">
        <is>
          <t>OCKELBO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2392-2026</t>
        </is>
      </c>
      <c r="B616" s="1" t="n">
        <v>46036.67746527777</v>
      </c>
      <c r="C616" s="1" t="n">
        <v>46046</v>
      </c>
      <c r="D616" t="inlineStr">
        <is>
          <t>GÄVLEBORGS LÄN</t>
        </is>
      </c>
      <c r="E616" t="inlineStr">
        <is>
          <t>OCKELBO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60117-2025</t>
        </is>
      </c>
      <c r="B617" s="1" t="n">
        <v>45994.32405092593</v>
      </c>
      <c r="C617" s="1" t="n">
        <v>46046</v>
      </c>
      <c r="D617" t="inlineStr">
        <is>
          <t>GÄVLEBORGS LÄN</t>
        </is>
      </c>
      <c r="E617" t="inlineStr">
        <is>
          <t>OCKELBO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60527-2025</t>
        </is>
      </c>
      <c r="B618" s="1" t="n">
        <v>45995.64913194445</v>
      </c>
      <c r="C618" s="1" t="n">
        <v>46046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2178-2026</t>
        </is>
      </c>
      <c r="B619" s="1" t="n">
        <v>46036.45693287037</v>
      </c>
      <c r="C619" s="1" t="n">
        <v>46046</v>
      </c>
      <c r="D619" t="inlineStr">
        <is>
          <t>GÄVLEBORGS LÄN</t>
        </is>
      </c>
      <c r="E619" t="inlineStr">
        <is>
          <t>OCKELBO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2319-2026</t>
        </is>
      </c>
      <c r="B620" s="1" t="n">
        <v>46036.60131944445</v>
      </c>
      <c r="C620" s="1" t="n">
        <v>46046</v>
      </c>
      <c r="D620" t="inlineStr">
        <is>
          <t>GÄVLEBORGS LÄN</t>
        </is>
      </c>
      <c r="E620" t="inlineStr">
        <is>
          <t>OCKELBO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2325-2026</t>
        </is>
      </c>
      <c r="B621" s="1" t="n">
        <v>46036.60565972222</v>
      </c>
      <c r="C621" s="1" t="n">
        <v>46046</v>
      </c>
      <c r="D621" t="inlineStr">
        <is>
          <t>GÄVLEBORGS LÄN</t>
        </is>
      </c>
      <c r="E621" t="inlineStr">
        <is>
          <t>OCKELBO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2388-2026</t>
        </is>
      </c>
      <c r="B622" s="1" t="n">
        <v>46036.67384259259</v>
      </c>
      <c r="C622" s="1" t="n">
        <v>46046</v>
      </c>
      <c r="D622" t="inlineStr">
        <is>
          <t>GÄVLEBORGS LÄN</t>
        </is>
      </c>
      <c r="E622" t="inlineStr">
        <is>
          <t>OCKELBO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2304-2026</t>
        </is>
      </c>
      <c r="B623" s="1" t="n">
        <v>46036.59059027778</v>
      </c>
      <c r="C623" s="1" t="n">
        <v>46046</v>
      </c>
      <c r="D623" t="inlineStr">
        <is>
          <t>GÄVLEBORGS LÄN</t>
        </is>
      </c>
      <c r="E623" t="inlineStr">
        <is>
          <t>OCKELBO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2106-2026</t>
        </is>
      </c>
      <c r="B624" s="1" t="n">
        <v>46036.37615740741</v>
      </c>
      <c r="C624" s="1" t="n">
        <v>46046</v>
      </c>
      <c r="D624" t="inlineStr">
        <is>
          <t>GÄVLEBORGS LÄN</t>
        </is>
      </c>
      <c r="E624" t="inlineStr">
        <is>
          <t>OCKELBO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2330-2026</t>
        </is>
      </c>
      <c r="B625" s="1" t="n">
        <v>46036.6075</v>
      </c>
      <c r="C625" s="1" t="n">
        <v>46046</v>
      </c>
      <c r="D625" t="inlineStr">
        <is>
          <t>GÄVLEBORGS LÄN</t>
        </is>
      </c>
      <c r="E625" t="inlineStr">
        <is>
          <t>OCKELBO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2389-2026</t>
        </is>
      </c>
      <c r="B626" s="1" t="n">
        <v>46036.67594907407</v>
      </c>
      <c r="C626" s="1" t="n">
        <v>46046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2211-2026</t>
        </is>
      </c>
      <c r="B627" s="1" t="n">
        <v>46036.49285879629</v>
      </c>
      <c r="C627" s="1" t="n">
        <v>46046</v>
      </c>
      <c r="D627" t="inlineStr">
        <is>
          <t>GÄVLEBORGS LÄN</t>
        </is>
      </c>
      <c r="E627" t="inlineStr">
        <is>
          <t>OCKELBO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2593-2026</t>
        </is>
      </c>
      <c r="B628" s="1" t="n">
        <v>46037.54952546296</v>
      </c>
      <c r="C628" s="1" t="n">
        <v>46046</v>
      </c>
      <c r="D628" t="inlineStr">
        <is>
          <t>GÄVLEBORGS LÄN</t>
        </is>
      </c>
      <c r="E628" t="inlineStr">
        <is>
          <t>OCKELBO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60487-2025</t>
        </is>
      </c>
      <c r="B629" s="1" t="n">
        <v>45995.60189814815</v>
      </c>
      <c r="C629" s="1" t="n">
        <v>46046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2204-2026</t>
        </is>
      </c>
      <c r="B630" s="1" t="n">
        <v>46036.48025462963</v>
      </c>
      <c r="C630" s="1" t="n">
        <v>46046</v>
      </c>
      <c r="D630" t="inlineStr">
        <is>
          <t>GÄVLEBORGS LÄN</t>
        </is>
      </c>
      <c r="E630" t="inlineStr">
        <is>
          <t>OCKELBO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60183-2025</t>
        </is>
      </c>
      <c r="B631" s="1" t="n">
        <v>45994.47068287037</v>
      </c>
      <c r="C631" s="1" t="n">
        <v>46046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2584-2026</t>
        </is>
      </c>
      <c r="B632" s="1" t="n">
        <v>46037.54207175926</v>
      </c>
      <c r="C632" s="1" t="n">
        <v>46046</v>
      </c>
      <c r="D632" t="inlineStr">
        <is>
          <t>GÄVLEBORGS LÄN</t>
        </is>
      </c>
      <c r="E632" t="inlineStr">
        <is>
          <t>OCKELBO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2187-2026</t>
        </is>
      </c>
      <c r="B633" s="1" t="n">
        <v>46036.46466435185</v>
      </c>
      <c r="C633" s="1" t="n">
        <v>46046</v>
      </c>
      <c r="D633" t="inlineStr">
        <is>
          <t>GÄVLEBORGS LÄN</t>
        </is>
      </c>
      <c r="E633" t="inlineStr">
        <is>
          <t>OCKELBO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2545-2026</t>
        </is>
      </c>
      <c r="B634" s="1" t="n">
        <v>46037.46747685185</v>
      </c>
      <c r="C634" s="1" t="n">
        <v>46046</v>
      </c>
      <c r="D634" t="inlineStr">
        <is>
          <t>GÄVLEBORGS LÄN</t>
        </is>
      </c>
      <c r="E634" t="inlineStr">
        <is>
          <t>OCKELBO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2353-2026</t>
        </is>
      </c>
      <c r="B635" s="1" t="n">
        <v>46036.63581018519</v>
      </c>
      <c r="C635" s="1" t="n">
        <v>46046</v>
      </c>
      <c r="D635" t="inlineStr">
        <is>
          <t>GÄVLEBORGS LÄN</t>
        </is>
      </c>
      <c r="E635" t="inlineStr">
        <is>
          <t>OCKELBO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60122-2025</t>
        </is>
      </c>
      <c r="B636" s="1" t="n">
        <v>45994.3346875</v>
      </c>
      <c r="C636" s="1" t="n">
        <v>46046</v>
      </c>
      <c r="D636" t="inlineStr">
        <is>
          <t>GÄVLEBORGS LÄN</t>
        </is>
      </c>
      <c r="E636" t="inlineStr">
        <is>
          <t>OCKELBO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2550-2026</t>
        </is>
      </c>
      <c r="B637" s="1" t="n">
        <v>46037.470625</v>
      </c>
      <c r="C637" s="1" t="n">
        <v>46046</v>
      </c>
      <c r="D637" t="inlineStr">
        <is>
          <t>GÄVLEBORGS LÄN</t>
        </is>
      </c>
      <c r="E637" t="inlineStr">
        <is>
          <t>OCKELBO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2569-2026</t>
        </is>
      </c>
      <c r="B638" s="1" t="n">
        <v>46037.49280092592</v>
      </c>
      <c r="C638" s="1" t="n">
        <v>46046</v>
      </c>
      <c r="D638" t="inlineStr">
        <is>
          <t>GÄVLEBORGS LÄN</t>
        </is>
      </c>
      <c r="E638" t="inlineStr">
        <is>
          <t>OCKELBO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64125-2025</t>
        </is>
      </c>
      <c r="B639" s="1" t="n">
        <v>46021</v>
      </c>
      <c r="C639" s="1" t="n">
        <v>46046</v>
      </c>
      <c r="D639" t="inlineStr">
        <is>
          <t>GÄVLEBORGS LÄN</t>
        </is>
      </c>
      <c r="E639" t="inlineStr">
        <is>
          <t>OCKELBO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2923-2026</t>
        </is>
      </c>
      <c r="B640" s="1" t="n">
        <v>46038.57928240741</v>
      </c>
      <c r="C640" s="1" t="n">
        <v>46046</v>
      </c>
      <c r="D640" t="inlineStr">
        <is>
          <t>GÄVLEBORGS LÄN</t>
        </is>
      </c>
      <c r="E640" t="inlineStr">
        <is>
          <t>OCKELBO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HYPERLINK("https://klasma.github.io/Logging_2101/knärot/A 2923-2026 karta knärot.png", "A 2923-2026")</f>
        <v/>
      </c>
      <c r="V640">
        <f>HYPERLINK("https://klasma.github.io/Logging_2101/klagomål/A 2923-2026 FSC-klagomål.docx", "A 2923-2026")</f>
        <v/>
      </c>
      <c r="W640">
        <f>HYPERLINK("https://klasma.github.io/Logging_2101/klagomålsmail/A 2923-2026 FSC-klagomål mail.docx", "A 2923-2026")</f>
        <v/>
      </c>
      <c r="X640">
        <f>HYPERLINK("https://klasma.github.io/Logging_2101/tillsyn/A 2923-2026 tillsynsbegäran.docx", "A 2923-2026")</f>
        <v/>
      </c>
      <c r="Y640">
        <f>HYPERLINK("https://klasma.github.io/Logging_2101/tillsynsmail/A 2923-2026 tillsynsbegäran mail.docx", "A 2923-2026")</f>
        <v/>
      </c>
    </row>
    <row r="641" ht="15" customHeight="1">
      <c r="A641" t="inlineStr">
        <is>
          <t>A 3216-2026</t>
        </is>
      </c>
      <c r="B641" s="1" t="n">
        <v>46041.50413194444</v>
      </c>
      <c r="C641" s="1" t="n">
        <v>46046</v>
      </c>
      <c r="D641" t="inlineStr">
        <is>
          <t>GÄVLEBORGS LÄN</t>
        </is>
      </c>
      <c r="E641" t="inlineStr">
        <is>
          <t>OCKELBO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3007-2026</t>
        </is>
      </c>
      <c r="B642" s="1" t="n">
        <v>46038.66013888889</v>
      </c>
      <c r="C642" s="1" t="n">
        <v>46046</v>
      </c>
      <c r="D642" t="inlineStr">
        <is>
          <t>GÄVLEBORGS LÄN</t>
        </is>
      </c>
      <c r="E642" t="inlineStr">
        <is>
          <t>OCKELBO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2975-2026</t>
        </is>
      </c>
      <c r="B643" s="1" t="n">
        <v>46038.625625</v>
      </c>
      <c r="C643" s="1" t="n">
        <v>46046</v>
      </c>
      <c r="D643" t="inlineStr">
        <is>
          <t>GÄVLEBORGS LÄN</t>
        </is>
      </c>
      <c r="E643" t="inlineStr">
        <is>
          <t>OCKELBO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3138-2026</t>
        </is>
      </c>
      <c r="B644" s="1" t="n">
        <v>46041.40201388889</v>
      </c>
      <c r="C644" s="1" t="n">
        <v>46046</v>
      </c>
      <c r="D644" t="inlineStr">
        <is>
          <t>GÄVLEBORGS LÄN</t>
        </is>
      </c>
      <c r="E644" t="inlineStr">
        <is>
          <t>OCKELBO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2826-2026</t>
        </is>
      </c>
      <c r="B645" s="1" t="n">
        <v>46038.44782407407</v>
      </c>
      <c r="C645" s="1" t="n">
        <v>46046</v>
      </c>
      <c r="D645" t="inlineStr">
        <is>
          <t>GÄVLEBORGS LÄN</t>
        </is>
      </c>
      <c r="E645" t="inlineStr">
        <is>
          <t>OCKELBO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2919-2026</t>
        </is>
      </c>
      <c r="B646" s="1" t="n">
        <v>46038.57648148148</v>
      </c>
      <c r="C646" s="1" t="n">
        <v>46046</v>
      </c>
      <c r="D646" t="inlineStr">
        <is>
          <t>GÄVLEBORGS LÄN</t>
        </is>
      </c>
      <c r="E646" t="inlineStr">
        <is>
          <t>OCKELBO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2926-2026</t>
        </is>
      </c>
      <c r="B647" s="1" t="n">
        <v>46038.58046296296</v>
      </c>
      <c r="C647" s="1" t="n">
        <v>46046</v>
      </c>
      <c r="D647" t="inlineStr">
        <is>
          <t>GÄVLEBORGS LÄN</t>
        </is>
      </c>
      <c r="E647" t="inlineStr">
        <is>
          <t>OCKELBO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3248-2026</t>
        </is>
      </c>
      <c r="B648" s="1" t="n">
        <v>46041.57511574074</v>
      </c>
      <c r="C648" s="1" t="n">
        <v>46046</v>
      </c>
      <c r="D648" t="inlineStr">
        <is>
          <t>GÄVLEBORGS LÄN</t>
        </is>
      </c>
      <c r="E648" t="inlineStr">
        <is>
          <t>OCKELBO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2753-2026</t>
        </is>
      </c>
      <c r="B649" s="1" t="n">
        <v>46038.33611111111</v>
      </c>
      <c r="C649" s="1" t="n">
        <v>46046</v>
      </c>
      <c r="D649" t="inlineStr">
        <is>
          <t>GÄVLEBORGS LÄN</t>
        </is>
      </c>
      <c r="E649" t="inlineStr">
        <is>
          <t>OCKELBO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64128-2025</t>
        </is>
      </c>
      <c r="B650" s="1" t="n">
        <v>46021</v>
      </c>
      <c r="C650" s="1" t="n">
        <v>46046</v>
      </c>
      <c r="D650" t="inlineStr">
        <is>
          <t>GÄVLEBORGS LÄN</t>
        </is>
      </c>
      <c r="E650" t="inlineStr">
        <is>
          <t>OCKELBO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60616-2025</t>
        </is>
      </c>
      <c r="B651" s="1" t="n">
        <v>45996.37003472223</v>
      </c>
      <c r="C651" s="1" t="n">
        <v>46046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3268-2026</t>
        </is>
      </c>
      <c r="B652" s="1" t="n">
        <v>46041.6021875</v>
      </c>
      <c r="C652" s="1" t="n">
        <v>46046</v>
      </c>
      <c r="D652" t="inlineStr">
        <is>
          <t>GÄVLEBORGS LÄN</t>
        </is>
      </c>
      <c r="E652" t="inlineStr">
        <is>
          <t>OCKELBO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2858-2026</t>
        </is>
      </c>
      <c r="B653" s="1" t="n">
        <v>46038.48903935185</v>
      </c>
      <c r="C653" s="1" t="n">
        <v>46046</v>
      </c>
      <c r="D653" t="inlineStr">
        <is>
          <t>GÄVLEBORGS LÄN</t>
        </is>
      </c>
      <c r="E653" t="inlineStr">
        <is>
          <t>OCKELBO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3650-2026</t>
        </is>
      </c>
      <c r="B654" s="1" t="n">
        <v>46043.37112268519</v>
      </c>
      <c r="C654" s="1" t="n">
        <v>46046</v>
      </c>
      <c r="D654" t="inlineStr">
        <is>
          <t>GÄVLEBORGS LÄN</t>
        </is>
      </c>
      <c r="E654" t="inlineStr">
        <is>
          <t>OCKELBO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3665-2026</t>
        </is>
      </c>
      <c r="B655" s="1" t="n">
        <v>46043.40673611111</v>
      </c>
      <c r="C655" s="1" t="n">
        <v>46046</v>
      </c>
      <c r="D655" t="inlineStr">
        <is>
          <t>GÄVLEBORGS LÄN</t>
        </is>
      </c>
      <c r="E655" t="inlineStr">
        <is>
          <t>OCKELBO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3469-2026</t>
        </is>
      </c>
      <c r="B656" s="1" t="n">
        <v>46042.53480324074</v>
      </c>
      <c r="C656" s="1" t="n">
        <v>46046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45.4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3719-2026</t>
        </is>
      </c>
      <c r="B657" s="1" t="n">
        <v>46043.49481481482</v>
      </c>
      <c r="C657" s="1" t="n">
        <v>46046</v>
      </c>
      <c r="D657" t="inlineStr">
        <is>
          <t>GÄVLEBORGS LÄN</t>
        </is>
      </c>
      <c r="E657" t="inlineStr">
        <is>
          <t>OCKELBO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3707-2026</t>
        </is>
      </c>
      <c r="B658" s="1" t="n">
        <v>46043.47797453704</v>
      </c>
      <c r="C658" s="1" t="n">
        <v>46046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3709-2026</t>
        </is>
      </c>
      <c r="B659" s="1" t="n">
        <v>46043.47958333333</v>
      </c>
      <c r="C659" s="1" t="n">
        <v>46046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3484-2026</t>
        </is>
      </c>
      <c r="B660" s="1" t="n">
        <v>46042</v>
      </c>
      <c r="C660" s="1" t="n">
        <v>46046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3699-2026</t>
        </is>
      </c>
      <c r="B661" s="1" t="n">
        <v>46043.46915509259</v>
      </c>
      <c r="C661" s="1" t="n">
        <v>46046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3702-2026</t>
        </is>
      </c>
      <c r="B662" s="1" t="n">
        <v>46043.47324074074</v>
      </c>
      <c r="C662" s="1" t="n">
        <v>46046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3653-2026</t>
        </is>
      </c>
      <c r="B663" s="1" t="n">
        <v>46043.37221064815</v>
      </c>
      <c r="C663" s="1" t="n">
        <v>46046</v>
      </c>
      <c r="D663" t="inlineStr">
        <is>
          <t>GÄVLEBORGS LÄN</t>
        </is>
      </c>
      <c r="E663" t="inlineStr">
        <is>
          <t>OCKELBO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3664-2026</t>
        </is>
      </c>
      <c r="B664" s="1" t="n">
        <v>46043.40189814815</v>
      </c>
      <c r="C664" s="1" t="n">
        <v>46046</v>
      </c>
      <c r="D664" t="inlineStr">
        <is>
          <t>GÄVLEBORGS LÄN</t>
        </is>
      </c>
      <c r="E664" t="inlineStr">
        <is>
          <t>OCKELBO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61148-2025</t>
        </is>
      </c>
      <c r="B665" s="1" t="n">
        <v>46000.53678240741</v>
      </c>
      <c r="C665" s="1" t="n">
        <v>46046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3871-2026</t>
        </is>
      </c>
      <c r="B666" s="1" t="n">
        <v>46043.64091435185</v>
      </c>
      <c r="C666" s="1" t="n">
        <v>46046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3544-2026</t>
        </is>
      </c>
      <c r="B667" s="1" t="n">
        <v>46042.64138888889</v>
      </c>
      <c r="C667" s="1" t="n">
        <v>46046</v>
      </c>
      <c r="D667" t="inlineStr">
        <is>
          <t>GÄVLEBORGS LÄN</t>
        </is>
      </c>
      <c r="E667" t="inlineStr">
        <is>
          <t>OCKELBO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244-2026</t>
        </is>
      </c>
      <c r="B668" s="1" t="n">
        <v>46027.39123842592</v>
      </c>
      <c r="C668" s="1" t="n">
        <v>46046</v>
      </c>
      <c r="D668" t="inlineStr">
        <is>
          <t>GÄVLEBORGS LÄN</t>
        </is>
      </c>
      <c r="E668" t="inlineStr">
        <is>
          <t>OCKELBO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3697-2026</t>
        </is>
      </c>
      <c r="B669" s="1" t="n">
        <v>46043.46627314815</v>
      </c>
      <c r="C669" s="1" t="n">
        <v>46046</v>
      </c>
      <c r="D669" t="inlineStr">
        <is>
          <t>GÄVLEBORGS LÄN</t>
        </is>
      </c>
      <c r="E669" t="inlineStr">
        <is>
          <t>OCKELBO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3700-2026</t>
        </is>
      </c>
      <c r="B670" s="1" t="n">
        <v>46043.47109953704</v>
      </c>
      <c r="C670" s="1" t="n">
        <v>46046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3705-2026</t>
        </is>
      </c>
      <c r="B671" s="1" t="n">
        <v>46043.47495370371</v>
      </c>
      <c r="C671" s="1" t="n">
        <v>46046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3706-2026</t>
        </is>
      </c>
      <c r="B672" s="1" t="n">
        <v>46043.47665509259</v>
      </c>
      <c r="C672" s="1" t="n">
        <v>46046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3720-2026</t>
        </is>
      </c>
      <c r="B673" s="1" t="n">
        <v>46043.49569444444</v>
      </c>
      <c r="C673" s="1" t="n">
        <v>46046</v>
      </c>
      <c r="D673" t="inlineStr">
        <is>
          <t>GÄVLEBORGS LÄN</t>
        </is>
      </c>
      <c r="E673" t="inlineStr">
        <is>
          <t>OCKELBO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3478-2026</t>
        </is>
      </c>
      <c r="B674" s="1" t="n">
        <v>46042.55055555556</v>
      </c>
      <c r="C674" s="1" t="n">
        <v>46046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3377-2026</t>
        </is>
      </c>
      <c r="B675" s="1" t="n">
        <v>46042.35134259259</v>
      </c>
      <c r="C675" s="1" t="n">
        <v>46046</v>
      </c>
      <c r="D675" t="inlineStr">
        <is>
          <t>GÄVLEBORGS LÄN</t>
        </is>
      </c>
      <c r="E675" t="inlineStr">
        <is>
          <t>OCKELBO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3883-2026</t>
        </is>
      </c>
      <c r="B676" s="1" t="n">
        <v>46043.65780092592</v>
      </c>
      <c r="C676" s="1" t="n">
        <v>46046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3009-2026</t>
        </is>
      </c>
      <c r="B677" s="1" t="n">
        <v>46038</v>
      </c>
      <c r="C677" s="1" t="n">
        <v>46046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3441-2026</t>
        </is>
      </c>
      <c r="B678" s="1" t="n">
        <v>46042</v>
      </c>
      <c r="C678" s="1" t="n">
        <v>46046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63966-2025</t>
        </is>
      </c>
      <c r="B679" s="1" t="n">
        <v>46021</v>
      </c>
      <c r="C679" s="1" t="n">
        <v>46046</v>
      </c>
      <c r="D679" t="inlineStr">
        <is>
          <t>GÄVLEBORGS LÄN</t>
        </is>
      </c>
      <c r="E679" t="inlineStr">
        <is>
          <t>OCKELBO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4008-2026</t>
        </is>
      </c>
      <c r="B680" s="1" t="n">
        <v>46044.40581018518</v>
      </c>
      <c r="C680" s="1" t="n">
        <v>46046</v>
      </c>
      <c r="D680" t="inlineStr">
        <is>
          <t>GÄVLEBORGS LÄN</t>
        </is>
      </c>
      <c r="E680" t="inlineStr">
        <is>
          <t>OCKELBO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61842-2025</t>
        </is>
      </c>
      <c r="B681" s="1" t="n">
        <v>46003.36434027777</v>
      </c>
      <c r="C681" s="1" t="n">
        <v>46046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3999-2026</t>
        </is>
      </c>
      <c r="B682" s="1" t="n">
        <v>46044.3909375</v>
      </c>
      <c r="C682" s="1" t="n">
        <v>46046</v>
      </c>
      <c r="D682" t="inlineStr">
        <is>
          <t>GÄVLEBORGS LÄN</t>
        </is>
      </c>
      <c r="E682" t="inlineStr">
        <is>
          <t>OCKELBO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2285-2026</t>
        </is>
      </c>
      <c r="B683" s="1" t="n">
        <v>46036</v>
      </c>
      <c r="C683" s="1" t="n">
        <v>46046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2360-2026</t>
        </is>
      </c>
      <c r="B684" s="1" t="n">
        <v>46036</v>
      </c>
      <c r="C684" s="1" t="n">
        <v>46046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4253-2026</t>
        </is>
      </c>
      <c r="B685" s="1" t="n">
        <v>46045.32743055555</v>
      </c>
      <c r="C685" s="1" t="n">
        <v>46046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4257-2026</t>
        </is>
      </c>
      <c r="B686" s="1" t="n">
        <v>46045.33702546296</v>
      </c>
      <c r="C686" s="1" t="n">
        <v>46046</v>
      </c>
      <c r="D686" t="inlineStr">
        <is>
          <t>GÄVLEBORGS LÄN</t>
        </is>
      </c>
      <c r="E686" t="inlineStr">
        <is>
          <t>OCKELBO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63977-2025</t>
        </is>
      </c>
      <c r="B687" s="1" t="n">
        <v>46021</v>
      </c>
      <c r="C687" s="1" t="n">
        <v>46046</v>
      </c>
      <c r="D687" t="inlineStr">
        <is>
          <t>GÄVLEBORGS LÄN</t>
        </is>
      </c>
      <c r="E687" t="inlineStr">
        <is>
          <t>OCKELBO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64006-2025</t>
        </is>
      </c>
      <c r="B688" s="1" t="n">
        <v>46021</v>
      </c>
      <c r="C688" s="1" t="n">
        <v>46046</v>
      </c>
      <c r="D688" t="inlineStr">
        <is>
          <t>GÄVLEBORGS LÄN</t>
        </is>
      </c>
      <c r="E688" t="inlineStr">
        <is>
          <t>OCKELBO</t>
        </is>
      </c>
      <c r="G688" t="n">
        <v>13.6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64035-2025</t>
        </is>
      </c>
      <c r="B689" s="1" t="n">
        <v>46021</v>
      </c>
      <c r="C689" s="1" t="n">
        <v>46046</v>
      </c>
      <c r="D689" t="inlineStr">
        <is>
          <t>GÄVLEBORGS LÄN</t>
        </is>
      </c>
      <c r="E689" t="inlineStr">
        <is>
          <t>OCKELBO</t>
        </is>
      </c>
      <c r="G689" t="n">
        <v>21.9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292-2026</t>
        </is>
      </c>
      <c r="B690" s="1" t="n">
        <v>46027.50319444444</v>
      </c>
      <c r="C690" s="1" t="n">
        <v>46046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423-2026</t>
        </is>
      </c>
      <c r="B691" s="1" t="n">
        <v>46028.86578703704</v>
      </c>
      <c r="C691" s="1" t="n">
        <v>46046</v>
      </c>
      <c r="D691" t="inlineStr">
        <is>
          <t>GÄVLEBORGS LÄN</t>
        </is>
      </c>
      <c r="E691" t="inlineStr">
        <is>
          <t>OCKELBO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443-2026</t>
        </is>
      </c>
      <c r="B692" s="1" t="n">
        <v>46029.34457175926</v>
      </c>
      <c r="C692" s="1" t="n">
        <v>46046</v>
      </c>
      <c r="D692" t="inlineStr">
        <is>
          <t>GÄVLEBORGS LÄN</t>
        </is>
      </c>
      <c r="E692" t="inlineStr">
        <is>
          <t>OCKELBO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4007-2026</t>
        </is>
      </c>
      <c r="B693" s="1" t="n">
        <v>46044.40465277778</v>
      </c>
      <c r="C693" s="1" t="n">
        <v>46046</v>
      </c>
      <c r="D693" t="inlineStr">
        <is>
          <t>GÄVLEBORGS LÄN</t>
        </is>
      </c>
      <c r="E693" t="inlineStr">
        <is>
          <t>OCKELBO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4320-2026</t>
        </is>
      </c>
      <c r="B694" s="1" t="n">
        <v>46045.45112268518</v>
      </c>
      <c r="C694" s="1" t="n">
        <v>46046</v>
      </c>
      <c r="D694" t="inlineStr">
        <is>
          <t>GÄVLEBORGS LÄN</t>
        </is>
      </c>
      <c r="E694" t="inlineStr">
        <is>
          <t>OCKELBO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4182-2026</t>
        </is>
      </c>
      <c r="B695" s="1" t="n">
        <v>46044.68452546297</v>
      </c>
      <c r="C695" s="1" t="n">
        <v>46046</v>
      </c>
      <c r="D695" t="inlineStr">
        <is>
          <t>GÄVLEBORGS LÄN</t>
        </is>
      </c>
      <c r="E695" t="inlineStr">
        <is>
          <t>OCKELBO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4178-2026</t>
        </is>
      </c>
      <c r="B696" s="1" t="n">
        <v>46044.68048611111</v>
      </c>
      <c r="C696" s="1" t="n">
        <v>46046</v>
      </c>
      <c r="D696" t="inlineStr">
        <is>
          <t>GÄVLEBORGS LÄN</t>
        </is>
      </c>
      <c r="E696" t="inlineStr">
        <is>
          <t>OCKELBO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3001-2026</t>
        </is>
      </c>
      <c r="B697" s="1" t="n">
        <v>46038</v>
      </c>
      <c r="C697" s="1" t="n">
        <v>46046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288-2026</t>
        </is>
      </c>
      <c r="B698" s="1" t="n">
        <v>46027.49688657407</v>
      </c>
      <c r="C698" s="1" t="n">
        <v>46046</v>
      </c>
      <c r="D698" t="inlineStr">
        <is>
          <t>GÄVLEBORGS LÄN</t>
        </is>
      </c>
      <c r="E698" t="inlineStr">
        <is>
          <t>OCKELBO</t>
        </is>
      </c>
      <c r="G698" t="n">
        <v>11.8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417-2026</t>
        </is>
      </c>
      <c r="B699" s="1" t="n">
        <v>46028.80164351852</v>
      </c>
      <c r="C699" s="1" t="n">
        <v>46046</v>
      </c>
      <c r="D699" t="inlineStr">
        <is>
          <t>GÄVLEBORGS LÄN</t>
        </is>
      </c>
      <c r="E699" t="inlineStr">
        <is>
          <t>OCKELBO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3528-2026</t>
        </is>
      </c>
      <c r="B700" s="1" t="n">
        <v>46042</v>
      </c>
      <c r="C700" s="1" t="n">
        <v>46046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4267-2026</t>
        </is>
      </c>
      <c r="B701" s="1" t="n">
        <v>46045.34773148148</v>
      </c>
      <c r="C701" s="1" t="n">
        <v>46046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136-2026</t>
        </is>
      </c>
      <c r="B702" s="1" t="n">
        <v>46024</v>
      </c>
      <c r="C702" s="1" t="n">
        <v>46046</v>
      </c>
      <c r="D702" t="inlineStr">
        <is>
          <t>GÄVLEBORGS LÄN</t>
        </is>
      </c>
      <c r="E702" t="inlineStr">
        <is>
          <t>OCKELBO</t>
        </is>
      </c>
      <c r="G702" t="n">
        <v>12.9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419-2026</t>
        </is>
      </c>
      <c r="B703" s="1" t="n">
        <v>46028.81819444444</v>
      </c>
      <c r="C703" s="1" t="n">
        <v>46046</v>
      </c>
      <c r="D703" t="inlineStr">
        <is>
          <t>GÄVLEBORGS LÄN</t>
        </is>
      </c>
      <c r="E703" t="inlineStr">
        <is>
          <t>OCKELBO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4037-2026</t>
        </is>
      </c>
      <c r="B704" s="1" t="n">
        <v>46044.45016203704</v>
      </c>
      <c r="C704" s="1" t="n">
        <v>46046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421-2026</t>
        </is>
      </c>
      <c r="B705" s="1" t="n">
        <v>46028.85481481482</v>
      </c>
      <c r="C705" s="1" t="n">
        <v>46046</v>
      </c>
      <c r="D705" t="inlineStr">
        <is>
          <t>GÄVLEBORGS LÄN</t>
        </is>
      </c>
      <c r="E705" t="inlineStr">
        <is>
          <t>OCKELBO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4001-2026</t>
        </is>
      </c>
      <c r="B706" s="1" t="n">
        <v>46044.39172453704</v>
      </c>
      <c r="C706" s="1" t="n">
        <v>46046</v>
      </c>
      <c r="D706" t="inlineStr">
        <is>
          <t>GÄVLEBORGS LÄN</t>
        </is>
      </c>
      <c r="E706" t="inlineStr">
        <is>
          <t>OCKELBO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4044-2026</t>
        </is>
      </c>
      <c r="B707" s="1" t="n">
        <v>46044.46756944444</v>
      </c>
      <c r="C707" s="1" t="n">
        <v>46046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2371-2026</t>
        </is>
      </c>
      <c r="B708" s="1" t="n">
        <v>46036</v>
      </c>
      <c r="C708" s="1" t="n">
        <v>46046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4179-2026</t>
        </is>
      </c>
      <c r="B709" s="1" t="n">
        <v>46044.68167824074</v>
      </c>
      <c r="C709" s="1" t="n">
        <v>46046</v>
      </c>
      <c r="D709" t="inlineStr">
        <is>
          <t>GÄVLEBORGS LÄN</t>
        </is>
      </c>
      <c r="E709" t="inlineStr">
        <is>
          <t>OCKELBO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4234-2026</t>
        </is>
      </c>
      <c r="B710" s="1" t="n">
        <v>46044.89736111111</v>
      </c>
      <c r="C710" s="1" t="n">
        <v>46046</v>
      </c>
      <c r="D710" t="inlineStr">
        <is>
          <t>GÄVLEBORGS LÄN</t>
        </is>
      </c>
      <c r="E710" t="inlineStr">
        <is>
          <t>OCKELBO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4250-2026</t>
        </is>
      </c>
      <c r="B711" s="1" t="n">
        <v>46045.32310185185</v>
      </c>
      <c r="C711" s="1" t="n">
        <v>46046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4268-2026</t>
        </is>
      </c>
      <c r="B712" s="1" t="n">
        <v>46045.34884259259</v>
      </c>
      <c r="C712" s="1" t="n">
        <v>46046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2875-2026</t>
        </is>
      </c>
      <c r="B713" s="1" t="n">
        <v>46038</v>
      </c>
      <c r="C713" s="1" t="n">
        <v>46046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142-2026</t>
        </is>
      </c>
      <c r="B714" s="1" t="n">
        <v>46024</v>
      </c>
      <c r="C714" s="1" t="n">
        <v>46046</v>
      </c>
      <c r="D714" t="inlineStr">
        <is>
          <t>GÄVLEBORGS LÄN</t>
        </is>
      </c>
      <c r="E714" t="inlineStr">
        <is>
          <t>OCKELBO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64131-2025</t>
        </is>
      </c>
      <c r="B715" s="1" t="n">
        <v>46021</v>
      </c>
      <c r="C715" s="1" t="n">
        <v>46046</v>
      </c>
      <c r="D715" t="inlineStr">
        <is>
          <t>GÄVLEBORGS LÄN</t>
        </is>
      </c>
      <c r="E715" t="inlineStr">
        <is>
          <t>OCKELBO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17-2026</t>
        </is>
      </c>
      <c r="B716" s="1" t="n">
        <v>46023.67790509259</v>
      </c>
      <c r="C716" s="1" t="n">
        <v>46046</v>
      </c>
      <c r="D716" t="inlineStr">
        <is>
          <t>GÄVLEBORGS LÄN</t>
        </is>
      </c>
      <c r="E716" t="inlineStr">
        <is>
          <t>OCKELBO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18-2026</t>
        </is>
      </c>
      <c r="B717" s="1" t="n">
        <v>46023.68649305555</v>
      </c>
      <c r="C717" s="1" t="n">
        <v>46046</v>
      </c>
      <c r="D717" t="inlineStr">
        <is>
          <t>GÄVLEBORGS LÄN</t>
        </is>
      </c>
      <c r="E717" t="inlineStr">
        <is>
          <t>OCKELBO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2026-01-24T11:02:29Z</dcterms:created>
  <dcterms:modified xmlns:dcterms="http://purl.org/dc/terms/" xmlns:xsi="http://www.w3.org/2001/XMLSchema-instance" xsi:type="dcterms:W3CDTF">2026-01-24T11:02:30Z</dcterms:modified>
</cp:coreProperties>
</file>