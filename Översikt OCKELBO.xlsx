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46250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46250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46250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46250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19165-2026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46250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7.1</v>
      </c>
      <c r="J6" t="n">
        <v>3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Garnlav
Dropptaggsvamp
Motaggsvamp
Plattlummer
Skinnlav
Fläcknycklar
Revlummer</t>
        </is>
      </c>
      <c r="W6">
        <f>HYPERLINK("https://klasma.github.io/Logging_2101/artfynd/A 19165-2026 artfynd.xlsx", "A 19165-2026")</f>
        <v/>
      </c>
      <c r="X6">
        <f>HYPERLINK("https://klasma.github.io/Logging_2101/kartor/A 19165-2026 karta.png", "A 19165-2026")</f>
        <v/>
      </c>
      <c r="Y6">
        <f>HYPERLINK("https://klasma.github.io/Logging_2101/kartor_geotiff/A 19165-2026 georefererad karta.tif", "A 19165-2026")</f>
        <v/>
      </c>
      <c r="AA6">
        <f>HYPERLINK("https://klasma.github.io/Logging_2101/klagomål/A 19165-2026 FSC-klagomål.docx", "A 19165-2026")</f>
        <v/>
      </c>
      <c r="AB6">
        <f>HYPERLINK("https://klasma.github.io/Logging_2101/klagomålsmail/A 19165-2026 FSC-klagomål mail.docx", "A 19165-2026")</f>
        <v/>
      </c>
      <c r="AC6">
        <f>HYPERLINK("https://klasma.github.io/Logging_2101/tillsyn/A 19165-2026 tillsynsbegäran.docx", "A 19165-2026")</f>
        <v/>
      </c>
      <c r="AD6">
        <f>HYPERLINK("https://klasma.github.io/Logging_2101/tillsynsmail/A 19165-2026 tillsynsbegäran mail.docx", "A 19165-2026")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46250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46250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46250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46250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46250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46250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46250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46250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46250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46250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46250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46250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46250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46250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46250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46250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46250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46250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46250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46250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17107-2026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46114</v>
      </c>
      <c r="E27" s="1" t="n">
        <v>46250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36.8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Fläcknycklar
Revlummer</t>
        </is>
      </c>
      <c r="W27">
        <f>HYPERLINK("https://klasma.github.io/Logging_2101/artfynd/A 17107-2026 artfynd.xlsx", "A 17107-2026")</f>
        <v/>
      </c>
      <c r="X27">
        <f>HYPERLINK("https://klasma.github.io/Logging_2101/kartor/A 17107-2026 karta.png", "A 17107-2026")</f>
        <v/>
      </c>
      <c r="Y27">
        <f>HYPERLINK("https://klasma.github.io/Logging_2101/kartor_geotiff/A 17107-2026 georefererad karta.tif", "A 17107-2026")</f>
        <v/>
      </c>
      <c r="AA27">
        <f>HYPERLINK("https://klasma.github.io/Logging_2101/klagomål/A 17107-2026 FSC-klagomål.docx", "A 17107-2026")</f>
        <v/>
      </c>
      <c r="AB27">
        <f>HYPERLINK("https://klasma.github.io/Logging_2101/klagomålsmail/A 17107-2026 FSC-klagomål mail.docx", "A 17107-2026")</f>
        <v/>
      </c>
      <c r="AC27">
        <f>HYPERLINK("https://klasma.github.io/Logging_2101/tillsyn/A 17107-2026 tillsynsbegäran.docx", "A 17107-2026")</f>
        <v/>
      </c>
      <c r="AD27">
        <f>HYPERLINK("https://klasma.github.io/Logging_2101/tillsynsmail/A 17107-2026 tillsynsbegäran mail.docx", "A 17107-2026")</f>
        <v/>
      </c>
    </row>
    <row r="28" ht="15" customHeight="1">
      <c r="A28" t="inlineStr">
        <is>
          <t>A 19145-2026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46132</v>
      </c>
      <c r="E28" s="1" t="n">
        <v>46250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Garnlav
Revlummer</t>
        </is>
      </c>
      <c r="W28">
        <f>HYPERLINK("https://klasma.github.io/Logging_2101/artfynd/A 19145-2026 artfynd.xlsx", "A 19145-2026")</f>
        <v/>
      </c>
      <c r="X28">
        <f>HYPERLINK("https://klasma.github.io/Logging_2101/kartor/A 19145-2026 karta.png", "A 19145-2026")</f>
        <v/>
      </c>
      <c r="Y28">
        <f>HYPERLINK("https://klasma.github.io/Logging_2101/kartor_geotiff/A 19145-2026 georefererad karta.tif", "A 19145-2026")</f>
        <v/>
      </c>
      <c r="AA28">
        <f>HYPERLINK("https://klasma.github.io/Logging_2101/klagomål/A 19145-2026 FSC-klagomål.docx", "A 19145-2026")</f>
        <v/>
      </c>
      <c r="AB28">
        <f>HYPERLINK("https://klasma.github.io/Logging_2101/klagomålsmail/A 19145-2026 FSC-klagomål mail.docx", "A 19145-2026")</f>
        <v/>
      </c>
      <c r="AC28">
        <f>HYPERLINK("https://klasma.github.io/Logging_2101/tillsyn/A 19145-2026 tillsynsbegäran.docx", "A 19145-2026")</f>
        <v/>
      </c>
      <c r="AD28">
        <f>HYPERLINK("https://klasma.github.io/Logging_2101/tillsynsmail/A 19145-2026 tillsynsbegäran mail.docx", "A 19145-2026")</f>
        <v/>
      </c>
    </row>
    <row r="29" ht="15" customHeight="1">
      <c r="A29" t="inlineStr">
        <is>
          <t>A 2201-2026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46250</v>
      </c>
      <c r="F29" t="inlineStr">
        <is>
          <t>GÄVLEBORGS LÄN</t>
        </is>
      </c>
      <c r="G29" t="inlineStr">
        <is>
          <t>OCKELBO</t>
        </is>
      </c>
      <c r="I29" t="n">
        <v>2.4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Korallrot
Revlummer</t>
        </is>
      </c>
      <c r="W29">
        <f>HYPERLINK("https://klasma.github.io/Logging_2101/artfynd/A 2201-2026 artfynd.xlsx", "A 2201-2026")</f>
        <v/>
      </c>
      <c r="X29">
        <f>HYPERLINK("https://klasma.github.io/Logging_2101/kartor/A 2201-2026 karta.png", "A 2201-2026")</f>
        <v/>
      </c>
      <c r="Y29">
        <f>HYPERLINK("https://klasma.github.io/Logging_2101/kartor_geotiff/A 2201-2026 georefererad karta.tif", "A 2201-2026")</f>
        <v/>
      </c>
      <c r="AA29">
        <f>HYPERLINK("https://klasma.github.io/Logging_2101/klagomål/A 2201-2026 FSC-klagomål.docx", "A 2201-2026")</f>
        <v/>
      </c>
      <c r="AB29">
        <f>HYPERLINK("https://klasma.github.io/Logging_2101/klagomålsmail/A 2201-2026 FSC-klagomål mail.docx", "A 2201-2026")</f>
        <v/>
      </c>
      <c r="AC29">
        <f>HYPERLINK("https://klasma.github.io/Logging_2101/tillsyn/A 2201-2026 tillsynsbegäran.docx", "A 2201-2026")</f>
        <v/>
      </c>
      <c r="AD29">
        <f>HYPERLINK("https://klasma.github.io/Logging_2101/tillsynsmail/A 2201-2026 tillsynsbegäran mail.docx", "A 2201-2026")</f>
        <v/>
      </c>
    </row>
    <row r="30" ht="15" customHeight="1">
      <c r="A30" t="inlineStr">
        <is>
          <t>A 4180-2026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46250</v>
      </c>
      <c r="F30" t="inlineStr">
        <is>
          <t>GÄVLEBORGS LÄN</t>
        </is>
      </c>
      <c r="G30" t="inlineStr">
        <is>
          <t>OCKELBO</t>
        </is>
      </c>
      <c r="I30" t="n">
        <v>15.9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Tjäder
Revlummer</t>
        </is>
      </c>
      <c r="W30">
        <f>HYPERLINK("https://klasma.github.io/Logging_2101/artfynd/A 4180-2026 artfynd.xlsx", "A 4180-2026")</f>
        <v/>
      </c>
      <c r="X30">
        <f>HYPERLINK("https://klasma.github.io/Logging_2101/kartor/A 4180-2026 karta.png", "A 4180-2026")</f>
        <v/>
      </c>
      <c r="Y30">
        <f>HYPERLINK("https://klasma.github.io/Logging_2101/kartor_geotiff/A 4180-2026 georefererad karta.tif", "A 4180-2026")</f>
        <v/>
      </c>
      <c r="AA30">
        <f>HYPERLINK("https://klasma.github.io/Logging_2101/klagomål/A 4180-2026 FSC-klagomål.docx", "A 4180-2026")</f>
        <v/>
      </c>
      <c r="AB30">
        <f>HYPERLINK("https://klasma.github.io/Logging_2101/klagomålsmail/A 4180-2026 FSC-klagomål mail.docx", "A 4180-2026")</f>
        <v/>
      </c>
      <c r="AC30">
        <f>HYPERLINK("https://klasma.github.io/Logging_2101/tillsyn/A 4180-2026 tillsynsbegäran.docx", "A 4180-2026")</f>
        <v/>
      </c>
      <c r="AD30">
        <f>HYPERLINK("https://klasma.github.io/Logging_2101/tillsynsmail/A 4180-2026 tillsynsbegäran mail.docx", "A 4180-2026")</f>
        <v/>
      </c>
      <c r="AE30">
        <f>HYPERLINK("https://klasma.github.io/Logging_2101/fåglar/A 4180-2026 prioriterade fågelarter.docx", "A 4180-2026")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46250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46250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46250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46250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46250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57946-2023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46250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57946-2023 artfynd.xlsx", "A 57946-2023")</f>
        <v/>
      </c>
      <c r="X36">
        <f>HYPERLINK("https://klasma.github.io/Logging_2101/kartor/A 57946-2023 karta.png", "A 57946-2023")</f>
        <v/>
      </c>
      <c r="Y36">
        <f>HYPERLINK("https://klasma.github.io/Logging_2101/kartor_geotiff/A 57946-2023 georefererad karta.tif", "A 57946-2023")</f>
        <v/>
      </c>
      <c r="AA36">
        <f>HYPERLINK("https://klasma.github.io/Logging_2101/klagomål/A 57946-2023 FSC-klagomål.docx", "A 57946-2023")</f>
        <v/>
      </c>
      <c r="AB36">
        <f>HYPERLINK("https://klasma.github.io/Logging_2101/klagomålsmail/A 57946-2023 FSC-klagomål mail.docx", "A 57946-2023")</f>
        <v/>
      </c>
      <c r="AC36">
        <f>HYPERLINK("https://klasma.github.io/Logging_2101/tillsyn/A 57946-2023 tillsynsbegäran.docx", "A 57946-2023")</f>
        <v/>
      </c>
      <c r="AD36">
        <f>HYPERLINK("https://klasma.github.io/Logging_2101/tillsynsmail/A 57946-2023 tillsynsbegäran mail.docx", "A 57946-2023")</f>
        <v/>
      </c>
    </row>
    <row r="37" ht="15" customHeight="1">
      <c r="A37" t="inlineStr">
        <is>
          <t>A 46481-2024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46250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HYPERLINK("https://klasma.github.io/Logging_2101/artfynd/A 46481-2024 artfynd.xlsx", "A 46481-2024")</f>
        <v/>
      </c>
      <c r="X37">
        <f>HYPERLINK("https://klasma.github.io/Logging_2101/kartor/A 46481-2024 karta.png", "A 46481-2024")</f>
        <v/>
      </c>
      <c r="Y37">
        <f>HYPERLINK("https://klasma.github.io/Logging_2101/kartor_geotiff/A 46481-2024 georefererad karta.tif", "A 46481-2024")</f>
        <v/>
      </c>
      <c r="AA37">
        <f>HYPERLINK("https://klasma.github.io/Logging_2101/klagomål/A 46481-2024 FSC-klagomål.docx", "A 46481-2024")</f>
        <v/>
      </c>
      <c r="AB37">
        <f>HYPERLINK("https://klasma.github.io/Logging_2101/klagomålsmail/A 46481-2024 FSC-klagomål mail.docx", "A 46481-2024")</f>
        <v/>
      </c>
      <c r="AC37">
        <f>HYPERLINK("https://klasma.github.io/Logging_2101/tillsyn/A 46481-2024 tillsynsbegäran.docx", "A 46481-2024")</f>
        <v/>
      </c>
      <c r="AD37">
        <f>HYPERLINK("https://klasma.github.io/Logging_2101/tillsynsmail/A 46481-2024 tillsynsbegäran mail.docx", "A 46481-2024")</f>
        <v/>
      </c>
    </row>
    <row r="38" ht="15" customHeight="1">
      <c r="A38" t="inlineStr">
        <is>
          <t>A 60615-2021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46250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Vanlig padda</t>
        </is>
      </c>
      <c r="W38">
        <f>HYPERLINK("https://klasma.github.io/Logging_2101/artfynd/A 60615-2021 artfynd.xlsx", "A 60615-2021")</f>
        <v/>
      </c>
      <c r="X38">
        <f>HYPERLINK("https://klasma.github.io/Logging_2101/kartor/A 60615-2021 karta.png", "A 60615-2021")</f>
        <v/>
      </c>
      <c r="Y38">
        <f>HYPERLINK("https://klasma.github.io/Logging_2101/kartor_geotiff/A 60615-2021 georefererad karta.tif", "A 60615-2021")</f>
        <v/>
      </c>
      <c r="AA38">
        <f>HYPERLINK("https://klasma.github.io/Logging_2101/klagomål/A 60615-2021 FSC-klagomål.docx", "A 60615-2021")</f>
        <v/>
      </c>
      <c r="AB38">
        <f>HYPERLINK("https://klasma.github.io/Logging_2101/klagomålsmail/A 60615-2021 FSC-klagomål mail.docx", "A 60615-2021")</f>
        <v/>
      </c>
      <c r="AC38">
        <f>HYPERLINK("https://klasma.github.io/Logging_2101/tillsyn/A 60615-2021 tillsynsbegäran.docx", "A 60615-2021")</f>
        <v/>
      </c>
      <c r="AD38">
        <f>HYPERLINK("https://klasma.github.io/Logging_2101/tillsynsmail/A 60615-2021 tillsynsbegäran mail.docx", "A 60615-2021")</f>
        <v/>
      </c>
    </row>
    <row r="39" ht="15" customHeight="1">
      <c r="A39" t="inlineStr">
        <is>
          <t>A 64364-2023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46250</v>
      </c>
      <c r="F39" t="inlineStr">
        <is>
          <t>GÄVLEBORGS LÄN</t>
        </is>
      </c>
      <c r="G39" t="inlineStr">
        <is>
          <t>OCKELBO</t>
        </is>
      </c>
      <c r="I39" t="n">
        <v>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64364-2023 artfynd.xlsx", "A 64364-2023")</f>
        <v/>
      </c>
      <c r="X39">
        <f>HYPERLINK("https://klasma.github.io/Logging_2101/kartor/A 64364-2023 karta.png", "A 64364-2023")</f>
        <v/>
      </c>
      <c r="Y39">
        <f>HYPERLINK("https://klasma.github.io/Logging_2101/kartor_geotiff/A 64364-2023 georefererad karta.tif", "A 64364-2023")</f>
        <v/>
      </c>
      <c r="AA39">
        <f>HYPERLINK("https://klasma.github.io/Logging_2101/klagomål/A 64364-2023 FSC-klagomål.docx", "A 64364-2023")</f>
        <v/>
      </c>
      <c r="AB39">
        <f>HYPERLINK("https://klasma.github.io/Logging_2101/klagomålsmail/A 64364-2023 FSC-klagomål mail.docx", "A 64364-2023")</f>
        <v/>
      </c>
      <c r="AC39">
        <f>HYPERLINK("https://klasma.github.io/Logging_2101/tillsyn/A 64364-2023 tillsynsbegäran.docx", "A 64364-2023")</f>
        <v/>
      </c>
      <c r="AD39">
        <f>HYPERLINK("https://klasma.github.io/Logging_2101/tillsynsmail/A 64364-2023 tillsynsbegäran mail.docx", "A 64364-2023")</f>
        <v/>
      </c>
    </row>
    <row r="40" ht="15" customHeight="1">
      <c r="A40" t="inlineStr">
        <is>
          <t>A 16738-2025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46250</v>
      </c>
      <c r="F40" t="inlineStr">
        <is>
          <t>GÄVLEBORGS LÄN</t>
        </is>
      </c>
      <c r="G40" t="inlineStr">
        <is>
          <t>OCKELBO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HYPERLINK("https://klasma.github.io/Logging_2101/artfynd/A 16738-2025 artfynd.xlsx", "A 16738-2025")</f>
        <v/>
      </c>
      <c r="X40">
        <f>HYPERLINK("https://klasma.github.io/Logging_2101/kartor/A 16738-2025 karta.png", "A 16738-2025")</f>
        <v/>
      </c>
      <c r="Y40">
        <f>HYPERLINK("https://klasma.github.io/Logging_2101/kartor_geotiff/A 16738-2025 georefererad karta.tif", "A 16738-2025")</f>
        <v/>
      </c>
      <c r="AA40">
        <f>HYPERLINK("https://klasma.github.io/Logging_2101/klagomål/A 16738-2025 FSC-klagomål.docx", "A 16738-2025")</f>
        <v/>
      </c>
      <c r="AB40">
        <f>HYPERLINK("https://klasma.github.io/Logging_2101/klagomålsmail/A 16738-2025 FSC-klagomål mail.docx", "A 16738-2025")</f>
        <v/>
      </c>
      <c r="AC40">
        <f>HYPERLINK("https://klasma.github.io/Logging_2101/tillsyn/A 16738-2025 tillsynsbegäran.docx", "A 16738-2025")</f>
        <v/>
      </c>
      <c r="AD40">
        <f>HYPERLINK("https://klasma.github.io/Logging_2101/tillsynsmail/A 16738-2025 tillsynsbegäran mail.docx", "A 16738-2025")</f>
        <v/>
      </c>
    </row>
    <row r="41" ht="15" customHeight="1">
      <c r="A41" t="inlineStr">
        <is>
          <t>A 13640-2026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46097</v>
      </c>
      <c r="E41" s="1" t="n">
        <v>46250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HYPERLINK("https://klasma.github.io/Logging_2101/artfynd/A 13640-2026 artfynd.xlsx", "A 13640-2026")</f>
        <v/>
      </c>
      <c r="X41">
        <f>HYPERLINK("https://klasma.github.io/Logging_2101/kartor/A 13640-2026 karta.png", "A 13640-2026")</f>
        <v/>
      </c>
      <c r="Y41">
        <f>HYPERLINK("https://klasma.github.io/Logging_2101/kartor_geotiff/A 13640-2026 georefererad karta.tif", "A 13640-2026")</f>
        <v/>
      </c>
      <c r="AA41">
        <f>HYPERLINK("https://klasma.github.io/Logging_2101/klagomål/A 13640-2026 FSC-klagomål.docx", "A 13640-2026")</f>
        <v/>
      </c>
      <c r="AB41">
        <f>HYPERLINK("https://klasma.github.io/Logging_2101/klagomålsmail/A 13640-2026 FSC-klagomål mail.docx", "A 13640-2026")</f>
        <v/>
      </c>
      <c r="AC41">
        <f>HYPERLINK("https://klasma.github.io/Logging_2101/tillsyn/A 13640-2026 tillsynsbegäran.docx", "A 13640-2026")</f>
        <v/>
      </c>
      <c r="AD41">
        <f>HYPERLINK("https://klasma.github.io/Logging_2101/tillsynsmail/A 13640-2026 tillsynsbegäran mail.docx", "A 13640-2026")</f>
        <v/>
      </c>
    </row>
    <row r="42" ht="15" customHeight="1">
      <c r="A42" t="inlineStr">
        <is>
          <t>A 14479-2026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46100</v>
      </c>
      <c r="E42" s="1" t="n">
        <v>46250</v>
      </c>
      <c r="F42" t="inlineStr">
        <is>
          <t>GÄVLEBORGS LÄN</t>
        </is>
      </c>
      <c r="G42" t="inlineStr">
        <is>
          <t>OCKELBO</t>
        </is>
      </c>
      <c r="I42" t="n">
        <v>4.8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HYPERLINK("https://klasma.github.io/Logging_2101/artfynd/A 14479-2026 artfynd.xlsx", "A 14479-2026")</f>
        <v/>
      </c>
      <c r="X42">
        <f>HYPERLINK("https://klasma.github.io/Logging_2101/kartor/A 14479-2026 karta.png", "A 14479-2026")</f>
        <v/>
      </c>
      <c r="Y42">
        <f>HYPERLINK("https://klasma.github.io/Logging_2101/kartor_geotiff/A 14479-2026 georefererad karta.tif", "A 14479-2026")</f>
        <v/>
      </c>
      <c r="AA42">
        <f>HYPERLINK("https://klasma.github.io/Logging_2101/klagomål/A 14479-2026 FSC-klagomål.docx", "A 14479-2026")</f>
        <v/>
      </c>
      <c r="AB42">
        <f>HYPERLINK("https://klasma.github.io/Logging_2101/klagomålsmail/A 14479-2026 FSC-klagomål mail.docx", "A 14479-2026")</f>
        <v/>
      </c>
      <c r="AC42">
        <f>HYPERLINK("https://klasma.github.io/Logging_2101/tillsyn/A 14479-2026 tillsynsbegäran.docx", "A 14479-2026")</f>
        <v/>
      </c>
      <c r="AD42">
        <f>HYPERLINK("https://klasma.github.io/Logging_2101/tillsynsmail/A 14479-2026 tillsynsbegäran mail.docx", "A 14479-2026")</f>
        <v/>
      </c>
    </row>
    <row r="43" ht="15" customHeight="1">
      <c r="A43" t="inlineStr">
        <is>
          <t>A 14664-2026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46101</v>
      </c>
      <c r="E43" s="1" t="n">
        <v>46250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11.5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Tjäder</t>
        </is>
      </c>
      <c r="W43">
        <f>HYPERLINK("https://klasma.github.io/Logging_2101/artfynd/A 14664-2026 artfynd.xlsx", "A 14664-2026")</f>
        <v/>
      </c>
      <c r="X43">
        <f>HYPERLINK("https://klasma.github.io/Logging_2101/kartor/A 14664-2026 karta.png", "A 14664-2026")</f>
        <v/>
      </c>
      <c r="Y43">
        <f>HYPERLINK("https://klasma.github.io/Logging_2101/kartor_geotiff/A 14664-2026 georefererad karta.tif", "A 14664-2026")</f>
        <v/>
      </c>
      <c r="AA43">
        <f>HYPERLINK("https://klasma.github.io/Logging_2101/klagomål/A 14664-2026 FSC-klagomål.docx", "A 14664-2026")</f>
        <v/>
      </c>
      <c r="AB43">
        <f>HYPERLINK("https://klasma.github.io/Logging_2101/klagomålsmail/A 14664-2026 FSC-klagomål mail.docx", "A 14664-2026")</f>
        <v/>
      </c>
      <c r="AC43">
        <f>HYPERLINK("https://klasma.github.io/Logging_2101/tillsyn/A 14664-2026 tillsynsbegäran.docx", "A 14664-2026")</f>
        <v/>
      </c>
      <c r="AD43">
        <f>HYPERLINK("https://klasma.github.io/Logging_2101/tillsynsmail/A 14664-2026 tillsynsbegäran mail.docx", "A 14664-2026")</f>
        <v/>
      </c>
      <c r="AE43">
        <f>HYPERLINK("https://klasma.github.io/Logging_2101/fåglar/A 14664-2026 prioriterade fågelarter.docx", "A 14664-2026")</f>
        <v/>
      </c>
    </row>
    <row r="44" ht="15" customHeight="1">
      <c r="A44" t="inlineStr">
        <is>
          <t>A 55778-2025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46250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12.3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HYPERLINK("https://klasma.github.io/Logging_2101/artfynd/A 55778-2025 artfynd.xlsx", "A 55778-2025")</f>
        <v/>
      </c>
      <c r="X44">
        <f>HYPERLINK("https://klasma.github.io/Logging_2101/kartor/A 55778-2025 karta.png", "A 55778-2025")</f>
        <v/>
      </c>
      <c r="Y44">
        <f>HYPERLINK("https://klasma.github.io/Logging_2101/kartor_geotiff/A 55778-2025 georefererad karta.tif", "A 55778-2025")</f>
        <v/>
      </c>
      <c r="AA44">
        <f>HYPERLINK("https://klasma.github.io/Logging_2101/klagomål/A 55778-2025 FSC-klagomål.docx", "A 55778-2025")</f>
        <v/>
      </c>
      <c r="AB44">
        <f>HYPERLINK("https://klasma.github.io/Logging_2101/klagomålsmail/A 55778-2025 FSC-klagomål mail.docx", "A 55778-2025")</f>
        <v/>
      </c>
      <c r="AC44">
        <f>HYPERLINK("https://klasma.github.io/Logging_2101/tillsyn/A 55778-2025 tillsynsbegäran.docx", "A 55778-2025")</f>
        <v/>
      </c>
      <c r="AD44">
        <f>HYPERLINK("https://klasma.github.io/Logging_2101/tillsynsmail/A 55778-2025 tillsynsbegäran mail.docx", "A 55778-2025")</f>
        <v/>
      </c>
    </row>
    <row r="45" ht="15" customHeight="1">
      <c r="A45" t="inlineStr">
        <is>
          <t>A 18188-2026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46125</v>
      </c>
      <c r="E45" s="1" t="n">
        <v>46250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32.9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Järpe</t>
        </is>
      </c>
      <c r="W45">
        <f>HYPERLINK("https://klasma.github.io/Logging_2101/artfynd/A 18188-2026 artfynd.xlsx", "A 18188-2026")</f>
        <v/>
      </c>
      <c r="X45">
        <f>HYPERLINK("https://klasma.github.io/Logging_2101/kartor/A 18188-2026 karta.png", "A 18188-2026")</f>
        <v/>
      </c>
      <c r="Y45">
        <f>HYPERLINK("https://klasma.github.io/Logging_2101/kartor_geotiff/A 18188-2026 georefererad karta.tif", "A 18188-2026")</f>
        <v/>
      </c>
      <c r="AA45">
        <f>HYPERLINK("https://klasma.github.io/Logging_2101/klagomål/A 18188-2026 FSC-klagomål.docx", "A 18188-2026")</f>
        <v/>
      </c>
      <c r="AB45">
        <f>HYPERLINK("https://klasma.github.io/Logging_2101/klagomålsmail/A 18188-2026 FSC-klagomål mail.docx", "A 18188-2026")</f>
        <v/>
      </c>
      <c r="AC45">
        <f>HYPERLINK("https://klasma.github.io/Logging_2101/tillsyn/A 18188-2026 tillsynsbegäran.docx", "A 18188-2026")</f>
        <v/>
      </c>
      <c r="AD45">
        <f>HYPERLINK("https://klasma.github.io/Logging_2101/tillsynsmail/A 18188-2026 tillsynsbegäran mail.docx", "A 18188-2026")</f>
        <v/>
      </c>
      <c r="AE45">
        <f>HYPERLINK("https://klasma.github.io/Logging_2101/fåglar/A 18188-2026 prioriterade fågelarter.docx", "A 18188-2026")</f>
        <v/>
      </c>
    </row>
    <row r="46" ht="15" customHeight="1">
      <c r="A46" t="inlineStr">
        <is>
          <t>A 4226-2023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44953</v>
      </c>
      <c r="E46" s="1" t="n">
        <v>46250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2.4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Skogsknipprot</t>
        </is>
      </c>
      <c r="W46">
        <f>HYPERLINK("https://klasma.github.io/Logging_2101/artfynd/A 4226-2023 artfynd.xlsx", "A 4226-2023")</f>
        <v/>
      </c>
      <c r="X46">
        <f>HYPERLINK("https://klasma.github.io/Logging_2101/kartor/A 4226-2023 karta.png", "A 4226-2023")</f>
        <v/>
      </c>
      <c r="Y46">
        <f>HYPERLINK("https://klasma.github.io/Logging_2101/kartor_geotiff/A 4226-2023 georefererad karta.tif", "A 4226-2023")</f>
        <v/>
      </c>
      <c r="AA46">
        <f>HYPERLINK("https://klasma.github.io/Logging_2101/klagomål/A 4226-2023 FSC-klagomål.docx", "A 4226-2023")</f>
        <v/>
      </c>
      <c r="AB46">
        <f>HYPERLINK("https://klasma.github.io/Logging_2101/klagomålsmail/A 4226-2023 FSC-klagomål mail.docx", "A 4226-2023")</f>
        <v/>
      </c>
      <c r="AC46">
        <f>HYPERLINK("https://klasma.github.io/Logging_2101/tillsyn/A 4226-2023 tillsynsbegäran.docx", "A 4226-2023")</f>
        <v/>
      </c>
      <c r="AD46">
        <f>HYPERLINK("https://klasma.github.io/Logging_2101/tillsynsmail/A 4226-2023 tillsynsbegäran mail.docx", "A 4226-2023")</f>
        <v/>
      </c>
    </row>
    <row r="47" ht="15" customHeight="1">
      <c r="A47" t="inlineStr">
        <is>
          <t>A 12777-2026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46091</v>
      </c>
      <c r="E47" s="1" t="n">
        <v>46250</v>
      </c>
      <c r="F47" t="inlineStr">
        <is>
          <t>GÄVLEBORGS LÄN</t>
        </is>
      </c>
      <c r="G47" t="inlineStr">
        <is>
          <t>OCKELBO</t>
        </is>
      </c>
      <c r="I47" t="n">
        <v>4.2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HYPERLINK("https://klasma.github.io/Logging_2101/artfynd/A 12777-2026 artfynd.xlsx", "A 12777-2026")</f>
        <v/>
      </c>
      <c r="X47">
        <f>HYPERLINK("https://klasma.github.io/Logging_2101/kartor/A 12777-2026 karta.png", "A 12777-2026")</f>
        <v/>
      </c>
      <c r="Y47">
        <f>HYPERLINK("https://klasma.github.io/Logging_2101/kartor_geotiff/A 12777-2026 georefererad karta.tif", "A 12777-2026")</f>
        <v/>
      </c>
      <c r="AA47">
        <f>HYPERLINK("https://klasma.github.io/Logging_2101/klagomål/A 12777-2026 FSC-klagomål.docx", "A 12777-2026")</f>
        <v/>
      </c>
      <c r="AB47">
        <f>HYPERLINK("https://klasma.github.io/Logging_2101/klagomålsmail/A 12777-2026 FSC-klagomål mail.docx", "A 12777-2026")</f>
        <v/>
      </c>
      <c r="AC47">
        <f>HYPERLINK("https://klasma.github.io/Logging_2101/tillsyn/A 12777-2026 tillsynsbegäran.docx", "A 12777-2026")</f>
        <v/>
      </c>
      <c r="AD47">
        <f>HYPERLINK("https://klasma.github.io/Logging_2101/tillsynsmail/A 12777-2026 tillsynsbegäran mail.docx", "A 12777-2026")</f>
        <v/>
      </c>
      <c r="AE47">
        <f>HYPERLINK("https://klasma.github.io/Logging_2101/fåglar/A 12777-2026 prioriterade fågelarter.docx", "A 12777-2026")</f>
        <v/>
      </c>
    </row>
    <row r="48" ht="15" customHeight="1">
      <c r="A48" t="inlineStr">
        <is>
          <t>A 10145-2026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46076</v>
      </c>
      <c r="E48" s="1" t="n">
        <v>46250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öst AB</t>
        </is>
      </c>
      <c r="I48" t="n">
        <v>10.5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Fläcknycklar</t>
        </is>
      </c>
      <c r="W48">
        <f>HYPERLINK("https://klasma.github.io/Logging_2101/artfynd/A 10145-2026 artfynd.xlsx", "A 10145-2026")</f>
        <v/>
      </c>
      <c r="X48">
        <f>HYPERLINK("https://klasma.github.io/Logging_2101/kartor/A 10145-2026 karta.png", "A 10145-2026")</f>
        <v/>
      </c>
      <c r="Y48">
        <f>HYPERLINK("https://klasma.github.io/Logging_2101/kartor_geotiff/A 10145-2026 georefererad karta.tif", "A 10145-2026")</f>
        <v/>
      </c>
      <c r="Z48">
        <f>HYPERLINK("https://klasma.github.io/Logging_2101/knärot/A 10145-2026 karta knärot.png", "A 10145-2026")</f>
        <v/>
      </c>
      <c r="AA48">
        <f>HYPERLINK("https://klasma.github.io/Logging_2101/klagomål/A 10145-2026 FSC-klagomål.docx", "A 10145-2026")</f>
        <v/>
      </c>
      <c r="AB48">
        <f>HYPERLINK("https://klasma.github.io/Logging_2101/klagomålsmail/A 10145-2026 FSC-klagomål mail.docx", "A 10145-2026")</f>
        <v/>
      </c>
      <c r="AC48">
        <f>HYPERLINK("https://klasma.github.io/Logging_2101/tillsyn/A 10145-2026 tillsynsbegäran.docx", "A 10145-2026")</f>
        <v/>
      </c>
      <c r="AD48">
        <f>HYPERLINK("https://klasma.github.io/Logging_2101/tillsynsmail/A 10145-2026 tillsynsbegäran mail.docx", "A 10145-2026")</f>
        <v/>
      </c>
    </row>
    <row r="49" ht="15" customHeight="1">
      <c r="A49" t="inlineStr">
        <is>
          <t>A 62989-2025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46009</v>
      </c>
      <c r="E49" s="1" t="n">
        <v>46250</v>
      </c>
      <c r="F49" t="inlineStr">
        <is>
          <t>GÄVLEBORGS LÄN</t>
        </is>
      </c>
      <c r="G49" t="inlineStr">
        <is>
          <t>OCKELBO</t>
        </is>
      </c>
      <c r="I49" t="n">
        <v>1.7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Kortskaftad ärgspik</t>
        </is>
      </c>
      <c r="W49">
        <f>HYPERLINK("https://klasma.github.io/Logging_2101/artfynd/A 62989-2025 artfynd.xlsx", "A 62989-2025")</f>
        <v/>
      </c>
      <c r="X49">
        <f>HYPERLINK("https://klasma.github.io/Logging_2101/kartor/A 62989-2025 karta.png", "A 62989-2025")</f>
        <v/>
      </c>
      <c r="Y49">
        <f>HYPERLINK("https://klasma.github.io/Logging_2101/kartor_geotiff/A 62989-2025 georefererad karta.tif", "A 62989-2025")</f>
        <v/>
      </c>
      <c r="AA49">
        <f>HYPERLINK("https://klasma.github.io/Logging_2101/klagomål/A 62989-2025 FSC-klagomål.docx", "A 62989-2025")</f>
        <v/>
      </c>
      <c r="AB49">
        <f>HYPERLINK("https://klasma.github.io/Logging_2101/klagomålsmail/A 62989-2025 FSC-klagomål mail.docx", "A 62989-2025")</f>
        <v/>
      </c>
      <c r="AC49">
        <f>HYPERLINK("https://klasma.github.io/Logging_2101/tillsyn/A 62989-2025 tillsynsbegäran.docx", "A 62989-2025")</f>
        <v/>
      </c>
      <c r="AD49">
        <f>HYPERLINK("https://klasma.github.io/Logging_2101/tillsynsmail/A 62989-2025 tillsynsbegäran mail.docx", "A 62989-2025")</f>
        <v/>
      </c>
    </row>
    <row r="50" ht="15" customHeight="1">
      <c r="A50" t="inlineStr">
        <is>
          <t>A 9155-2026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46250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4.2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Kolflarnlav</t>
        </is>
      </c>
      <c r="W50">
        <f>HYPERLINK("https://klasma.github.io/Logging_2101/artfynd/A 9155-2026 artfynd.xlsx", "A 9155-2026")</f>
        <v/>
      </c>
      <c r="X50">
        <f>HYPERLINK("https://klasma.github.io/Logging_2101/kartor/A 9155-2026 karta.png", "A 9155-2026")</f>
        <v/>
      </c>
      <c r="Y50">
        <f>HYPERLINK("https://klasma.github.io/Logging_2101/kartor_geotiff/A 9155-2026 georefererad karta.tif", "A 9155-2026")</f>
        <v/>
      </c>
      <c r="AA50">
        <f>HYPERLINK("https://klasma.github.io/Logging_2101/klagomål/A 9155-2026 FSC-klagomål.docx", "A 9155-2026")</f>
        <v/>
      </c>
      <c r="AB50">
        <f>HYPERLINK("https://klasma.github.io/Logging_2101/klagomålsmail/A 9155-2026 FSC-klagomål mail.docx", "A 9155-2026")</f>
        <v/>
      </c>
      <c r="AC50">
        <f>HYPERLINK("https://klasma.github.io/Logging_2101/tillsyn/A 9155-2026 tillsynsbegäran.docx", "A 9155-2026")</f>
        <v/>
      </c>
      <c r="AD50">
        <f>HYPERLINK("https://klasma.github.io/Logging_2101/tillsynsmail/A 9155-2026 tillsynsbegäran mail.docx", "A 9155-2026")</f>
        <v/>
      </c>
    </row>
    <row r="51" ht="15" customHeight="1">
      <c r="A51" t="inlineStr">
        <is>
          <t>A 20233-2026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46139</v>
      </c>
      <c r="E51" s="1" t="n">
        <v>46250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17.9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0</v>
      </c>
      <c r="V51" s="2" t="inlineStr">
        <is>
          <t>Tibast</t>
        </is>
      </c>
      <c r="W51">
        <f>HYPERLINK("https://klasma.github.io/Logging_2101/artfynd/A 20233-2026 artfynd.xlsx", "A 20233-2026")</f>
        <v/>
      </c>
      <c r="X51">
        <f>HYPERLINK("https://klasma.github.io/Logging_2101/kartor/A 20233-2026 karta.png", "A 20233-2026")</f>
        <v/>
      </c>
      <c r="Y51">
        <f>HYPERLINK("https://klasma.github.io/Logging_2101/kartor_geotiff/A 20233-2026 georefererad karta.tif", "A 20233-2026")</f>
        <v/>
      </c>
      <c r="AA51">
        <f>HYPERLINK("https://klasma.github.io/Logging_2101/klagomål/A 20233-2026 FSC-klagomål.docx", "A 20233-2026")</f>
        <v/>
      </c>
      <c r="AB51">
        <f>HYPERLINK("https://klasma.github.io/Logging_2101/klagomålsmail/A 20233-2026 FSC-klagomål mail.docx", "A 20233-2026")</f>
        <v/>
      </c>
      <c r="AC51">
        <f>HYPERLINK("https://klasma.github.io/Logging_2101/tillsyn/A 20233-2026 tillsynsbegäran.docx", "A 20233-2026")</f>
        <v/>
      </c>
      <c r="AD51">
        <f>HYPERLINK("https://klasma.github.io/Logging_2101/tillsynsmail/A 20233-2026 tillsynsbegäran mail.docx", "A 20233-2026")</f>
        <v/>
      </c>
    </row>
    <row r="52" ht="15" customHeight="1">
      <c r="A52" t="inlineStr">
        <is>
          <t>A 2923-2026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46038</v>
      </c>
      <c r="E52" s="1" t="n">
        <v>46250</v>
      </c>
      <c r="F52" t="inlineStr">
        <is>
          <t>GÄVLEBORGS LÄN</t>
        </is>
      </c>
      <c r="G52" t="inlineStr">
        <is>
          <t>OCKELBO</t>
        </is>
      </c>
      <c r="I52" t="n">
        <v>2.8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HYPERLINK("https://klasma.github.io/Logging_2101/artfynd/A 2923-2026 artfynd.xlsx", "A 2923-2026")</f>
        <v/>
      </c>
      <c r="X52">
        <f>HYPERLINK("https://klasma.github.io/Logging_2101/kartor/A 2923-2026 karta.png", "A 2923-2026")</f>
        <v/>
      </c>
      <c r="Y52">
        <f>HYPERLINK("https://klasma.github.io/Logging_2101/kartor_geotiff/A 2923-2026 georefererad karta.tif", "A 2923-2026")</f>
        <v/>
      </c>
      <c r="Z52">
        <f>HYPERLINK("https://klasma.github.io/Logging_2101/knärot/A 2923-2026 karta knärot.png", "A 2923-2026")</f>
        <v/>
      </c>
      <c r="AA52">
        <f>HYPERLINK("https://klasma.github.io/Logging_2101/klagomål/A 2923-2026 FSC-klagomål.docx", "A 2923-2026")</f>
        <v/>
      </c>
      <c r="AB52">
        <f>HYPERLINK("https://klasma.github.io/Logging_2101/klagomålsmail/A 2923-2026 FSC-klagomål mail.docx", "A 2923-2026")</f>
        <v/>
      </c>
      <c r="AC52">
        <f>HYPERLINK("https://klasma.github.io/Logging_2101/tillsyn/A 2923-2026 tillsynsbegäran.docx", "A 2923-2026")</f>
        <v/>
      </c>
      <c r="AD52">
        <f>HYPERLINK("https://klasma.github.io/Logging_2101/tillsynsmail/A 2923-2026 tillsynsbegäran mail.docx", "A 2923-2026")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46250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26448-2024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46250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HYPERLINK("https://klasma.github.io/Logging_2101/artfynd/A 26448-2024 artfynd.xlsx", "A 26448-2024")</f>
        <v/>
      </c>
      <c r="X54">
        <f>HYPERLINK("https://klasma.github.io/Logging_2101/kartor/A 26448-2024 karta.png", "A 26448-2024")</f>
        <v/>
      </c>
      <c r="Y54">
        <f>HYPERLINK("https://klasma.github.io/Logging_2101/kartor_geotiff/A 26448-2024 georefererad karta.tif", "A 26448-2024")</f>
        <v/>
      </c>
      <c r="AA54">
        <f>HYPERLINK("https://klasma.github.io/Logging_2101/klagomål/A 26448-2024 FSC-klagomål.docx", "A 26448-2024")</f>
        <v/>
      </c>
      <c r="AB54">
        <f>HYPERLINK("https://klasma.github.io/Logging_2101/klagomålsmail/A 26448-2024 FSC-klagomål mail.docx", "A 26448-2024")</f>
        <v/>
      </c>
      <c r="AC54">
        <f>HYPERLINK("https://klasma.github.io/Logging_2101/tillsyn/A 26448-2024 tillsynsbegäran.docx", "A 26448-2024")</f>
        <v/>
      </c>
      <c r="AD54">
        <f>HYPERLINK("https://klasma.github.io/Logging_2101/tillsynsmail/A 26448-2024 tillsynsbegäran mail.docx", "A 26448-2024")</f>
        <v/>
      </c>
    </row>
    <row r="55" ht="15" customHeight="1">
      <c r="A55" t="inlineStr">
        <is>
          <t>A 6121-2026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46053</v>
      </c>
      <c r="E55" s="1" t="n">
        <v>46250</v>
      </c>
      <c r="F55" t="inlineStr">
        <is>
          <t>GÄVLEBORGS LÄN</t>
        </is>
      </c>
      <c r="G55" t="inlineStr">
        <is>
          <t>OCKELBO</t>
        </is>
      </c>
      <c r="I55" t="n">
        <v>2.6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HYPERLINK("https://klasma.github.io/Logging_2101/artfynd/A 6121-2026 artfynd.xlsx", "A 6121-2026")</f>
        <v/>
      </c>
      <c r="X55">
        <f>HYPERLINK("https://klasma.github.io/Logging_2101/kartor/A 6121-2026 karta.png", "A 6121-2026")</f>
        <v/>
      </c>
      <c r="Y55">
        <f>HYPERLINK("https://klasma.github.io/Logging_2101/kartor_geotiff/A 6121-2026 georefererad karta.tif", "A 6121-2026")</f>
        <v/>
      </c>
      <c r="AA55">
        <f>HYPERLINK("https://klasma.github.io/Logging_2101/klagomål/A 6121-2026 FSC-klagomål.docx", "A 6121-2026")</f>
        <v/>
      </c>
      <c r="AB55">
        <f>HYPERLINK("https://klasma.github.io/Logging_2101/klagomålsmail/A 6121-2026 FSC-klagomål mail.docx", "A 6121-2026")</f>
        <v/>
      </c>
      <c r="AC55">
        <f>HYPERLINK("https://klasma.github.io/Logging_2101/tillsyn/A 6121-2026 tillsynsbegäran.docx", "A 6121-2026")</f>
        <v/>
      </c>
      <c r="AD55">
        <f>HYPERLINK("https://klasma.github.io/Logging_2101/tillsynsmail/A 6121-2026 tillsynsbegäran mail.docx", "A 6121-2026")</f>
        <v/>
      </c>
      <c r="AE55">
        <f>HYPERLINK("https://klasma.github.io/Logging_2101/fåglar/A 6121-2026 prioriterade fågelarter.docx", "A 6121-2026")</f>
        <v/>
      </c>
    </row>
    <row r="56" ht="15" customHeight="1">
      <c r="A56" t="inlineStr">
        <is>
          <t>A 6586-2026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46056</v>
      </c>
      <c r="E56" s="1" t="n">
        <v>46250</v>
      </c>
      <c r="F56" t="inlineStr">
        <is>
          <t>GÄVLEBORGS LÄN</t>
        </is>
      </c>
      <c r="G56" t="inlineStr">
        <is>
          <t>OCKELBO</t>
        </is>
      </c>
      <c r="I56" t="n">
        <v>1.6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HYPERLINK("https://klasma.github.io/Logging_2101/artfynd/A 6586-2026 artfynd.xlsx", "A 6586-2026")</f>
        <v/>
      </c>
      <c r="X56">
        <f>HYPERLINK("https://klasma.github.io/Logging_2101/kartor/A 6586-2026 karta.png", "A 6586-2026")</f>
        <v/>
      </c>
      <c r="Y56">
        <f>HYPERLINK("https://klasma.github.io/Logging_2101/kartor_geotiff/A 6586-2026 georefererad karta.tif", "A 6586-2026")</f>
        <v/>
      </c>
      <c r="AA56">
        <f>HYPERLINK("https://klasma.github.io/Logging_2101/klagomål/A 6586-2026 FSC-klagomål.docx", "A 6586-2026")</f>
        <v/>
      </c>
      <c r="AB56">
        <f>HYPERLINK("https://klasma.github.io/Logging_2101/klagomålsmail/A 6586-2026 FSC-klagomål mail.docx", "A 6586-2026")</f>
        <v/>
      </c>
      <c r="AC56">
        <f>HYPERLINK("https://klasma.github.io/Logging_2101/tillsyn/A 6586-2026 tillsynsbegäran.docx", "A 6586-2026")</f>
        <v/>
      </c>
      <c r="AD56">
        <f>HYPERLINK("https://klasma.github.io/Logging_2101/tillsynsmail/A 6586-2026 tillsynsbegäran mail.docx", "A 6586-2026")</f>
        <v/>
      </c>
    </row>
    <row r="57" ht="15" customHeight="1">
      <c r="A57" t="inlineStr">
        <is>
          <t>A 15841-2023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45022</v>
      </c>
      <c r="E57" s="1" t="n">
        <v>46250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2.1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Havsörn</t>
        </is>
      </c>
      <c r="W57">
        <f>HYPERLINK("https://klasma.github.io/Logging_2101/artfynd/A 15841-2023 artfynd.xlsx", "A 15841-2023")</f>
        <v/>
      </c>
      <c r="X57">
        <f>HYPERLINK("https://klasma.github.io/Logging_2101/kartor/A 15841-2023 karta.png", "A 15841-2023")</f>
        <v/>
      </c>
      <c r="Y57">
        <f>HYPERLINK("https://klasma.github.io/Logging_2101/kartor_geotiff/A 15841-2023 georefererad karta.tif", "A 15841-2023")</f>
        <v/>
      </c>
      <c r="AA57">
        <f>HYPERLINK("https://klasma.github.io/Logging_2101/klagomål/A 15841-2023 FSC-klagomål.docx", "A 15841-2023")</f>
        <v/>
      </c>
      <c r="AB57">
        <f>HYPERLINK("https://klasma.github.io/Logging_2101/klagomålsmail/A 15841-2023 FSC-klagomål mail.docx", "A 15841-2023")</f>
        <v/>
      </c>
      <c r="AC57">
        <f>HYPERLINK("https://klasma.github.io/Logging_2101/tillsyn/A 15841-2023 tillsynsbegäran.docx", "A 15841-2023")</f>
        <v/>
      </c>
      <c r="AD57">
        <f>HYPERLINK("https://klasma.github.io/Logging_2101/tillsynsmail/A 15841-2023 tillsynsbegäran mail.docx", "A 15841-2023")</f>
        <v/>
      </c>
      <c r="AE57">
        <f>HYPERLINK("https://klasma.github.io/Logging_2101/fåglar/A 15841-2023 prioriterade fågelarter.docx", "A 15841-2023")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46250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46250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46250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10484-2026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46250</v>
      </c>
      <c r="F61" t="inlineStr">
        <is>
          <t>GÄVLEBORGS LÄN</t>
        </is>
      </c>
      <c r="G61" t="inlineStr">
        <is>
          <t>OCKELBO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Ullticka</t>
        </is>
      </c>
      <c r="W61">
        <f>HYPERLINK("https://klasma.github.io/Logging_2101/artfynd/A 10484-2026 artfynd.xlsx", "A 10484-2026")</f>
        <v/>
      </c>
      <c r="X61">
        <f>HYPERLINK("https://klasma.github.io/Logging_2101/kartor/A 10484-2026 karta.png", "A 10484-2026")</f>
        <v/>
      </c>
      <c r="Y61">
        <f>HYPERLINK("https://klasma.github.io/Logging_2101/kartor_geotiff/A 10484-2026 georefererad karta.tif", "A 10484-2026")</f>
        <v/>
      </c>
      <c r="AA61">
        <f>HYPERLINK("https://klasma.github.io/Logging_2101/klagomål/A 10484-2026 FSC-klagomål.docx", "A 10484-2026")</f>
        <v/>
      </c>
      <c r="AB61">
        <f>HYPERLINK("https://klasma.github.io/Logging_2101/klagomålsmail/A 10484-2026 FSC-klagomål mail.docx", "A 10484-2026")</f>
        <v/>
      </c>
      <c r="AC61">
        <f>HYPERLINK("https://klasma.github.io/Logging_2101/tillsyn/A 10484-2026 tillsynsbegäran.docx", "A 10484-2026")</f>
        <v/>
      </c>
      <c r="AD61">
        <f>HYPERLINK("https://klasma.github.io/Logging_2101/tillsynsmail/A 10484-2026 tillsynsbegäran mail.docx", "A 10484-2026")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46250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46250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46250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46250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46250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46250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46250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46250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46250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46250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46250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46250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46250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46250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46250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46250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46250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46250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46250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46250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46250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46250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44425</v>
      </c>
      <c r="E84" s="1" t="n">
        <v>46250</v>
      </c>
      <c r="F84" t="inlineStr">
        <is>
          <t>GÄVLEBORGS LÄN</t>
        </is>
      </c>
      <c r="G84" t="inlineStr">
        <is>
          <t>OCKELBO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46250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46250</v>
      </c>
      <c r="F86" t="inlineStr">
        <is>
          <t>GÄVLEBORGS LÄN</t>
        </is>
      </c>
      <c r="G86" t="inlineStr">
        <is>
          <t>OCKELBO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44881</v>
      </c>
      <c r="E87" s="1" t="n">
        <v>46250</v>
      </c>
      <c r="F87" t="inlineStr">
        <is>
          <t>GÄVLEBORGS LÄN</t>
        </is>
      </c>
      <c r="G87" t="inlineStr">
        <is>
          <t>OCKELBO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46250</v>
      </c>
      <c r="F88" t="inlineStr">
        <is>
          <t>GÄVLEBORGS LÄN</t>
        </is>
      </c>
      <c r="G88" t="inlineStr">
        <is>
          <t>OCKELBO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46250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45243</v>
      </c>
      <c r="E90" s="1" t="n">
        <v>46250</v>
      </c>
      <c r="F90" t="inlineStr">
        <is>
          <t>GÄVLEBORGS LÄN</t>
        </is>
      </c>
      <c r="G90" t="inlineStr">
        <is>
          <t>OCKELBO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45330</v>
      </c>
      <c r="E91" s="1" t="n">
        <v>46250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46250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12987-2022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46250</v>
      </c>
      <c r="F93" t="inlineStr">
        <is>
          <t>GÄVLEBORGS LÄN</t>
        </is>
      </c>
      <c r="G93" t="inlineStr">
        <is>
          <t>OCKELBO</t>
        </is>
      </c>
      <c r="I93" t="n">
        <v>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44460</v>
      </c>
      <c r="E94" s="1" t="n">
        <v>46250</v>
      </c>
      <c r="F94" t="inlineStr">
        <is>
          <t>GÄVLEBORGS LÄN</t>
        </is>
      </c>
      <c r="G94" t="inlineStr">
        <is>
          <t>OCKELBO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45254</v>
      </c>
      <c r="E95" s="1" t="n">
        <v>46250</v>
      </c>
      <c r="F95" t="inlineStr">
        <is>
          <t>GÄVLEBORGS LÄN</t>
        </is>
      </c>
      <c r="G95" t="inlineStr">
        <is>
          <t>OCKELBO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46250</v>
      </c>
      <c r="F96" t="inlineStr">
        <is>
          <t>GÄVLEBORGS LÄN</t>
        </is>
      </c>
      <c r="G96" t="inlineStr">
        <is>
          <t>OCKELBO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46250</v>
      </c>
      <c r="F97" t="inlineStr">
        <is>
          <t>GÄVLEBORGS LÄN</t>
        </is>
      </c>
      <c r="G97" t="inlineStr">
        <is>
          <t>OCKELBO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46250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20231-2024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45434</v>
      </c>
      <c r="E99" s="1" t="n">
        <v>46250</v>
      </c>
      <c r="F99" t="inlineStr">
        <is>
          <t>GÄVLEBORGS LÄN</t>
        </is>
      </c>
      <c r="G99" t="inlineStr">
        <is>
          <t>OCKELBO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44887</v>
      </c>
      <c r="E100" s="1" t="n">
        <v>46250</v>
      </c>
      <c r="F100" t="inlineStr">
        <is>
          <t>GÄVLEBORGS LÄN</t>
        </is>
      </c>
      <c r="G100" t="inlineStr">
        <is>
          <t>OCKELBO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36521-2022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44804</v>
      </c>
      <c r="E101" s="1" t="n">
        <v>46250</v>
      </c>
      <c r="F101" t="inlineStr">
        <is>
          <t>GÄVLEBORGS LÄN</t>
        </is>
      </c>
      <c r="G101" t="inlineStr">
        <is>
          <t>OCKELBO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15705-2022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44663</v>
      </c>
      <c r="E102" s="1" t="n">
        <v>46250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44725</v>
      </c>
      <c r="E103" s="1" t="n">
        <v>46250</v>
      </c>
      <c r="F103" t="inlineStr">
        <is>
          <t>GÄVLEBORGS LÄN</t>
        </is>
      </c>
      <c r="G103" t="inlineStr">
        <is>
          <t>OCKELBO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44781</v>
      </c>
      <c r="E104" s="1" t="n">
        <v>46250</v>
      </c>
      <c r="F104" t="inlineStr">
        <is>
          <t>GÄVLEBORGS LÄN</t>
        </is>
      </c>
      <c r="G104" t="inlineStr">
        <is>
          <t>OCKELBO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51565-2021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44460</v>
      </c>
      <c r="E105" s="1" t="n">
        <v>46250</v>
      </c>
      <c r="F105" t="inlineStr">
        <is>
          <t>GÄVLEBORGS LÄN</t>
        </is>
      </c>
      <c r="G105" t="inlineStr">
        <is>
          <t>OCKELBO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45450</v>
      </c>
      <c r="E106" s="1" t="n">
        <v>46250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45204</v>
      </c>
      <c r="E107" s="1" t="n">
        <v>46250</v>
      </c>
      <c r="F107" t="inlineStr">
        <is>
          <t>GÄVLEBORGS LÄN</t>
        </is>
      </c>
      <c r="G107" t="inlineStr">
        <is>
          <t>OCKELBO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21878-2024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45443</v>
      </c>
      <c r="E108" s="1" t="n">
        <v>46250</v>
      </c>
      <c r="F108" t="inlineStr">
        <is>
          <t>GÄVLEBORGS LÄN</t>
        </is>
      </c>
      <c r="G108" t="inlineStr">
        <is>
          <t>OCKELBO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45134</v>
      </c>
      <c r="E109" s="1" t="n">
        <v>46250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46250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öst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44700</v>
      </c>
      <c r="E111" s="1" t="n">
        <v>46250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61750-2023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46250</v>
      </c>
      <c r="F112" t="inlineStr">
        <is>
          <t>GÄVLEBORGS LÄN</t>
        </is>
      </c>
      <c r="G112" t="inlineStr">
        <is>
          <t>OCKELBO</t>
        </is>
      </c>
      <c r="I112" t="n">
        <v>11.2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45334</v>
      </c>
      <c r="E113" s="1" t="n">
        <v>46250</v>
      </c>
      <c r="F113" t="inlineStr">
        <is>
          <t>GÄVLEBORGS LÄN</t>
        </is>
      </c>
      <c r="G113" t="inlineStr">
        <is>
          <t>OCKELBO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45586</v>
      </c>
      <c r="E114" s="1" t="n">
        <v>46250</v>
      </c>
      <c r="F114" t="inlineStr">
        <is>
          <t>GÄVLEBORGS LÄN</t>
        </is>
      </c>
      <c r="G114" t="inlineStr">
        <is>
          <t>OCKELBO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45551</v>
      </c>
      <c r="E115" s="1" t="n">
        <v>46250</v>
      </c>
      <c r="F115" t="inlineStr">
        <is>
          <t>GÄVLEBORGS LÄN</t>
        </is>
      </c>
      <c r="G115" t="inlineStr">
        <is>
          <t>OCKELBO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45744</v>
      </c>
      <c r="E116" s="1" t="n">
        <v>46250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45455</v>
      </c>
      <c r="E117" s="1" t="n">
        <v>46250</v>
      </c>
      <c r="F117" t="inlineStr">
        <is>
          <t>GÄVLEBORGS LÄN</t>
        </is>
      </c>
      <c r="G117" t="inlineStr">
        <is>
          <t>OCKELBO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46250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56635-2021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44480</v>
      </c>
      <c r="E119" s="1" t="n">
        <v>46250</v>
      </c>
      <c r="F119" t="inlineStr">
        <is>
          <t>GÄVLEBORGS LÄN</t>
        </is>
      </c>
      <c r="G119" t="inlineStr">
        <is>
          <t>OCKELBO</t>
        </is>
      </c>
      <c r="I119" t="n">
        <v>10.8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45481</v>
      </c>
      <c r="E120" s="1" t="n">
        <v>46250</v>
      </c>
      <c r="F120" t="inlineStr">
        <is>
          <t>GÄVLEBORGS LÄN</t>
        </is>
      </c>
      <c r="G120" t="inlineStr">
        <is>
          <t>OCKELBO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45490</v>
      </c>
      <c r="E121" s="1" t="n">
        <v>46250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45884</v>
      </c>
      <c r="E122" s="1" t="n">
        <v>46250</v>
      </c>
      <c r="F122" t="inlineStr">
        <is>
          <t>GÄVLEBORGS LÄN</t>
        </is>
      </c>
      <c r="G122" t="inlineStr">
        <is>
          <t>OCKELBO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45478</v>
      </c>
      <c r="E123" s="1" t="n">
        <v>46250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44797</v>
      </c>
      <c r="E124" s="1" t="n">
        <v>46250</v>
      </c>
      <c r="F124" t="inlineStr">
        <is>
          <t>GÄVLEBORGS LÄN</t>
        </is>
      </c>
      <c r="G124" t="inlineStr">
        <is>
          <t>OCKELBO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46250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45888</v>
      </c>
      <c r="E126" s="1" t="n">
        <v>46250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46250</v>
      </c>
      <c r="F127" t="inlineStr">
        <is>
          <t>GÄVLEBORGS LÄN</t>
        </is>
      </c>
      <c r="G127" t="inlineStr">
        <is>
          <t>OCKELBO</t>
        </is>
      </c>
      <c r="H127" t="inlineStr">
        <is>
          <t>Kyrkan</t>
        </is>
      </c>
      <c r="I127" t="n">
        <v>12.5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47674-2023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45203</v>
      </c>
      <c r="E128" s="1" t="n">
        <v>46250</v>
      </c>
      <c r="F128" t="inlineStr">
        <is>
          <t>GÄVLEBORGS LÄN</t>
        </is>
      </c>
      <c r="G128" t="inlineStr">
        <is>
          <t>OCKELBO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33880-2023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45134</v>
      </c>
      <c r="E129" s="1" t="n">
        <v>46250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6742-2024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46250</v>
      </c>
      <c r="F130" t="inlineStr">
        <is>
          <t>GÄVLEBORGS LÄN</t>
        </is>
      </c>
      <c r="G130" t="inlineStr">
        <is>
          <t>OCKELBO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43538-2023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45184</v>
      </c>
      <c r="E131" s="1" t="n">
        <v>46250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46250</v>
      </c>
      <c r="F132" t="inlineStr">
        <is>
          <t>GÄVLEBORGS LÄN</t>
        </is>
      </c>
      <c r="G132" t="inlineStr">
        <is>
          <t>OCKELBO</t>
        </is>
      </c>
      <c r="I132" t="n">
        <v>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46250</v>
      </c>
      <c r="F133" t="inlineStr">
        <is>
          <t>GÄVLEBORGS LÄN</t>
        </is>
      </c>
      <c r="G133" t="inlineStr">
        <is>
          <t>OCKELBO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46250</v>
      </c>
      <c r="F134" t="inlineStr">
        <is>
          <t>GÄVLEBORGS LÄN</t>
        </is>
      </c>
      <c r="G134" t="inlineStr">
        <is>
          <t>OCKELBO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15195-2025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46250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36295-2024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45534</v>
      </c>
      <c r="E136" s="1" t="n">
        <v>46250</v>
      </c>
      <c r="F136" t="inlineStr">
        <is>
          <t>GÄVLEBORGS LÄN</t>
        </is>
      </c>
      <c r="G136" t="inlineStr">
        <is>
          <t>OCKELBO</t>
        </is>
      </c>
      <c r="I136" t="n">
        <v>7.9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46250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17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45334</v>
      </c>
      <c r="E138" s="1" t="n">
        <v>46250</v>
      </c>
      <c r="F138" t="inlineStr">
        <is>
          <t>GÄVLEBORGS LÄN</t>
        </is>
      </c>
      <c r="G138" t="inlineStr">
        <is>
          <t>OCKELBO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46250</v>
      </c>
      <c r="F139" t="inlineStr">
        <is>
          <t>GÄVLEBORGS LÄN</t>
        </is>
      </c>
      <c r="G139" t="inlineStr">
        <is>
          <t>OCKELBO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45894</v>
      </c>
      <c r="E140" s="1" t="n">
        <v>46250</v>
      </c>
      <c r="F140" t="inlineStr">
        <is>
          <t>GÄVLEBORGS LÄN</t>
        </is>
      </c>
      <c r="G140" t="inlineStr">
        <is>
          <t>OCKELBO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46250</v>
      </c>
      <c r="F141" t="inlineStr">
        <is>
          <t>GÄVLEBORGS LÄN</t>
        </is>
      </c>
      <c r="G141" t="inlineStr">
        <is>
          <t>OCKELBO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44496</v>
      </c>
      <c r="E142" s="1" t="n">
        <v>46250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34944-2024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45527</v>
      </c>
      <c r="E143" s="1" t="n">
        <v>46250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12.2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46250</v>
      </c>
      <c r="F144" t="inlineStr">
        <is>
          <t>GÄVLEBORGS LÄN</t>
        </is>
      </c>
      <c r="G144" t="inlineStr">
        <is>
          <t>OCKELBO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46250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41897-2025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46250</v>
      </c>
      <c r="F146" t="inlineStr">
        <is>
          <t>GÄVLEBORGS LÄN</t>
        </is>
      </c>
      <c r="G146" t="inlineStr">
        <is>
          <t>OCKELBO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45772</v>
      </c>
      <c r="E147" s="1" t="n">
        <v>46250</v>
      </c>
      <c r="F147" t="inlineStr">
        <is>
          <t>GÄVLEBORGS LÄN</t>
        </is>
      </c>
      <c r="G147" t="inlineStr">
        <is>
          <t>OCKELBO</t>
        </is>
      </c>
      <c r="I147" t="n">
        <v>14.8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46250</v>
      </c>
      <c r="F148" t="inlineStr">
        <is>
          <t>GÄVLEBORGS LÄN</t>
        </is>
      </c>
      <c r="G148" t="inlineStr">
        <is>
          <t>OCKELBO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32087-2025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46250</v>
      </c>
      <c r="F149" t="inlineStr">
        <is>
          <t>GÄVLEBORGS LÄN</t>
        </is>
      </c>
      <c r="G149" t="inlineStr">
        <is>
          <t>OCKELBO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46250</v>
      </c>
      <c r="F150" t="inlineStr">
        <is>
          <t>GÄVLEBORGS LÄN</t>
        </is>
      </c>
      <c r="G150" t="inlineStr">
        <is>
          <t>OCKELBO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46250</v>
      </c>
      <c r="F151" t="inlineStr">
        <is>
          <t>GÄVLEBORGS LÄN</t>
        </is>
      </c>
      <c r="G151" t="inlineStr">
        <is>
          <t>OCKELBO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46250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45184</v>
      </c>
      <c r="E153" s="1" t="n">
        <v>46250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43423-2025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46250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24.8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46250</v>
      </c>
      <c r="F155" t="inlineStr">
        <is>
          <t>GÄVLEBORGS LÄN</t>
        </is>
      </c>
      <c r="G155" t="inlineStr">
        <is>
          <t>OCKELBO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46250</v>
      </c>
      <c r="F156" t="inlineStr">
        <is>
          <t>GÄVLEBORGS LÄN</t>
        </is>
      </c>
      <c r="G156" t="inlineStr">
        <is>
          <t>OCKELBO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46250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53393-2022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46250</v>
      </c>
      <c r="F158" t="inlineStr">
        <is>
          <t>GÄVLEBORGS LÄN</t>
        </is>
      </c>
      <c r="G158" t="inlineStr">
        <is>
          <t>OCKELBO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46080</v>
      </c>
      <c r="E159" s="1" t="n">
        <v>46250</v>
      </c>
      <c r="F159" t="inlineStr">
        <is>
          <t>GÄVLEBORGS LÄN</t>
        </is>
      </c>
      <c r="G159" t="inlineStr">
        <is>
          <t>OCKELBO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46083</v>
      </c>
      <c r="E160" s="1" t="n">
        <v>46250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öst AB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54807-2024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45618</v>
      </c>
      <c r="E161" s="1" t="n">
        <v>46250</v>
      </c>
      <c r="F161" t="inlineStr">
        <is>
          <t>GÄVLEBORGS LÄN</t>
        </is>
      </c>
      <c r="G161" t="inlineStr">
        <is>
          <t>OCKELBO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55952-2022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44889</v>
      </c>
      <c r="E162" s="1" t="n">
        <v>46250</v>
      </c>
      <c r="F162" t="inlineStr">
        <is>
          <t>GÄVLEBORGS LÄN</t>
        </is>
      </c>
      <c r="G162" t="inlineStr">
        <is>
          <t>OCKELBO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46250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46083</v>
      </c>
      <c r="E164" s="1" t="n">
        <v>46250</v>
      </c>
      <c r="F164" t="inlineStr">
        <is>
          <t>GÄVLEBORGS LÄN</t>
        </is>
      </c>
      <c r="G164" t="inlineStr">
        <is>
          <t>OCKELBO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46052</v>
      </c>
      <c r="E165" s="1" t="n">
        <v>46250</v>
      </c>
      <c r="F165" t="inlineStr">
        <is>
          <t>GÄVLEBORGS LÄN</t>
        </is>
      </c>
      <c r="G165" t="inlineStr">
        <is>
          <t>OCKELBO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46083</v>
      </c>
      <c r="E166" s="1" t="n">
        <v>46250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11237-2026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46080</v>
      </c>
      <c r="E167" s="1" t="n">
        <v>46250</v>
      </c>
      <c r="F167" t="inlineStr">
        <is>
          <t>GÄVLEBORGS LÄN</t>
        </is>
      </c>
      <c r="G167" t="inlineStr">
        <is>
          <t>OCKELBO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45846</v>
      </c>
      <c r="E168" s="1" t="n">
        <v>46250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29768-2023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45107</v>
      </c>
      <c r="E169" s="1" t="n">
        <v>46250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47267-2025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46250</v>
      </c>
      <c r="F170" t="inlineStr">
        <is>
          <t>GÄVLEBORGS LÄN</t>
        </is>
      </c>
      <c r="G170" t="inlineStr">
        <is>
          <t>OCKELBO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46250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46250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45617</v>
      </c>
      <c r="E173" s="1" t="n">
        <v>46250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6.8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61622-2021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44501</v>
      </c>
      <c r="E174" s="1" t="n">
        <v>46250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46250</v>
      </c>
      <c r="F175" t="inlineStr">
        <is>
          <t>GÄVLEBORGS LÄN</t>
        </is>
      </c>
      <c r="G175" t="inlineStr">
        <is>
          <t>OCKELBO</t>
        </is>
      </c>
      <c r="I175" t="n">
        <v>14.6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45554</v>
      </c>
      <c r="E176" s="1" t="n">
        <v>46250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38401-2023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46250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67768-2021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44525</v>
      </c>
      <c r="E178" s="1" t="n">
        <v>46250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46250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18326-2026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46126</v>
      </c>
      <c r="E180" s="1" t="n">
        <v>46250</v>
      </c>
      <c r="F180" t="inlineStr">
        <is>
          <t>GÄVLEBORGS LÄN</t>
        </is>
      </c>
      <c r="G180" t="inlineStr">
        <is>
          <t>OCKELBO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11810-2026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46085</v>
      </c>
      <c r="E181" s="1" t="n">
        <v>46250</v>
      </c>
      <c r="F181" t="inlineStr">
        <is>
          <t>GÄVLEBORGS LÄN</t>
        </is>
      </c>
      <c r="G181" t="inlineStr">
        <is>
          <t>OCKELBO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46250</v>
      </c>
      <c r="F182" t="inlineStr">
        <is>
          <t>GÄVLEBORGS LÄN</t>
        </is>
      </c>
      <c r="G182" t="inlineStr">
        <is>
          <t>OCKELBO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46250</v>
      </c>
      <c r="F183" t="inlineStr">
        <is>
          <t>GÄVLEBORGS LÄN</t>
        </is>
      </c>
      <c r="G183" t="inlineStr">
        <is>
          <t>OCKELBO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46250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46250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46250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38893-2022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46250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45027</v>
      </c>
      <c r="E188" s="1" t="n">
        <v>46250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52140-2024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45608</v>
      </c>
      <c r="E189" s="1" t="n">
        <v>46250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40281-2024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45554</v>
      </c>
      <c r="E190" s="1" t="n">
        <v>46250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60699-2024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45644</v>
      </c>
      <c r="E191" s="1" t="n">
        <v>46250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45216</v>
      </c>
      <c r="E192" s="1" t="n">
        <v>46250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66825-2021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46250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45254</v>
      </c>
      <c r="E194" s="1" t="n">
        <v>46250</v>
      </c>
      <c r="F194" t="inlineStr">
        <is>
          <t>GÄVLEBORGS LÄN</t>
        </is>
      </c>
      <c r="G194" t="inlineStr">
        <is>
          <t>OCKELBO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45932</v>
      </c>
      <c r="E195" s="1" t="n">
        <v>46250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12341-2026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46087</v>
      </c>
      <c r="E196" s="1" t="n">
        <v>46250</v>
      </c>
      <c r="F196" t="inlineStr">
        <is>
          <t>GÄVLEBORGS LÄN</t>
        </is>
      </c>
      <c r="G196" t="inlineStr">
        <is>
          <t>OCKELBO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64367-2023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45280</v>
      </c>
      <c r="E197" s="1" t="n">
        <v>46250</v>
      </c>
      <c r="F197" t="inlineStr">
        <is>
          <t>GÄVLEBORGS LÄN</t>
        </is>
      </c>
      <c r="G197" t="inlineStr">
        <is>
          <t>OCKELBO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12370-2026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46089</v>
      </c>
      <c r="E198" s="1" t="n">
        <v>46250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53488-2023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45230</v>
      </c>
      <c r="E199" s="1" t="n">
        <v>46250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48855-2025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46250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56034-2023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46250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48996-2025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45937</v>
      </c>
      <c r="E202" s="1" t="n">
        <v>46250</v>
      </c>
      <c r="F202" t="inlineStr">
        <is>
          <t>GÄVLEBORGS LÄN</t>
        </is>
      </c>
      <c r="G202" t="inlineStr">
        <is>
          <t>OCKELBO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46250</v>
      </c>
      <c r="F203" t="inlineStr">
        <is>
          <t>GÄVLEBORGS LÄN</t>
        </is>
      </c>
      <c r="G203" t="inlineStr">
        <is>
          <t>OCKELBO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46250</v>
      </c>
      <c r="F204" t="inlineStr">
        <is>
          <t>GÄVLEBORGS LÄN</t>
        </is>
      </c>
      <c r="G204" t="inlineStr">
        <is>
          <t>OCKELBO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46250</v>
      </c>
      <c r="F205" t="inlineStr">
        <is>
          <t>GÄVLEBORGS LÄN</t>
        </is>
      </c>
      <c r="G205" t="inlineStr">
        <is>
          <t>OCKELBO</t>
        </is>
      </c>
      <c r="I205" t="n">
        <v>11.1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46091</v>
      </c>
      <c r="E206" s="1" t="n">
        <v>46250</v>
      </c>
      <c r="F206" t="inlineStr">
        <is>
          <t>GÄVLEBORGS LÄN</t>
        </is>
      </c>
      <c r="G206" t="inlineStr">
        <is>
          <t>OCKELBO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46250</v>
      </c>
      <c r="F207" t="inlineStr">
        <is>
          <t>GÄVLEBORGS LÄN</t>
        </is>
      </c>
      <c r="G207" t="inlineStr">
        <is>
          <t>OCKELBO</t>
        </is>
      </c>
      <c r="I207" t="n">
        <v>11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40196-2024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46250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31822-2025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46250</v>
      </c>
      <c r="F209" t="inlineStr">
        <is>
          <t>GÄVLEBORGS LÄN</t>
        </is>
      </c>
      <c r="G209" t="inlineStr">
        <is>
          <t>OCKELBO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13271-2026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46250</v>
      </c>
      <c r="F210" t="inlineStr">
        <is>
          <t>GÄVLEBORGS LÄN</t>
        </is>
      </c>
      <c r="G210" t="inlineStr">
        <is>
          <t>OCKELBO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46093</v>
      </c>
      <c r="E211" s="1" t="n">
        <v>46250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12.1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12807-2026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46250</v>
      </c>
      <c r="F212" t="inlineStr">
        <is>
          <t>GÄVLEBORGS LÄN</t>
        </is>
      </c>
      <c r="G212" t="inlineStr">
        <is>
          <t>OCKELBO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46093</v>
      </c>
      <c r="E213" s="1" t="n">
        <v>46250</v>
      </c>
      <c r="F213" t="inlineStr">
        <is>
          <t>GÄVLEBORGS LÄN</t>
        </is>
      </c>
      <c r="G213" t="inlineStr">
        <is>
          <t>OCKELBO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46250</v>
      </c>
      <c r="F214" t="inlineStr">
        <is>
          <t>GÄVLEBORGS LÄN</t>
        </is>
      </c>
      <c r="G214" t="inlineStr">
        <is>
          <t>OCKELBO</t>
        </is>
      </c>
      <c r="H214" t="inlineStr">
        <is>
          <t>Naturvårdsverket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13621-2026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46097</v>
      </c>
      <c r="E215" s="1" t="n">
        <v>46250</v>
      </c>
      <c r="F215" t="inlineStr">
        <is>
          <t>GÄVLEBORGS LÄN</t>
        </is>
      </c>
      <c r="G215" t="inlineStr">
        <is>
          <t>OCKELBO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46250</v>
      </c>
      <c r="F216" t="inlineStr">
        <is>
          <t>GÄVLEBORGS LÄN</t>
        </is>
      </c>
      <c r="G216" t="inlineStr">
        <is>
          <t>OCKELBO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13441-2026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46094</v>
      </c>
      <c r="E217" s="1" t="n">
        <v>46250</v>
      </c>
      <c r="F217" t="inlineStr">
        <is>
          <t>GÄVLEBORGS LÄN</t>
        </is>
      </c>
      <c r="G217" t="inlineStr">
        <is>
          <t>OCKELBO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46250</v>
      </c>
      <c r="F218" t="inlineStr">
        <is>
          <t>GÄVLEBORGS LÄN</t>
        </is>
      </c>
      <c r="G218" t="inlineStr">
        <is>
          <t>OCKELBO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46098</v>
      </c>
      <c r="E219" s="1" t="n">
        <v>46250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13856-2026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46098</v>
      </c>
      <c r="E220" s="1" t="n">
        <v>46250</v>
      </c>
      <c r="F220" t="inlineStr">
        <is>
          <t>GÄVLEBORGS LÄN</t>
        </is>
      </c>
      <c r="G220" t="inlineStr">
        <is>
          <t>OCKELBO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14232-2026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46099</v>
      </c>
      <c r="E221" s="1" t="n">
        <v>46250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13931-2026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46098</v>
      </c>
      <c r="E222" s="1" t="n">
        <v>46250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44950</v>
      </c>
      <c r="E223" s="1" t="n">
        <v>46250</v>
      </c>
      <c r="F223" t="inlineStr">
        <is>
          <t>GÄVLEBORGS LÄN</t>
        </is>
      </c>
      <c r="G223" t="inlineStr">
        <is>
          <t>OCKELBO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46098</v>
      </c>
      <c r="E224" s="1" t="n">
        <v>46250</v>
      </c>
      <c r="F224" t="inlineStr">
        <is>
          <t>GÄVLEBORGS LÄN</t>
        </is>
      </c>
      <c r="G224" t="inlineStr">
        <is>
          <t>OCKELBO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13825-2026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46098</v>
      </c>
      <c r="E225" s="1" t="n">
        <v>46250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36.6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46250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46250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46250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14100-2026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46099</v>
      </c>
      <c r="E229" s="1" t="n">
        <v>46250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51892-2025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46250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45301</v>
      </c>
      <c r="E231" s="1" t="n">
        <v>46250</v>
      </c>
      <c r="F231" t="inlineStr">
        <is>
          <t>GÄVLEBORGS LÄN</t>
        </is>
      </c>
      <c r="G231" t="inlineStr">
        <is>
          <t>OCKELBO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52635-2025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46250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14439-2026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46100</v>
      </c>
      <c r="E233" s="1" t="n">
        <v>46250</v>
      </c>
      <c r="F233" t="inlineStr">
        <is>
          <t>GÄVLEBORGS LÄN</t>
        </is>
      </c>
      <c r="G233" t="inlineStr">
        <is>
          <t>OCKELBO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14441-2026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46250</v>
      </c>
      <c r="F234" t="inlineStr">
        <is>
          <t>GÄVLEBORGS LÄN</t>
        </is>
      </c>
      <c r="G234" t="inlineStr">
        <is>
          <t>OCKELBO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14419-2026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46100</v>
      </c>
      <c r="E235" s="1" t="n">
        <v>46250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52259-2025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45953</v>
      </c>
      <c r="E236" s="1" t="n">
        <v>46250</v>
      </c>
      <c r="F236" t="inlineStr">
        <is>
          <t>GÄVLEBORGS LÄN</t>
        </is>
      </c>
      <c r="G236" t="inlineStr">
        <is>
          <t>OCKELBO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46250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46250</v>
      </c>
      <c r="F238" t="inlineStr">
        <is>
          <t>GÄVLEBORGS LÄN</t>
        </is>
      </c>
      <c r="G238" t="inlineStr">
        <is>
          <t>OCKELBO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46250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46101</v>
      </c>
      <c r="E240" s="1" t="n">
        <v>46250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15018-2026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46104</v>
      </c>
      <c r="E241" s="1" t="n">
        <v>46250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15151-2026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46250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öst AB</t>
        </is>
      </c>
      <c r="I242" t="n">
        <v>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15067-2026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46104</v>
      </c>
      <c r="E243" s="1" t="n">
        <v>46250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45497</v>
      </c>
      <c r="E244" s="1" t="n">
        <v>46250</v>
      </c>
      <c r="F244" t="inlineStr">
        <is>
          <t>GÄVLEBORGS LÄN</t>
        </is>
      </c>
      <c r="G244" t="inlineStr">
        <is>
          <t>OCKELBO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14972-2026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46104</v>
      </c>
      <c r="E245" s="1" t="n">
        <v>46250</v>
      </c>
      <c r="F245" t="inlineStr">
        <is>
          <t>GÄVLEBORGS LÄN</t>
        </is>
      </c>
      <c r="G245" t="inlineStr">
        <is>
          <t>OCKELBO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46250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46104</v>
      </c>
      <c r="E247" s="1" t="n">
        <v>46250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34.1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15052-2026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46104</v>
      </c>
      <c r="E248" s="1" t="n">
        <v>46250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15042-2026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46250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6.2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46104</v>
      </c>
      <c r="E250" s="1" t="n">
        <v>46250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46250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46104</v>
      </c>
      <c r="E252" s="1" t="n">
        <v>46250</v>
      </c>
      <c r="F252" t="inlineStr">
        <is>
          <t>GÄVLEBORGS LÄN</t>
        </is>
      </c>
      <c r="G252" t="inlineStr">
        <is>
          <t>OCKELBO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46099</v>
      </c>
      <c r="E253" s="1" t="n">
        <v>46250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15679-2026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46250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15572-2026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46250</v>
      </c>
      <c r="F255" t="inlineStr">
        <is>
          <t>GÄVLEBORGS LÄN</t>
        </is>
      </c>
      <c r="G255" t="inlineStr">
        <is>
          <t>OCKELBO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46250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49207-2023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45210</v>
      </c>
      <c r="E257" s="1" t="n">
        <v>46250</v>
      </c>
      <c r="F257" t="inlineStr">
        <is>
          <t>GÄVLEBORGS LÄN</t>
        </is>
      </c>
      <c r="G257" t="inlineStr">
        <is>
          <t>OCKELBO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15678-2026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46106</v>
      </c>
      <c r="E258" s="1" t="n">
        <v>46250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15.4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39710-2023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45167</v>
      </c>
      <c r="E259" s="1" t="n">
        <v>46250</v>
      </c>
      <c r="F259" t="inlineStr">
        <is>
          <t>GÄVLEBORGS LÄN</t>
        </is>
      </c>
      <c r="G259" t="inlineStr">
        <is>
          <t>OCKELBO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55906-2024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45623</v>
      </c>
      <c r="E260" s="1" t="n">
        <v>46250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46250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46250</v>
      </c>
      <c r="F262" t="inlineStr">
        <is>
          <t>GÄVLEBORGS LÄN</t>
        </is>
      </c>
      <c r="G262" t="inlineStr">
        <is>
          <t>OCKELBO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16296-2026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46250</v>
      </c>
      <c r="F263" t="inlineStr">
        <is>
          <t>GÄVLEBORGS LÄN</t>
        </is>
      </c>
      <c r="G263" t="inlineStr">
        <is>
          <t>OCKELBO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54655-2025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46250</v>
      </c>
      <c r="F264" t="inlineStr">
        <is>
          <t>GÄVLEBORGS LÄN</t>
        </is>
      </c>
      <c r="G264" t="inlineStr">
        <is>
          <t>OCKELBO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46250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34449-2023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46250</v>
      </c>
      <c r="F266" t="inlineStr">
        <is>
          <t>GÄVLEBORGS LÄN</t>
        </is>
      </c>
      <c r="G266" t="inlineStr">
        <is>
          <t>OCKELBO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46250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3628-2023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44950</v>
      </c>
      <c r="E268" s="1" t="n">
        <v>46250</v>
      </c>
      <c r="F268" t="inlineStr">
        <is>
          <t>GÄVLEBORGS LÄN</t>
        </is>
      </c>
      <c r="G268" t="inlineStr">
        <is>
          <t>OCKELBO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54879-2025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46250</v>
      </c>
      <c r="F269" t="inlineStr">
        <is>
          <t>GÄVLEBORGS LÄN</t>
        </is>
      </c>
      <c r="G269" t="inlineStr">
        <is>
          <t>OCKELBO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54880-2025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45967</v>
      </c>
      <c r="E270" s="1" t="n">
        <v>46250</v>
      </c>
      <c r="F270" t="inlineStr">
        <is>
          <t>GÄVLEBORGS LÄN</t>
        </is>
      </c>
      <c r="G270" t="inlineStr">
        <is>
          <t>OCKELBO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16388-2026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46250</v>
      </c>
      <c r="F271" t="inlineStr">
        <is>
          <t>GÄVLEBORGS LÄN</t>
        </is>
      </c>
      <c r="G271" t="inlineStr">
        <is>
          <t>OCKELBO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46250</v>
      </c>
      <c r="F272" t="inlineStr">
        <is>
          <t>GÄVLEBORGS LÄN</t>
        </is>
      </c>
      <c r="G272" t="inlineStr">
        <is>
          <t>OCKELBO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16667-2026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46250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16481-2026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46250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45972</v>
      </c>
      <c r="E275" s="1" t="n">
        <v>46250</v>
      </c>
      <c r="F275" t="inlineStr">
        <is>
          <t>GÄVLEBORGS LÄN</t>
        </is>
      </c>
      <c r="G275" t="inlineStr">
        <is>
          <t>OCKELBO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46112</v>
      </c>
      <c r="E276" s="1" t="n">
        <v>46250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14.3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45972</v>
      </c>
      <c r="E277" s="1" t="n">
        <v>46250</v>
      </c>
      <c r="F277" t="inlineStr">
        <is>
          <t>GÄVLEBORGS LÄN</t>
        </is>
      </c>
      <c r="G277" t="inlineStr">
        <is>
          <t>OCKELBO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39062-2024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45548</v>
      </c>
      <c r="E278" s="1" t="n">
        <v>46250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45973</v>
      </c>
      <c r="E279" s="1" t="n">
        <v>46250</v>
      </c>
      <c r="F279" t="inlineStr">
        <is>
          <t>GÄVLEBORGS LÄN</t>
        </is>
      </c>
      <c r="G279" t="inlineStr">
        <is>
          <t>OCKELBO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55920-2025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45973</v>
      </c>
      <c r="E280" s="1" t="n">
        <v>46250</v>
      </c>
      <c r="F280" t="inlineStr">
        <is>
          <t>GÄVLEBORGS LÄN</t>
        </is>
      </c>
      <c r="G280" t="inlineStr">
        <is>
          <t>OCKELBO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55926-2025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45973</v>
      </c>
      <c r="E281" s="1" t="n">
        <v>46250</v>
      </c>
      <c r="F281" t="inlineStr">
        <is>
          <t>GÄVLEBORGS LÄN</t>
        </is>
      </c>
      <c r="G281" t="inlineStr">
        <is>
          <t>OCKELBO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45398</v>
      </c>
      <c r="E282" s="1" t="n">
        <v>46250</v>
      </c>
      <c r="F282" t="inlineStr">
        <is>
          <t>GÄVLEBORGS LÄN</t>
        </is>
      </c>
      <c r="G282" t="inlineStr">
        <is>
          <t>OCKELBO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22824-2024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45448</v>
      </c>
      <c r="E283" s="1" t="n">
        <v>46250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55859-2025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45973</v>
      </c>
      <c r="E284" s="1" t="n">
        <v>46250</v>
      </c>
      <c r="F284" t="inlineStr">
        <is>
          <t>GÄVLEBORGS LÄN</t>
        </is>
      </c>
      <c r="G284" t="inlineStr">
        <is>
          <t>OCKELBO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45973</v>
      </c>
      <c r="E285" s="1" t="n">
        <v>46250</v>
      </c>
      <c r="F285" t="inlineStr">
        <is>
          <t>GÄVLEBORGS LÄN</t>
        </is>
      </c>
      <c r="G285" t="inlineStr">
        <is>
          <t>OCKELBO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55911-2025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45973</v>
      </c>
      <c r="E286" s="1" t="n">
        <v>46250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16981-2026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46250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9.4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16989-2026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46114</v>
      </c>
      <c r="E288" s="1" t="n">
        <v>46250</v>
      </c>
      <c r="F288" t="inlineStr">
        <is>
          <t>GÄVLEBORGS LÄN</t>
        </is>
      </c>
      <c r="G288" t="inlineStr">
        <is>
          <t>OCKELBO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55884-2025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45973</v>
      </c>
      <c r="E289" s="1" t="n">
        <v>46250</v>
      </c>
      <c r="F289" t="inlineStr">
        <is>
          <t>GÄVLEBORGS LÄN</t>
        </is>
      </c>
      <c r="G289" t="inlineStr">
        <is>
          <t>OCKELBO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16991-2026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46250</v>
      </c>
      <c r="F290" t="inlineStr">
        <is>
          <t>GÄVLEBORGS LÄN</t>
        </is>
      </c>
      <c r="G290" t="inlineStr">
        <is>
          <t>OCKELBO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46250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46114</v>
      </c>
      <c r="E292" s="1" t="n">
        <v>46250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46250</v>
      </c>
      <c r="F293" t="inlineStr">
        <is>
          <t>GÄVLEBORGS LÄN</t>
        </is>
      </c>
      <c r="G293" t="inlineStr">
        <is>
          <t>OCKELBO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56921-2025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45978</v>
      </c>
      <c r="E294" s="1" t="n">
        <v>46250</v>
      </c>
      <c r="F294" t="inlineStr">
        <is>
          <t>GÄVLEBORGS LÄN</t>
        </is>
      </c>
      <c r="G294" t="inlineStr">
        <is>
          <t>OCKELBO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46250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45978</v>
      </c>
      <c r="E296" s="1" t="n">
        <v>46250</v>
      </c>
      <c r="F296" t="inlineStr">
        <is>
          <t>GÄVLEBORGS LÄN</t>
        </is>
      </c>
      <c r="G296" t="inlineStr">
        <is>
          <t>OCKELBO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56919-2025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46250</v>
      </c>
      <c r="F297" t="inlineStr">
        <is>
          <t>GÄVLEBORGS LÄN</t>
        </is>
      </c>
      <c r="G297" t="inlineStr">
        <is>
          <t>OCKELBO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17202-2026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46118</v>
      </c>
      <c r="E298" s="1" t="n">
        <v>46250</v>
      </c>
      <c r="F298" t="inlineStr">
        <is>
          <t>GÄVLEBORGS LÄN</t>
        </is>
      </c>
      <c r="G298" t="inlineStr">
        <is>
          <t>OCKELBO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45978</v>
      </c>
      <c r="E299" s="1" t="n">
        <v>46250</v>
      </c>
      <c r="F299" t="inlineStr">
        <is>
          <t>GÄVLEBORGS LÄN</t>
        </is>
      </c>
      <c r="G299" t="inlineStr">
        <is>
          <t>OCKELBO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56876-2025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46250</v>
      </c>
      <c r="F300" t="inlineStr">
        <is>
          <t>GÄVLEBORGS LÄN</t>
        </is>
      </c>
      <c r="G300" t="inlineStr">
        <is>
          <t>OCKELBO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46250</v>
      </c>
      <c r="F301" t="inlineStr">
        <is>
          <t>GÄVLEBORGS LÄN</t>
        </is>
      </c>
      <c r="G301" t="inlineStr">
        <is>
          <t>OCKELBO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46250</v>
      </c>
      <c r="F302" t="inlineStr">
        <is>
          <t>GÄVLEBORGS LÄN</t>
        </is>
      </c>
      <c r="G302" t="inlineStr">
        <is>
          <t>OCKELBO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56454-2025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46250</v>
      </c>
      <c r="F303" t="inlineStr">
        <is>
          <t>GÄVLEBORGS LÄN</t>
        </is>
      </c>
      <c r="G303" t="inlineStr">
        <is>
          <t>OCKELBO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58156-2025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45982</v>
      </c>
      <c r="E304" s="1" t="n">
        <v>46250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17709-2026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46121</v>
      </c>
      <c r="E305" s="1" t="n">
        <v>46250</v>
      </c>
      <c r="F305" t="inlineStr">
        <is>
          <t>GÄVLEBORGS LÄN</t>
        </is>
      </c>
      <c r="G305" t="inlineStr">
        <is>
          <t>OCKELBO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58770-2025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46250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10290-2026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46076</v>
      </c>
      <c r="E307" s="1" t="n">
        <v>46250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öst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10326-2026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46250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öst AB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10457-2026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46077</v>
      </c>
      <c r="E309" s="1" t="n">
        <v>46250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öst AB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10268-2026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46076</v>
      </c>
      <c r="E310" s="1" t="n">
        <v>46250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öst AB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46121</v>
      </c>
      <c r="E311" s="1" t="n">
        <v>46250</v>
      </c>
      <c r="F311" t="inlineStr">
        <is>
          <t>GÄVLEBORGS LÄN</t>
        </is>
      </c>
      <c r="G311" t="inlineStr">
        <is>
          <t>OCKELBO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64609-2023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45281</v>
      </c>
      <c r="E312" s="1" t="n">
        <v>46250</v>
      </c>
      <c r="F312" t="inlineStr">
        <is>
          <t>GÄVLEBORGS LÄN</t>
        </is>
      </c>
      <c r="G312" t="inlineStr">
        <is>
          <t>OCKELBO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17600-2026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46121</v>
      </c>
      <c r="E313" s="1" t="n">
        <v>46250</v>
      </c>
      <c r="F313" t="inlineStr">
        <is>
          <t>GÄVLEBORGS LÄN</t>
        </is>
      </c>
      <c r="G313" t="inlineStr">
        <is>
          <t>OCKELBO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58727-2025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45986</v>
      </c>
      <c r="E314" s="1" t="n">
        <v>46250</v>
      </c>
      <c r="F314" t="inlineStr">
        <is>
          <t>GÄVLEBORGS LÄN</t>
        </is>
      </c>
      <c r="G314" t="inlineStr">
        <is>
          <t>OCKELBO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58295-2025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45985</v>
      </c>
      <c r="E315" s="1" t="n">
        <v>46250</v>
      </c>
      <c r="F315" t="inlineStr">
        <is>
          <t>GÄVLEBORGS LÄN</t>
        </is>
      </c>
      <c r="G315" t="inlineStr">
        <is>
          <t>OCKELBO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58299-2025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46250</v>
      </c>
      <c r="F316" t="inlineStr">
        <is>
          <t>GÄVLEBORGS LÄN</t>
        </is>
      </c>
      <c r="G316" t="inlineStr">
        <is>
          <t>OCKELBO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46250</v>
      </c>
      <c r="F317" t="inlineStr">
        <is>
          <t>GÄVLEBORGS LÄN</t>
        </is>
      </c>
      <c r="G317" t="inlineStr">
        <is>
          <t>OCKELBO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10309-2026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46250</v>
      </c>
      <c r="F318" t="inlineStr">
        <is>
          <t>GÄVLEBORGS LÄN</t>
        </is>
      </c>
      <c r="G318" t="inlineStr">
        <is>
          <t>OCKELBO</t>
        </is>
      </c>
      <c r="H318" t="inlineStr">
        <is>
          <t>Bergvik skog öst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65259-2023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45291</v>
      </c>
      <c r="E319" s="1" t="n">
        <v>46250</v>
      </c>
      <c r="F319" t="inlineStr">
        <is>
          <t>GÄVLEBORGS LÄN</t>
        </is>
      </c>
      <c r="G319" t="inlineStr">
        <is>
          <t>OCKELBO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59086-2025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45988</v>
      </c>
      <c r="E320" s="1" t="n">
        <v>46250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18133-2026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46125</v>
      </c>
      <c r="E321" s="1" t="n">
        <v>46250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15581-2026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46250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öst AB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18248-2026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46126</v>
      </c>
      <c r="E323" s="1" t="n">
        <v>46250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33617-2023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45132</v>
      </c>
      <c r="E324" s="1" t="n">
        <v>46250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46250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46250</v>
      </c>
      <c r="F326" t="inlineStr">
        <is>
          <t>GÄVLEBORGS LÄN</t>
        </is>
      </c>
      <c r="G326" t="inlineStr">
        <is>
          <t>OCKELBO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29534-2023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45106</v>
      </c>
      <c r="E327" s="1" t="n">
        <v>46250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46127</v>
      </c>
      <c r="E328" s="1" t="n">
        <v>46250</v>
      </c>
      <c r="F328" t="inlineStr">
        <is>
          <t>GÄVLEBORGS LÄN</t>
        </is>
      </c>
      <c r="G328" t="inlineStr">
        <is>
          <t>OCKELBO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52335-2024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45609</v>
      </c>
      <c r="E329" s="1" t="n">
        <v>46250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46127</v>
      </c>
      <c r="E330" s="1" t="n">
        <v>46250</v>
      </c>
      <c r="F330" t="inlineStr">
        <is>
          <t>GÄVLEBORGS LÄN</t>
        </is>
      </c>
      <c r="G330" t="inlineStr">
        <is>
          <t>OCKELBO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18426-2026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46127</v>
      </c>
      <c r="E331" s="1" t="n">
        <v>46250</v>
      </c>
      <c r="F331" t="inlineStr">
        <is>
          <t>GÄVLEBORGS LÄN</t>
        </is>
      </c>
      <c r="G331" t="inlineStr">
        <is>
          <t>OCKELBO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60183-2025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45994</v>
      </c>
      <c r="E332" s="1" t="n">
        <v>46250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60616-2025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45996</v>
      </c>
      <c r="E333" s="1" t="n">
        <v>46250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13855-2026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46098</v>
      </c>
      <c r="E334" s="1" t="n">
        <v>46250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53139-2024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45611</v>
      </c>
      <c r="E335" s="1" t="n">
        <v>46250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45995</v>
      </c>
      <c r="E336" s="1" t="n">
        <v>46250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45674</v>
      </c>
      <c r="E337" s="1" t="n">
        <v>46250</v>
      </c>
      <c r="F337" t="inlineStr">
        <is>
          <t>GÄVLEBORGS LÄN</t>
        </is>
      </c>
      <c r="G337" t="inlineStr">
        <is>
          <t>OCKELBO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60527-2025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45995</v>
      </c>
      <c r="E338" s="1" t="n">
        <v>46250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34444-2023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45139</v>
      </c>
      <c r="E339" s="1" t="n">
        <v>46250</v>
      </c>
      <c r="F339" t="inlineStr">
        <is>
          <t>GÄVLEBORGS LÄN</t>
        </is>
      </c>
      <c r="G339" t="inlineStr">
        <is>
          <t>OCKELBO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46132</v>
      </c>
      <c r="E340" s="1" t="n">
        <v>46250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17.7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46250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46250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13.8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44950</v>
      </c>
      <c r="E343" s="1" t="n">
        <v>46250</v>
      </c>
      <c r="F343" t="inlineStr">
        <is>
          <t>GÄVLEBORGS LÄN</t>
        </is>
      </c>
      <c r="G343" t="inlineStr">
        <is>
          <t>OCKELBO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46250</v>
      </c>
      <c r="F344" t="inlineStr">
        <is>
          <t>GÄVLEBORGS LÄN</t>
        </is>
      </c>
      <c r="G344" t="inlineStr">
        <is>
          <t>OCKELBO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46132</v>
      </c>
      <c r="E345" s="1" t="n">
        <v>46250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18705-2026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46128</v>
      </c>
      <c r="E346" s="1" t="n">
        <v>46250</v>
      </c>
      <c r="F346" t="inlineStr">
        <is>
          <t>GÄVLEBORGS LÄN</t>
        </is>
      </c>
      <c r="G346" t="inlineStr">
        <is>
          <t>OCKELBO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16572-2026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46112</v>
      </c>
      <c r="E347" s="1" t="n">
        <v>46250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16530-2026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46250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46250</v>
      </c>
      <c r="F349" t="inlineStr">
        <is>
          <t>GÄVLEBORGS LÄN</t>
        </is>
      </c>
      <c r="G349" t="inlineStr">
        <is>
          <t>OCKELBO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46132</v>
      </c>
      <c r="E350" s="1" t="n">
        <v>46250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19139-2026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46132</v>
      </c>
      <c r="E351" s="1" t="n">
        <v>46250</v>
      </c>
      <c r="F351" t="inlineStr">
        <is>
          <t>GÄVLEBORGS LÄN</t>
        </is>
      </c>
      <c r="G351" t="inlineStr">
        <is>
          <t>OCKELBO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18669-2026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46250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19040-2026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46132</v>
      </c>
      <c r="E353" s="1" t="n">
        <v>46250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19146-2026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46132</v>
      </c>
      <c r="E354" s="1" t="n">
        <v>46250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52330-2024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45609</v>
      </c>
      <c r="E355" s="1" t="n">
        <v>46250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46250</v>
      </c>
      <c r="F356" t="inlineStr">
        <is>
          <t>GÄVLEBORGS LÄN</t>
        </is>
      </c>
      <c r="G356" t="inlineStr">
        <is>
          <t>OCKELBO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45666</v>
      </c>
      <c r="E357" s="1" t="n">
        <v>46250</v>
      </c>
      <c r="F357" t="inlineStr">
        <is>
          <t>GÄVLEBORGS LÄN</t>
        </is>
      </c>
      <c r="G357" t="inlineStr">
        <is>
          <t>OCKELBO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19603-2026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46250</v>
      </c>
      <c r="F358" t="inlineStr">
        <is>
          <t>GÄVLEBORGS LÄN</t>
        </is>
      </c>
      <c r="G358" t="inlineStr">
        <is>
          <t>OCKELBO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46134</v>
      </c>
      <c r="E359" s="1" t="n">
        <v>46250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19431-2026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46250</v>
      </c>
      <c r="F360" t="inlineStr">
        <is>
          <t>GÄVLEBORGS LÄN</t>
        </is>
      </c>
      <c r="G360" t="inlineStr">
        <is>
          <t>OCKELBO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32011-2024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45510</v>
      </c>
      <c r="E361" s="1" t="n">
        <v>46250</v>
      </c>
      <c r="F361" t="inlineStr">
        <is>
          <t>GÄVLEBORGS LÄN</t>
        </is>
      </c>
      <c r="G361" t="inlineStr">
        <is>
          <t>OCKELBO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46250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62196-2025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46006</v>
      </c>
      <c r="E363" s="1" t="n">
        <v>46250</v>
      </c>
      <c r="F363" t="inlineStr">
        <is>
          <t>GÄVLEBORGS LÄN</t>
        </is>
      </c>
      <c r="G363" t="inlineStr">
        <is>
          <t>OCKELBO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59383-2025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46250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19277-2026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46133</v>
      </c>
      <c r="E365" s="1" t="n">
        <v>46250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19424-2026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46250</v>
      </c>
      <c r="F366" t="inlineStr">
        <is>
          <t>GÄVLEBORGS LÄN</t>
        </is>
      </c>
      <c r="G366" t="inlineStr">
        <is>
          <t>OCKELBO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19924-2026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46136</v>
      </c>
      <c r="E367" s="1" t="n">
        <v>46250</v>
      </c>
      <c r="F367" t="inlineStr">
        <is>
          <t>GÄVLEBORGS LÄN</t>
        </is>
      </c>
      <c r="G367" t="inlineStr">
        <is>
          <t>OCKELBO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45511</v>
      </c>
      <c r="E368" s="1" t="n">
        <v>46250</v>
      </c>
      <c r="F368" t="inlineStr">
        <is>
          <t>GÄVLEBORGS LÄN</t>
        </is>
      </c>
      <c r="G368" t="inlineStr">
        <is>
          <t>OCKELBO</t>
        </is>
      </c>
      <c r="I368" t="n">
        <v>11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63061-2025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46009</v>
      </c>
      <c r="E369" s="1" t="n">
        <v>46250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22385-2023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45070</v>
      </c>
      <c r="E370" s="1" t="n">
        <v>46250</v>
      </c>
      <c r="F370" t="inlineStr">
        <is>
          <t>GÄVLEBORGS LÄN</t>
        </is>
      </c>
      <c r="G370" t="inlineStr">
        <is>
          <t>OCKELBO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61456-2024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45646</v>
      </c>
      <c r="E371" s="1" t="n">
        <v>46250</v>
      </c>
      <c r="F371" t="inlineStr">
        <is>
          <t>GÄVLEBORGS LÄN</t>
        </is>
      </c>
      <c r="G371" t="inlineStr">
        <is>
          <t>OCKELBO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45258</v>
      </c>
      <c r="E372" s="1" t="n">
        <v>46250</v>
      </c>
      <c r="F372" t="inlineStr">
        <is>
          <t>GÄVLEBORGS LÄN</t>
        </is>
      </c>
      <c r="G372" t="inlineStr">
        <is>
          <t>OCKELBO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60962-2024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46250</v>
      </c>
      <c r="F373" t="inlineStr">
        <is>
          <t>GÄVLEBORGS LÄN</t>
        </is>
      </c>
      <c r="G373" t="inlineStr">
        <is>
          <t>OCKELBO</t>
        </is>
      </c>
      <c r="H373" t="inlineStr">
        <is>
          <t>Kyrkan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62914-2025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46250</v>
      </c>
      <c r="F374" t="inlineStr">
        <is>
          <t>GÄVLEBORGS LÄN</t>
        </is>
      </c>
      <c r="G374" t="inlineStr">
        <is>
          <t>OCKELBO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63459-2025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46013</v>
      </c>
      <c r="E375" s="1" t="n">
        <v>46250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63616-2025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46014</v>
      </c>
      <c r="E376" s="1" t="n">
        <v>46250</v>
      </c>
      <c r="F376" t="inlineStr">
        <is>
          <t>GÄVLEBORGS LÄN</t>
        </is>
      </c>
      <c r="G376" t="inlineStr">
        <is>
          <t>OCKELBO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63224-2025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46010</v>
      </c>
      <c r="E377" s="1" t="n">
        <v>46250</v>
      </c>
      <c r="F377" t="inlineStr">
        <is>
          <t>GÄVLEBORGS LÄN</t>
        </is>
      </c>
      <c r="G377" t="inlineStr">
        <is>
          <t>OCKELBO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63464-2025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46013</v>
      </c>
      <c r="E378" s="1" t="n">
        <v>46250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62096-2024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45656</v>
      </c>
      <c r="E379" s="1" t="n">
        <v>46250</v>
      </c>
      <c r="F379" t="inlineStr">
        <is>
          <t>GÄVLEBORGS LÄN</t>
        </is>
      </c>
      <c r="G379" t="inlineStr">
        <is>
          <t>OCKELBO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63017-2025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46250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11734-2025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45727</v>
      </c>
      <c r="E381" s="1" t="n">
        <v>46250</v>
      </c>
      <c r="F381" t="inlineStr">
        <is>
          <t>GÄVLEBORGS LÄN</t>
        </is>
      </c>
      <c r="G381" t="inlineStr">
        <is>
          <t>OCKELBO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61116-2023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45261</v>
      </c>
      <c r="E382" s="1" t="n">
        <v>46250</v>
      </c>
      <c r="F382" t="inlineStr">
        <is>
          <t>GÄVLEBORGS LÄN</t>
        </is>
      </c>
      <c r="G382" t="inlineStr">
        <is>
          <t>OCKELBO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64006-2025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46021</v>
      </c>
      <c r="E383" s="1" t="n">
        <v>46250</v>
      </c>
      <c r="F383" t="inlineStr">
        <is>
          <t>GÄVLEBORGS LÄN</t>
        </is>
      </c>
      <c r="G383" t="inlineStr">
        <is>
          <t>OCKELBO</t>
        </is>
      </c>
      <c r="I383" t="n">
        <v>13.6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46024</v>
      </c>
      <c r="E384" s="1" t="n">
        <v>46250</v>
      </c>
      <c r="F384" t="inlineStr">
        <is>
          <t>GÄVLEBORGS LÄN</t>
        </is>
      </c>
      <c r="G384" t="inlineStr">
        <is>
          <t>OCKELBO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45699</v>
      </c>
      <c r="E385" s="1" t="n">
        <v>46250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46027</v>
      </c>
      <c r="E386" s="1" t="n">
        <v>46250</v>
      </c>
      <c r="F386" t="inlineStr">
        <is>
          <t>GÄVLEBORGS LÄN</t>
        </is>
      </c>
      <c r="G386" t="inlineStr">
        <is>
          <t>OCKELBO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46027</v>
      </c>
      <c r="E387" s="1" t="n">
        <v>46250</v>
      </c>
      <c r="F387" t="inlineStr">
        <is>
          <t>GÄVLEBORGS LÄN</t>
        </is>
      </c>
      <c r="G387" t="inlineStr">
        <is>
          <t>OCKELBO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46027</v>
      </c>
      <c r="E388" s="1" t="n">
        <v>46250</v>
      </c>
      <c r="F388" t="inlineStr">
        <is>
          <t>GÄVLEBORGS LÄN</t>
        </is>
      </c>
      <c r="G388" t="inlineStr">
        <is>
          <t>OCKELBO</t>
        </is>
      </c>
      <c r="I388" t="n">
        <v>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46027</v>
      </c>
      <c r="E389" s="1" t="n">
        <v>46250</v>
      </c>
      <c r="F389" t="inlineStr">
        <is>
          <t>GÄVLEBORGS LÄN</t>
        </is>
      </c>
      <c r="G389" t="inlineStr">
        <is>
          <t>OCKELBO</t>
        </is>
      </c>
      <c r="I389" t="n">
        <v>16.2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46027</v>
      </c>
      <c r="E390" s="1" t="n">
        <v>46250</v>
      </c>
      <c r="F390" t="inlineStr">
        <is>
          <t>GÄVLEBORGS LÄN</t>
        </is>
      </c>
      <c r="G390" t="inlineStr">
        <is>
          <t>OCKELBO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46250</v>
      </c>
      <c r="F391" t="inlineStr">
        <is>
          <t>GÄVLEBORGS LÄN</t>
        </is>
      </c>
      <c r="G391" t="inlineStr">
        <is>
          <t>OCKELBO</t>
        </is>
      </c>
      <c r="I391" t="n">
        <v>5.1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46250</v>
      </c>
      <c r="F392" t="inlineStr">
        <is>
          <t>GÄVLEBORGS LÄN</t>
        </is>
      </c>
      <c r="G392" t="inlineStr">
        <is>
          <t>OCKELBO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46028</v>
      </c>
      <c r="E393" s="1" t="n">
        <v>46250</v>
      </c>
      <c r="F393" t="inlineStr">
        <is>
          <t>GÄVLEBORGS LÄN</t>
        </is>
      </c>
      <c r="G393" t="inlineStr">
        <is>
          <t>OCKELBO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46029</v>
      </c>
      <c r="E394" s="1" t="n">
        <v>46250</v>
      </c>
      <c r="F394" t="inlineStr">
        <is>
          <t>GÄVLEBORGS LÄN</t>
        </is>
      </c>
      <c r="G394" t="inlineStr">
        <is>
          <t>OCKELBO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19945-2026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46250</v>
      </c>
      <c r="F395" t="inlineStr">
        <is>
          <t>GÄVLEBORGS LÄN</t>
        </is>
      </c>
      <c r="G395" t="inlineStr">
        <is>
          <t>OCKELBO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17682-2026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46121</v>
      </c>
      <c r="E396" s="1" t="n">
        <v>46250</v>
      </c>
      <c r="F396" t="inlineStr">
        <is>
          <t>GÄVLEBORGS LÄN</t>
        </is>
      </c>
      <c r="G396" t="inlineStr">
        <is>
          <t>OCKELBO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46028</v>
      </c>
      <c r="E397" s="1" t="n">
        <v>46250</v>
      </c>
      <c r="F397" t="inlineStr">
        <is>
          <t>GÄVLEBORGS LÄN</t>
        </is>
      </c>
      <c r="G397" t="inlineStr">
        <is>
          <t>OCKELBO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46029</v>
      </c>
      <c r="E398" s="1" t="n">
        <v>46250</v>
      </c>
      <c r="F398" t="inlineStr">
        <is>
          <t>GÄVLEBORGS LÄN</t>
        </is>
      </c>
      <c r="G398" t="inlineStr">
        <is>
          <t>OCKELBO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46250</v>
      </c>
      <c r="F399" t="inlineStr">
        <is>
          <t>GÄVLEBORGS LÄN</t>
        </is>
      </c>
      <c r="G399" t="inlineStr">
        <is>
          <t>OCKELBO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29567-2024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45484</v>
      </c>
      <c r="E400" s="1" t="n">
        <v>46250</v>
      </c>
      <c r="F400" t="inlineStr">
        <is>
          <t>GÄVLEBORGS LÄN</t>
        </is>
      </c>
      <c r="G400" t="inlineStr">
        <is>
          <t>OCKELBO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46024</v>
      </c>
      <c r="E401" s="1" t="n">
        <v>46250</v>
      </c>
      <c r="F401" t="inlineStr">
        <is>
          <t>GÄVLEBORGS LÄN</t>
        </is>
      </c>
      <c r="G401" t="inlineStr">
        <is>
          <t>OCKELBO</t>
        </is>
      </c>
      <c r="I401" t="n">
        <v>12.9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46119</v>
      </c>
      <c r="E402" s="1" t="n">
        <v>46250</v>
      </c>
      <c r="F402" t="inlineStr">
        <is>
          <t>GÄVLEBORGS LÄN</t>
        </is>
      </c>
      <c r="G402" t="inlineStr">
        <is>
          <t>OCKELBO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46250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45712</v>
      </c>
      <c r="E404" s="1" t="n">
        <v>46250</v>
      </c>
      <c r="F404" t="inlineStr">
        <is>
          <t>GÄVLEBORGS LÄN</t>
        </is>
      </c>
      <c r="G404" t="inlineStr">
        <is>
          <t>OCKELBO</t>
        </is>
      </c>
      <c r="I404" t="n">
        <v>14.7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46031</v>
      </c>
      <c r="E405" s="1" t="n">
        <v>46250</v>
      </c>
      <c r="F405" t="inlineStr">
        <is>
          <t>GÄVLEBORGS LÄN</t>
        </is>
      </c>
      <c r="G405" t="inlineStr">
        <is>
          <t>OCKELBO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46034</v>
      </c>
      <c r="E406" s="1" t="n">
        <v>46250</v>
      </c>
      <c r="F406" t="inlineStr">
        <is>
          <t>GÄVLEBORGS LÄN</t>
        </is>
      </c>
      <c r="G406" t="inlineStr">
        <is>
          <t>OCKELBO</t>
        </is>
      </c>
      <c r="I406" t="n">
        <v>9.4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45534</v>
      </c>
      <c r="E407" s="1" t="n">
        <v>46250</v>
      </c>
      <c r="F407" t="inlineStr">
        <is>
          <t>GÄVLEBORGS LÄN</t>
        </is>
      </c>
      <c r="G407" t="inlineStr">
        <is>
          <t>OCKELBO</t>
        </is>
      </c>
      <c r="H407" t="inlineStr">
        <is>
          <t>Kyrkan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46033</v>
      </c>
      <c r="E408" s="1" t="n">
        <v>46250</v>
      </c>
      <c r="F408" t="inlineStr">
        <is>
          <t>GÄVLEBORGS LÄN</t>
        </is>
      </c>
      <c r="G408" t="inlineStr">
        <is>
          <t>OCKELBO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46250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44281-2022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44839</v>
      </c>
      <c r="E410" s="1" t="n">
        <v>46250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46250</v>
      </c>
      <c r="F411" t="inlineStr">
        <is>
          <t>GÄVLEBORGS LÄN</t>
        </is>
      </c>
      <c r="G411" t="inlineStr">
        <is>
          <t>OCKELBO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46250</v>
      </c>
      <c r="F412" t="inlineStr">
        <is>
          <t>GÄVLEBORGS LÄN</t>
        </is>
      </c>
      <c r="G412" t="inlineStr">
        <is>
          <t>OCKELBO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46250</v>
      </c>
      <c r="F413" t="inlineStr">
        <is>
          <t>GÄVLEBORGS LÄN</t>
        </is>
      </c>
      <c r="G413" t="inlineStr">
        <is>
          <t>OCKELBO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1866-2026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46035</v>
      </c>
      <c r="E414" s="1" t="n">
        <v>46250</v>
      </c>
      <c r="F414" t="inlineStr">
        <is>
          <t>GÄVLEBORGS LÄN</t>
        </is>
      </c>
      <c r="G414" t="inlineStr">
        <is>
          <t>OCKELBO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20481-2026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46250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2178-2026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46036</v>
      </c>
      <c r="E416" s="1" t="n">
        <v>46250</v>
      </c>
      <c r="F416" t="inlineStr">
        <is>
          <t>GÄVLEBORGS LÄN</t>
        </is>
      </c>
      <c r="G416" t="inlineStr">
        <is>
          <t>OCKELBO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46250</v>
      </c>
      <c r="F417" t="inlineStr">
        <is>
          <t>GÄVLEBORGS LÄN</t>
        </is>
      </c>
      <c r="G417" t="inlineStr">
        <is>
          <t>OCKELBO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46250</v>
      </c>
      <c r="F418" t="inlineStr">
        <is>
          <t>GÄVLEBORGS LÄN</t>
        </is>
      </c>
      <c r="G418" t="inlineStr">
        <is>
          <t>OCKELBO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2319-2026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46036</v>
      </c>
      <c r="E419" s="1" t="n">
        <v>46250</v>
      </c>
      <c r="F419" t="inlineStr">
        <is>
          <t>GÄVLEBORGS LÄN</t>
        </is>
      </c>
      <c r="G419" t="inlineStr">
        <is>
          <t>OCKELBO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15325-2025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45747</v>
      </c>
      <c r="E420" s="1" t="n">
        <v>46250</v>
      </c>
      <c r="F420" t="inlineStr">
        <is>
          <t>GÄVLEBORGS LÄN</t>
        </is>
      </c>
      <c r="G420" t="inlineStr">
        <is>
          <t>OCKELBO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9556-2026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46250</v>
      </c>
      <c r="F421" t="inlineStr">
        <is>
          <t>GÄVLEBORGS LÄN</t>
        </is>
      </c>
      <c r="G421" t="inlineStr">
        <is>
          <t>OCKELBO</t>
        </is>
      </c>
      <c r="I421" t="n">
        <v>11.9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33079-2025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45840</v>
      </c>
      <c r="E422" s="1" t="n">
        <v>46250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29687-2023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45107</v>
      </c>
      <c r="E423" s="1" t="n">
        <v>46250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46250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9.1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1981-2026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46035</v>
      </c>
      <c r="E425" s="1" t="n">
        <v>46250</v>
      </c>
      <c r="F425" t="inlineStr">
        <is>
          <t>GÄVLEBORGS LÄN</t>
        </is>
      </c>
      <c r="G425" t="inlineStr">
        <is>
          <t>OCKELBO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46250</v>
      </c>
      <c r="F426" t="inlineStr">
        <is>
          <t>GÄVLEBORGS LÄN</t>
        </is>
      </c>
      <c r="G426" t="inlineStr">
        <is>
          <t>OCKELBO</t>
        </is>
      </c>
      <c r="I426" t="n">
        <v>16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37442-2023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45156</v>
      </c>
      <c r="E427" s="1" t="n">
        <v>46250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46042</v>
      </c>
      <c r="E428" s="1" t="n">
        <v>46250</v>
      </c>
      <c r="F428" t="inlineStr">
        <is>
          <t>GÄVLEBORGS LÄN</t>
        </is>
      </c>
      <c r="G428" t="inlineStr">
        <is>
          <t>OCKELBO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46250</v>
      </c>
      <c r="F429" t="inlineStr">
        <is>
          <t>GÄVLEBORGS LÄN</t>
        </is>
      </c>
      <c r="G429" t="inlineStr">
        <is>
          <t>OCKELBO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3620-2023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44950</v>
      </c>
      <c r="E430" s="1" t="n">
        <v>46250</v>
      </c>
      <c r="F430" t="inlineStr">
        <is>
          <t>GÄVLEBORGS LÄN</t>
        </is>
      </c>
      <c r="G430" t="inlineStr">
        <is>
          <t>OCKELBO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20467-2026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46250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46137</v>
      </c>
      <c r="E432" s="1" t="n">
        <v>46250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7.3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46137</v>
      </c>
      <c r="E433" s="1" t="n">
        <v>46250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2926-2026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46038</v>
      </c>
      <c r="E434" s="1" t="n">
        <v>46250</v>
      </c>
      <c r="F434" t="inlineStr">
        <is>
          <t>GÄVLEBORGS LÄN</t>
        </is>
      </c>
      <c r="G434" t="inlineStr">
        <is>
          <t>OCKELBO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46038</v>
      </c>
      <c r="E435" s="1" t="n">
        <v>46250</v>
      </c>
      <c r="F435" t="inlineStr">
        <is>
          <t>GÄVLEBORGS LÄN</t>
        </is>
      </c>
      <c r="G435" t="inlineStr">
        <is>
          <t>OCKELBO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46250</v>
      </c>
      <c r="F436" t="inlineStr">
        <is>
          <t>GÄVLEBORGS LÄN</t>
        </is>
      </c>
      <c r="G436" t="inlineStr">
        <is>
          <t>OCKELBO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33879-2023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45134</v>
      </c>
      <c r="E437" s="1" t="n">
        <v>46250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33987-2023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45134</v>
      </c>
      <c r="E438" s="1" t="n">
        <v>46250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20502-2026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46250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11.2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45111</v>
      </c>
      <c r="E440" s="1" t="n">
        <v>46250</v>
      </c>
      <c r="F440" t="inlineStr">
        <is>
          <t>GÄVLEBORGS LÄN</t>
        </is>
      </c>
      <c r="G440" t="inlineStr">
        <is>
          <t>OCKELBO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46139</v>
      </c>
      <c r="E441" s="1" t="n">
        <v>46250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46041</v>
      </c>
      <c r="E442" s="1" t="n">
        <v>46250</v>
      </c>
      <c r="F442" t="inlineStr">
        <is>
          <t>GÄVLEBORGS LÄN</t>
        </is>
      </c>
      <c r="G442" t="inlineStr">
        <is>
          <t>OCKELBO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2353-2026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46036</v>
      </c>
      <c r="E443" s="1" t="n">
        <v>46250</v>
      </c>
      <c r="F443" t="inlineStr">
        <is>
          <t>GÄVLEBORGS LÄN</t>
        </is>
      </c>
      <c r="G443" t="inlineStr">
        <is>
          <t>OCKELBO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46250</v>
      </c>
      <c r="F444" t="inlineStr">
        <is>
          <t>GÄVLEBORGS LÄN</t>
        </is>
      </c>
      <c r="G444" t="inlineStr">
        <is>
          <t>OCKELBO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46041</v>
      </c>
      <c r="E445" s="1" t="n">
        <v>46250</v>
      </c>
      <c r="F445" t="inlineStr">
        <is>
          <t>GÄVLEBORGS LÄN</t>
        </is>
      </c>
      <c r="G445" t="inlineStr">
        <is>
          <t>OCKELBO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3999-2026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46044</v>
      </c>
      <c r="E446" s="1" t="n">
        <v>46250</v>
      </c>
      <c r="F446" t="inlineStr">
        <is>
          <t>GÄVLEBORGS LÄN</t>
        </is>
      </c>
      <c r="G446" t="inlineStr">
        <is>
          <t>OCKELBO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46044</v>
      </c>
      <c r="E447" s="1" t="n">
        <v>46250</v>
      </c>
      <c r="F447" t="inlineStr">
        <is>
          <t>GÄVLEBORGS LÄN</t>
        </is>
      </c>
      <c r="G447" t="inlineStr">
        <is>
          <t>OCKELBO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45698</v>
      </c>
      <c r="E448" s="1" t="n">
        <v>46250</v>
      </c>
      <c r="F448" t="inlineStr">
        <is>
          <t>GÄVLEBORGS LÄN</t>
        </is>
      </c>
      <c r="G448" t="inlineStr">
        <is>
          <t>OCKELBO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3653-2026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46043</v>
      </c>
      <c r="E449" s="1" t="n">
        <v>46250</v>
      </c>
      <c r="F449" t="inlineStr">
        <is>
          <t>GÄVLEBORGS LÄN</t>
        </is>
      </c>
      <c r="G449" t="inlineStr">
        <is>
          <t>OCKELBO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46043</v>
      </c>
      <c r="E450" s="1" t="n">
        <v>46250</v>
      </c>
      <c r="F450" t="inlineStr">
        <is>
          <t>GÄVLEBORGS LÄN</t>
        </is>
      </c>
      <c r="G450" t="inlineStr">
        <is>
          <t>OCKELBO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46038</v>
      </c>
      <c r="E451" s="1" t="n">
        <v>46250</v>
      </c>
      <c r="F451" t="inlineStr">
        <is>
          <t>GÄVLEBORGS LÄN</t>
        </is>
      </c>
      <c r="G451" t="inlineStr">
        <is>
          <t>OCKELBO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28966-2025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45821</v>
      </c>
      <c r="E452" s="1" t="n">
        <v>46250</v>
      </c>
      <c r="F452" t="inlineStr">
        <is>
          <t>GÄVLEBORGS LÄN</t>
        </is>
      </c>
      <c r="G452" t="inlineStr">
        <is>
          <t>OCKELBO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46250</v>
      </c>
      <c r="F453" t="inlineStr">
        <is>
          <t>GÄVLEBORGS LÄN</t>
        </is>
      </c>
      <c r="G453" t="inlineStr">
        <is>
          <t>OCKELBO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46250</v>
      </c>
      <c r="F454" t="inlineStr">
        <is>
          <t>GÄVLEBORGS LÄN</t>
        </is>
      </c>
      <c r="G454" t="inlineStr">
        <is>
          <t>OCKELBO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4867-2026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46048</v>
      </c>
      <c r="E455" s="1" t="n">
        <v>46250</v>
      </c>
      <c r="F455" t="inlineStr">
        <is>
          <t>GÄVLEBORGS LÄN</t>
        </is>
      </c>
      <c r="G455" t="inlineStr">
        <is>
          <t>OCKELBO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46250</v>
      </c>
      <c r="F456" t="inlineStr">
        <is>
          <t>GÄVLEBORGS LÄN</t>
        </is>
      </c>
      <c r="G456" t="inlineStr">
        <is>
          <t>OCKELBO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4234-2026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46044</v>
      </c>
      <c r="E457" s="1" t="n">
        <v>46250</v>
      </c>
      <c r="F457" t="inlineStr">
        <is>
          <t>GÄVLEBORGS LÄN</t>
        </is>
      </c>
      <c r="G457" t="inlineStr">
        <is>
          <t>OCKELBO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46250</v>
      </c>
      <c r="F458" t="inlineStr">
        <is>
          <t>GÄVLEBORGS LÄN</t>
        </is>
      </c>
      <c r="G458" t="inlineStr">
        <is>
          <t>OCKELBO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46045</v>
      </c>
      <c r="E459" s="1" t="n">
        <v>46250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29963-2024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45488</v>
      </c>
      <c r="E460" s="1" t="n">
        <v>46250</v>
      </c>
      <c r="F460" t="inlineStr">
        <is>
          <t>GÄVLEBORGS LÄN</t>
        </is>
      </c>
      <c r="G460" t="inlineStr">
        <is>
          <t>OCKELBO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46250</v>
      </c>
      <c r="F461" t="inlineStr">
        <is>
          <t>GÄVLEBORGS LÄN</t>
        </is>
      </c>
      <c r="G461" t="inlineStr">
        <is>
          <t>OCKELBO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46250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46250</v>
      </c>
      <c r="F463" t="inlineStr">
        <is>
          <t>GÄVLEBORGS LÄN</t>
        </is>
      </c>
      <c r="G463" t="inlineStr">
        <is>
          <t>OCKELBO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30349-2023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45111</v>
      </c>
      <c r="E464" s="1" t="n">
        <v>46250</v>
      </c>
      <c r="F464" t="inlineStr">
        <is>
          <t>GÄVLEBORGS LÄN</t>
        </is>
      </c>
      <c r="G464" t="inlineStr">
        <is>
          <t>OCKELBO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45946</v>
      </c>
      <c r="E465" s="1" t="n">
        <v>46250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5337-2026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46250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6.9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46051</v>
      </c>
      <c r="E467" s="1" t="n">
        <v>46250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46052</v>
      </c>
      <c r="E468" s="1" t="n">
        <v>46250</v>
      </c>
      <c r="F468" t="inlineStr">
        <is>
          <t>GÄVLEBORGS LÄN</t>
        </is>
      </c>
      <c r="G468" t="inlineStr">
        <is>
          <t>OCKELBO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46052</v>
      </c>
      <c r="E469" s="1" t="n">
        <v>46250</v>
      </c>
      <c r="F469" t="inlineStr">
        <is>
          <t>GÄVLEBORGS LÄN</t>
        </is>
      </c>
      <c r="G469" t="inlineStr">
        <is>
          <t>OCKELBO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46052</v>
      </c>
      <c r="E470" s="1" t="n">
        <v>46250</v>
      </c>
      <c r="F470" t="inlineStr">
        <is>
          <t>GÄVLEBORGS LÄN</t>
        </is>
      </c>
      <c r="G470" t="inlineStr">
        <is>
          <t>OCKELBO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6531-2026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46250</v>
      </c>
      <c r="F471" t="inlineStr">
        <is>
          <t>GÄVLEBORGS LÄN</t>
        </is>
      </c>
      <c r="G471" t="inlineStr">
        <is>
          <t>OCKELBO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15966-2023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45022</v>
      </c>
      <c r="E472" s="1" t="n">
        <v>46250</v>
      </c>
      <c r="F472" t="inlineStr">
        <is>
          <t>GÄVLEBORGS LÄN</t>
        </is>
      </c>
      <c r="G472" t="inlineStr">
        <is>
          <t>OCKELBO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46051</v>
      </c>
      <c r="E473" s="1" t="n">
        <v>46250</v>
      </c>
      <c r="F473" t="inlineStr">
        <is>
          <t>GÄVLEBORGS LÄN</t>
        </is>
      </c>
      <c r="G473" t="inlineStr">
        <is>
          <t>OCKELBO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56232-2022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44890</v>
      </c>
      <c r="E474" s="1" t="n">
        <v>46250</v>
      </c>
      <c r="F474" t="inlineStr">
        <is>
          <t>GÄVLEBORGS LÄN</t>
        </is>
      </c>
      <c r="G474" t="inlineStr">
        <is>
          <t>OCKELBO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52241-2024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45608</v>
      </c>
      <c r="E475" s="1" t="n">
        <v>46250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46250</v>
      </c>
      <c r="F476" t="inlineStr">
        <is>
          <t>GÄVLEBORGS LÄN</t>
        </is>
      </c>
      <c r="G476" t="inlineStr">
        <is>
          <t>OCKELBO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46250</v>
      </c>
      <c r="F477" t="inlineStr">
        <is>
          <t>GÄVLEBORGS LÄN</t>
        </is>
      </c>
      <c r="G477" t="inlineStr">
        <is>
          <t>OCKELBO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46250</v>
      </c>
      <c r="F478" t="inlineStr">
        <is>
          <t>GÄVLEBORGS LÄN</t>
        </is>
      </c>
      <c r="G478" t="inlineStr">
        <is>
          <t>OCKELBO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46250</v>
      </c>
      <c r="F479" t="inlineStr">
        <is>
          <t>GÄVLEBORGS LÄN</t>
        </is>
      </c>
      <c r="G479" t="inlineStr">
        <is>
          <t>OCKELBO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46053</v>
      </c>
      <c r="E480" s="1" t="n">
        <v>46250</v>
      </c>
      <c r="F480" t="inlineStr">
        <is>
          <t>GÄVLEBORGS LÄN</t>
        </is>
      </c>
      <c r="G480" t="inlineStr">
        <is>
          <t>OCKELBO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29953-2024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45488</v>
      </c>
      <c r="E481" s="1" t="n">
        <v>46250</v>
      </c>
      <c r="F481" t="inlineStr">
        <is>
          <t>GÄVLEBORGS LÄN</t>
        </is>
      </c>
      <c r="G481" t="inlineStr">
        <is>
          <t>OCKELBO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52243-2024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45608</v>
      </c>
      <c r="E482" s="1" t="n">
        <v>46250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7907-2026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46250</v>
      </c>
      <c r="F483" t="inlineStr">
        <is>
          <t>GÄVLEBORGS LÄN</t>
        </is>
      </c>
      <c r="G483" t="inlineStr">
        <is>
          <t>OCKELBO</t>
        </is>
      </c>
      <c r="I483" t="n">
        <v>11.5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6588-2026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46250</v>
      </c>
      <c r="F484" t="inlineStr">
        <is>
          <t>GÄVLEBORGS LÄN</t>
        </is>
      </c>
      <c r="G484" t="inlineStr">
        <is>
          <t>OCKELBO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46056</v>
      </c>
      <c r="E485" s="1" t="n">
        <v>46250</v>
      </c>
      <c r="F485" t="inlineStr">
        <is>
          <t>GÄVLEBORGS LÄN</t>
        </is>
      </c>
      <c r="G485" t="inlineStr">
        <is>
          <t>OCKELBO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6598-2026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46250</v>
      </c>
      <c r="F486" t="inlineStr">
        <is>
          <t>GÄVLEBORGS LÄN</t>
        </is>
      </c>
      <c r="G486" t="inlineStr">
        <is>
          <t>OCKELBO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6590-2026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46250</v>
      </c>
      <c r="F487" t="inlineStr">
        <is>
          <t>GÄVLEBORGS LÄN</t>
        </is>
      </c>
      <c r="G487" t="inlineStr">
        <is>
          <t>OCKELBO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34440-2023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45139</v>
      </c>
      <c r="E488" s="1" t="n">
        <v>46250</v>
      </c>
      <c r="F488" t="inlineStr">
        <is>
          <t>GÄVLEBORGS LÄN</t>
        </is>
      </c>
      <c r="G488" t="inlineStr">
        <is>
          <t>OCKELBO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46055</v>
      </c>
      <c r="E489" s="1" t="n">
        <v>46250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6665-2026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46056</v>
      </c>
      <c r="E490" s="1" t="n">
        <v>46250</v>
      </c>
      <c r="F490" t="inlineStr">
        <is>
          <t>GÄVLEBORGS LÄN</t>
        </is>
      </c>
      <c r="G490" t="inlineStr">
        <is>
          <t>OCKELBO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46056</v>
      </c>
      <c r="E491" s="1" t="n">
        <v>46250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9.4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29968-2024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45488</v>
      </c>
      <c r="E492" s="1" t="n">
        <v>46250</v>
      </c>
      <c r="F492" t="inlineStr">
        <is>
          <t>GÄVLEBORGS LÄN</t>
        </is>
      </c>
      <c r="G492" t="inlineStr">
        <is>
          <t>OCKELBO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3484-2026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46042</v>
      </c>
      <c r="E493" s="1" t="n">
        <v>46250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47849-2021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44448</v>
      </c>
      <c r="E494" s="1" t="n">
        <v>46250</v>
      </c>
      <c r="F494" t="inlineStr">
        <is>
          <t>GÄVLEBORGS LÄN</t>
        </is>
      </c>
      <c r="G494" t="inlineStr">
        <is>
          <t>OCKELBO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54817-2022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44883</v>
      </c>
      <c r="E495" s="1" t="n">
        <v>46250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5234-2026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46049</v>
      </c>
      <c r="E496" s="1" t="n">
        <v>46250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7949-2026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46063</v>
      </c>
      <c r="E497" s="1" t="n">
        <v>46250</v>
      </c>
      <c r="F497" t="inlineStr">
        <is>
          <t>GÄVLEBORGS LÄN</t>
        </is>
      </c>
      <c r="G497" t="inlineStr">
        <is>
          <t>OCKELBO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15542-2026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46106</v>
      </c>
      <c r="E498" s="1" t="n">
        <v>46250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20155-2026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46138</v>
      </c>
      <c r="E499" s="1" t="n">
        <v>46250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12.7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46052</v>
      </c>
      <c r="E500" s="1" t="n">
        <v>46250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4729-2026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46250</v>
      </c>
      <c r="F501" t="inlineStr">
        <is>
          <t>GÄVLEBORGS LÄN</t>
        </is>
      </c>
      <c r="G501" t="inlineStr">
        <is>
          <t>OCKELBO</t>
        </is>
      </c>
      <c r="I501" t="n">
        <v>36.1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22151-2022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44712</v>
      </c>
      <c r="E502" s="1" t="n">
        <v>46250</v>
      </c>
      <c r="F502" t="inlineStr">
        <is>
          <t>GÄVLEBORGS LÄN</t>
        </is>
      </c>
      <c r="G502" t="inlineStr">
        <is>
          <t>OCKELBO</t>
        </is>
      </c>
      <c r="I502" t="n">
        <v>4.4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46057</v>
      </c>
      <c r="E503" s="1" t="n">
        <v>46250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45526</v>
      </c>
      <c r="E504" s="1" t="n">
        <v>46250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33881-2023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45134</v>
      </c>
      <c r="E505" s="1" t="n">
        <v>46250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13857-2026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46250</v>
      </c>
      <c r="F506" t="inlineStr">
        <is>
          <t>GÄVLEBORGS LÄN</t>
        </is>
      </c>
      <c r="G506" t="inlineStr">
        <is>
          <t>OCKELBO</t>
        </is>
      </c>
      <c r="I506" t="n">
        <v>6.5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51989-2023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45223</v>
      </c>
      <c r="E507" s="1" t="n">
        <v>46250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7765-2026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46250</v>
      </c>
      <c r="F508" t="inlineStr">
        <is>
          <t>GÄVLEBORGS LÄN</t>
        </is>
      </c>
      <c r="G508" t="inlineStr">
        <is>
          <t>OCKELBO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46079</v>
      </c>
      <c r="E509" s="1" t="n">
        <v>46250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46250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7.8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7544-2026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46059</v>
      </c>
      <c r="E511" s="1" t="n">
        <v>46250</v>
      </c>
      <c r="F511" t="inlineStr">
        <is>
          <t>GÄVLEBORGS LÄN</t>
        </is>
      </c>
      <c r="G511" t="inlineStr">
        <is>
          <t>OCKELBO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15739-2026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46107</v>
      </c>
      <c r="E512" s="1" t="n">
        <v>46250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20.4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27997-2025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45817</v>
      </c>
      <c r="E513" s="1" t="n">
        <v>46250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25564-2025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45803</v>
      </c>
      <c r="E514" s="1" t="n">
        <v>46250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11.7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7639-2026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46062</v>
      </c>
      <c r="E515" s="1" t="n">
        <v>46250</v>
      </c>
      <c r="F515" t="inlineStr">
        <is>
          <t>GÄVLEBORGS LÄN</t>
        </is>
      </c>
      <c r="G515" t="inlineStr">
        <is>
          <t>OCKELBO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21900-2023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45068</v>
      </c>
      <c r="E516" s="1" t="n">
        <v>46250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7681-2026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46250</v>
      </c>
      <c r="F517" t="inlineStr">
        <is>
          <t>GÄVLEBORGS LÄN</t>
        </is>
      </c>
      <c r="G517" t="inlineStr">
        <is>
          <t>OCKELBO</t>
        </is>
      </c>
      <c r="H517" t="inlineStr">
        <is>
          <t>Kyrkan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46050</v>
      </c>
      <c r="E518" s="1" t="n">
        <v>46250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45534</v>
      </c>
      <c r="E519" s="1" t="n">
        <v>46250</v>
      </c>
      <c r="F519" t="inlineStr">
        <is>
          <t>GÄVLEBORGS LÄN</t>
        </is>
      </c>
      <c r="G519" t="inlineStr">
        <is>
          <t>OCKELBO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63977-2025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46021</v>
      </c>
      <c r="E520" s="1" t="n">
        <v>46250</v>
      </c>
      <c r="F520" t="inlineStr">
        <is>
          <t>GÄVLEBORGS LÄN</t>
        </is>
      </c>
      <c r="G520" t="inlineStr">
        <is>
          <t>OCKELBO</t>
        </is>
      </c>
      <c r="I520" t="n">
        <v>18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7769-2026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46062</v>
      </c>
      <c r="E521" s="1" t="n">
        <v>46250</v>
      </c>
      <c r="F521" t="inlineStr">
        <is>
          <t>GÄVLEBORGS LÄN</t>
        </is>
      </c>
      <c r="G521" t="inlineStr">
        <is>
          <t>OCKELBO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8351-2026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46064</v>
      </c>
      <c r="E522" s="1" t="n">
        <v>46250</v>
      </c>
      <c r="F522" t="inlineStr">
        <is>
          <t>GÄVLEBORGS LÄN</t>
        </is>
      </c>
      <c r="G522" t="inlineStr">
        <is>
          <t>OCKELBO</t>
        </is>
      </c>
      <c r="I522" t="n">
        <v>17.4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20469-2026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46140</v>
      </c>
      <c r="E523" s="1" t="n">
        <v>46250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8274-2026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46064</v>
      </c>
      <c r="E524" s="1" t="n">
        <v>46250</v>
      </c>
      <c r="F524" t="inlineStr">
        <is>
          <t>GÄVLEBORGS LÄN</t>
        </is>
      </c>
      <c r="G524" t="inlineStr">
        <is>
          <t>OCKELBO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6499-2026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46250</v>
      </c>
      <c r="F525" t="inlineStr">
        <is>
          <t>GÄVLEBORGS LÄN</t>
        </is>
      </c>
      <c r="G525" t="inlineStr">
        <is>
          <t>OCKELBO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6518-2026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46250</v>
      </c>
      <c r="F526" t="inlineStr">
        <is>
          <t>GÄVLEBORGS LÄN</t>
        </is>
      </c>
      <c r="G526" t="inlineStr">
        <is>
          <t>OCKELBO</t>
        </is>
      </c>
      <c r="I526" t="n">
        <v>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36604-2025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45870</v>
      </c>
      <c r="E527" s="1" t="n">
        <v>46250</v>
      </c>
      <c r="F527" t="inlineStr">
        <is>
          <t>GÄVLEBORGS LÄN</t>
        </is>
      </c>
      <c r="G527" t="inlineStr">
        <is>
          <t>OCKELBO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45678</v>
      </c>
      <c r="E528" s="1" t="n">
        <v>46250</v>
      </c>
      <c r="F528" t="inlineStr">
        <is>
          <t>GÄVLEBORGS LÄN</t>
        </is>
      </c>
      <c r="G528" t="inlineStr">
        <is>
          <t>OCKELBO</t>
        </is>
      </c>
      <c r="I528" t="n">
        <v>8.1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56741-2024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45628</v>
      </c>
      <c r="E529" s="1" t="n">
        <v>46250</v>
      </c>
      <c r="F529" t="inlineStr">
        <is>
          <t>GÄVLEBORGS LÄN</t>
        </is>
      </c>
      <c r="G529" t="inlineStr">
        <is>
          <t>OCKELBO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25404-2025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45800</v>
      </c>
      <c r="E530" s="1" t="n">
        <v>46250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11.1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8354-2026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46250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49448-2023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45211</v>
      </c>
      <c r="E532" s="1" t="n">
        <v>46250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46052</v>
      </c>
      <c r="E533" s="1" t="n">
        <v>46250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25168-2025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45800</v>
      </c>
      <c r="E534" s="1" t="n">
        <v>46250</v>
      </c>
      <c r="F534" t="inlineStr">
        <is>
          <t>GÄVLEBORGS LÄN</t>
        </is>
      </c>
      <c r="G534" t="inlineStr">
        <is>
          <t>OCKELBO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46140</v>
      </c>
      <c r="E535" s="1" t="n">
        <v>46250</v>
      </c>
      <c r="F535" t="inlineStr">
        <is>
          <t>GÄVLEBORGS LÄN</t>
        </is>
      </c>
      <c r="G535" t="inlineStr">
        <is>
          <t>OCKELBO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20571-2026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46250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8402-2026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46065</v>
      </c>
      <c r="E537" s="1" t="n">
        <v>46250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8429-2026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46065</v>
      </c>
      <c r="E538" s="1" t="n">
        <v>46250</v>
      </c>
      <c r="F538" t="inlineStr">
        <is>
          <t>GÄVLEBORGS LÄN</t>
        </is>
      </c>
      <c r="G538" t="inlineStr">
        <is>
          <t>OCKELBO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20151-2026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46137</v>
      </c>
      <c r="E539" s="1" t="n">
        <v>46250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46316-2025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45925</v>
      </c>
      <c r="E540" s="1" t="n">
        <v>46250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19772-2025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45771</v>
      </c>
      <c r="E541" s="1" t="n">
        <v>46250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19774-2025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45771</v>
      </c>
      <c r="E542" s="1" t="n">
        <v>46250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46074-2024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45581</v>
      </c>
      <c r="E543" s="1" t="n">
        <v>46250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46034</v>
      </c>
      <c r="E544" s="1" t="n">
        <v>46250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8253-2026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46064</v>
      </c>
      <c r="E545" s="1" t="n">
        <v>46250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15694-2022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44663</v>
      </c>
      <c r="E546" s="1" t="n">
        <v>46250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8521-2026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46065</v>
      </c>
      <c r="E547" s="1" t="n">
        <v>46250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45068</v>
      </c>
      <c r="E548" s="1" t="n">
        <v>46250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46052</v>
      </c>
      <c r="E549" s="1" t="n">
        <v>46250</v>
      </c>
      <c r="F549" t="inlineStr">
        <is>
          <t>GÄVLEBORGS LÄN</t>
        </is>
      </c>
      <c r="G549" t="inlineStr">
        <is>
          <t>OCKELBO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61335-2022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44915</v>
      </c>
      <c r="E550" s="1" t="n">
        <v>46250</v>
      </c>
      <c r="F550" t="inlineStr">
        <is>
          <t>GÄVLEBORGS LÄN</t>
        </is>
      </c>
      <c r="G550" t="inlineStr">
        <is>
          <t>OCKELBO</t>
        </is>
      </c>
      <c r="I550" t="n">
        <v>8.5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46029</v>
      </c>
      <c r="E551" s="1" t="n">
        <v>46250</v>
      </c>
      <c r="F551" t="inlineStr">
        <is>
          <t>GÄVLEBORGS LÄN</t>
        </is>
      </c>
      <c r="G551" t="inlineStr">
        <is>
          <t>OCKELBO</t>
        </is>
      </c>
      <c r="I551" t="n">
        <v>6.6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46043</v>
      </c>
      <c r="E552" s="1" t="n">
        <v>46250</v>
      </c>
      <c r="F552" t="inlineStr">
        <is>
          <t>GÄVLEBORGS LÄN</t>
        </is>
      </c>
      <c r="G552" t="inlineStr">
        <is>
          <t>OCKELBO</t>
        </is>
      </c>
      <c r="I552" t="n">
        <v>10.3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8933-2026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46069</v>
      </c>
      <c r="E553" s="1" t="n">
        <v>46250</v>
      </c>
      <c r="F553" t="inlineStr">
        <is>
          <t>GÄVLEBORGS LÄN</t>
        </is>
      </c>
      <c r="G553" t="inlineStr">
        <is>
          <t>OCKELBO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6764-2026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46250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9505-2026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46071</v>
      </c>
      <c r="E555" s="1" t="n">
        <v>46250</v>
      </c>
      <c r="F555" t="inlineStr">
        <is>
          <t>GÄVLEBORGS LÄN</t>
        </is>
      </c>
      <c r="G555" t="inlineStr">
        <is>
          <t>OCKELBO</t>
        </is>
      </c>
      <c r="I555" t="n">
        <v>8.1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9414-2026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46071</v>
      </c>
      <c r="E556" s="1" t="n">
        <v>46250</v>
      </c>
      <c r="F556" t="inlineStr">
        <is>
          <t>GÄVLEBORGS LÄN</t>
        </is>
      </c>
      <c r="G556" t="inlineStr">
        <is>
          <t>OCKELBO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9416-2026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46071</v>
      </c>
      <c r="E557" s="1" t="n">
        <v>46250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9464-2026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46071</v>
      </c>
      <c r="E558" s="1" t="n">
        <v>46250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9507-2026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46071</v>
      </c>
      <c r="E559" s="1" t="n">
        <v>46250</v>
      </c>
      <c r="F559" t="inlineStr">
        <is>
          <t>GÄVLEBORGS LÄN</t>
        </is>
      </c>
      <c r="G559" t="inlineStr">
        <is>
          <t>OCKELBO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9675-2026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46250</v>
      </c>
      <c r="F560" t="inlineStr">
        <is>
          <t>GÄVLEBORGS LÄN</t>
        </is>
      </c>
      <c r="G560" t="inlineStr">
        <is>
          <t>OCKELBO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9681-2026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46072</v>
      </c>
      <c r="E561" s="1" t="n">
        <v>46250</v>
      </c>
      <c r="F561" t="inlineStr">
        <is>
          <t>GÄVLEBORGS LÄN</t>
        </is>
      </c>
      <c r="G561" t="inlineStr">
        <is>
          <t>OCKELBO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9727-2026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46072</v>
      </c>
      <c r="E562" s="1" t="n">
        <v>46250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9732-2026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46072</v>
      </c>
      <c r="E563" s="1" t="n">
        <v>46250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9554-2026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46071</v>
      </c>
      <c r="E564" s="1" t="n">
        <v>46250</v>
      </c>
      <c r="F564" t="inlineStr">
        <is>
          <t>GÄVLEBORGS LÄN</t>
        </is>
      </c>
      <c r="G564" t="inlineStr">
        <is>
          <t>OCKELBO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9557-2026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46071</v>
      </c>
      <c r="E565" s="1" t="n">
        <v>46250</v>
      </c>
      <c r="F565" t="inlineStr">
        <is>
          <t>GÄVLEBORGS LÄN</t>
        </is>
      </c>
      <c r="G565" t="inlineStr">
        <is>
          <t>OCKELBO</t>
        </is>
      </c>
      <c r="I565" t="n">
        <v>10.4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46250</v>
      </c>
      <c r="F566" t="inlineStr">
        <is>
          <t>GÄVLEBORGS LÄN</t>
        </is>
      </c>
      <c r="G566" t="inlineStr">
        <is>
          <t>OCKELBO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39430-2024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45551</v>
      </c>
      <c r="E567" s="1" t="n">
        <v>46250</v>
      </c>
      <c r="F567" t="inlineStr">
        <is>
          <t>GÄVLEBORGS LÄN</t>
        </is>
      </c>
      <c r="G567" t="inlineStr">
        <is>
          <t>OCKELBO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9461-2026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46071</v>
      </c>
      <c r="E568" s="1" t="n">
        <v>46250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20674-2026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46141</v>
      </c>
      <c r="E569" s="1" t="n">
        <v>46250</v>
      </c>
      <c r="F569" t="inlineStr">
        <is>
          <t>GÄVLEBORGS LÄN</t>
        </is>
      </c>
      <c r="G569" t="inlineStr">
        <is>
          <t>OCKELBO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9470-2026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46071</v>
      </c>
      <c r="E570" s="1" t="n">
        <v>46250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46034</v>
      </c>
      <c r="E571" s="1" t="n">
        <v>46250</v>
      </c>
      <c r="F571" t="inlineStr">
        <is>
          <t>GÄVLEBORGS LÄN</t>
        </is>
      </c>
      <c r="G571" t="inlineStr">
        <is>
          <t>OCKELBO</t>
        </is>
      </c>
      <c r="I571" t="n">
        <v>9.300000000000001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46250</v>
      </c>
      <c r="F572" t="inlineStr">
        <is>
          <t>GÄVLEBORGS LÄN</t>
        </is>
      </c>
      <c r="G572" t="inlineStr">
        <is>
          <t>OCKELBO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12708-2026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46091</v>
      </c>
      <c r="E573" s="1" t="n">
        <v>46250</v>
      </c>
      <c r="F573" t="inlineStr">
        <is>
          <t>GÄVLEBORGS LÄN</t>
        </is>
      </c>
      <c r="G573" t="inlineStr">
        <is>
          <t>OCKELBO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55070-2023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45237</v>
      </c>
      <c r="E574" s="1" t="n">
        <v>46250</v>
      </c>
      <c r="F574" t="inlineStr">
        <is>
          <t>GÄVLEBORGS LÄN</t>
        </is>
      </c>
      <c r="G574" t="inlineStr">
        <is>
          <t>OCKELBO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10159-2026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46250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10437-2026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46077</v>
      </c>
      <c r="E576" s="1" t="n">
        <v>46250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10418-2026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46077</v>
      </c>
      <c r="E577" s="1" t="n">
        <v>46250</v>
      </c>
      <c r="F577" t="inlineStr">
        <is>
          <t>GÄVLEBORGS LÄN</t>
        </is>
      </c>
      <c r="G577" t="inlineStr">
        <is>
          <t>OCKELBO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10501-2026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46077</v>
      </c>
      <c r="E578" s="1" t="n">
        <v>46250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10454-2026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46250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8683-2026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46066</v>
      </c>
      <c r="E580" s="1" t="n">
        <v>46250</v>
      </c>
      <c r="F580" t="inlineStr">
        <is>
          <t>GÄVLEBORGS LÄN</t>
        </is>
      </c>
      <c r="G580" t="inlineStr">
        <is>
          <t>OCKELBO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15484-2026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46250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10489-2026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46077</v>
      </c>
      <c r="E582" s="1" t="n">
        <v>46250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9997-2026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46073</v>
      </c>
      <c r="E583" s="1" t="n">
        <v>46250</v>
      </c>
      <c r="F583" t="inlineStr">
        <is>
          <t>GÄVLEBORGS LÄN</t>
        </is>
      </c>
      <c r="G583" t="inlineStr">
        <is>
          <t>OCKELBO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30418-2023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45111</v>
      </c>
      <c r="E584" s="1" t="n">
        <v>46250</v>
      </c>
      <c r="F584" t="inlineStr">
        <is>
          <t>GÄVLEBORGS LÄN</t>
        </is>
      </c>
      <c r="G584" t="inlineStr">
        <is>
          <t>OCKELBO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46073</v>
      </c>
      <c r="E585" s="1" t="n">
        <v>46250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7955-2026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46063</v>
      </c>
      <c r="E586" s="1" t="n">
        <v>46250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23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710-2026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46029</v>
      </c>
      <c r="E587" s="1" t="n">
        <v>46250</v>
      </c>
      <c r="F587" t="inlineStr">
        <is>
          <t>GÄVLEBORGS LÄN</t>
        </is>
      </c>
      <c r="G587" t="inlineStr">
        <is>
          <t>OCKELBO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16629-2025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45754</v>
      </c>
      <c r="E588" s="1" t="n">
        <v>46250</v>
      </c>
      <c r="F588" t="inlineStr">
        <is>
          <t>GÄVLEBORGS LÄN</t>
        </is>
      </c>
      <c r="G588" t="inlineStr">
        <is>
          <t>OCKELBO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60117-2025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45994</v>
      </c>
      <c r="E589" s="1" t="n">
        <v>46250</v>
      </c>
      <c r="F589" t="inlineStr">
        <is>
          <t>GÄVLEBORGS LÄN</t>
        </is>
      </c>
      <c r="G589" t="inlineStr">
        <is>
          <t>OCKELBO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8348-2026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46064</v>
      </c>
      <c r="E590" s="1" t="n">
        <v>46250</v>
      </c>
      <c r="F590" t="inlineStr">
        <is>
          <t>GÄVLEBORGS LÄN</t>
        </is>
      </c>
      <c r="G590" t="inlineStr">
        <is>
          <t>OCKELBO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10529-2026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46077</v>
      </c>
      <c r="E591" s="1" t="n">
        <v>46250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öst AB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10535-2026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46077</v>
      </c>
      <c r="E592" s="1" t="n">
        <v>46250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öst AB</t>
        </is>
      </c>
      <c r="I592" t="n">
        <v>6.2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46250</v>
      </c>
      <c r="F593" t="inlineStr">
        <is>
          <t>GÄVLEBORGS LÄN</t>
        </is>
      </c>
      <c r="G593" t="inlineStr">
        <is>
          <t>OCKELBO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46031</v>
      </c>
      <c r="E594" s="1" t="n">
        <v>46250</v>
      </c>
      <c r="F594" t="inlineStr">
        <is>
          <t>GÄVLEBORGS LÄN</t>
        </is>
      </c>
      <c r="G594" t="inlineStr">
        <is>
          <t>OCKELBO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20641-2026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46141</v>
      </c>
      <c r="E595" s="1" t="n">
        <v>46250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10456-2026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46077</v>
      </c>
      <c r="E596" s="1" t="n">
        <v>46250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öst AB</t>
        </is>
      </c>
      <c r="I596" t="n">
        <v>45.7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46078</v>
      </c>
      <c r="E597" s="1" t="n">
        <v>46250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18191-2026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46125</v>
      </c>
      <c r="E598" s="1" t="n">
        <v>46250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6561-2026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46056</v>
      </c>
      <c r="E599" s="1" t="n">
        <v>46250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46027</v>
      </c>
      <c r="E600" s="1" t="n">
        <v>46250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11078-2026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46079</v>
      </c>
      <c r="E601" s="1" t="n">
        <v>46250</v>
      </c>
      <c r="F601" t="inlineStr">
        <is>
          <t>GÄVLEBORGS LÄN</t>
        </is>
      </c>
      <c r="G601" t="inlineStr">
        <is>
          <t>OCKELBO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40218-2023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45169</v>
      </c>
      <c r="E602" s="1" t="n">
        <v>46250</v>
      </c>
      <c r="F602" t="inlineStr">
        <is>
          <t>GÄVLEBORGS LÄN</t>
        </is>
      </c>
      <c r="G602" t="inlineStr">
        <is>
          <t>OCKELBO</t>
        </is>
      </c>
      <c r="I602" t="n">
        <v>13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46250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46250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46250</v>
      </c>
      <c r="F605" t="inlineStr">
        <is>
          <t>GÄVLEBORGS LÄN</t>
        </is>
      </c>
      <c r="G605" t="inlineStr">
        <is>
          <t>OCKELBO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11234-2026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46080</v>
      </c>
      <c r="E606" s="1" t="n">
        <v>46250</v>
      </c>
      <c r="F606" t="inlineStr">
        <is>
          <t>GÄVLEBORGS LÄN</t>
        </is>
      </c>
      <c r="G606" t="inlineStr">
        <is>
          <t>OCKELBO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46250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21173-2026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46146</v>
      </c>
      <c r="E608" s="1" t="n">
        <v>46250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14905-2026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46104</v>
      </c>
      <c r="E609" s="1" t="n">
        <v>46250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17730-2025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45758</v>
      </c>
      <c r="E610" s="1" t="n">
        <v>46250</v>
      </c>
      <c r="F610" t="inlineStr">
        <is>
          <t>GÄVLEBORGS LÄN</t>
        </is>
      </c>
      <c r="G610" t="inlineStr">
        <is>
          <t>OCKELBO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17951-2026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46122</v>
      </c>
      <c r="E611" s="1" t="n">
        <v>46250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19178-2023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45048</v>
      </c>
      <c r="E612" s="1" t="n">
        <v>46250</v>
      </c>
      <c r="F612" t="inlineStr">
        <is>
          <t>GÄVLEBORGS LÄN</t>
        </is>
      </c>
      <c r="G612" t="inlineStr">
        <is>
          <t>OCKELBO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18549-2026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46127</v>
      </c>
      <c r="E613" s="1" t="n">
        <v>46250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18097-2026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46125</v>
      </c>
      <c r="E614" s="1" t="n">
        <v>46250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12.6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46148</v>
      </c>
      <c r="E615" s="1" t="n">
        <v>46250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21577-2026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46148</v>
      </c>
      <c r="E616" s="1" t="n">
        <v>46250</v>
      </c>
      <c r="F616" t="inlineStr">
        <is>
          <t>GÄVLEBORGS LÄN</t>
        </is>
      </c>
      <c r="G616" t="inlineStr">
        <is>
          <t>OCKELBO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15908-2026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46107</v>
      </c>
      <c r="E617" s="1" t="n">
        <v>46250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öst AB</t>
        </is>
      </c>
      <c r="I617" t="n">
        <v>6.8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21500-2026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46148</v>
      </c>
      <c r="E618" s="1" t="n">
        <v>46250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19537-2026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46134</v>
      </c>
      <c r="E619" s="1" t="n">
        <v>46250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21280-2026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46250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öst AB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17233-2026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46119</v>
      </c>
      <c r="E621" s="1" t="n">
        <v>46250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21277-2026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46147</v>
      </c>
      <c r="E622" s="1" t="n">
        <v>46250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öst AB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37386-2023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45156</v>
      </c>
      <c r="E623" s="1" t="n">
        <v>46250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21461-2026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46148</v>
      </c>
      <c r="E624" s="1" t="n">
        <v>46250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21459-2026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46148</v>
      </c>
      <c r="E625" s="1" t="n">
        <v>46250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14410-2026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46100</v>
      </c>
      <c r="E626" s="1" t="n">
        <v>46250</v>
      </c>
      <c r="F626" t="inlineStr">
        <is>
          <t>GÄVLEBORGS LÄN</t>
        </is>
      </c>
      <c r="G626" t="inlineStr">
        <is>
          <t>OCKELBO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45674</v>
      </c>
      <c r="E627" s="1" t="n">
        <v>46250</v>
      </c>
      <c r="F627" t="inlineStr">
        <is>
          <t>GÄVLEBORGS LÄN</t>
        </is>
      </c>
      <c r="G627" t="inlineStr">
        <is>
          <t>OCKELBO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21640-2026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46149</v>
      </c>
      <c r="E628" s="1" t="n">
        <v>46250</v>
      </c>
      <c r="F628" t="inlineStr">
        <is>
          <t>GÄVLEBORGS LÄN</t>
        </is>
      </c>
      <c r="G628" t="inlineStr">
        <is>
          <t>OCKELBO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22057-2026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46153</v>
      </c>
      <c r="E629" s="1" t="n">
        <v>46250</v>
      </c>
      <c r="F629" t="inlineStr">
        <is>
          <t>GÄVLEBORGS LÄN</t>
        </is>
      </c>
      <c r="G629" t="inlineStr">
        <is>
          <t>OCKELBO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59063-2023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45252</v>
      </c>
      <c r="E630" s="1" t="n">
        <v>46250</v>
      </c>
      <c r="F630" t="inlineStr">
        <is>
          <t>GÄVLEBORGS LÄN</t>
        </is>
      </c>
      <c r="G630" t="inlineStr">
        <is>
          <t>OCKELBO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18645-2026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46128</v>
      </c>
      <c r="E631" s="1" t="n">
        <v>46250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13182-2026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46250</v>
      </c>
      <c r="F632" t="inlineStr">
        <is>
          <t>GÄVLEBORGS LÄN</t>
        </is>
      </c>
      <c r="G632" t="inlineStr">
        <is>
          <t>OCKELBO</t>
        </is>
      </c>
      <c r="I632" t="n">
        <v>8.199999999999999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46250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46250</v>
      </c>
      <c r="F634" t="inlineStr">
        <is>
          <t>GÄVLEBORGS LÄN</t>
        </is>
      </c>
      <c r="G634" t="inlineStr">
        <is>
          <t>OCKELBO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10150-2023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44986</v>
      </c>
      <c r="E635" s="1" t="n">
        <v>46250</v>
      </c>
      <c r="F635" t="inlineStr">
        <is>
          <t>GÄVLEBORGS LÄN</t>
        </is>
      </c>
      <c r="G635" t="inlineStr">
        <is>
          <t>OCKELBO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13210-2026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46250</v>
      </c>
      <c r="F636" t="inlineStr">
        <is>
          <t>GÄVLEBORGS LÄN</t>
        </is>
      </c>
      <c r="G636" t="inlineStr">
        <is>
          <t>OCKELBO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12352-2026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46088</v>
      </c>
      <c r="E637" s="1" t="n">
        <v>46250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9.199999999999999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9413-2026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46071</v>
      </c>
      <c r="E638" s="1" t="n">
        <v>46250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9.1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9542-2026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46071</v>
      </c>
      <c r="E639" s="1" t="n">
        <v>46250</v>
      </c>
      <c r="F639" t="inlineStr">
        <is>
          <t>GÄVLEBORGS LÄN</t>
        </is>
      </c>
      <c r="G639" t="inlineStr">
        <is>
          <t>OCKELBO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37845-2024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45544</v>
      </c>
      <c r="E640" s="1" t="n">
        <v>46250</v>
      </c>
      <c r="F640" t="inlineStr">
        <is>
          <t>GÄVLEBORGS LÄN</t>
        </is>
      </c>
      <c r="G640" t="inlineStr">
        <is>
          <t>OCKELBO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43071-2025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45909</v>
      </c>
      <c r="E641" s="1" t="n">
        <v>46250</v>
      </c>
      <c r="F641" t="inlineStr">
        <is>
          <t>GÄVLEBORGS LÄN</t>
        </is>
      </c>
      <c r="G641" t="inlineStr">
        <is>
          <t>OCKELBO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58718-2025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45986</v>
      </c>
      <c r="E642" s="1" t="n">
        <v>46250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46153</v>
      </c>
      <c r="E643" s="1" t="n">
        <v>46250</v>
      </c>
      <c r="F643" t="inlineStr">
        <is>
          <t>GÄVLEBORGS LÄN</t>
        </is>
      </c>
      <c r="G643" t="inlineStr">
        <is>
          <t>OCKELBO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46043</v>
      </c>
      <c r="E644" s="1" t="n">
        <v>46250</v>
      </c>
      <c r="F644" t="inlineStr">
        <is>
          <t>GÄVLEBORGS LÄN</t>
        </is>
      </c>
      <c r="G644" t="inlineStr">
        <is>
          <t>OCKELBO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15034-2026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46250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22329-2026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46154</v>
      </c>
      <c r="E646" s="1" t="n">
        <v>46250</v>
      </c>
      <c r="F646" t="inlineStr">
        <is>
          <t>GÄVLEBORGS LÄN</t>
        </is>
      </c>
      <c r="G646" t="inlineStr">
        <is>
          <t>OCKELBO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8408-2026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46065</v>
      </c>
      <c r="E647" s="1" t="n">
        <v>46250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8865-2026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46066</v>
      </c>
      <c r="E648" s="1" t="n">
        <v>46250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5164-2026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46250</v>
      </c>
      <c r="F649" t="inlineStr">
        <is>
          <t>GÄVLEBORGS LÄN</t>
        </is>
      </c>
      <c r="G649" t="inlineStr">
        <is>
          <t>OCKELBO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6654-2026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46056</v>
      </c>
      <c r="E650" s="1" t="n">
        <v>46250</v>
      </c>
      <c r="F650" t="inlineStr">
        <is>
          <t>GÄVLEBORGS LÄN</t>
        </is>
      </c>
      <c r="G650" t="inlineStr">
        <is>
          <t>OCKELBO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60122-2025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45994</v>
      </c>
      <c r="E651" s="1" t="n">
        <v>46250</v>
      </c>
      <c r="F651" t="inlineStr">
        <is>
          <t>GÄVLEBORGS LÄN</t>
        </is>
      </c>
      <c r="G651" t="inlineStr">
        <is>
          <t>OCKELBO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22569-2026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46155</v>
      </c>
      <c r="E652" s="1" t="n">
        <v>46250</v>
      </c>
      <c r="F652" t="inlineStr">
        <is>
          <t>GÄVLEBORGS LÄN</t>
        </is>
      </c>
      <c r="G652" t="inlineStr">
        <is>
          <t>OCKELBO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22712-2026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46156</v>
      </c>
      <c r="E653" s="1" t="n">
        <v>46250</v>
      </c>
      <c r="F653" t="inlineStr">
        <is>
          <t>GÄVLEBORGS LÄN</t>
        </is>
      </c>
      <c r="G653" t="inlineStr">
        <is>
          <t>OCKELBO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60120-2025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45994</v>
      </c>
      <c r="E654" s="1" t="n">
        <v>46250</v>
      </c>
      <c r="F654" t="inlineStr">
        <is>
          <t>GÄVLEBORGS LÄN</t>
        </is>
      </c>
      <c r="G654" t="inlineStr">
        <is>
          <t>OCKELBO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4179-2026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46044</v>
      </c>
      <c r="E655" s="1" t="n">
        <v>46250</v>
      </c>
      <c r="F655" t="inlineStr">
        <is>
          <t>GÄVLEBORGS LÄN</t>
        </is>
      </c>
      <c r="G655" t="inlineStr">
        <is>
          <t>OCKELBO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46609-2025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45926</v>
      </c>
      <c r="E656" s="1" t="n">
        <v>46250</v>
      </c>
      <c r="F656" t="inlineStr">
        <is>
          <t>GÄVLEBORGS LÄN</t>
        </is>
      </c>
      <c r="G656" t="inlineStr">
        <is>
          <t>OCKELBO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22460-2026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46250</v>
      </c>
      <c r="F657" t="inlineStr">
        <is>
          <t>GÄVLEBORGS LÄN</t>
        </is>
      </c>
      <c r="G657" t="inlineStr">
        <is>
          <t>OCKELBO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22594-2026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46250</v>
      </c>
      <c r="F658" t="inlineStr">
        <is>
          <t>GÄVLEBORGS LÄN</t>
        </is>
      </c>
      <c r="G658" t="inlineStr">
        <is>
          <t>OCKELBO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46250</v>
      </c>
      <c r="F659" t="inlineStr">
        <is>
          <t>GÄVLEBORGS LÄN</t>
        </is>
      </c>
      <c r="G659" t="inlineStr">
        <is>
          <t>OCKELBO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14071-2026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46099</v>
      </c>
      <c r="E660" s="1" t="n">
        <v>46250</v>
      </c>
      <c r="F660" t="inlineStr">
        <is>
          <t>GÄVLEBORGS LÄN</t>
        </is>
      </c>
      <c r="G660" t="inlineStr">
        <is>
          <t>OCKELBO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22843-2026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46160</v>
      </c>
      <c r="E661" s="1" t="n">
        <v>46250</v>
      </c>
      <c r="F661" t="inlineStr">
        <is>
          <t>GÄVLEBORGS LÄN</t>
        </is>
      </c>
      <c r="G661" t="inlineStr">
        <is>
          <t>OCKELBO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17862-2026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46122</v>
      </c>
      <c r="E662" s="1" t="n">
        <v>46250</v>
      </c>
      <c r="F662" t="inlineStr">
        <is>
          <t>GÄVLEBORGS LÄN</t>
        </is>
      </c>
      <c r="G662" t="inlineStr">
        <is>
          <t>OCKELBO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23040-2026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46161</v>
      </c>
      <c r="E663" s="1" t="n">
        <v>46250</v>
      </c>
      <c r="F663" t="inlineStr">
        <is>
          <t>GÄVLEBORGS LÄN</t>
        </is>
      </c>
      <c r="G663" t="inlineStr">
        <is>
          <t>OCKELBO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23149-2026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46161</v>
      </c>
      <c r="E664" s="1" t="n">
        <v>46250</v>
      </c>
      <c r="F664" t="inlineStr">
        <is>
          <t>GÄVLEBORGS LÄN</t>
        </is>
      </c>
      <c r="G664" t="inlineStr">
        <is>
          <t>OCKELBO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37438-2023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45156</v>
      </c>
      <c r="E665" s="1" t="n">
        <v>46250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9859-2025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45716</v>
      </c>
      <c r="E666" s="1" t="n">
        <v>46250</v>
      </c>
      <c r="F666" t="inlineStr">
        <is>
          <t>GÄVLEBORGS LÄN</t>
        </is>
      </c>
      <c r="G666" t="inlineStr">
        <is>
          <t>OCKELBO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20775-2025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45776</v>
      </c>
      <c r="E667" s="1" t="n">
        <v>46250</v>
      </c>
      <c r="F667" t="inlineStr">
        <is>
          <t>GÄVLEBORGS LÄN</t>
        </is>
      </c>
      <c r="G667" t="inlineStr">
        <is>
          <t>OCKELBO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23060-2026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46161</v>
      </c>
      <c r="E668" s="1" t="n">
        <v>46250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17.6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23513-2026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46163</v>
      </c>
      <c r="E669" s="1" t="n">
        <v>46250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14.7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23786-2026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46164</v>
      </c>
      <c r="E670" s="1" t="n">
        <v>46250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23663-2026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46164</v>
      </c>
      <c r="E671" s="1" t="n">
        <v>46250</v>
      </c>
      <c r="F671" t="inlineStr">
        <is>
          <t>GÄVLEBORGS LÄN</t>
        </is>
      </c>
      <c r="G671" t="inlineStr">
        <is>
          <t>OCKELBO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24059-2026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46168</v>
      </c>
      <c r="E672" s="1" t="n">
        <v>46250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52273-2024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45608</v>
      </c>
      <c r="E673" s="1" t="n">
        <v>46250</v>
      </c>
      <c r="F673" t="inlineStr">
        <is>
          <t>GÄVLEBORGS LÄN</t>
        </is>
      </c>
      <c r="G673" t="inlineStr">
        <is>
          <t>OCKELBO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54323-2024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45617</v>
      </c>
      <c r="E674" s="1" t="n">
        <v>46250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24185-2026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46168</v>
      </c>
      <c r="E675" s="1" t="n">
        <v>46250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46044</v>
      </c>
      <c r="E676" s="1" t="n">
        <v>46250</v>
      </c>
      <c r="F676" t="inlineStr">
        <is>
          <t>GÄVLEBORGS LÄN</t>
        </is>
      </c>
      <c r="G676" t="inlineStr">
        <is>
          <t>OCKELBO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48804-2024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45593</v>
      </c>
      <c r="E677" s="1" t="n">
        <v>46250</v>
      </c>
      <c r="F677" t="inlineStr">
        <is>
          <t>GÄVLEBORGS LÄN</t>
        </is>
      </c>
      <c r="G677" t="inlineStr">
        <is>
          <t>OCKELBO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18291-2023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45041</v>
      </c>
      <c r="E678" s="1" t="n">
        <v>46250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24063-2026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46168</v>
      </c>
      <c r="E679" s="1" t="n">
        <v>46250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60253-2023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45258</v>
      </c>
      <c r="E680" s="1" t="n">
        <v>46250</v>
      </c>
      <c r="F680" t="inlineStr">
        <is>
          <t>GÄVLEBORGS LÄN</t>
        </is>
      </c>
      <c r="G680" t="inlineStr">
        <is>
          <t>OCKELBO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24408-2026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46250</v>
      </c>
      <c r="F681" t="inlineStr">
        <is>
          <t>GÄVLEBORGS LÄN</t>
        </is>
      </c>
      <c r="G681" t="inlineStr">
        <is>
          <t>OCKELBO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37848-2024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45544</v>
      </c>
      <c r="E682" s="1" t="n">
        <v>46250</v>
      </c>
      <c r="F682" t="inlineStr">
        <is>
          <t>GÄVLEBORGS LÄN</t>
        </is>
      </c>
      <c r="G682" t="inlineStr">
        <is>
          <t>OCKELBO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46169</v>
      </c>
      <c r="E683" s="1" t="n">
        <v>46250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22387-2025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45786</v>
      </c>
      <c r="E684" s="1" t="n">
        <v>46250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24335-2026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46169</v>
      </c>
      <c r="E685" s="1" t="n">
        <v>46250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23780-2024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45455</v>
      </c>
      <c r="E686" s="1" t="n">
        <v>46250</v>
      </c>
      <c r="F686" t="inlineStr">
        <is>
          <t>GÄVLEBORGS LÄN</t>
        </is>
      </c>
      <c r="G686" t="inlineStr">
        <is>
          <t>OCKELBO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22385-2025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45786</v>
      </c>
      <c r="E687" s="1" t="n">
        <v>46250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28584-2024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45478</v>
      </c>
      <c r="E688" s="1" t="n">
        <v>46250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24333-2026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46169</v>
      </c>
      <c r="E689" s="1" t="n">
        <v>46250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24409-2026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46169</v>
      </c>
      <c r="E690" s="1" t="n">
        <v>46250</v>
      </c>
      <c r="F690" t="inlineStr">
        <is>
          <t>GÄVLEBORGS LÄN</t>
        </is>
      </c>
      <c r="G690" t="inlineStr">
        <is>
          <t>OCKELBO</t>
        </is>
      </c>
      <c r="I690" t="n">
        <v>8.1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28181-2022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44746</v>
      </c>
      <c r="E691" s="1" t="n">
        <v>46250</v>
      </c>
      <c r="F691" t="inlineStr">
        <is>
          <t>GÄVLEBORGS LÄN</t>
        </is>
      </c>
      <c r="G691" t="inlineStr">
        <is>
          <t>OCKELBO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11974-2026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46085</v>
      </c>
      <c r="E692" s="1" t="n">
        <v>46250</v>
      </c>
      <c r="F692" t="inlineStr">
        <is>
          <t>GÄVLEBORGS LÄN</t>
        </is>
      </c>
      <c r="G692" t="inlineStr">
        <is>
          <t>OCKELBO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53137-2024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45611</v>
      </c>
      <c r="E693" s="1" t="n">
        <v>46250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5.5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46023</v>
      </c>
      <c r="E694" s="1" t="n">
        <v>46250</v>
      </c>
      <c r="F694" t="inlineStr">
        <is>
          <t>GÄVLEBORGS LÄN</t>
        </is>
      </c>
      <c r="G694" t="inlineStr">
        <is>
          <t>OCKELBO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24567-2026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46170</v>
      </c>
      <c r="E695" s="1" t="n">
        <v>46250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0.3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24578-2026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46170</v>
      </c>
      <c r="E696" s="1" t="n">
        <v>46250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54944-2025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45967</v>
      </c>
      <c r="E697" s="1" t="n">
        <v>46250</v>
      </c>
      <c r="F697" t="inlineStr">
        <is>
          <t>GÄVLEBORGS LÄN</t>
        </is>
      </c>
      <c r="G697" t="inlineStr">
        <is>
          <t>OCKELBO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23004-2025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45790</v>
      </c>
      <c r="E698" s="1" t="n">
        <v>46250</v>
      </c>
      <c r="F698" t="inlineStr">
        <is>
          <t>GÄVLEBORGS LÄN</t>
        </is>
      </c>
      <c r="G698" t="inlineStr">
        <is>
          <t>OCKELBO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48803-2024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45593</v>
      </c>
      <c r="E699" s="1" t="n">
        <v>46250</v>
      </c>
      <c r="F699" t="inlineStr">
        <is>
          <t>GÄVLEBORGS LÄN</t>
        </is>
      </c>
      <c r="G699" t="inlineStr">
        <is>
          <t>OCKELBO</t>
        </is>
      </c>
      <c r="I699" t="n">
        <v>9.4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24451-2026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46170</v>
      </c>
      <c r="E700" s="1" t="n">
        <v>46250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24569-2026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46170</v>
      </c>
      <c r="E701" s="1" t="n">
        <v>46250</v>
      </c>
      <c r="F701" t="inlineStr">
        <is>
          <t>GÄVLEBORGS LÄN</t>
        </is>
      </c>
      <c r="G701" t="inlineStr">
        <is>
          <t>OCKELBO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20689-2025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45776</v>
      </c>
      <c r="E702" s="1" t="n">
        <v>46250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46216</v>
      </c>
      <c r="E703" s="1" t="n">
        <v>46250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24449-2026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46250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24521-2026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46170</v>
      </c>
      <c r="E705" s="1" t="n">
        <v>46250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64924-2023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45282</v>
      </c>
      <c r="E706" s="1" t="n">
        <v>46250</v>
      </c>
      <c r="F706" t="inlineStr">
        <is>
          <t>GÄVLEBORGS LÄN</t>
        </is>
      </c>
      <c r="G706" t="inlineStr">
        <is>
          <t>OCKELBO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30990-2026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46213</v>
      </c>
      <c r="E707" s="1" t="n">
        <v>46250</v>
      </c>
      <c r="F707" t="inlineStr">
        <is>
          <t>GÄVLEBORGS LÄN</t>
        </is>
      </c>
      <c r="G707" t="inlineStr">
        <is>
          <t>OCKELBO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24624-2026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46171</v>
      </c>
      <c r="E708" s="1" t="n">
        <v>46250</v>
      </c>
      <c r="F708" t="inlineStr">
        <is>
          <t>GÄVLEBORGS LÄN</t>
        </is>
      </c>
      <c r="G708" t="inlineStr">
        <is>
          <t>OCKELBO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24598-2026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46170</v>
      </c>
      <c r="E709" s="1" t="n">
        <v>46250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20207-2024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45434</v>
      </c>
      <c r="E710" s="1" t="n">
        <v>46250</v>
      </c>
      <c r="F710" t="inlineStr">
        <is>
          <t>GÄVLEBORGS LÄN</t>
        </is>
      </c>
      <c r="G710" t="inlineStr">
        <is>
          <t>OCKELBO</t>
        </is>
      </c>
      <c r="I710" t="n">
        <v>7.6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25128-2026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46175</v>
      </c>
      <c r="E711" s="1" t="n">
        <v>46250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25133-2026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46175</v>
      </c>
      <c r="E712" s="1" t="n">
        <v>46250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55011-2024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45621</v>
      </c>
      <c r="E713" s="1" t="n">
        <v>46250</v>
      </c>
      <c r="F713" t="inlineStr">
        <is>
          <t>GÄVLEBORGS LÄN</t>
        </is>
      </c>
      <c r="G713" t="inlineStr">
        <is>
          <t>OCKELBO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15403-2022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44659</v>
      </c>
      <c r="E714" s="1" t="n">
        <v>46250</v>
      </c>
      <c r="F714" t="inlineStr">
        <is>
          <t>GÄVLEBORGS LÄN</t>
        </is>
      </c>
      <c r="G714" t="inlineStr">
        <is>
          <t>OCKELBO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26085-2024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45468</v>
      </c>
      <c r="E715" s="1" t="n">
        <v>46250</v>
      </c>
      <c r="F715" t="inlineStr">
        <is>
          <t>GÄVLEBORGS LÄN</t>
        </is>
      </c>
      <c r="G715" t="inlineStr">
        <is>
          <t>OCKELBO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16752-2025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45754</v>
      </c>
      <c r="E716" s="1" t="n">
        <v>46250</v>
      </c>
      <c r="F716" t="inlineStr">
        <is>
          <t>GÄVLEBORGS LÄN</t>
        </is>
      </c>
      <c r="G716" t="inlineStr">
        <is>
          <t>OCKELBO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31277-2026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46218</v>
      </c>
      <c r="E717" s="1" t="n">
        <v>46250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24974-2026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46174</v>
      </c>
      <c r="E718" s="1" t="n">
        <v>46250</v>
      </c>
      <c r="F718" t="inlineStr">
        <is>
          <t>GÄVLEBORGS LÄN</t>
        </is>
      </c>
      <c r="G718" t="inlineStr">
        <is>
          <t>OCKELBO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15502-2025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45747</v>
      </c>
      <c r="E719" s="1" t="n">
        <v>46250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49470-2024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45596</v>
      </c>
      <c r="E720" s="1" t="n">
        <v>46250</v>
      </c>
      <c r="F720" t="inlineStr">
        <is>
          <t>GÄVLEBORGS LÄN</t>
        </is>
      </c>
      <c r="G720" t="inlineStr">
        <is>
          <t>OCKELBO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24952-2026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46174</v>
      </c>
      <c r="E721" s="1" t="n">
        <v>46250</v>
      </c>
      <c r="F721" t="inlineStr">
        <is>
          <t>GÄVLEBORGS LÄN</t>
        </is>
      </c>
      <c r="G721" t="inlineStr">
        <is>
          <t>OCKELBO</t>
        </is>
      </c>
      <c r="I721" t="n">
        <v>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7276-2023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44970</v>
      </c>
      <c r="E722" s="1" t="n">
        <v>46250</v>
      </c>
      <c r="F722" t="inlineStr">
        <is>
          <t>GÄVLEBORGS LÄN</t>
        </is>
      </c>
      <c r="G722" t="inlineStr">
        <is>
          <t>OCKELBO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61732-2024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45649</v>
      </c>
      <c r="E723" s="1" t="n">
        <v>46250</v>
      </c>
      <c r="F723" t="inlineStr">
        <is>
          <t>GÄVLEBORGS LÄN</t>
        </is>
      </c>
      <c r="G723" t="inlineStr">
        <is>
          <t>OCKELBO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24968-2026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46174</v>
      </c>
      <c r="E724" s="1" t="n">
        <v>46250</v>
      </c>
      <c r="F724" t="inlineStr">
        <is>
          <t>GÄVLEBORGS LÄN</t>
        </is>
      </c>
      <c r="G724" t="inlineStr">
        <is>
          <t>OCKELBO</t>
        </is>
      </c>
      <c r="I724" t="n">
        <v>6.2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50968-2024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45603</v>
      </c>
      <c r="E725" s="1" t="n">
        <v>46250</v>
      </c>
      <c r="F725" t="inlineStr">
        <is>
          <t>GÄVLEBORGS LÄN</t>
        </is>
      </c>
      <c r="G725" t="inlineStr">
        <is>
          <t>OCKELBO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25525-2026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46250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9.4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25246-2025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45800</v>
      </c>
      <c r="E727" s="1" t="n">
        <v>46250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25250-2025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45800</v>
      </c>
      <c r="E728" s="1" t="n">
        <v>46250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25248-2025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45800</v>
      </c>
      <c r="E729" s="1" t="n">
        <v>46250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25191-2025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45800</v>
      </c>
      <c r="E730" s="1" t="n">
        <v>46250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25233-2025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45800</v>
      </c>
      <c r="E731" s="1" t="n">
        <v>46250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6.1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25234-2025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45800</v>
      </c>
      <c r="E732" s="1" t="n">
        <v>46250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31443-2026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46220</v>
      </c>
      <c r="E733" s="1" t="n">
        <v>46250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25599-2026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46177</v>
      </c>
      <c r="E734" s="1" t="n">
        <v>46250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22952-2023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45072</v>
      </c>
      <c r="E735" s="1" t="n">
        <v>46250</v>
      </c>
      <c r="F735" t="inlineStr">
        <is>
          <t>GÄVLEBORGS LÄN</t>
        </is>
      </c>
      <c r="G735" t="inlineStr">
        <is>
          <t>OCKELBO</t>
        </is>
      </c>
      <c r="I735" t="n">
        <v>5.6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25640-2025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45803</v>
      </c>
      <c r="E736" s="1" t="n">
        <v>46250</v>
      </c>
      <c r="F736" t="inlineStr">
        <is>
          <t>GÄVLEBORGS LÄN</t>
        </is>
      </c>
      <c r="G736" t="inlineStr">
        <is>
          <t>OCKELBO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54977-2024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45620</v>
      </c>
      <c r="E737" s="1" t="n">
        <v>46250</v>
      </c>
      <c r="F737" t="inlineStr">
        <is>
          <t>GÄVLEBORGS LÄN</t>
        </is>
      </c>
      <c r="G737" t="inlineStr">
        <is>
          <t>OCKELBO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49529-2024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45596</v>
      </c>
      <c r="E738" s="1" t="n">
        <v>46250</v>
      </c>
      <c r="F738" t="inlineStr">
        <is>
          <t>GÄVLEBORGS LÄN</t>
        </is>
      </c>
      <c r="G738" t="inlineStr">
        <is>
          <t>OCKELBO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6568-2024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45341</v>
      </c>
      <c r="E739" s="1" t="n">
        <v>46250</v>
      </c>
      <c r="F739" t="inlineStr">
        <is>
          <t>GÄVLEBORGS LÄN</t>
        </is>
      </c>
      <c r="G739" t="inlineStr">
        <is>
          <t>OCKELBO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31591-2026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46224</v>
      </c>
      <c r="E740" s="1" t="n">
        <v>46250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31530-2026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46223</v>
      </c>
      <c r="E741" s="1" t="n">
        <v>46250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26195-2025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45805</v>
      </c>
      <c r="E742" s="1" t="n">
        <v>46250</v>
      </c>
      <c r="F742" t="inlineStr">
        <is>
          <t>GÄVLEBORGS LÄN</t>
        </is>
      </c>
      <c r="G742" t="inlineStr">
        <is>
          <t>OCKELBO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26131-2026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46181</v>
      </c>
      <c r="E743" s="1" t="n">
        <v>46250</v>
      </c>
      <c r="F743" t="inlineStr">
        <is>
          <t>GÄVLEBORGS LÄN</t>
        </is>
      </c>
      <c r="G743" t="inlineStr">
        <is>
          <t>OCKELBO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50194-2024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45600</v>
      </c>
      <c r="E744" s="1" t="n">
        <v>46250</v>
      </c>
      <c r="F744" t="inlineStr">
        <is>
          <t>GÄVLEBORGS LÄN</t>
        </is>
      </c>
      <c r="G744" t="inlineStr">
        <is>
          <t>OCKELBO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31571-2026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46224</v>
      </c>
      <c r="E745" s="1" t="n">
        <v>46250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22692-2026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46156</v>
      </c>
      <c r="E746" s="1" t="n">
        <v>46250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54309-2024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45617</v>
      </c>
      <c r="E747" s="1" t="n">
        <v>46250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27990-2025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45817</v>
      </c>
      <c r="E748" s="1" t="n">
        <v>46250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7.8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42585-2023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45181</v>
      </c>
      <c r="E749" s="1" t="n">
        <v>46250</v>
      </c>
      <c r="F749" t="inlineStr">
        <is>
          <t>GÄVLEBORGS LÄN</t>
        </is>
      </c>
      <c r="G749" t="inlineStr">
        <is>
          <t>OCKELBO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56352-2024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45624</v>
      </c>
      <c r="E750" s="1" t="n">
        <v>46250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42313-2023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45180</v>
      </c>
      <c r="E751" s="1" t="n">
        <v>46250</v>
      </c>
      <c r="F751" t="inlineStr">
        <is>
          <t>GÄVLEBORGS LÄN</t>
        </is>
      </c>
      <c r="G751" t="inlineStr">
        <is>
          <t>OCKELBO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46250</v>
      </c>
      <c r="F752" t="inlineStr">
        <is>
          <t>GÄVLEBORGS LÄN</t>
        </is>
      </c>
      <c r="G752" t="inlineStr">
        <is>
          <t>OCKELBO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28006-2025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45817</v>
      </c>
      <c r="E753" s="1" t="n">
        <v>46250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8.1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46250</v>
      </c>
      <c r="F754" t="inlineStr">
        <is>
          <t>GÄVLEBORGS LÄN</t>
        </is>
      </c>
      <c r="G754" t="inlineStr">
        <is>
          <t>OCKELBO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28080-2025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45817</v>
      </c>
      <c r="E755" s="1" t="n">
        <v>46250</v>
      </c>
      <c r="F755" t="inlineStr">
        <is>
          <t>GÄVLEBORGS LÄN</t>
        </is>
      </c>
      <c r="G755" t="inlineStr">
        <is>
          <t>OCKELBO</t>
        </is>
      </c>
      <c r="I755" t="n">
        <v>4.9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28576-2025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45819</v>
      </c>
      <c r="E756" s="1" t="n">
        <v>46250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28669-2025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45819</v>
      </c>
      <c r="E757" s="1" t="n">
        <v>46250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26843-2026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46185</v>
      </c>
      <c r="E758" s="1" t="n">
        <v>46250</v>
      </c>
      <c r="F758" t="inlineStr">
        <is>
          <t>GÄVLEBORGS LÄN</t>
        </is>
      </c>
      <c r="G758" t="inlineStr">
        <is>
          <t>OCKELBO</t>
        </is>
      </c>
      <c r="I758" t="n">
        <v>14.6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26845-2026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46185</v>
      </c>
      <c r="E759" s="1" t="n">
        <v>46250</v>
      </c>
      <c r="F759" t="inlineStr">
        <is>
          <t>GÄVLEBORGS LÄN</t>
        </is>
      </c>
      <c r="G759" t="inlineStr">
        <is>
          <t>OCKELBO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29274-2025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45824</v>
      </c>
      <c r="E760" s="1" t="n">
        <v>46250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60915-2024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45645</v>
      </c>
      <c r="E761" s="1" t="n">
        <v>46250</v>
      </c>
      <c r="F761" t="inlineStr">
        <is>
          <t>GÄVLEBORGS LÄN</t>
        </is>
      </c>
      <c r="G761" t="inlineStr">
        <is>
          <t>OCKELBO</t>
        </is>
      </c>
      <c r="H761" t="inlineStr">
        <is>
          <t>Kyrkan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26924-2026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46185</v>
      </c>
      <c r="E762" s="1" t="n">
        <v>46250</v>
      </c>
      <c r="F762" t="inlineStr">
        <is>
          <t>GÄVLEBORGS LÄN</t>
        </is>
      </c>
      <c r="G762" t="inlineStr">
        <is>
          <t>OCKELBO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29158-2025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45821</v>
      </c>
      <c r="E763" s="1" t="n">
        <v>46250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31804-2026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46230</v>
      </c>
      <c r="E764" s="1" t="n">
        <v>46250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27416-2026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46189</v>
      </c>
      <c r="E765" s="1" t="n">
        <v>46250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27381-2026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46189</v>
      </c>
      <c r="E766" s="1" t="n">
        <v>46250</v>
      </c>
      <c r="F766" t="inlineStr">
        <is>
          <t>GÄVLEBORGS LÄN</t>
        </is>
      </c>
      <c r="G766" t="inlineStr">
        <is>
          <t>OCKELBO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27383-2026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46189</v>
      </c>
      <c r="E767" s="1" t="n">
        <v>46250</v>
      </c>
      <c r="F767" t="inlineStr">
        <is>
          <t>GÄVLEBORGS LÄN</t>
        </is>
      </c>
      <c r="G767" t="inlineStr">
        <is>
          <t>OCKELBO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10184-2026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46076</v>
      </c>
      <c r="E768" s="1" t="n">
        <v>46250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30331-2025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45827</v>
      </c>
      <c r="E769" s="1" t="n">
        <v>46250</v>
      </c>
      <c r="F769" t="inlineStr">
        <is>
          <t>GÄVLEBORGS LÄN</t>
        </is>
      </c>
      <c r="G769" t="inlineStr">
        <is>
          <t>OCKELBO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30229-2025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45827</v>
      </c>
      <c r="E770" s="1" t="n">
        <v>46250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5.3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53702-2024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45615</v>
      </c>
      <c r="E771" s="1" t="n">
        <v>46250</v>
      </c>
      <c r="F771" t="inlineStr">
        <is>
          <t>GÄVLEBORGS LÄN</t>
        </is>
      </c>
      <c r="G771" t="inlineStr">
        <is>
          <t>OCKELBO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30152-2025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45827</v>
      </c>
      <c r="E772" s="1" t="n">
        <v>46250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6.5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30179-2025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45827</v>
      </c>
      <c r="E773" s="1" t="n">
        <v>46250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36343-2023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45152</v>
      </c>
      <c r="E774" s="1" t="n">
        <v>46250</v>
      </c>
      <c r="F774" t="inlineStr">
        <is>
          <t>GÄVLEBORGS LÄN</t>
        </is>
      </c>
      <c r="G774" t="inlineStr">
        <is>
          <t>OCKELBO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27272-2026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46188</v>
      </c>
      <c r="E775" s="1" t="n">
        <v>46250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27379-2026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46189</v>
      </c>
      <c r="E776" s="1" t="n">
        <v>46250</v>
      </c>
      <c r="F776" t="inlineStr">
        <is>
          <t>GÄVLEBORGS LÄN</t>
        </is>
      </c>
      <c r="G776" t="inlineStr">
        <is>
          <t>OCKELBO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27382-2026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46189</v>
      </c>
      <c r="E777" s="1" t="n">
        <v>46250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57614-2025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45981</v>
      </c>
      <c r="E778" s="1" t="n">
        <v>46250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10.4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19762-2024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45432</v>
      </c>
      <c r="E779" s="1" t="n">
        <v>46250</v>
      </c>
      <c r="F779" t="inlineStr">
        <is>
          <t>GÄVLEBORGS LÄN</t>
        </is>
      </c>
      <c r="G779" t="inlineStr">
        <is>
          <t>OCKELBO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27231-2026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46188</v>
      </c>
      <c r="E780" s="1" t="n">
        <v>46250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31971-2026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46232</v>
      </c>
      <c r="E781" s="1" t="n">
        <v>46250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21582-2024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45441</v>
      </c>
      <c r="E782" s="1" t="n">
        <v>46250</v>
      </c>
      <c r="F782" t="inlineStr">
        <is>
          <t>GÄVLEBORGS LÄN</t>
        </is>
      </c>
      <c r="G782" t="inlineStr">
        <is>
          <t>OCKELBO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6377-2026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46055</v>
      </c>
      <c r="E783" s="1" t="n">
        <v>46250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27620-2026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46190</v>
      </c>
      <c r="E784" s="1" t="n">
        <v>46250</v>
      </c>
      <c r="F784" t="inlineStr">
        <is>
          <t>GÄVLEBORGS LÄN</t>
        </is>
      </c>
      <c r="G784" t="inlineStr">
        <is>
          <t>OCKELBO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27623-2026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46190</v>
      </c>
      <c r="E785" s="1" t="n">
        <v>46250</v>
      </c>
      <c r="F785" t="inlineStr">
        <is>
          <t>GÄVLEBORGS LÄN</t>
        </is>
      </c>
      <c r="G785" t="inlineStr">
        <is>
          <t>OCKELBO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1716-2025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45671</v>
      </c>
      <c r="E786" s="1" t="n">
        <v>46250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32449-2025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45838</v>
      </c>
      <c r="E787" s="1" t="n">
        <v>46250</v>
      </c>
      <c r="F787" t="inlineStr">
        <is>
          <t>GÄVLEBORGS LÄN</t>
        </is>
      </c>
      <c r="G787" t="inlineStr">
        <is>
          <t>OCKELBO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27630-2026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46190</v>
      </c>
      <c r="E788" s="1" t="n">
        <v>46250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10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27562-2026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46190</v>
      </c>
      <c r="E789" s="1" t="n">
        <v>46250</v>
      </c>
      <c r="F789" t="inlineStr">
        <is>
          <t>GÄVLEBORGS LÄN</t>
        </is>
      </c>
      <c r="G789" t="inlineStr">
        <is>
          <t>OCKELBO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27889-2026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46191</v>
      </c>
      <c r="E790" s="1" t="n">
        <v>46250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17548-2025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45757</v>
      </c>
      <c r="E791" s="1" t="n">
        <v>46250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33228-2025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45840</v>
      </c>
      <c r="E792" s="1" t="n">
        <v>46250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33231-2025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45840</v>
      </c>
      <c r="E793" s="1" t="n">
        <v>46250</v>
      </c>
      <c r="F793" t="inlineStr">
        <is>
          <t>GÄVLEBORGS LÄN</t>
        </is>
      </c>
      <c r="G793" t="inlineStr">
        <is>
          <t>OCKELBO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7478-2025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45705</v>
      </c>
      <c r="E794" s="1" t="n">
        <v>46250</v>
      </c>
      <c r="F794" t="inlineStr">
        <is>
          <t>GÄVLEBORGS LÄN</t>
        </is>
      </c>
      <c r="G794" t="inlineStr">
        <is>
          <t>OCKELBO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33384-2025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45841</v>
      </c>
      <c r="E795" s="1" t="n">
        <v>46250</v>
      </c>
      <c r="F795" t="inlineStr">
        <is>
          <t>GÄVLEBORGS LÄN</t>
        </is>
      </c>
      <c r="G795" t="inlineStr">
        <is>
          <t>OCKELBO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12983-2022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44643</v>
      </c>
      <c r="E796" s="1" t="n">
        <v>46250</v>
      </c>
      <c r="F796" t="inlineStr">
        <is>
          <t>GÄVLEBORGS LÄN</t>
        </is>
      </c>
      <c r="G796" t="inlineStr">
        <is>
          <t>OCKELBO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27995-2026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46195</v>
      </c>
      <c r="E797" s="1" t="n">
        <v>46250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30011-2023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45109</v>
      </c>
      <c r="E798" s="1" t="n">
        <v>46250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37391-2023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45156</v>
      </c>
      <c r="E799" s="1" t="n">
        <v>46250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10149-2025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45719</v>
      </c>
      <c r="E800" s="1" t="n">
        <v>46250</v>
      </c>
      <c r="F800" t="inlineStr">
        <is>
          <t>GÄVLEBORGS LÄN</t>
        </is>
      </c>
      <c r="G800" t="inlineStr">
        <is>
          <t>OCKELBO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23006-2023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45073</v>
      </c>
      <c r="E801" s="1" t="n">
        <v>46250</v>
      </c>
      <c r="F801" t="inlineStr">
        <is>
          <t>GÄVLEBORGS LÄN</t>
        </is>
      </c>
      <c r="G801" t="inlineStr">
        <is>
          <t>OCKELBO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28289-2026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46196</v>
      </c>
      <c r="E802" s="1" t="n">
        <v>46250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28318-2026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46250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35017-2025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45851</v>
      </c>
      <c r="E804" s="1" t="n">
        <v>46250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27.8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28317-2026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46196</v>
      </c>
      <c r="E805" s="1" t="n">
        <v>46250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28681-2026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46198</v>
      </c>
      <c r="E806" s="1" t="n">
        <v>46250</v>
      </c>
      <c r="F806" t="inlineStr">
        <is>
          <t>GÄVLEBORGS LÄN</t>
        </is>
      </c>
      <c r="G806" t="inlineStr">
        <is>
          <t>OCKELBO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4257-2026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46045</v>
      </c>
      <c r="E807" s="1" t="n">
        <v>46250</v>
      </c>
      <c r="F807" t="inlineStr">
        <is>
          <t>GÄVLEBORGS LÄN</t>
        </is>
      </c>
      <c r="G807" t="inlineStr">
        <is>
          <t>OCKELBO</t>
        </is>
      </c>
      <c r="I807" t="n">
        <v>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26481-2026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46183</v>
      </c>
      <c r="E808" s="1" t="n">
        <v>46250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29078-2026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46199</v>
      </c>
      <c r="E809" s="1" t="n">
        <v>46250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47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28725-2026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46198</v>
      </c>
      <c r="E810" s="1" t="n">
        <v>46250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29001-2026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46199</v>
      </c>
      <c r="E811" s="1" t="n">
        <v>46250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28672-2026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46198</v>
      </c>
      <c r="E812" s="1" t="n">
        <v>46250</v>
      </c>
      <c r="F812" t="inlineStr">
        <is>
          <t>GÄVLEBORGS LÄN</t>
        </is>
      </c>
      <c r="G812" t="inlineStr">
        <is>
          <t>OCKELBO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33176-2026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46245</v>
      </c>
      <c r="E813" s="1" t="n">
        <v>46250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31517-2026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46223</v>
      </c>
      <c r="E814" s="1" t="n">
        <v>46250</v>
      </c>
      <c r="F814" t="inlineStr">
        <is>
          <t>GÄVLEBORGS LÄN</t>
        </is>
      </c>
      <c r="G814" t="inlineStr">
        <is>
          <t>OCKELBO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31519-2026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46223</v>
      </c>
      <c r="E815" s="1" t="n">
        <v>46250</v>
      </c>
      <c r="F815" t="inlineStr">
        <is>
          <t>GÄVLEBORGS LÄN</t>
        </is>
      </c>
      <c r="G815" t="inlineStr">
        <is>
          <t>OCKELBO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29386-2026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46203</v>
      </c>
      <c r="E816" s="1" t="n">
        <v>46250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29437-2026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46203</v>
      </c>
      <c r="E817" s="1" t="n">
        <v>46250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29415-2026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46203</v>
      </c>
      <c r="E818" s="1" t="n">
        <v>46250</v>
      </c>
      <c r="F818" t="inlineStr">
        <is>
          <t>GÄVLEBORGS LÄN</t>
        </is>
      </c>
      <c r="G818" t="inlineStr">
        <is>
          <t>OCKELBO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29835-2026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46205</v>
      </c>
      <c r="E819" s="1" t="n">
        <v>46250</v>
      </c>
      <c r="F819" t="inlineStr">
        <is>
          <t>GÄVLEBORGS LÄN</t>
        </is>
      </c>
      <c r="G819" t="inlineStr">
        <is>
          <t>OCKELBO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29849-2026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46205</v>
      </c>
      <c r="E820" s="1" t="n">
        <v>46250</v>
      </c>
      <c r="F820" t="inlineStr">
        <is>
          <t>GÄVLEBORGS LÄN</t>
        </is>
      </c>
      <c r="G820" t="inlineStr">
        <is>
          <t>OCKELBO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29611-2026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46204</v>
      </c>
      <c r="E821" s="1" t="n">
        <v>46250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29789-2026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46205</v>
      </c>
      <c r="E822" s="1" t="n">
        <v>46250</v>
      </c>
      <c r="F822" t="inlineStr">
        <is>
          <t>GÄVLEBORGS LÄN</t>
        </is>
      </c>
      <c r="G822" t="inlineStr">
        <is>
          <t>OCKELBO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30031-2026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46206</v>
      </c>
      <c r="E823" s="1" t="n">
        <v>46250</v>
      </c>
      <c r="F823" t="inlineStr">
        <is>
          <t>GÄVLEBORGS LÄN</t>
        </is>
      </c>
      <c r="G823" t="inlineStr">
        <is>
          <t>OCKELBO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14827-2026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46104</v>
      </c>
      <c r="E824" s="1" t="n">
        <v>46250</v>
      </c>
      <c r="F824" t="inlineStr">
        <is>
          <t>GÄVLEBORGS LÄN</t>
        </is>
      </c>
      <c r="G824" t="inlineStr">
        <is>
          <t>OCKELBO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282-2024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45323</v>
      </c>
      <c r="E825" s="1" t="n">
        <v>46250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5063-2024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45638</v>
      </c>
      <c r="E826" s="1" t="n">
        <v>46250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154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195-2024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45315</v>
      </c>
      <c r="E827" s="1" t="n">
        <v>46250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46.4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411-2025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45699</v>
      </c>
      <c r="E828" s="1" t="n">
        <v>46250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24.3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7041-2022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44904</v>
      </c>
      <c r="E829" s="1" t="n">
        <v>46250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22.8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297-2026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46058</v>
      </c>
      <c r="E830" s="1" t="n">
        <v>46250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657-2026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46089</v>
      </c>
      <c r="E831" s="1" t="n">
        <v>46250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131.3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190-2026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46048</v>
      </c>
      <c r="E832" s="1" t="n">
        <v>46250</v>
      </c>
      <c r="F832" t="inlineStr">
        <is>
          <t>GÄVLEBORGS LÄN</t>
        </is>
      </c>
      <c r="G832" t="inlineStr">
        <is>
          <t>OCKELBO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46250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46250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2026-08-16T01:46:55Z</dcterms:created>
  <dcterms:modified xmlns:dcterms="http://purl.org/dc/terms/" xmlns:xsi="http://www.w3.org/2001/XMLSchema-instance" xsi:type="dcterms:W3CDTF">2026-08-16T01:46:56Z</dcterms:modified>
</cp:coreProperties>
</file>