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19165-2026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46132</v>
      </c>
      <c r="E5" s="1" t="n">
        <v>46269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7.1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Garnlav
Dropptaggsvamp
Motaggsvamp
Plattlummer
Skinnlav
Fläcknycklar
Revlummer</t>
        </is>
      </c>
      <c r="W5">
        <f>HYPERLINK("https://klasma.github.io/Logging_2101/artfynd/A 19165-2026 artfynd.xlsx", "A 19165-2026")</f>
        <v/>
      </c>
      <c r="X5">
        <f>HYPERLINK("https://klasma.github.io/Logging_2101/kartor/A 19165-2026 karta.png", "A 19165-2026")</f>
        <v/>
      </c>
      <c r="Y5">
        <f>HYPERLINK("https://klasma.github.io/Logging_2101/kartor_geotiff/A 19165-2026 georefererad karta.tif", "A 19165-2026")</f>
        <v/>
      </c>
      <c r="AA5">
        <f>HYPERLINK("https://klasma.github.io/Logging_2101/klagomål/A 19165-2026 FSC-klagomål.docx", "A 19165-2026")</f>
        <v/>
      </c>
      <c r="AB5">
        <f>HYPERLINK("https://klasma.github.io/Logging_2101/klagomålsmail/A 19165-2026 FSC-klagomål mail.docx", "A 19165-2026")</f>
        <v/>
      </c>
      <c r="AC5">
        <f>HYPERLINK("https://klasma.github.io/Logging_2101/tillsyn/A 19165-2026 tillsynsbegäran.docx", "A 19165-2026")</f>
        <v/>
      </c>
      <c r="AD5">
        <f>HYPERLINK("https://klasma.github.io/Logging_2101/tillsynsmail/A 19165-2026 tillsynsbegäran mail.docx", "A 19165-2026")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46269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14258-2026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46269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40.5</v>
      </c>
      <c r="J7" t="n">
        <v>0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14</v>
      </c>
      <c r="U7" t="n">
        <v>0</v>
      </c>
      <c r="V7" s="2" t="inlineStr">
        <is>
          <t>Garnlav
Blanksvart spiklav
Dropptaggsvamp
Vedskivlav
Mindre märgborre
Nästlav
Vågbandad barkbock</t>
        </is>
      </c>
      <c r="W7">
        <f>HYPERLINK("https://klasma.github.io/Logging_2101/artfynd/A 14258-2026 artfynd.xlsx", "A 14258-2026")</f>
        <v/>
      </c>
      <c r="X7">
        <f>HYPERLINK("https://klasma.github.io/Logging_2101/kartor/A 14258-2026 karta.png", "A 14258-2026")</f>
        <v/>
      </c>
      <c r="Y7">
        <f>HYPERLINK("https://klasma.github.io/Logging_2101/kartor_geotiff/A 14258-2026 georefererad karta.tif", "A 14258-2026")</f>
        <v/>
      </c>
      <c r="Z7">
        <f>HYPERLINK("https://klasma.github.io/Logging_2101/knärot/A 14258-2026 karta knärot.png", "A 14258-2026")</f>
        <v/>
      </c>
      <c r="AA7">
        <f>HYPERLINK("https://klasma.github.io/Logging_2101/klagomål/A 14258-2026 FSC-klagomål.docx", "A 14258-2026")</f>
        <v/>
      </c>
      <c r="AB7">
        <f>HYPERLINK("https://klasma.github.io/Logging_2101/klagomålsmail/A 14258-2026 FSC-klagomål mail.docx", "A 14258-2026")</f>
        <v/>
      </c>
      <c r="AC7">
        <f>HYPERLINK("https://klasma.github.io/Logging_2101/tillsyn/A 14258-2026 tillsynsbegäran.docx", "A 14258-2026")</f>
        <v/>
      </c>
      <c r="AD7">
        <f>HYPERLINK("https://klasma.github.io/Logging_2101/tillsynsmail/A 14258-2026 tillsynsbegäran mail.docx", "A 14258-2026")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46269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46269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46269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46269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46269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46269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46269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46269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46269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46269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46269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Orange taggsvamp
Ullticka
Vedtrappmossa</t>
        </is>
      </c>
      <c r="W22">
        <f>HYPERLINK("https://klasma.github.io/Logging_2101/artfynd/A 13474-2026 artfynd.xlsx", "A 13474-2026")</f>
        <v/>
      </c>
      <c r="X22">
        <f>HYPERLINK("https://klasma.github.io/Logging_2101/kartor/A 13474-2026 karta.png", "A 13474-2026")</f>
        <v/>
      </c>
      <c r="Y22">
        <f>HYPERLINK("https://klasma.github.io/Logging_2101/kartor_geotiff/A 13474-2026 georefererad karta.tif", "A 13474-2026")</f>
        <v/>
      </c>
      <c r="AA22">
        <f>HYPERLINK("https://klasma.github.io/Logging_2101/klagomål/A 13474-2026 FSC-klagomål.docx", "A 13474-2026")</f>
        <v/>
      </c>
      <c r="AB22">
        <f>HYPERLINK("https://klasma.github.io/Logging_2101/klagomålsmail/A 13474-2026 FSC-klagomål mail.docx", "A 13474-2026")</f>
        <v/>
      </c>
      <c r="AC22">
        <f>HYPERLINK("https://klasma.github.io/Logging_2101/tillsyn/A 13474-2026 tillsynsbegäran.docx", "A 13474-2026")</f>
        <v/>
      </c>
      <c r="AD22">
        <f>HYPERLINK("https://klasma.github.io/Logging_2101/tillsynsmail/A 13474-2026 tillsynsbegäran mail.docx", "A 13474-2026")</f>
        <v/>
      </c>
    </row>
    <row r="23" ht="15" customHeight="1">
      <c r="A23" t="inlineStr">
        <is>
          <t>A 26463-2024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45469</v>
      </c>
      <c r="E23" s="1" t="n">
        <v>46269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3.6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8</v>
      </c>
      <c r="U23" t="n">
        <v>0</v>
      </c>
      <c r="V23" s="2" t="inlineStr">
        <is>
          <t>Tvåblad
Fläcknycklar
Revlummer</t>
        </is>
      </c>
      <c r="W23">
        <f>HYPERLINK("https://klasma.github.io/Logging_2101/artfynd/A 26463-2024 artfynd.xlsx", "A 26463-2024")</f>
        <v/>
      </c>
      <c r="X23">
        <f>HYPERLINK("https://klasma.github.io/Logging_2101/kartor/A 26463-2024 karta.png", "A 26463-2024")</f>
        <v/>
      </c>
      <c r="Y23">
        <f>HYPERLINK("https://klasma.github.io/Logging_2101/kartor_geotiff/A 26463-2024 georefererad karta.tif", "A 26463-2024")</f>
        <v/>
      </c>
      <c r="AA23">
        <f>HYPERLINK("https://klasma.github.io/Logging_2101/klagomål/A 26463-2024 FSC-klagomål.docx", "A 26463-2024")</f>
        <v/>
      </c>
      <c r="AB23">
        <f>HYPERLINK("https://klasma.github.io/Logging_2101/klagomålsmail/A 26463-2024 FSC-klagomål mail.docx", "A 26463-2024")</f>
        <v/>
      </c>
      <c r="AC23">
        <f>HYPERLINK("https://klasma.github.io/Logging_2101/tillsyn/A 26463-2024 tillsynsbegäran.docx", "A 26463-2024")</f>
        <v/>
      </c>
      <c r="AD23">
        <f>HYPERLINK("https://klasma.github.io/Logging_2101/tillsynsmail/A 26463-2024 tillsynsbegäran mail.docx", "A 26463-2024")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46269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46269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18253-2026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46269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14.5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Vårärt
Blåsippa
Nattviol</t>
        </is>
      </c>
      <c r="W26">
        <f>HYPERLINK("https://klasma.github.io/Logging_2101/artfynd/A 18253-2026 artfynd.xlsx", "A 18253-2026")</f>
        <v/>
      </c>
      <c r="X26">
        <f>HYPERLINK("https://klasma.github.io/Logging_2101/kartor/A 18253-2026 karta.png", "A 18253-2026")</f>
        <v/>
      </c>
      <c r="Y26">
        <f>HYPERLINK("https://klasma.github.io/Logging_2101/kartor_geotiff/A 18253-2026 georefererad karta.tif", "A 18253-2026")</f>
        <v/>
      </c>
      <c r="AA26">
        <f>HYPERLINK("https://klasma.github.io/Logging_2101/klagomål/A 18253-2026 FSC-klagomål.docx", "A 18253-2026")</f>
        <v/>
      </c>
      <c r="AB26">
        <f>HYPERLINK("https://klasma.github.io/Logging_2101/klagomålsmail/A 18253-2026 FSC-klagomål mail.docx", "A 18253-2026")</f>
        <v/>
      </c>
      <c r="AC26">
        <f>HYPERLINK("https://klasma.github.io/Logging_2101/tillsyn/A 18253-2026 tillsynsbegäran.docx", "A 18253-2026")</f>
        <v/>
      </c>
      <c r="AD26">
        <f>HYPERLINK("https://klasma.github.io/Logging_2101/tillsynsmail/A 18253-2026 tillsynsbegäran mail.docx", "A 18253-2026")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46269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18117-2026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46269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14.1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Vanlig groda
Fläcknycklar</t>
        </is>
      </c>
      <c r="W28">
        <f>HYPERLINK("https://klasma.github.io/Logging_2101/artfynd/A 18117-2026 artfynd.xlsx", "A 18117-2026")</f>
        <v/>
      </c>
      <c r="X28">
        <f>HYPERLINK("https://klasma.github.io/Logging_2101/kartor/A 18117-2026 karta.png", "A 18117-2026")</f>
        <v/>
      </c>
      <c r="Y28">
        <f>HYPERLINK("https://klasma.github.io/Logging_2101/kartor_geotiff/A 18117-2026 georefererad karta.tif", "A 18117-2026")</f>
        <v/>
      </c>
      <c r="AA28">
        <f>HYPERLINK("https://klasma.github.io/Logging_2101/klagomål/A 18117-2026 FSC-klagomål.docx", "A 18117-2026")</f>
        <v/>
      </c>
      <c r="AB28">
        <f>HYPERLINK("https://klasma.github.io/Logging_2101/klagomålsmail/A 18117-2026 FSC-klagomål mail.docx", "A 18117-2026")</f>
        <v/>
      </c>
      <c r="AC28">
        <f>HYPERLINK("https://klasma.github.io/Logging_2101/tillsyn/A 18117-2026 tillsynsbegäran.docx", "A 18117-2026")</f>
        <v/>
      </c>
      <c r="AD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46269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7</v>
      </c>
      <c r="U29" t="n">
        <v>0</v>
      </c>
      <c r="V29" s="2" t="inlineStr">
        <is>
          <t>Vanlig padda
Fläcknycklar</t>
        </is>
      </c>
      <c r="W29">
        <f>HYPERLINK("https://klasma.github.io/Logging_2101/artfynd/A 18120-2026 artfynd.xlsx", "A 18120-2026")</f>
        <v/>
      </c>
      <c r="X29">
        <f>HYPERLINK("https://klasma.github.io/Logging_2101/kartor/A 18120-2026 karta.png", "A 18120-2026")</f>
        <v/>
      </c>
      <c r="Y29">
        <f>HYPERLINK("https://klasma.github.io/Logging_2101/kartor_geotiff/A 18120-2026 georefererad karta.tif", "A 18120-2026")</f>
        <v/>
      </c>
      <c r="AA29">
        <f>HYPERLINK("https://klasma.github.io/Logging_2101/klagomål/A 18120-2026 FSC-klagomål.docx", "A 18120-2026")</f>
        <v/>
      </c>
      <c r="AB29">
        <f>HYPERLINK("https://klasma.github.io/Logging_2101/klagomålsmail/A 18120-2026 FSC-klagomål mail.docx", "A 18120-2026")</f>
        <v/>
      </c>
      <c r="AC29">
        <f>HYPERLINK("https://klasma.github.io/Logging_2101/tillsyn/A 18120-2026 tillsynsbegäran.docx", "A 18120-2026")</f>
        <v/>
      </c>
      <c r="AD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46269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Lopplummer (aggregat)</t>
        </is>
      </c>
      <c r="W30">
        <f>HYPERLINK("https://klasma.github.io/Logging_2101/artfynd/A 20299-2026 artfynd.xlsx", "A 20299-2026")</f>
        <v/>
      </c>
      <c r="X30">
        <f>HYPERLINK("https://klasma.github.io/Logging_2101/kartor/A 20299-2026 karta.png", "A 20299-2026")</f>
        <v/>
      </c>
      <c r="Y30">
        <f>HYPERLINK("https://klasma.github.io/Logging_2101/kartor_geotiff/A 20299-2026 georefererad karta.tif", "A 20299-2026")</f>
        <v/>
      </c>
      <c r="AA30">
        <f>HYPERLINK("https://klasma.github.io/Logging_2101/klagomål/A 20299-2026 FSC-klagomål.docx", "A 20299-2026")</f>
        <v/>
      </c>
      <c r="AB30">
        <f>HYPERLINK("https://klasma.github.io/Logging_2101/klagomålsmail/A 20299-2026 FSC-klagomål mail.docx", "A 20299-2026")</f>
        <v/>
      </c>
      <c r="AC30">
        <f>HYPERLINK("https://klasma.github.io/Logging_2101/tillsyn/A 20299-2026 tillsynsbegäran.docx", "A 20299-2026")</f>
        <v/>
      </c>
      <c r="AD30">
        <f>HYPERLINK("https://klasma.github.io/Logging_2101/tillsynsmail/A 20299-2026 tillsynsbegäran mail.docx", "A 20299-2026")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46269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4180-2026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46269</v>
      </c>
      <c r="F32" t="inlineStr">
        <is>
          <t>GÄVLEBORGS LÄN</t>
        </is>
      </c>
      <c r="G32" t="inlineStr">
        <is>
          <t>OCKELBO</t>
        </is>
      </c>
      <c r="I32" t="n">
        <v>15.9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Tjäder
Revlummer</t>
        </is>
      </c>
      <c r="W32">
        <f>HYPERLINK("https://klasma.github.io/Logging_2101/artfynd/A 4180-2026 artfynd.xlsx", "A 4180-2026")</f>
        <v/>
      </c>
      <c r="X32">
        <f>HYPERLINK("https://klasma.github.io/Logging_2101/kartor/A 4180-2026 karta.png", "A 4180-2026")</f>
        <v/>
      </c>
      <c r="Y32">
        <f>HYPERLINK("https://klasma.github.io/Logging_2101/kartor_geotiff/A 4180-2026 georefererad karta.tif", "A 4180-2026")</f>
        <v/>
      </c>
      <c r="AA32">
        <f>HYPERLINK("https://klasma.github.io/Logging_2101/klagomål/A 4180-2026 FSC-klagomål.docx", "A 4180-2026")</f>
        <v/>
      </c>
      <c r="AB32">
        <f>HYPERLINK("https://klasma.github.io/Logging_2101/klagomålsmail/A 4180-2026 FSC-klagomål mail.docx", "A 4180-2026")</f>
        <v/>
      </c>
      <c r="AC32">
        <f>HYPERLINK("https://klasma.github.io/Logging_2101/tillsyn/A 4180-2026 tillsynsbegäran.docx", "A 4180-2026")</f>
        <v/>
      </c>
      <c r="AD32">
        <f>HYPERLINK("https://klasma.github.io/Logging_2101/tillsynsmail/A 4180-2026 tillsynsbegäran mail.docx", "A 4180-2026")</f>
        <v/>
      </c>
      <c r="AE32">
        <f>HYPERLINK("https://klasma.github.io/Logging_2101/fåglar/A 4180-2026 prioriterade fågelarter.docx", "A 4180-2026")</f>
        <v/>
      </c>
    </row>
    <row r="33" ht="15" customHeight="1">
      <c r="A33" t="inlineStr">
        <is>
          <t>A 17107-2026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46269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36.8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Fläcknycklar
Revlummer</t>
        </is>
      </c>
      <c r="W33">
        <f>HYPERLINK("https://klasma.github.io/Logging_2101/artfynd/A 17107-2026 artfynd.xlsx", "A 17107-2026")</f>
        <v/>
      </c>
      <c r="X33">
        <f>HYPERLINK("https://klasma.github.io/Logging_2101/kartor/A 17107-2026 karta.png", "A 17107-2026")</f>
        <v/>
      </c>
      <c r="Y33">
        <f>HYPERLINK("https://klasma.github.io/Logging_2101/kartor_geotiff/A 17107-2026 georefererad karta.tif", "A 17107-2026")</f>
        <v/>
      </c>
      <c r="AA33">
        <f>HYPERLINK("https://klasma.github.io/Logging_2101/klagomål/A 17107-2026 FSC-klagomål.docx", "A 17107-2026")</f>
        <v/>
      </c>
      <c r="AB33">
        <f>HYPERLINK("https://klasma.github.io/Logging_2101/klagomålsmail/A 17107-2026 FSC-klagomål mail.docx", "A 17107-2026")</f>
        <v/>
      </c>
      <c r="AC33">
        <f>HYPERLINK("https://klasma.github.io/Logging_2101/tillsyn/A 17107-2026 tillsynsbegäran.docx", "A 17107-2026")</f>
        <v/>
      </c>
      <c r="AD33">
        <f>HYPERLINK("https://klasma.github.io/Logging_2101/tillsynsmail/A 17107-2026 tillsynsbegäran mail.docx", "A 17107-2026")</f>
        <v/>
      </c>
    </row>
    <row r="34" ht="15" customHeight="1">
      <c r="A34" t="inlineStr">
        <is>
          <t>A 19145-2026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46269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11.9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Garnlav
Revlummer</t>
        </is>
      </c>
      <c r="W34">
        <f>HYPERLINK("https://klasma.github.io/Logging_2101/artfynd/A 19145-2026 artfynd.xlsx", "A 19145-2026")</f>
        <v/>
      </c>
      <c r="X34">
        <f>HYPERLINK("https://klasma.github.io/Logging_2101/kartor/A 19145-2026 karta.png", "A 19145-2026")</f>
        <v/>
      </c>
      <c r="Y34">
        <f>HYPERLINK("https://klasma.github.io/Logging_2101/kartor_geotiff/A 19145-2026 georefererad karta.tif", "A 19145-2026")</f>
        <v/>
      </c>
      <c r="AA34">
        <f>HYPERLINK("https://klasma.github.io/Logging_2101/klagomål/A 19145-2026 FSC-klagomål.docx", "A 19145-2026")</f>
        <v/>
      </c>
      <c r="AB34">
        <f>HYPERLINK("https://klasma.github.io/Logging_2101/klagomålsmail/A 19145-2026 FSC-klagomål mail.docx", "A 19145-2026")</f>
        <v/>
      </c>
      <c r="AC34">
        <f>HYPERLINK("https://klasma.github.io/Logging_2101/tillsyn/A 19145-2026 tillsynsbegäran.docx", "A 19145-2026")</f>
        <v/>
      </c>
      <c r="AD34">
        <f>HYPERLINK("https://klasma.github.io/Logging_2101/tillsynsmail/A 19145-2026 tillsynsbegäran mail.docx", "A 19145-2026")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46269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46269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46269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46269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64364-2023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46269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64364-2023 artfynd.xlsx", "A 64364-2023")</f>
        <v/>
      </c>
      <c r="X39">
        <f>HYPERLINK("https://klasma.github.io/Logging_2101/kartor/A 64364-2023 karta.png", "A 64364-2023")</f>
        <v/>
      </c>
      <c r="Y39">
        <f>HYPERLINK("https://klasma.github.io/Logging_2101/kartor_geotiff/A 64364-2023 georefererad karta.tif", "A 64364-2023")</f>
        <v/>
      </c>
      <c r="AA39">
        <f>HYPERLINK("https://klasma.github.io/Logging_2101/klagomål/A 64364-2023 FSC-klagomål.docx", "A 64364-2023")</f>
        <v/>
      </c>
      <c r="AB39">
        <f>HYPERLINK("https://klasma.github.io/Logging_2101/klagomålsmail/A 64364-2023 FSC-klagomål mail.docx", "A 64364-2023")</f>
        <v/>
      </c>
      <c r="AC39">
        <f>HYPERLINK("https://klasma.github.io/Logging_2101/tillsyn/A 64364-2023 tillsynsbegäran.docx", "A 64364-2023")</f>
        <v/>
      </c>
      <c r="AD39">
        <f>HYPERLINK("https://klasma.github.io/Logging_2101/tillsynsmail/A 64364-2023 tillsynsbegäran mail.docx", "A 64364-2023")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46269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9155-2026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46269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HYPERLINK("https://klasma.github.io/Logging_2101/artfynd/A 9155-2026 artfynd.xlsx", "A 9155-2026")</f>
        <v/>
      </c>
      <c r="X41">
        <f>HYPERLINK("https://klasma.github.io/Logging_2101/kartor/A 9155-2026 karta.png", "A 9155-2026")</f>
        <v/>
      </c>
      <c r="Y41">
        <f>HYPERLINK("https://klasma.github.io/Logging_2101/kartor_geotiff/A 9155-2026 georefererad karta.tif", "A 9155-2026")</f>
        <v/>
      </c>
      <c r="AA41">
        <f>HYPERLINK("https://klasma.github.io/Logging_2101/klagomål/A 9155-2026 FSC-klagomål.docx", "A 9155-2026")</f>
        <v/>
      </c>
      <c r="AB41">
        <f>HYPERLINK("https://klasma.github.io/Logging_2101/klagomålsmail/A 9155-2026 FSC-klagomål mail.docx", "A 9155-2026")</f>
        <v/>
      </c>
      <c r="AC41">
        <f>HYPERLINK("https://klasma.github.io/Logging_2101/tillsyn/A 9155-2026 tillsynsbegäran.docx", "A 9155-2026")</f>
        <v/>
      </c>
      <c r="AD41">
        <f>HYPERLINK("https://klasma.github.io/Logging_2101/tillsynsmail/A 9155-2026 tillsynsbegäran mail.docx", "A 9155-2026")</f>
        <v/>
      </c>
    </row>
    <row r="42" ht="15" customHeight="1">
      <c r="A42" t="inlineStr">
        <is>
          <t>A 20233-2026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46139</v>
      </c>
      <c r="E42" s="1" t="n">
        <v>46269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17.9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Tibast</t>
        </is>
      </c>
      <c r="W42">
        <f>HYPERLINK("https://klasma.github.io/Logging_2101/artfynd/A 20233-2026 artfynd.xlsx", "A 20233-2026")</f>
        <v/>
      </c>
      <c r="X42">
        <f>HYPERLINK("https://klasma.github.io/Logging_2101/kartor/A 20233-2026 karta.png", "A 20233-2026")</f>
        <v/>
      </c>
      <c r="Y42">
        <f>HYPERLINK("https://klasma.github.io/Logging_2101/kartor_geotiff/A 20233-2026 georefererad karta.tif", "A 20233-2026")</f>
        <v/>
      </c>
      <c r="AA42">
        <f>HYPERLINK("https://klasma.github.io/Logging_2101/klagomål/A 20233-2026 FSC-klagomål.docx", "A 20233-2026")</f>
        <v/>
      </c>
      <c r="AB42">
        <f>HYPERLINK("https://klasma.github.io/Logging_2101/klagomålsmail/A 20233-2026 FSC-klagomål mail.docx", "A 20233-2026")</f>
        <v/>
      </c>
      <c r="AC42">
        <f>HYPERLINK("https://klasma.github.io/Logging_2101/tillsyn/A 20233-2026 tillsynsbegäran.docx", "A 20233-2026")</f>
        <v/>
      </c>
      <c r="AD42">
        <f>HYPERLINK("https://klasma.github.io/Logging_2101/tillsynsmail/A 20233-2026 tillsynsbegäran mail.docx", "A 20233-2026")</f>
        <v/>
      </c>
    </row>
    <row r="43" ht="15" customHeight="1">
      <c r="A43" t="inlineStr">
        <is>
          <t>A 22821-2024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46269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HYPERLINK("https://klasma.github.io/Logging_2101/artfynd/A 22821-2024 artfynd.xlsx", "A 22821-2024")</f>
        <v/>
      </c>
      <c r="X43">
        <f>HYPERLINK("https://klasma.github.io/Logging_2101/kartor/A 22821-2024 karta.png", "A 22821-2024")</f>
        <v/>
      </c>
      <c r="Y43">
        <f>HYPERLINK("https://klasma.github.io/Logging_2101/kartor_geotiff/A 22821-2024 georefererad karta.tif", "A 22821-2024")</f>
        <v/>
      </c>
      <c r="AA43">
        <f>HYPERLINK("https://klasma.github.io/Logging_2101/klagomål/A 22821-2024 FSC-klagomål.docx", "A 22821-2024")</f>
        <v/>
      </c>
      <c r="AB43">
        <f>HYPERLINK("https://klasma.github.io/Logging_2101/klagomålsmail/A 22821-2024 FSC-klagomål mail.docx", "A 22821-2024")</f>
        <v/>
      </c>
      <c r="AC43">
        <f>HYPERLINK("https://klasma.github.io/Logging_2101/tillsyn/A 22821-2024 tillsynsbegäran.docx", "A 22821-2024")</f>
        <v/>
      </c>
      <c r="AD43">
        <f>HYPERLINK("https://klasma.github.io/Logging_2101/tillsynsmail/A 22821-2024 tillsynsbegäran mail.docx", "A 22821-2024")</f>
        <v/>
      </c>
    </row>
    <row r="44" ht="15" customHeight="1">
      <c r="A44" t="inlineStr">
        <is>
          <t>A 26448-2024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45469</v>
      </c>
      <c r="E44" s="1" t="n">
        <v>46269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4.5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HYPERLINK("https://klasma.github.io/Logging_2101/artfynd/A 26448-2024 artfynd.xlsx", "A 26448-2024")</f>
        <v/>
      </c>
      <c r="X44">
        <f>HYPERLINK("https://klasma.github.io/Logging_2101/kartor/A 26448-2024 karta.png", "A 26448-2024")</f>
        <v/>
      </c>
      <c r="Y44">
        <f>HYPERLINK("https://klasma.github.io/Logging_2101/kartor_geotiff/A 26448-2024 georefererad karta.tif", "A 26448-2024")</f>
        <v/>
      </c>
      <c r="AA44">
        <f>HYPERLINK("https://klasma.github.io/Logging_2101/klagomål/A 26448-2024 FSC-klagomål.docx", "A 26448-2024")</f>
        <v/>
      </c>
      <c r="AB44">
        <f>HYPERLINK("https://klasma.github.io/Logging_2101/klagomålsmail/A 26448-2024 FSC-klagomål mail.docx", "A 26448-2024")</f>
        <v/>
      </c>
      <c r="AC44">
        <f>HYPERLINK("https://klasma.github.io/Logging_2101/tillsyn/A 26448-2024 tillsynsbegäran.docx", "A 26448-2024")</f>
        <v/>
      </c>
      <c r="AD44">
        <f>HYPERLINK("https://klasma.github.io/Logging_2101/tillsynsmail/A 26448-2024 tillsynsbegäran mail.docx", "A 26448-2024")</f>
        <v/>
      </c>
    </row>
    <row r="45" ht="15" customHeight="1">
      <c r="A45" t="inlineStr">
        <is>
          <t>A 15039-2026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46269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18.2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15039-2026 artfynd.xlsx", "A 15039-2026")</f>
        <v/>
      </c>
      <c r="X45">
        <f>HYPERLINK("https://klasma.github.io/Logging_2101/kartor/A 15039-2026 karta.png", "A 15039-2026")</f>
        <v/>
      </c>
      <c r="Y45">
        <f>HYPERLINK("https://klasma.github.io/Logging_2101/kartor_geotiff/A 15039-2026 georefererad karta.tif", "A 15039-2026")</f>
        <v/>
      </c>
      <c r="AA45">
        <f>HYPERLINK("https://klasma.github.io/Logging_2101/klagomål/A 15039-2026 FSC-klagomål.docx", "A 15039-2026")</f>
        <v/>
      </c>
      <c r="AB45">
        <f>HYPERLINK("https://klasma.github.io/Logging_2101/klagomålsmail/A 15039-2026 FSC-klagomål mail.docx", "A 15039-2026")</f>
        <v/>
      </c>
      <c r="AC45">
        <f>HYPERLINK("https://klasma.github.io/Logging_2101/tillsyn/A 15039-2026 tillsynsbegäran.docx", "A 15039-2026")</f>
        <v/>
      </c>
      <c r="AD45">
        <f>HYPERLINK("https://klasma.github.io/Logging_2101/tillsynsmail/A 15039-2026 tillsynsbegäran mail.docx", "A 15039-2026")</f>
        <v/>
      </c>
      <c r="AE45">
        <f>HYPERLINK("https://klasma.github.io/Logging_2101/fåglar/A 15039-2026 prioriterade fågelarter.docx", "A 15039-2026")</f>
        <v/>
      </c>
    </row>
    <row r="46" ht="15" customHeight="1">
      <c r="A46" t="inlineStr">
        <is>
          <t>A 11970-2026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46269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HYPERLINK("https://klasma.github.io/Logging_2101/artfynd/A 11970-2026 artfynd.xlsx", "A 11970-2026")</f>
        <v/>
      </c>
      <c r="X46">
        <f>HYPERLINK("https://klasma.github.io/Logging_2101/kartor/A 11970-2026 karta.png", "A 11970-2026")</f>
        <v/>
      </c>
      <c r="Y46">
        <f>HYPERLINK("https://klasma.github.io/Logging_2101/kartor_geotiff/A 11970-2026 georefererad karta.tif", "A 11970-2026")</f>
        <v/>
      </c>
      <c r="AA46">
        <f>HYPERLINK("https://klasma.github.io/Logging_2101/klagomål/A 11970-2026 FSC-klagomål.docx", "A 11970-2026")</f>
        <v/>
      </c>
      <c r="AB46">
        <f>HYPERLINK("https://klasma.github.io/Logging_2101/klagomålsmail/A 11970-2026 FSC-klagomål mail.docx", "A 11970-2026")</f>
        <v/>
      </c>
      <c r="AC46">
        <f>HYPERLINK("https://klasma.github.io/Logging_2101/tillsyn/A 11970-2026 tillsynsbegäran.docx", "A 11970-2026")</f>
        <v/>
      </c>
      <c r="AD46">
        <f>HYPERLINK("https://klasma.github.io/Logging_2101/tillsynsmail/A 11970-2026 tillsynsbegäran mail.docx", "A 11970-2026")</f>
        <v/>
      </c>
      <c r="AE46">
        <f>HYPERLINK("https://klasma.github.io/Logging_2101/fåglar/A 11970-2026 prioriterade fågelarter.docx", "A 11970-2026")</f>
        <v/>
      </c>
    </row>
    <row r="47" ht="15" customHeight="1">
      <c r="A47" t="inlineStr">
        <is>
          <t>A 57946-2023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46269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HYPERLINK("https://klasma.github.io/Logging_2101/artfynd/A 57946-2023 artfynd.xlsx", "A 57946-2023")</f>
        <v/>
      </c>
      <c r="X47">
        <f>HYPERLINK("https://klasma.github.io/Logging_2101/kartor/A 57946-2023 karta.png", "A 57946-2023")</f>
        <v/>
      </c>
      <c r="Y47">
        <f>HYPERLINK("https://klasma.github.io/Logging_2101/kartor_geotiff/A 57946-2023 georefererad karta.tif", "A 57946-2023")</f>
        <v/>
      </c>
      <c r="AA47">
        <f>HYPERLINK("https://klasma.github.io/Logging_2101/klagomål/A 57946-2023 FSC-klagomål.docx", "A 57946-2023")</f>
        <v/>
      </c>
      <c r="AB47">
        <f>HYPERLINK("https://klasma.github.io/Logging_2101/klagomålsmail/A 57946-2023 FSC-klagomål mail.docx", "A 57946-2023")</f>
        <v/>
      </c>
      <c r="AC47">
        <f>HYPERLINK("https://klasma.github.io/Logging_2101/tillsyn/A 57946-2023 tillsynsbegäran.docx", "A 57946-2023")</f>
        <v/>
      </c>
      <c r="AD47">
        <f>HYPERLINK("https://klasma.github.io/Logging_2101/tillsynsmail/A 57946-2023 tillsynsbegäran mail.docx", "A 57946-2023")</f>
        <v/>
      </c>
    </row>
    <row r="48" ht="15" customHeight="1">
      <c r="A48" t="inlineStr">
        <is>
          <t>A 10448-2026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46269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Plattlummer</t>
        </is>
      </c>
      <c r="W48">
        <f>HYPERLINK("https://klasma.github.io/Logging_2101/artfynd/A 10448-2026 artfynd.xlsx", "A 10448-2026")</f>
        <v/>
      </c>
      <c r="X48">
        <f>HYPERLINK("https://klasma.github.io/Logging_2101/kartor/A 10448-2026 karta.png", "A 10448-2026")</f>
        <v/>
      </c>
      <c r="Y48">
        <f>HYPERLINK("https://klasma.github.io/Logging_2101/kartor_geotiff/A 10448-2026 georefererad karta.tif", "A 10448-2026")</f>
        <v/>
      </c>
      <c r="AA48">
        <f>HYPERLINK("https://klasma.github.io/Logging_2101/klagomål/A 10448-2026 FSC-klagomål.docx", "A 10448-2026")</f>
        <v/>
      </c>
      <c r="AB48">
        <f>HYPERLINK("https://klasma.github.io/Logging_2101/klagomålsmail/A 10448-2026 FSC-klagomål mail.docx", "A 10448-2026")</f>
        <v/>
      </c>
      <c r="AC48">
        <f>HYPERLINK("https://klasma.github.io/Logging_2101/tillsyn/A 10448-2026 tillsynsbegäran.docx", "A 10448-2026")</f>
        <v/>
      </c>
      <c r="AD48">
        <f>HYPERLINK("https://klasma.github.io/Logging_2101/tillsynsmail/A 10448-2026 tillsynsbegäran mail.docx", "A 10448-2026")</f>
        <v/>
      </c>
    </row>
    <row r="49" ht="15" customHeight="1">
      <c r="A49" t="inlineStr">
        <is>
          <t>A 46481-2024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46269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HYPERLINK("https://klasma.github.io/Logging_2101/artfynd/A 46481-2024 artfynd.xlsx", "A 46481-2024")</f>
        <v/>
      </c>
      <c r="X49">
        <f>HYPERLINK("https://klasma.github.io/Logging_2101/kartor/A 46481-2024 karta.png", "A 46481-2024")</f>
        <v/>
      </c>
      <c r="Y49">
        <f>HYPERLINK("https://klasma.github.io/Logging_2101/kartor_geotiff/A 46481-2024 georefererad karta.tif", "A 46481-2024")</f>
        <v/>
      </c>
      <c r="AA49">
        <f>HYPERLINK("https://klasma.github.io/Logging_2101/klagomål/A 46481-2024 FSC-klagomål.docx", "A 46481-2024")</f>
        <v/>
      </c>
      <c r="AB49">
        <f>HYPERLINK("https://klasma.github.io/Logging_2101/klagomålsmail/A 46481-2024 FSC-klagomål mail.docx", "A 46481-2024")</f>
        <v/>
      </c>
      <c r="AC49">
        <f>HYPERLINK("https://klasma.github.io/Logging_2101/tillsyn/A 46481-2024 tillsynsbegäran.docx", "A 46481-2024")</f>
        <v/>
      </c>
      <c r="AD49">
        <f>HYPERLINK("https://klasma.github.io/Logging_2101/tillsynsmail/A 46481-2024 tillsynsbegäran mail.docx", "A 46481-2024")</f>
        <v/>
      </c>
    </row>
    <row r="50" ht="15" customHeight="1">
      <c r="A50" t="inlineStr">
        <is>
          <t>A 60615-2021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46269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Vanlig padda</t>
        </is>
      </c>
      <c r="W50">
        <f>HYPERLINK("https://klasma.github.io/Logging_2101/artfynd/A 60615-2021 artfynd.xlsx", "A 60615-2021")</f>
        <v/>
      </c>
      <c r="X50">
        <f>HYPERLINK("https://klasma.github.io/Logging_2101/kartor/A 60615-2021 karta.png", "A 60615-2021")</f>
        <v/>
      </c>
      <c r="Y50">
        <f>HYPERLINK("https://klasma.github.io/Logging_2101/kartor_geotiff/A 60615-2021 georefererad karta.tif", "A 60615-2021")</f>
        <v/>
      </c>
      <c r="AA50">
        <f>HYPERLINK("https://klasma.github.io/Logging_2101/klagomål/A 60615-2021 FSC-klagomål.docx", "A 60615-2021")</f>
        <v/>
      </c>
      <c r="AB50">
        <f>HYPERLINK("https://klasma.github.io/Logging_2101/klagomålsmail/A 60615-2021 FSC-klagomål mail.docx", "A 60615-2021")</f>
        <v/>
      </c>
      <c r="AC50">
        <f>HYPERLINK("https://klasma.github.io/Logging_2101/tillsyn/A 60615-2021 tillsynsbegäran.docx", "A 60615-2021")</f>
        <v/>
      </c>
      <c r="AD50">
        <f>HYPERLINK("https://klasma.github.io/Logging_2101/tillsynsmail/A 60615-2021 tillsynsbegäran mail.docx", "A 60615-2021")</f>
        <v/>
      </c>
    </row>
    <row r="51" ht="15" customHeight="1">
      <c r="A51" t="inlineStr">
        <is>
          <t>A 55778-2025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45972</v>
      </c>
      <c r="E51" s="1" t="n">
        <v>46269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HYPERLINK("https://klasma.github.io/Logging_2101/artfynd/A 55778-2025 artfynd.xlsx", "A 55778-2025")</f>
        <v/>
      </c>
      <c r="X51">
        <f>HYPERLINK("https://klasma.github.io/Logging_2101/kartor/A 55778-2025 karta.png", "A 55778-2025")</f>
        <v/>
      </c>
      <c r="Y51">
        <f>HYPERLINK("https://klasma.github.io/Logging_2101/kartor_geotiff/A 55778-2025 georefererad karta.tif", "A 55778-2025")</f>
        <v/>
      </c>
      <c r="AA51">
        <f>HYPERLINK("https://klasma.github.io/Logging_2101/klagomål/A 55778-2025 FSC-klagomål.docx", "A 55778-2025")</f>
        <v/>
      </c>
      <c r="AB51">
        <f>HYPERLINK("https://klasma.github.io/Logging_2101/klagomålsmail/A 55778-2025 FSC-klagomål mail.docx", "A 55778-2025")</f>
        <v/>
      </c>
      <c r="AC51">
        <f>HYPERLINK("https://klasma.github.io/Logging_2101/tillsyn/A 55778-2025 tillsynsbegäran.docx", "A 55778-2025")</f>
        <v/>
      </c>
      <c r="AD51">
        <f>HYPERLINK("https://klasma.github.io/Logging_2101/tillsynsmail/A 55778-2025 tillsynsbegäran mail.docx", "A 55778-2025")</f>
        <v/>
      </c>
    </row>
    <row r="52" ht="15" customHeight="1">
      <c r="A52" t="inlineStr">
        <is>
          <t>A 4226-2023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46269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Skogsknipprot</t>
        </is>
      </c>
      <c r="W52">
        <f>HYPERLINK("https://klasma.github.io/Logging_2101/artfynd/A 4226-2023 artfynd.xlsx", "A 4226-2023")</f>
        <v/>
      </c>
      <c r="X52">
        <f>HYPERLINK("https://klasma.github.io/Logging_2101/kartor/A 4226-2023 karta.png", "A 4226-2023")</f>
        <v/>
      </c>
      <c r="Y52">
        <f>HYPERLINK("https://klasma.github.io/Logging_2101/kartor_geotiff/A 4226-2023 georefererad karta.tif", "A 4226-2023")</f>
        <v/>
      </c>
      <c r="AA52">
        <f>HYPERLINK("https://klasma.github.io/Logging_2101/klagomål/A 4226-2023 FSC-klagomål.docx", "A 4226-2023")</f>
        <v/>
      </c>
      <c r="AB52">
        <f>HYPERLINK("https://klasma.github.io/Logging_2101/klagomålsmail/A 4226-2023 FSC-klagomål mail.docx", "A 4226-2023")</f>
        <v/>
      </c>
      <c r="AC52">
        <f>HYPERLINK("https://klasma.github.io/Logging_2101/tillsyn/A 4226-2023 tillsynsbegäran.docx", "A 4226-2023")</f>
        <v/>
      </c>
      <c r="AD52">
        <f>HYPERLINK("https://klasma.github.io/Logging_2101/tillsynsmail/A 4226-2023 tillsynsbegäran mail.docx", "A 4226-2023")</f>
        <v/>
      </c>
    </row>
    <row r="53" ht="15" customHeight="1">
      <c r="A53" t="inlineStr">
        <is>
          <t>A 62989-2025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46269</v>
      </c>
      <c r="F53" t="inlineStr">
        <is>
          <t>GÄVLEBORGS LÄN</t>
        </is>
      </c>
      <c r="G53" t="inlineStr">
        <is>
          <t>OCKELBO</t>
        </is>
      </c>
      <c r="I53" t="n">
        <v>1.7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Kortskaftad ärgspik</t>
        </is>
      </c>
      <c r="W53">
        <f>HYPERLINK("https://klasma.github.io/Logging_2101/artfynd/A 62989-2025 artfynd.xlsx", "A 62989-2025")</f>
        <v/>
      </c>
      <c r="X53">
        <f>HYPERLINK("https://klasma.github.io/Logging_2101/kartor/A 62989-2025 karta.png", "A 62989-2025")</f>
        <v/>
      </c>
      <c r="Y53">
        <f>HYPERLINK("https://klasma.github.io/Logging_2101/kartor_geotiff/A 62989-2025 georefererad karta.tif", "A 62989-2025")</f>
        <v/>
      </c>
      <c r="AA53">
        <f>HYPERLINK("https://klasma.github.io/Logging_2101/klagomål/A 62989-2025 FSC-klagomål.docx", "A 62989-2025")</f>
        <v/>
      </c>
      <c r="AB53">
        <f>HYPERLINK("https://klasma.github.io/Logging_2101/klagomålsmail/A 62989-2025 FSC-klagomål mail.docx", "A 62989-2025")</f>
        <v/>
      </c>
      <c r="AC53">
        <f>HYPERLINK("https://klasma.github.io/Logging_2101/tillsyn/A 62989-2025 tillsynsbegäran.docx", "A 62989-2025")</f>
        <v/>
      </c>
      <c r="AD53">
        <f>HYPERLINK("https://klasma.github.io/Logging_2101/tillsynsmail/A 62989-2025 tillsynsbegäran mail.docx", "A 62989-2025")</f>
        <v/>
      </c>
    </row>
    <row r="54" ht="15" customHeight="1">
      <c r="A54" t="inlineStr">
        <is>
          <t>A 2923-2026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46038</v>
      </c>
      <c r="E54" s="1" t="n">
        <v>46269</v>
      </c>
      <c r="F54" t="inlineStr">
        <is>
          <t>GÄVLEBORGS LÄN</t>
        </is>
      </c>
      <c r="G54" t="inlineStr">
        <is>
          <t>OCKELBO</t>
        </is>
      </c>
      <c r="I54" t="n">
        <v>2.8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HYPERLINK("https://klasma.github.io/Logging_2101/artfynd/A 2923-2026 artfynd.xlsx", "A 2923-2026")</f>
        <v/>
      </c>
      <c r="X54">
        <f>HYPERLINK("https://klasma.github.io/Logging_2101/kartor/A 2923-2026 karta.png", "A 2923-2026")</f>
        <v/>
      </c>
      <c r="Y54">
        <f>HYPERLINK("https://klasma.github.io/Logging_2101/kartor_geotiff/A 2923-2026 georefererad karta.tif", "A 2923-2026")</f>
        <v/>
      </c>
      <c r="Z54">
        <f>HYPERLINK("https://klasma.github.io/Logging_2101/knärot/A 2923-2026 karta knärot.png", "A 2923-2026")</f>
        <v/>
      </c>
      <c r="AA54">
        <f>HYPERLINK("https://klasma.github.io/Logging_2101/klagomål/A 2923-2026 FSC-klagomål.docx", "A 2923-2026")</f>
        <v/>
      </c>
      <c r="AB54">
        <f>HYPERLINK("https://klasma.github.io/Logging_2101/klagomålsmail/A 2923-2026 FSC-klagomål mail.docx", "A 2923-2026")</f>
        <v/>
      </c>
      <c r="AC54">
        <f>HYPERLINK("https://klasma.github.io/Logging_2101/tillsyn/A 2923-2026 tillsynsbegäran.docx", "A 2923-2026")</f>
        <v/>
      </c>
      <c r="AD54">
        <f>HYPERLINK("https://klasma.github.io/Logging_2101/tillsynsmail/A 2923-2026 tillsynsbegäran mail.docx", "A 2923-2026")</f>
        <v/>
      </c>
    </row>
    <row r="55" ht="15" customHeight="1">
      <c r="A55" t="inlineStr">
        <is>
          <t>A 6121-2026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46053</v>
      </c>
      <c r="E55" s="1" t="n">
        <v>46269</v>
      </c>
      <c r="F55" t="inlineStr">
        <is>
          <t>GÄVLEBORGS LÄN</t>
        </is>
      </c>
      <c r="G55" t="inlineStr">
        <is>
          <t>OCKELBO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HYPERLINK("https://klasma.github.io/Logging_2101/artfynd/A 6121-2026 artfynd.xlsx", "A 6121-2026")</f>
        <v/>
      </c>
      <c r="X55">
        <f>HYPERLINK("https://klasma.github.io/Logging_2101/kartor/A 6121-2026 karta.png", "A 6121-2026")</f>
        <v/>
      </c>
      <c r="Y55">
        <f>HYPERLINK("https://klasma.github.io/Logging_2101/kartor_geotiff/A 6121-2026 georefererad karta.tif", "A 6121-2026")</f>
        <v/>
      </c>
      <c r="AA55">
        <f>HYPERLINK("https://klasma.github.io/Logging_2101/klagomål/A 6121-2026 FSC-klagomål.docx", "A 6121-2026")</f>
        <v/>
      </c>
      <c r="AB55">
        <f>HYPERLINK("https://klasma.github.io/Logging_2101/klagomålsmail/A 6121-2026 FSC-klagomål mail.docx", "A 6121-2026")</f>
        <v/>
      </c>
      <c r="AC55">
        <f>HYPERLINK("https://klasma.github.io/Logging_2101/tillsyn/A 6121-2026 tillsynsbegäran.docx", "A 6121-2026")</f>
        <v/>
      </c>
      <c r="AD55">
        <f>HYPERLINK("https://klasma.github.io/Logging_2101/tillsynsmail/A 6121-2026 tillsynsbegäran mail.docx", "A 6121-2026")</f>
        <v/>
      </c>
      <c r="AE55">
        <f>HYPERLINK("https://klasma.github.io/Logging_2101/fåglar/A 6121-2026 prioriterade fågelarter.docx", "A 6121-2026")</f>
        <v/>
      </c>
    </row>
    <row r="56" ht="15" customHeight="1">
      <c r="A56" t="inlineStr">
        <is>
          <t>A 6586-2026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46056</v>
      </c>
      <c r="E56" s="1" t="n">
        <v>46269</v>
      </c>
      <c r="F56" t="inlineStr">
        <is>
          <t>GÄVLEBORGS LÄN</t>
        </is>
      </c>
      <c r="G56" t="inlineStr">
        <is>
          <t>OCKELBO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6586-2026 artfynd.xlsx", "A 6586-2026")</f>
        <v/>
      </c>
      <c r="X56">
        <f>HYPERLINK("https://klasma.github.io/Logging_2101/kartor/A 6586-2026 karta.png", "A 6586-2026")</f>
        <v/>
      </c>
      <c r="Y56">
        <f>HYPERLINK("https://klasma.github.io/Logging_2101/kartor_geotiff/A 6586-2026 georefererad karta.tif", "A 6586-2026")</f>
        <v/>
      </c>
      <c r="AA56">
        <f>HYPERLINK("https://klasma.github.io/Logging_2101/klagomål/A 6586-2026 FSC-klagomål.docx", "A 6586-2026")</f>
        <v/>
      </c>
      <c r="AB56">
        <f>HYPERLINK("https://klasma.github.io/Logging_2101/klagomålsmail/A 6586-2026 FSC-klagomål mail.docx", "A 6586-2026")</f>
        <v/>
      </c>
      <c r="AC56">
        <f>HYPERLINK("https://klasma.github.io/Logging_2101/tillsyn/A 6586-2026 tillsynsbegäran.docx", "A 6586-2026")</f>
        <v/>
      </c>
      <c r="AD56">
        <f>HYPERLINK("https://klasma.github.io/Logging_2101/tillsynsmail/A 6586-2026 tillsynsbegäran mail.docx", "A 6586-2026")</f>
        <v/>
      </c>
    </row>
    <row r="57" ht="15" customHeight="1">
      <c r="A57" t="inlineStr">
        <is>
          <t>A 10484-2026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46077</v>
      </c>
      <c r="E57" s="1" t="n">
        <v>46269</v>
      </c>
      <c r="F57" t="inlineStr">
        <is>
          <t>GÄVLEBORGS LÄN</t>
        </is>
      </c>
      <c r="G57" t="inlineStr">
        <is>
          <t>OCKELBO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Ullticka</t>
        </is>
      </c>
      <c r="W57">
        <f>HYPERLINK("https://klasma.github.io/Logging_2101/artfynd/A 10484-2026 artfynd.xlsx", "A 10484-2026")</f>
        <v/>
      </c>
      <c r="X57">
        <f>HYPERLINK("https://klasma.github.io/Logging_2101/kartor/A 10484-2026 karta.png", "A 10484-2026")</f>
        <v/>
      </c>
      <c r="Y57">
        <f>HYPERLINK("https://klasma.github.io/Logging_2101/kartor_geotiff/A 10484-2026 georefererad karta.tif", "A 10484-2026")</f>
        <v/>
      </c>
      <c r="AA57">
        <f>HYPERLINK("https://klasma.github.io/Logging_2101/klagomål/A 10484-2026 FSC-klagomål.docx", "A 10484-2026")</f>
        <v/>
      </c>
      <c r="AB57">
        <f>HYPERLINK("https://klasma.github.io/Logging_2101/klagomålsmail/A 10484-2026 FSC-klagomål mail.docx", "A 10484-2026")</f>
        <v/>
      </c>
      <c r="AC57">
        <f>HYPERLINK("https://klasma.github.io/Logging_2101/tillsyn/A 10484-2026 tillsynsbegäran.docx", "A 10484-2026")</f>
        <v/>
      </c>
      <c r="AD57">
        <f>HYPERLINK("https://klasma.github.io/Logging_2101/tillsynsmail/A 10484-2026 tillsynsbegäran mail.docx", "A 10484-2026")</f>
        <v/>
      </c>
    </row>
    <row r="58" ht="15" customHeight="1">
      <c r="A58" t="inlineStr">
        <is>
          <t>A 13640-2026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46269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HYPERLINK("https://klasma.github.io/Logging_2101/artfynd/A 13640-2026 artfynd.xlsx", "A 13640-2026")</f>
        <v/>
      </c>
      <c r="X58">
        <f>HYPERLINK("https://klasma.github.io/Logging_2101/kartor/A 13640-2026 karta.png", "A 13640-2026")</f>
        <v/>
      </c>
      <c r="Y58">
        <f>HYPERLINK("https://klasma.github.io/Logging_2101/kartor_geotiff/A 13640-2026 georefererad karta.tif", "A 13640-2026")</f>
        <v/>
      </c>
      <c r="AA58">
        <f>HYPERLINK("https://klasma.github.io/Logging_2101/klagomål/A 13640-2026 FSC-klagomål.docx", "A 13640-2026")</f>
        <v/>
      </c>
      <c r="AB58">
        <f>HYPERLINK("https://klasma.github.io/Logging_2101/klagomålsmail/A 13640-2026 FSC-klagomål mail.docx", "A 13640-2026")</f>
        <v/>
      </c>
      <c r="AC58">
        <f>HYPERLINK("https://klasma.github.io/Logging_2101/tillsyn/A 13640-2026 tillsynsbegäran.docx", "A 13640-2026")</f>
        <v/>
      </c>
      <c r="AD58">
        <f>HYPERLINK("https://klasma.github.io/Logging_2101/tillsynsmail/A 13640-2026 tillsynsbegäran mail.docx", "A 13640-2026")</f>
        <v/>
      </c>
    </row>
    <row r="59" ht="15" customHeight="1">
      <c r="A59" t="inlineStr">
        <is>
          <t>A 14479-2026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46269</v>
      </c>
      <c r="F59" t="inlineStr">
        <is>
          <t>GÄVLEBORGS LÄN</t>
        </is>
      </c>
      <c r="G59" t="inlineStr">
        <is>
          <t>OCKELBO</t>
        </is>
      </c>
      <c r="I59" t="n">
        <v>4.8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Igelkott</t>
        </is>
      </c>
      <c r="W59">
        <f>HYPERLINK("https://klasma.github.io/Logging_2101/artfynd/A 14479-2026 artfynd.xlsx", "A 14479-2026")</f>
        <v/>
      </c>
      <c r="X59">
        <f>HYPERLINK("https://klasma.github.io/Logging_2101/kartor/A 14479-2026 karta.png", "A 14479-2026")</f>
        <v/>
      </c>
      <c r="Y59">
        <f>HYPERLINK("https://klasma.github.io/Logging_2101/kartor_geotiff/A 14479-2026 georefererad karta.tif", "A 14479-2026")</f>
        <v/>
      </c>
      <c r="AA59">
        <f>HYPERLINK("https://klasma.github.io/Logging_2101/klagomål/A 14479-2026 FSC-klagomål.docx", "A 14479-2026")</f>
        <v/>
      </c>
      <c r="AB59">
        <f>HYPERLINK("https://klasma.github.io/Logging_2101/klagomålsmail/A 14479-2026 FSC-klagomål mail.docx", "A 14479-2026")</f>
        <v/>
      </c>
      <c r="AC59">
        <f>HYPERLINK("https://klasma.github.io/Logging_2101/tillsyn/A 14479-2026 tillsynsbegäran.docx", "A 14479-2026")</f>
        <v/>
      </c>
      <c r="AD59">
        <f>HYPERLINK("https://klasma.github.io/Logging_2101/tillsynsmail/A 14479-2026 tillsynsbegäran mail.docx", "A 14479-2026")</f>
        <v/>
      </c>
    </row>
    <row r="60" ht="15" customHeight="1">
      <c r="A60" t="inlineStr">
        <is>
          <t>A 14664-2026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46101</v>
      </c>
      <c r="E60" s="1" t="n">
        <v>46269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Tjäder</t>
        </is>
      </c>
      <c r="W60">
        <f>HYPERLINK("https://klasma.github.io/Logging_2101/artfynd/A 14664-2026 artfynd.xlsx", "A 14664-2026")</f>
        <v/>
      </c>
      <c r="X60">
        <f>HYPERLINK("https://klasma.github.io/Logging_2101/kartor/A 14664-2026 karta.png", "A 14664-2026")</f>
        <v/>
      </c>
      <c r="Y60">
        <f>HYPERLINK("https://klasma.github.io/Logging_2101/kartor_geotiff/A 14664-2026 georefererad karta.tif", "A 14664-2026")</f>
        <v/>
      </c>
      <c r="AA60">
        <f>HYPERLINK("https://klasma.github.io/Logging_2101/klagomål/A 14664-2026 FSC-klagomål.docx", "A 14664-2026")</f>
        <v/>
      </c>
      <c r="AB60">
        <f>HYPERLINK("https://klasma.github.io/Logging_2101/klagomålsmail/A 14664-2026 FSC-klagomål mail.docx", "A 14664-2026")</f>
        <v/>
      </c>
      <c r="AC60">
        <f>HYPERLINK("https://klasma.github.io/Logging_2101/tillsyn/A 14664-2026 tillsynsbegäran.docx", "A 14664-2026")</f>
        <v/>
      </c>
      <c r="AD60">
        <f>HYPERLINK("https://klasma.github.io/Logging_2101/tillsynsmail/A 14664-2026 tillsynsbegäran mail.docx", "A 14664-2026")</f>
        <v/>
      </c>
      <c r="AE60">
        <f>HYPERLINK("https://klasma.github.io/Logging_2101/fåglar/A 14664-2026 prioriterade fågelarter.docx", "A 14664-2026")</f>
        <v/>
      </c>
    </row>
    <row r="61" ht="15" customHeight="1">
      <c r="A61" t="inlineStr">
        <is>
          <t>A 18188-2026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46269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32.9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HYPERLINK("https://klasma.github.io/Logging_2101/artfynd/A 18188-2026 artfynd.xlsx", "A 18188-2026")</f>
        <v/>
      </c>
      <c r="X61">
        <f>HYPERLINK("https://klasma.github.io/Logging_2101/kartor/A 18188-2026 karta.png", "A 18188-2026")</f>
        <v/>
      </c>
      <c r="Y61">
        <f>HYPERLINK("https://klasma.github.io/Logging_2101/kartor_geotiff/A 18188-2026 georefererad karta.tif", "A 18188-2026")</f>
        <v/>
      </c>
      <c r="AA61">
        <f>HYPERLINK("https://klasma.github.io/Logging_2101/klagomål/A 18188-2026 FSC-klagomål.docx", "A 18188-2026")</f>
        <v/>
      </c>
      <c r="AB61">
        <f>HYPERLINK("https://klasma.github.io/Logging_2101/klagomålsmail/A 18188-2026 FSC-klagomål mail.docx", "A 18188-2026")</f>
        <v/>
      </c>
      <c r="AC61">
        <f>HYPERLINK("https://klasma.github.io/Logging_2101/tillsyn/A 18188-2026 tillsynsbegäran.docx", "A 18188-2026")</f>
        <v/>
      </c>
      <c r="AD61">
        <f>HYPERLINK("https://klasma.github.io/Logging_2101/tillsynsmail/A 18188-2026 tillsynsbegäran mail.docx", "A 18188-2026")</f>
        <v/>
      </c>
      <c r="AE61">
        <f>HYPERLINK("https://klasma.github.io/Logging_2101/fåglar/A 18188-2026 prioriterade fågelarter.docx", "A 18188-2026")</f>
        <v/>
      </c>
    </row>
    <row r="62" ht="15" customHeight="1">
      <c r="A62" t="inlineStr">
        <is>
          <t>A 12777-2026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46091</v>
      </c>
      <c r="E62" s="1" t="n">
        <v>46269</v>
      </c>
      <c r="F62" t="inlineStr">
        <is>
          <t>GÄVLEBORGS LÄN</t>
        </is>
      </c>
      <c r="G62" t="inlineStr">
        <is>
          <t>OCKELBO</t>
        </is>
      </c>
      <c r="I62" t="n">
        <v>4.2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HYPERLINK("https://klasma.github.io/Logging_2101/artfynd/A 12777-2026 artfynd.xlsx", "A 12777-2026")</f>
        <v/>
      </c>
      <c r="X62">
        <f>HYPERLINK("https://klasma.github.io/Logging_2101/kartor/A 12777-2026 karta.png", "A 12777-2026")</f>
        <v/>
      </c>
      <c r="Y62">
        <f>HYPERLINK("https://klasma.github.io/Logging_2101/kartor_geotiff/A 12777-2026 georefererad karta.tif", "A 12777-2026")</f>
        <v/>
      </c>
      <c r="AA62">
        <f>HYPERLINK("https://klasma.github.io/Logging_2101/klagomål/A 12777-2026 FSC-klagomål.docx", "A 12777-2026")</f>
        <v/>
      </c>
      <c r="AB62">
        <f>HYPERLINK("https://klasma.github.io/Logging_2101/klagomålsmail/A 12777-2026 FSC-klagomål mail.docx", "A 12777-2026")</f>
        <v/>
      </c>
      <c r="AC62">
        <f>HYPERLINK("https://klasma.github.io/Logging_2101/tillsyn/A 12777-2026 tillsynsbegäran.docx", "A 12777-2026")</f>
        <v/>
      </c>
      <c r="AD62">
        <f>HYPERLINK("https://klasma.github.io/Logging_2101/tillsynsmail/A 12777-2026 tillsynsbegäran mail.docx", "A 12777-2026")</f>
        <v/>
      </c>
      <c r="AE62">
        <f>HYPERLINK("https://klasma.github.io/Logging_2101/fåglar/A 12777-2026 prioriterade fågelarter.docx", "A 12777-2026")</f>
        <v/>
      </c>
    </row>
    <row r="63" ht="15" customHeight="1">
      <c r="A63" t="inlineStr">
        <is>
          <t>A 10145-2026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46269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öst AB</t>
        </is>
      </c>
      <c r="I63" t="n">
        <v>10.5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Fläcknycklar</t>
        </is>
      </c>
      <c r="W63">
        <f>HYPERLINK("https://klasma.github.io/Logging_2101/artfynd/A 10145-2026 artfynd.xlsx", "A 10145-2026")</f>
        <v/>
      </c>
      <c r="X63">
        <f>HYPERLINK("https://klasma.github.io/Logging_2101/kartor/A 10145-2026 karta.png", "A 10145-2026")</f>
        <v/>
      </c>
      <c r="Y63">
        <f>HYPERLINK("https://klasma.github.io/Logging_2101/kartor_geotiff/A 10145-2026 georefererad karta.tif", "A 10145-2026")</f>
        <v/>
      </c>
      <c r="Z63">
        <f>HYPERLINK("https://klasma.github.io/Logging_2101/knärot/A 10145-2026 karta knärot.png", "A 10145-2026")</f>
        <v/>
      </c>
      <c r="AA63">
        <f>HYPERLINK("https://klasma.github.io/Logging_2101/klagomål/A 10145-2026 FSC-klagomål.docx", "A 10145-2026")</f>
        <v/>
      </c>
      <c r="AB63">
        <f>HYPERLINK("https://klasma.github.io/Logging_2101/klagomålsmail/A 10145-2026 FSC-klagomål mail.docx", "A 10145-2026")</f>
        <v/>
      </c>
      <c r="AC63">
        <f>HYPERLINK("https://klasma.github.io/Logging_2101/tillsyn/A 10145-2026 tillsynsbegäran.docx", "A 10145-2026")</f>
        <v/>
      </c>
      <c r="AD63">
        <f>HYPERLINK("https://klasma.github.io/Logging_2101/tillsynsmail/A 10145-2026 tillsynsbegäran mail.docx", "A 10145-2026")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46269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46269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46269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46269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46269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46269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46269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46269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46269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46269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46269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46269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46269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46269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46269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46269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46269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46269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46269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46269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46269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46269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46269</v>
      </c>
      <c r="F86" t="inlineStr">
        <is>
          <t>GÄVLEBORGS LÄN</t>
        </is>
      </c>
      <c r="G86" t="inlineStr">
        <is>
          <t>OCKELBO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51271-2021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44460</v>
      </c>
      <c r="E87" s="1" t="n">
        <v>46269</v>
      </c>
      <c r="F87" t="inlineStr">
        <is>
          <t>GÄVLEBORGS LÄN</t>
        </is>
      </c>
      <c r="G87" t="inlineStr">
        <is>
          <t>OCKELBO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46269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44802</v>
      </c>
      <c r="E89" s="1" t="n">
        <v>46269</v>
      </c>
      <c r="F89" t="inlineStr">
        <is>
          <t>GÄVLEBORGS LÄN</t>
        </is>
      </c>
      <c r="G89" t="inlineStr">
        <is>
          <t>OCKELBO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46269</v>
      </c>
      <c r="F90" t="inlineStr">
        <is>
          <t>GÄVLEBORGS LÄN</t>
        </is>
      </c>
      <c r="G90" t="inlineStr">
        <is>
          <t>OCKELBO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44480</v>
      </c>
      <c r="E91" s="1" t="n">
        <v>46269</v>
      </c>
      <c r="F91" t="inlineStr">
        <is>
          <t>GÄVLEBORGS LÄN</t>
        </is>
      </c>
      <c r="G91" t="inlineStr">
        <is>
          <t>OCKELBO</t>
        </is>
      </c>
      <c r="I91" t="n">
        <v>10.8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46269</v>
      </c>
      <c r="F92" t="inlineStr">
        <is>
          <t>GÄVLEBORGS LÄN</t>
        </is>
      </c>
      <c r="G92" t="inlineStr">
        <is>
          <t>OCKELBO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46269</v>
      </c>
      <c r="F93" t="inlineStr">
        <is>
          <t>GÄVLEBORGS LÄN</t>
        </is>
      </c>
      <c r="G93" t="inlineStr">
        <is>
          <t>OCKELBO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46269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49207-2023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45210</v>
      </c>
      <c r="E95" s="1" t="n">
        <v>46269</v>
      </c>
      <c r="F95" t="inlineStr">
        <is>
          <t>GÄVLEBORGS LÄN</t>
        </is>
      </c>
      <c r="G95" t="inlineStr">
        <is>
          <t>OCKELBO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46269</v>
      </c>
      <c r="F96" t="inlineStr">
        <is>
          <t>GÄVLEBORGS LÄN</t>
        </is>
      </c>
      <c r="G96" t="inlineStr">
        <is>
          <t>OCKELBO</t>
        </is>
      </c>
      <c r="H96" t="inlineStr">
        <is>
          <t>Kyrkan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45258</v>
      </c>
      <c r="E97" s="1" t="n">
        <v>46269</v>
      </c>
      <c r="F97" t="inlineStr">
        <is>
          <t>GÄVLEBORGS LÄN</t>
        </is>
      </c>
      <c r="G97" t="inlineStr">
        <is>
          <t>OCKELBO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45203</v>
      </c>
      <c r="E98" s="1" t="n">
        <v>46269</v>
      </c>
      <c r="F98" t="inlineStr">
        <is>
          <t>GÄVLEBORGS LÄN</t>
        </is>
      </c>
      <c r="G98" t="inlineStr">
        <is>
          <t>OCKELBO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44950</v>
      </c>
      <c r="E99" s="1" t="n">
        <v>46269</v>
      </c>
      <c r="F99" t="inlineStr">
        <is>
          <t>GÄVLEBORGS LÄN</t>
        </is>
      </c>
      <c r="G99" t="inlineStr">
        <is>
          <t>OCKELBO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46269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46269</v>
      </c>
      <c r="F101" t="inlineStr">
        <is>
          <t>GÄVLEBORGS LÄN</t>
        </is>
      </c>
      <c r="G101" t="inlineStr">
        <is>
          <t>OCKELBO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45786</v>
      </c>
      <c r="E102" s="1" t="n">
        <v>46269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46269</v>
      </c>
      <c r="F103" t="inlineStr">
        <is>
          <t>GÄVLEBORGS LÄN</t>
        </is>
      </c>
      <c r="G103" t="inlineStr">
        <is>
          <t>OCKELBO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45786</v>
      </c>
      <c r="E104" s="1" t="n">
        <v>46269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45478</v>
      </c>
      <c r="E105" s="1" t="n">
        <v>46269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46269</v>
      </c>
      <c r="F106" t="inlineStr">
        <is>
          <t>GÄVLEBORGS LÄN</t>
        </is>
      </c>
      <c r="G106" t="inlineStr">
        <is>
          <t>OCKELBO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46269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46269</v>
      </c>
      <c r="F108" t="inlineStr">
        <is>
          <t>GÄVLEBORGS LÄN</t>
        </is>
      </c>
      <c r="G108" t="inlineStr">
        <is>
          <t>OCKELBO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45398</v>
      </c>
      <c r="E109" s="1" t="n">
        <v>46269</v>
      </c>
      <c r="F109" t="inlineStr">
        <is>
          <t>GÄVLEBORGS LÄN</t>
        </is>
      </c>
      <c r="G109" t="inlineStr">
        <is>
          <t>OCKELBO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22824-2024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45448</v>
      </c>
      <c r="E110" s="1" t="n">
        <v>46269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46269</v>
      </c>
      <c r="F111" t="inlineStr">
        <is>
          <t>GÄVLEBORGS LÄN</t>
        </is>
      </c>
      <c r="G111" t="inlineStr">
        <is>
          <t>OCKELBO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23004-2025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45790</v>
      </c>
      <c r="E112" s="1" t="n">
        <v>46269</v>
      </c>
      <c r="F112" t="inlineStr">
        <is>
          <t>GÄVLEBORGS LÄN</t>
        </is>
      </c>
      <c r="G112" t="inlineStr">
        <is>
          <t>OCKELBO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46269</v>
      </c>
      <c r="F113" t="inlineStr">
        <is>
          <t>GÄVLEBORGS LÄN</t>
        </is>
      </c>
      <c r="G113" t="inlineStr">
        <is>
          <t>OCKELBO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46269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46269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46269</v>
      </c>
      <c r="F116" t="inlineStr">
        <is>
          <t>GÄVLEBORGS LÄN</t>
        </is>
      </c>
      <c r="G116" t="inlineStr">
        <is>
          <t>OCKELBO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44893</v>
      </c>
      <c r="E117" s="1" t="n">
        <v>46269</v>
      </c>
      <c r="F117" t="inlineStr">
        <is>
          <t>GÄVLEBORGS LÄN</t>
        </is>
      </c>
      <c r="G117" t="inlineStr">
        <is>
          <t>OCKELBO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64609-2023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46269</v>
      </c>
      <c r="F118" t="inlineStr">
        <is>
          <t>GÄVLEBORGS LÄN</t>
        </is>
      </c>
      <c r="G118" t="inlineStr">
        <is>
          <t>OCKELBO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40140-2022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46269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64924-2023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46269</v>
      </c>
      <c r="F120" t="inlineStr">
        <is>
          <t>GÄVLEBORGS LÄN</t>
        </is>
      </c>
      <c r="G120" t="inlineStr">
        <is>
          <t>OCKELBO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20231-2024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45434</v>
      </c>
      <c r="E121" s="1" t="n">
        <v>46269</v>
      </c>
      <c r="F121" t="inlineStr">
        <is>
          <t>GÄVLEBORGS LÄN</t>
        </is>
      </c>
      <c r="G121" t="inlineStr">
        <is>
          <t>OCKELBO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55422-2022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44887</v>
      </c>
      <c r="E122" s="1" t="n">
        <v>46269</v>
      </c>
      <c r="F122" t="inlineStr">
        <is>
          <t>GÄVLEBORGS LÄN</t>
        </is>
      </c>
      <c r="G122" t="inlineStr">
        <is>
          <t>OCKELBO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65259-2023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45291</v>
      </c>
      <c r="E123" s="1" t="n">
        <v>46269</v>
      </c>
      <c r="F123" t="inlineStr">
        <is>
          <t>GÄVLEBORGS LÄN</t>
        </is>
      </c>
      <c r="G123" t="inlineStr">
        <is>
          <t>OCKELBO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45434</v>
      </c>
      <c r="E124" s="1" t="n">
        <v>46269</v>
      </c>
      <c r="F124" t="inlineStr">
        <is>
          <t>GÄVLEBORGS LÄN</t>
        </is>
      </c>
      <c r="G124" t="inlineStr">
        <is>
          <t>OCKELBO</t>
        </is>
      </c>
      <c r="I124" t="n">
        <v>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55011-2024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46269</v>
      </c>
      <c r="F125" t="inlineStr">
        <is>
          <t>GÄVLEBORGS LÄN</t>
        </is>
      </c>
      <c r="G125" t="inlineStr">
        <is>
          <t>OCKELBO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15403-2022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46269</v>
      </c>
      <c r="F126" t="inlineStr">
        <is>
          <t>GÄVLEBORGS LÄN</t>
        </is>
      </c>
      <c r="G126" t="inlineStr">
        <is>
          <t>OCKELBO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46269</v>
      </c>
      <c r="F127" t="inlineStr">
        <is>
          <t>GÄVLEBORGS LÄN</t>
        </is>
      </c>
      <c r="G127" t="inlineStr">
        <is>
          <t>OCKELBO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46269</v>
      </c>
      <c r="F128" t="inlineStr">
        <is>
          <t>GÄVLEBORGS LÄN</t>
        </is>
      </c>
      <c r="G128" t="inlineStr">
        <is>
          <t>OCKELBO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46269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46269</v>
      </c>
      <c r="F130" t="inlineStr">
        <is>
          <t>GÄVLEBORGS LÄN</t>
        </is>
      </c>
      <c r="G130" t="inlineStr">
        <is>
          <t>OCKELBO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29534-2023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45106</v>
      </c>
      <c r="E131" s="1" t="n">
        <v>46269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52335-2024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45609</v>
      </c>
      <c r="E132" s="1" t="n">
        <v>46269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46269</v>
      </c>
      <c r="F133" t="inlineStr">
        <is>
          <t>GÄVLEBORGS LÄN</t>
        </is>
      </c>
      <c r="G133" t="inlineStr">
        <is>
          <t>OCKELBO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25246-2025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46269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25250-2025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45800</v>
      </c>
      <c r="E135" s="1" t="n">
        <v>46269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21878-2024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46269</v>
      </c>
      <c r="F136" t="inlineStr">
        <is>
          <t>GÄVLEBORGS LÄN</t>
        </is>
      </c>
      <c r="G136" t="inlineStr">
        <is>
          <t>OCKELBO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46269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46269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46269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46269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45611</v>
      </c>
      <c r="E141" s="1" t="n">
        <v>46269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45674</v>
      </c>
      <c r="E142" s="1" t="n">
        <v>46269</v>
      </c>
      <c r="F142" t="inlineStr">
        <is>
          <t>GÄVLEBORGS LÄN</t>
        </is>
      </c>
      <c r="G142" t="inlineStr">
        <is>
          <t>OCKELBO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46269</v>
      </c>
      <c r="F143" t="inlineStr">
        <is>
          <t>GÄVLEBORGS LÄN</t>
        </is>
      </c>
      <c r="G143" t="inlineStr">
        <is>
          <t>OCKELBO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5571-2024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45334</v>
      </c>
      <c r="E144" s="1" t="n">
        <v>46269</v>
      </c>
      <c r="F144" t="inlineStr">
        <is>
          <t>GÄVLEBORGS LÄN</t>
        </is>
      </c>
      <c r="G144" t="inlineStr">
        <is>
          <t>OCKELBO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46269</v>
      </c>
      <c r="F145" t="inlineStr">
        <is>
          <t>GÄVLEBORGS LÄN</t>
        </is>
      </c>
      <c r="G145" t="inlineStr">
        <is>
          <t>OCKELBO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45666</v>
      </c>
      <c r="E146" s="1" t="n">
        <v>46269</v>
      </c>
      <c r="F146" t="inlineStr">
        <is>
          <t>GÄVLEBORGS LÄN</t>
        </is>
      </c>
      <c r="G146" t="inlineStr">
        <is>
          <t>OCKELBO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45455</v>
      </c>
      <c r="E147" s="1" t="n">
        <v>46269</v>
      </c>
      <c r="F147" t="inlineStr">
        <is>
          <t>GÄVLEBORGS LÄN</t>
        </is>
      </c>
      <c r="G147" t="inlineStr">
        <is>
          <t>OCKELBO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32011-2024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45510</v>
      </c>
      <c r="E148" s="1" t="n">
        <v>46269</v>
      </c>
      <c r="F148" t="inlineStr">
        <is>
          <t>GÄVLEBORGS LÄN</t>
        </is>
      </c>
      <c r="G148" t="inlineStr">
        <is>
          <t>OCKELBO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46269</v>
      </c>
      <c r="F149" t="inlineStr">
        <is>
          <t>GÄVLEBORGS LÄN</t>
        </is>
      </c>
      <c r="G149" t="inlineStr">
        <is>
          <t>OCKELBO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45366</v>
      </c>
      <c r="E150" s="1" t="n">
        <v>46269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46269</v>
      </c>
      <c r="F151" t="inlineStr">
        <is>
          <t>GÄVLEBORGS LÄN</t>
        </is>
      </c>
      <c r="G151" t="inlineStr">
        <is>
          <t>OCKELBO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45490</v>
      </c>
      <c r="E152" s="1" t="n">
        <v>46269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32123-2024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45511</v>
      </c>
      <c r="E153" s="1" t="n">
        <v>46269</v>
      </c>
      <c r="F153" t="inlineStr">
        <is>
          <t>GÄVLEBORGS LÄN</t>
        </is>
      </c>
      <c r="G153" t="inlineStr">
        <is>
          <t>OCKELBO</t>
        </is>
      </c>
      <c r="I153" t="n">
        <v>11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45478</v>
      </c>
      <c r="E154" s="1" t="n">
        <v>46269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46269</v>
      </c>
      <c r="F155" t="inlineStr">
        <is>
          <t>GÄVLEBORGS LÄN</t>
        </is>
      </c>
      <c r="G155" t="inlineStr">
        <is>
          <t>OCKELBO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45432</v>
      </c>
      <c r="E156" s="1" t="n">
        <v>46269</v>
      </c>
      <c r="F156" t="inlineStr">
        <is>
          <t>GÄVLEBORGS LÄN</t>
        </is>
      </c>
      <c r="G156" t="inlineStr">
        <is>
          <t>OCKELBO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45646</v>
      </c>
      <c r="E157" s="1" t="n">
        <v>46269</v>
      </c>
      <c r="F157" t="inlineStr">
        <is>
          <t>GÄVLEBORGS LÄN</t>
        </is>
      </c>
      <c r="G157" t="inlineStr">
        <is>
          <t>OCKELBO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60962-2024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46269</v>
      </c>
      <c r="F158" t="inlineStr">
        <is>
          <t>GÄVLEBORGS LÄN</t>
        </is>
      </c>
      <c r="G158" t="inlineStr">
        <is>
          <t>OCKELBO</t>
        </is>
      </c>
      <c r="H158" t="inlineStr">
        <is>
          <t>Kyrkan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21582-2024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45441</v>
      </c>
      <c r="E159" s="1" t="n">
        <v>46269</v>
      </c>
      <c r="F159" t="inlineStr">
        <is>
          <t>GÄVLEBORGS LÄN</t>
        </is>
      </c>
      <c r="G159" t="inlineStr">
        <is>
          <t>OCKELBO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46269</v>
      </c>
      <c r="F160" t="inlineStr">
        <is>
          <t>GÄVLEBORGS LÄN</t>
        </is>
      </c>
      <c r="G160" t="inlineStr">
        <is>
          <t>OCKELBO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46269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46269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46269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46269</v>
      </c>
      <c r="F164" t="inlineStr">
        <is>
          <t>GÄVLEBORGS LÄN</t>
        </is>
      </c>
      <c r="G164" t="inlineStr">
        <is>
          <t>OCKELBO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46269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46269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29567-2024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45484</v>
      </c>
      <c r="E167" s="1" t="n">
        <v>46269</v>
      </c>
      <c r="F167" t="inlineStr">
        <is>
          <t>GÄVLEBORGS LÄN</t>
        </is>
      </c>
      <c r="G167" t="inlineStr">
        <is>
          <t>OCKELBO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46269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45342</v>
      </c>
      <c r="E169" s="1" t="n">
        <v>46269</v>
      </c>
      <c r="F169" t="inlineStr">
        <is>
          <t>GÄVLEBORGS LÄN</t>
        </is>
      </c>
      <c r="G169" t="inlineStr">
        <is>
          <t>OCKELBO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46269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46269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45534</v>
      </c>
      <c r="E172" s="1" t="n">
        <v>46269</v>
      </c>
      <c r="F172" t="inlineStr">
        <is>
          <t>GÄVLEBORGS LÄN</t>
        </is>
      </c>
      <c r="G172" t="inlineStr">
        <is>
          <t>OCKELBO</t>
        </is>
      </c>
      <c r="H172" t="inlineStr">
        <is>
          <t>Kyrkan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46269</v>
      </c>
      <c r="F173" t="inlineStr">
        <is>
          <t>GÄVLEBORGS LÄN</t>
        </is>
      </c>
      <c r="G173" t="inlineStr">
        <is>
          <t>OCKELBO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45534</v>
      </c>
      <c r="E174" s="1" t="n">
        <v>46269</v>
      </c>
      <c r="F174" t="inlineStr">
        <is>
          <t>GÄVLEBORGS LÄN</t>
        </is>
      </c>
      <c r="G174" t="inlineStr">
        <is>
          <t>OCKELBO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46269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46269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46269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45239</v>
      </c>
      <c r="E178" s="1" t="n">
        <v>46269</v>
      </c>
      <c r="F178" t="inlineStr">
        <is>
          <t>GÄVLEBORGS LÄN</t>
        </is>
      </c>
      <c r="G178" t="inlineStr">
        <is>
          <t>OCKELBO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60497-2021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44496</v>
      </c>
      <c r="E179" s="1" t="n">
        <v>46269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46269</v>
      </c>
      <c r="F180" t="inlineStr">
        <is>
          <t>GÄVLEBORGS LÄN</t>
        </is>
      </c>
      <c r="G180" t="inlineStr">
        <is>
          <t>OCKELBO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46269</v>
      </c>
      <c r="F181" t="inlineStr">
        <is>
          <t>GÄVLEBORGS LÄN</t>
        </is>
      </c>
      <c r="G181" t="inlineStr">
        <is>
          <t>OCKELBO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46269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46269</v>
      </c>
      <c r="F183" t="inlineStr">
        <is>
          <t>GÄVLEBORGS LÄN</t>
        </is>
      </c>
      <c r="G183" t="inlineStr">
        <is>
          <t>OCKELBO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46269</v>
      </c>
      <c r="F184" t="inlineStr">
        <is>
          <t>GÄVLEBORGS LÄN</t>
        </is>
      </c>
      <c r="G184" t="inlineStr">
        <is>
          <t>OCKELBO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45671</v>
      </c>
      <c r="E185" s="1" t="n">
        <v>46269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46269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45109</v>
      </c>
      <c r="E187" s="1" t="n">
        <v>46269</v>
      </c>
      <c r="F187" t="inlineStr">
        <is>
          <t>GÄVLEBORGS LÄN</t>
        </is>
      </c>
      <c r="G187" t="inlineStr">
        <is>
          <t>OCKELBO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46269</v>
      </c>
      <c r="F188" t="inlineStr">
        <is>
          <t>GÄVLEBORGS LÄN</t>
        </is>
      </c>
      <c r="G188" t="inlineStr">
        <is>
          <t>OCKELBO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46269</v>
      </c>
      <c r="F189" t="inlineStr">
        <is>
          <t>GÄVLEBORGS LÄN</t>
        </is>
      </c>
      <c r="G189" t="inlineStr">
        <is>
          <t>OCKELBO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46269</v>
      </c>
      <c r="F190" t="inlineStr">
        <is>
          <t>GÄVLEBORGS LÄN</t>
        </is>
      </c>
      <c r="G190" t="inlineStr">
        <is>
          <t>OCKELBO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45073</v>
      </c>
      <c r="E191" s="1" t="n">
        <v>46269</v>
      </c>
      <c r="F191" t="inlineStr">
        <is>
          <t>GÄVLEBORGS LÄN</t>
        </is>
      </c>
      <c r="G191" t="inlineStr">
        <is>
          <t>OCKELBO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44890</v>
      </c>
      <c r="E192" s="1" t="n">
        <v>46269</v>
      </c>
      <c r="F192" t="inlineStr">
        <is>
          <t>GÄVLEBORGS LÄN</t>
        </is>
      </c>
      <c r="G192" t="inlineStr">
        <is>
          <t>OCKELBO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44879</v>
      </c>
      <c r="E193" s="1" t="n">
        <v>46269</v>
      </c>
      <c r="F193" t="inlineStr">
        <is>
          <t>GÄVLEBORGS LÄN</t>
        </is>
      </c>
      <c r="G193" t="inlineStr">
        <is>
          <t>OCKELBO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45618</v>
      </c>
      <c r="E194" s="1" t="n">
        <v>46269</v>
      </c>
      <c r="F194" t="inlineStr">
        <is>
          <t>GÄVLEBORGS LÄN</t>
        </is>
      </c>
      <c r="G194" t="inlineStr">
        <is>
          <t>OCKELBO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47849-2021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46269</v>
      </c>
      <c r="F195" t="inlineStr">
        <is>
          <t>GÄVLEBORGS LÄN</t>
        </is>
      </c>
      <c r="G195" t="inlineStr">
        <is>
          <t>OCKELBO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44889</v>
      </c>
      <c r="E196" s="1" t="n">
        <v>46269</v>
      </c>
      <c r="F196" t="inlineStr">
        <is>
          <t>GÄVLEBORGS LÄN</t>
        </is>
      </c>
      <c r="G196" t="inlineStr">
        <is>
          <t>OCKELBO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44883</v>
      </c>
      <c r="E197" s="1" t="n">
        <v>46269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46269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35017-2025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45851</v>
      </c>
      <c r="E199" s="1" t="n">
        <v>46269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27.8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44712</v>
      </c>
      <c r="E200" s="1" t="n">
        <v>46269</v>
      </c>
      <c r="F200" t="inlineStr">
        <is>
          <t>GÄVLEBORGS LÄN</t>
        </is>
      </c>
      <c r="G200" t="inlineStr">
        <is>
          <t>OCKELBO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45134</v>
      </c>
      <c r="E201" s="1" t="n">
        <v>46269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46269</v>
      </c>
      <c r="F202" t="inlineStr">
        <is>
          <t>GÄVLEBORGS LÄN</t>
        </is>
      </c>
      <c r="G202" t="inlineStr">
        <is>
          <t>OCKELBO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46269</v>
      </c>
      <c r="F203" t="inlineStr">
        <is>
          <t>GÄVLEBORGS LÄN</t>
        </is>
      </c>
      <c r="G203" t="inlineStr">
        <is>
          <t>OCKELBO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45280</v>
      </c>
      <c r="E204" s="1" t="n">
        <v>46269</v>
      </c>
      <c r="F204" t="inlineStr">
        <is>
          <t>GÄVLEBORGS LÄN</t>
        </is>
      </c>
      <c r="G204" t="inlineStr">
        <is>
          <t>OCKELBO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40196-2024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46269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44643</v>
      </c>
      <c r="E206" s="1" t="n">
        <v>46269</v>
      </c>
      <c r="F206" t="inlineStr">
        <is>
          <t>GÄVLEBORGS LÄN</t>
        </is>
      </c>
      <c r="G206" t="inlineStr">
        <is>
          <t>OCKELBO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16629-2025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46269</v>
      </c>
      <c r="F207" t="inlineStr">
        <is>
          <t>GÄVLEBORGS LÄN</t>
        </is>
      </c>
      <c r="G207" t="inlineStr">
        <is>
          <t>OCKELBO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45156</v>
      </c>
      <c r="E208" s="1" t="n">
        <v>46269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44950</v>
      </c>
      <c r="E209" s="1" t="n">
        <v>46269</v>
      </c>
      <c r="F209" t="inlineStr">
        <is>
          <t>GÄVLEBORGS LÄN</t>
        </is>
      </c>
      <c r="G209" t="inlineStr">
        <is>
          <t>OCKELBO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46269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öst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46269</v>
      </c>
      <c r="F211" t="inlineStr">
        <is>
          <t>GÄVLEBORGS LÄN</t>
        </is>
      </c>
      <c r="G211" t="inlineStr">
        <is>
          <t>OCKELBO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46269</v>
      </c>
      <c r="F212" t="inlineStr">
        <is>
          <t>GÄVLEBORGS LÄN</t>
        </is>
      </c>
      <c r="G212" t="inlineStr">
        <is>
          <t>OCKELBO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46269</v>
      </c>
      <c r="F213" t="inlineStr">
        <is>
          <t>GÄVLEBORGS LÄN</t>
        </is>
      </c>
      <c r="G213" t="inlineStr">
        <is>
          <t>OCKELBO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45497</v>
      </c>
      <c r="E214" s="1" t="n">
        <v>46269</v>
      </c>
      <c r="F214" t="inlineStr">
        <is>
          <t>GÄVLEBORGS LÄN</t>
        </is>
      </c>
      <c r="G214" t="inlineStr">
        <is>
          <t>OCKELBO</t>
        </is>
      </c>
      <c r="I214" t="n">
        <v>8.699999999999999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45243</v>
      </c>
      <c r="E215" s="1" t="n">
        <v>46269</v>
      </c>
      <c r="F215" t="inlineStr">
        <is>
          <t>GÄVLEBORGS LÄN</t>
        </is>
      </c>
      <c r="G215" t="inlineStr">
        <is>
          <t>OCKELBO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45254</v>
      </c>
      <c r="E216" s="1" t="n">
        <v>46269</v>
      </c>
      <c r="F216" t="inlineStr">
        <is>
          <t>GÄVLEBORGS LÄN</t>
        </is>
      </c>
      <c r="G216" t="inlineStr">
        <is>
          <t>OCKELBO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44804</v>
      </c>
      <c r="E217" s="1" t="n">
        <v>46269</v>
      </c>
      <c r="F217" t="inlineStr">
        <is>
          <t>GÄVLEBORGS LÄN</t>
        </is>
      </c>
      <c r="G217" t="inlineStr">
        <is>
          <t>OCKELBO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46269</v>
      </c>
      <c r="F218" t="inlineStr">
        <is>
          <t>GÄVLEBORGS LÄN</t>
        </is>
      </c>
      <c r="G218" t="inlineStr">
        <is>
          <t>OCKELBO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44781</v>
      </c>
      <c r="E219" s="1" t="n">
        <v>46269</v>
      </c>
      <c r="F219" t="inlineStr">
        <is>
          <t>GÄVLEBORGS LÄN</t>
        </is>
      </c>
      <c r="G219" t="inlineStr">
        <is>
          <t>OCKELBO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46269</v>
      </c>
      <c r="F220" t="inlineStr">
        <is>
          <t>GÄVLEBORGS LÄN</t>
        </is>
      </c>
      <c r="G220" t="inlineStr">
        <is>
          <t>OCKELBO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46269</v>
      </c>
      <c r="F221" t="inlineStr">
        <is>
          <t>GÄVLEBORGS LÄN</t>
        </is>
      </c>
      <c r="G221" t="inlineStr">
        <is>
          <t>OCKELBO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33985-2023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45134</v>
      </c>
      <c r="E222" s="1" t="n">
        <v>46269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20660-2022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44700</v>
      </c>
      <c r="E223" s="1" t="n">
        <v>46269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46269</v>
      </c>
      <c r="F224" t="inlineStr">
        <is>
          <t>GÄVLEBORGS LÄN</t>
        </is>
      </c>
      <c r="G224" t="inlineStr">
        <is>
          <t>OCKELBO</t>
        </is>
      </c>
      <c r="I224" t="n">
        <v>11.2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15247-2025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46269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46269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11.9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46132</v>
      </c>
      <c r="E227" s="1" t="n">
        <v>46269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46269</v>
      </c>
      <c r="F228" t="inlineStr">
        <is>
          <t>GÄVLEBORGS LÄN</t>
        </is>
      </c>
      <c r="G228" t="inlineStr">
        <is>
          <t>OCKELBO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19491-2026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46269</v>
      </c>
      <c r="F229" t="inlineStr">
        <is>
          <t>GÄVLEBORGS LÄN</t>
        </is>
      </c>
      <c r="G229" t="inlineStr">
        <is>
          <t>OCKELBO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45772</v>
      </c>
      <c r="E230" s="1" t="n">
        <v>46269</v>
      </c>
      <c r="F230" t="inlineStr">
        <is>
          <t>GÄVLEBORGS LÄN</t>
        </is>
      </c>
      <c r="G230" t="inlineStr">
        <is>
          <t>OCKELBO</t>
        </is>
      </c>
      <c r="I230" t="n">
        <v>14.8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55112-2023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46269</v>
      </c>
      <c r="F231" t="inlineStr">
        <is>
          <t>GÄVLEBORGS LÄN</t>
        </is>
      </c>
      <c r="G231" t="inlineStr">
        <is>
          <t>OCKELBO</t>
        </is>
      </c>
      <c r="I231" t="n">
        <v>14.6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46269</v>
      </c>
      <c r="F232" t="inlineStr">
        <is>
          <t>GÄVLEBORGS LÄN</t>
        </is>
      </c>
      <c r="G232" t="inlineStr">
        <is>
          <t>OCKELBO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46269</v>
      </c>
      <c r="F233" t="inlineStr">
        <is>
          <t>GÄVLEBORGS LÄN</t>
        </is>
      </c>
      <c r="G233" t="inlineStr">
        <is>
          <t>OCKELBO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46269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19431-2026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46269</v>
      </c>
      <c r="F235" t="inlineStr">
        <is>
          <t>GÄVLEBORGS LÄN</t>
        </is>
      </c>
      <c r="G235" t="inlineStr">
        <is>
          <t>OCKELBO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46269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46269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46269</v>
      </c>
      <c r="F238" t="inlineStr">
        <is>
          <t>GÄVLEBORGS LÄN</t>
        </is>
      </c>
      <c r="G238" t="inlineStr">
        <is>
          <t>OCKELBO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46269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46269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46269</v>
      </c>
      <c r="F241" t="inlineStr">
        <is>
          <t>GÄVLEBORGS LÄN</t>
        </is>
      </c>
      <c r="G241" t="inlineStr">
        <is>
          <t>OCKELBO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45230</v>
      </c>
      <c r="E242" s="1" t="n">
        <v>46269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45156</v>
      </c>
      <c r="E243" s="1" t="n">
        <v>46269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39035-2025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46269</v>
      </c>
      <c r="F244" t="inlineStr">
        <is>
          <t>GÄVLEBORGS LÄN</t>
        </is>
      </c>
      <c r="G244" t="inlineStr">
        <is>
          <t>OCKELBO</t>
        </is>
      </c>
      <c r="H244" t="inlineStr">
        <is>
          <t>Kyrkan</t>
        </is>
      </c>
      <c r="I244" t="n">
        <v>12.5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45656</v>
      </c>
      <c r="E245" s="1" t="n">
        <v>46269</v>
      </c>
      <c r="F245" t="inlineStr">
        <is>
          <t>GÄVLEBORGS LÄN</t>
        </is>
      </c>
      <c r="G245" t="inlineStr">
        <is>
          <t>OCKELBO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46269</v>
      </c>
      <c r="F246" t="inlineStr">
        <is>
          <t>GÄVLEBORGS LÄN</t>
        </is>
      </c>
      <c r="G246" t="inlineStr">
        <is>
          <t>OCKELBO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45889</v>
      </c>
      <c r="E247" s="1" t="n">
        <v>46269</v>
      </c>
      <c r="F247" t="inlineStr">
        <is>
          <t>GÄVLEBORGS LÄN</t>
        </is>
      </c>
      <c r="G247" t="inlineStr">
        <is>
          <t>OCKELBO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45889</v>
      </c>
      <c r="E248" s="1" t="n">
        <v>46269</v>
      </c>
      <c r="F248" t="inlineStr">
        <is>
          <t>GÄVLEBORGS LÄN</t>
        </is>
      </c>
      <c r="G248" t="inlineStr">
        <is>
          <t>OCKELBO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45744</v>
      </c>
      <c r="E249" s="1" t="n">
        <v>46269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19945-2026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46136</v>
      </c>
      <c r="E250" s="1" t="n">
        <v>46269</v>
      </c>
      <c r="F250" t="inlineStr">
        <is>
          <t>GÄVLEBORGS LÄN</t>
        </is>
      </c>
      <c r="G250" t="inlineStr">
        <is>
          <t>OCKELBO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46121</v>
      </c>
      <c r="E251" s="1" t="n">
        <v>46269</v>
      </c>
      <c r="F251" t="inlineStr">
        <is>
          <t>GÄVLEBORGS LÄN</t>
        </is>
      </c>
      <c r="G251" t="inlineStr">
        <is>
          <t>OCKELBO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45891</v>
      </c>
      <c r="E252" s="1" t="n">
        <v>46269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45894</v>
      </c>
      <c r="E253" s="1" t="n">
        <v>46269</v>
      </c>
      <c r="F253" t="inlineStr">
        <is>
          <t>GÄVLEBORGS LÄN</t>
        </is>
      </c>
      <c r="G253" t="inlineStr">
        <is>
          <t>OCKELBO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46119</v>
      </c>
      <c r="E254" s="1" t="n">
        <v>46269</v>
      </c>
      <c r="F254" t="inlineStr">
        <is>
          <t>GÄVLEBORGS LÄN</t>
        </is>
      </c>
      <c r="G254" t="inlineStr">
        <is>
          <t>OCKELBO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46269</v>
      </c>
      <c r="F255" t="inlineStr">
        <is>
          <t>GÄVLEBORGS LÄN</t>
        </is>
      </c>
      <c r="G255" t="inlineStr">
        <is>
          <t>OCKELBO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46114</v>
      </c>
      <c r="E256" s="1" t="n">
        <v>46269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46269</v>
      </c>
      <c r="F257" t="inlineStr">
        <is>
          <t>GÄVLEBORGS LÄN</t>
        </is>
      </c>
      <c r="G257" t="inlineStr">
        <is>
          <t>OCKELBO</t>
        </is>
      </c>
      <c r="I257" t="n">
        <v>14.7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46269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46269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46071</v>
      </c>
      <c r="E260" s="1" t="n">
        <v>46269</v>
      </c>
      <c r="F260" t="inlineStr">
        <is>
          <t>GÄVLEBORGS LÄN</t>
        </is>
      </c>
      <c r="G260" t="inlineStr">
        <is>
          <t>OCKELBO</t>
        </is>
      </c>
      <c r="I260" t="n">
        <v>11.9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46269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46269</v>
      </c>
      <c r="F262" t="inlineStr">
        <is>
          <t>GÄVLEBORGS LÄN</t>
        </is>
      </c>
      <c r="G262" t="inlineStr">
        <is>
          <t>OCKELBO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46269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46269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46269</v>
      </c>
      <c r="F265" t="inlineStr">
        <is>
          <t>GÄVLEBORGS LÄN</t>
        </is>
      </c>
      <c r="G265" t="inlineStr">
        <is>
          <t>OCKELBO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46269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46269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46137</v>
      </c>
      <c r="E268" s="1" t="n">
        <v>46269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46137</v>
      </c>
      <c r="E269" s="1" t="n">
        <v>46269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46269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46269</v>
      </c>
      <c r="F271" t="inlineStr">
        <is>
          <t>GÄVLEBORGS LÄN</t>
        </is>
      </c>
      <c r="G271" t="inlineStr">
        <is>
          <t>OCKELBO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46269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41897-2025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46269</v>
      </c>
      <c r="F273" t="inlineStr">
        <is>
          <t>GÄVLEBORGS LÄN</t>
        </is>
      </c>
      <c r="G273" t="inlineStr">
        <is>
          <t>OCKELBO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53137-2024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46269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46269</v>
      </c>
      <c r="F275" t="inlineStr">
        <is>
          <t>GÄVLEBORGS LÄN</t>
        </is>
      </c>
      <c r="G275" t="inlineStr">
        <is>
          <t>OCKELBO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46269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46269</v>
      </c>
      <c r="F277" t="inlineStr">
        <is>
          <t>GÄVLEBORGS LÄN</t>
        </is>
      </c>
      <c r="G277" t="inlineStr">
        <is>
          <t>OCKELBO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46269</v>
      </c>
      <c r="F278" t="inlineStr">
        <is>
          <t>GÄVLEBORGS LÄN</t>
        </is>
      </c>
      <c r="G278" t="inlineStr">
        <is>
          <t>OCKELBO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46269</v>
      </c>
      <c r="F279" t="inlineStr">
        <is>
          <t>GÄVLEBORGS LÄN</t>
        </is>
      </c>
      <c r="G279" t="inlineStr">
        <is>
          <t>OCKELBO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45821</v>
      </c>
      <c r="E280" s="1" t="n">
        <v>46269</v>
      </c>
      <c r="F280" t="inlineStr">
        <is>
          <t>GÄVLEBORGS LÄN</t>
        </is>
      </c>
      <c r="G280" t="inlineStr">
        <is>
          <t>OCKELBO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46269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46269</v>
      </c>
      <c r="F282" t="inlineStr">
        <is>
          <t>GÄVLEBORGS LÄN</t>
        </is>
      </c>
      <c r="G282" t="inlineStr">
        <is>
          <t>OCKELBO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46269</v>
      </c>
      <c r="F283" t="inlineStr">
        <is>
          <t>GÄVLEBORGS LÄN</t>
        </is>
      </c>
      <c r="G283" t="inlineStr">
        <is>
          <t>OCKELBO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45488</v>
      </c>
      <c r="E284" s="1" t="n">
        <v>46269</v>
      </c>
      <c r="F284" t="inlineStr">
        <is>
          <t>GÄVLEBORGS LÄN</t>
        </is>
      </c>
      <c r="G284" t="inlineStr">
        <is>
          <t>OCKELBO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46269</v>
      </c>
      <c r="F285" t="inlineStr">
        <is>
          <t>GÄVLEBORGS LÄN</t>
        </is>
      </c>
      <c r="G285" t="inlineStr">
        <is>
          <t>OCKELBO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45777</v>
      </c>
      <c r="E286" s="1" t="n">
        <v>46269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45911</v>
      </c>
      <c r="E287" s="1" t="n">
        <v>46269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24.8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46269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46269</v>
      </c>
      <c r="F289" t="inlineStr">
        <is>
          <t>GÄVLEBORGS LÄN</t>
        </is>
      </c>
      <c r="G289" t="inlineStr">
        <is>
          <t>OCKELBO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43424-2025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46269</v>
      </c>
      <c r="F290" t="inlineStr">
        <is>
          <t>GÄVLEBORGS LÄN</t>
        </is>
      </c>
      <c r="G290" t="inlineStr">
        <is>
          <t>OCKELBO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46269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46269</v>
      </c>
      <c r="F292" t="inlineStr">
        <is>
          <t>GÄVLEBORGS LÄN</t>
        </is>
      </c>
      <c r="G292" t="inlineStr">
        <is>
          <t>OCKELBO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46269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45911</v>
      </c>
      <c r="E294" s="1" t="n">
        <v>46269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46138</v>
      </c>
      <c r="E295" s="1" t="n">
        <v>46269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12.7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46269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46269</v>
      </c>
      <c r="F297" t="inlineStr">
        <is>
          <t>GÄVLEBORGS LÄN</t>
        </is>
      </c>
      <c r="G297" t="inlineStr">
        <is>
          <t>OCKELBO</t>
        </is>
      </c>
      <c r="I297" t="n">
        <v>36.1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45526</v>
      </c>
      <c r="E298" s="1" t="n">
        <v>46269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46269</v>
      </c>
      <c r="F299" t="inlineStr">
        <is>
          <t>GÄVLEBORGS LÄN</t>
        </is>
      </c>
      <c r="G299" t="inlineStr">
        <is>
          <t>OCKELBO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46269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46269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46269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20.4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27997-2025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46269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46269</v>
      </c>
      <c r="F304" t="inlineStr">
        <is>
          <t>GÄVLEBORGS LÄN</t>
        </is>
      </c>
      <c r="G304" t="inlineStr">
        <is>
          <t>OCKELBO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46269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45649</v>
      </c>
      <c r="E306" s="1" t="n">
        <v>46269</v>
      </c>
      <c r="F306" t="inlineStr">
        <is>
          <t>GÄVLEBORGS LÄN</t>
        </is>
      </c>
      <c r="G306" t="inlineStr">
        <is>
          <t>OCKELBO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46269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63977-2025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46021</v>
      </c>
      <c r="E308" s="1" t="n">
        <v>46269</v>
      </c>
      <c r="F308" t="inlineStr">
        <is>
          <t>GÄVLEBORGS LÄN</t>
        </is>
      </c>
      <c r="G308" t="inlineStr">
        <is>
          <t>OCKELBO</t>
        </is>
      </c>
      <c r="I308" t="n">
        <v>18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46269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46269</v>
      </c>
      <c r="F310" t="inlineStr">
        <is>
          <t>GÄVLEBORGS LÄN</t>
        </is>
      </c>
      <c r="G310" t="inlineStr">
        <is>
          <t>OCKELBO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46269</v>
      </c>
      <c r="F311" t="inlineStr">
        <is>
          <t>GÄVLEBORGS LÄN</t>
        </is>
      </c>
      <c r="G311" t="inlineStr">
        <is>
          <t>OCKELBO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36604-2025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45870</v>
      </c>
      <c r="E312" s="1" t="n">
        <v>46269</v>
      </c>
      <c r="F312" t="inlineStr">
        <is>
          <t>GÄVLEBORGS LÄN</t>
        </is>
      </c>
      <c r="G312" t="inlineStr">
        <is>
          <t>OCKELBO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45800</v>
      </c>
      <c r="E313" s="1" t="n">
        <v>46269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46269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45800</v>
      </c>
      <c r="E315" s="1" t="n">
        <v>46269</v>
      </c>
      <c r="F315" t="inlineStr">
        <is>
          <t>GÄVLEBORGS LÄN</t>
        </is>
      </c>
      <c r="G315" t="inlineStr">
        <is>
          <t>OCKELBO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46269</v>
      </c>
      <c r="F316" t="inlineStr">
        <is>
          <t>GÄVLEBORGS LÄN</t>
        </is>
      </c>
      <c r="G316" t="inlineStr">
        <is>
          <t>OCKELBO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46269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20151-2026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46137</v>
      </c>
      <c r="E318" s="1" t="n">
        <v>46269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46269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46269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8253-2026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46269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15694-2022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44663</v>
      </c>
      <c r="E322" s="1" t="n">
        <v>46269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46065</v>
      </c>
      <c r="E323" s="1" t="n">
        <v>46269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46269</v>
      </c>
      <c r="F324" t="inlineStr">
        <is>
          <t>GÄVLEBORGS LÄN</t>
        </is>
      </c>
      <c r="G324" t="inlineStr">
        <is>
          <t>OCKELBO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45072</v>
      </c>
      <c r="E325" s="1" t="n">
        <v>46269</v>
      </c>
      <c r="F325" t="inlineStr">
        <is>
          <t>GÄVLEBORGS LÄN</t>
        </is>
      </c>
      <c r="G325" t="inlineStr">
        <is>
          <t>OCKELBO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61335-2022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44915</v>
      </c>
      <c r="E326" s="1" t="n">
        <v>46269</v>
      </c>
      <c r="F326" t="inlineStr">
        <is>
          <t>GÄVLEBORGS LÄN</t>
        </is>
      </c>
      <c r="G326" t="inlineStr">
        <is>
          <t>OCKELBO</t>
        </is>
      </c>
      <c r="I326" t="n">
        <v>8.5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46269</v>
      </c>
      <c r="F327" t="inlineStr">
        <is>
          <t>GÄVLEBORGS LÄN</t>
        </is>
      </c>
      <c r="G327" t="inlineStr">
        <is>
          <t>OCKELBO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46269</v>
      </c>
      <c r="F328" t="inlineStr">
        <is>
          <t>GÄVLEBORGS LÄN</t>
        </is>
      </c>
      <c r="G328" t="inlineStr">
        <is>
          <t>OCKELBO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46269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45620</v>
      </c>
      <c r="E330" s="1" t="n">
        <v>46269</v>
      </c>
      <c r="F330" t="inlineStr">
        <is>
          <t>GÄVLEBORGS LÄN</t>
        </is>
      </c>
      <c r="G330" t="inlineStr">
        <is>
          <t>OCKELBO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49529-2024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45596</v>
      </c>
      <c r="E331" s="1" t="n">
        <v>46269</v>
      </c>
      <c r="F331" t="inlineStr">
        <is>
          <t>GÄVLEBORGS LÄN</t>
        </is>
      </c>
      <c r="G331" t="inlineStr">
        <is>
          <t>OCKELBO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45341</v>
      </c>
      <c r="E332" s="1" t="n">
        <v>46269</v>
      </c>
      <c r="F332" t="inlineStr">
        <is>
          <t>GÄVLEBORGS LÄN</t>
        </is>
      </c>
      <c r="G332" t="inlineStr">
        <is>
          <t>OCKELBO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46269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46269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47267-2025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46269</v>
      </c>
      <c r="F335" t="inlineStr">
        <is>
          <t>GÄVLEBORGS LÄN</t>
        </is>
      </c>
      <c r="G335" t="inlineStr">
        <is>
          <t>OCKELBO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46269</v>
      </c>
      <c r="F336" t="inlineStr">
        <is>
          <t>GÄVLEBORGS LÄN</t>
        </is>
      </c>
      <c r="G336" t="inlineStr">
        <is>
          <t>OCKELBO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46269</v>
      </c>
      <c r="F337" t="inlineStr">
        <is>
          <t>GÄVLEBORGS LÄN</t>
        </is>
      </c>
      <c r="G337" t="inlineStr">
        <is>
          <t>OCKELBO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44845</v>
      </c>
      <c r="E338" s="1" t="n">
        <v>46269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12708-2026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46269</v>
      </c>
      <c r="F339" t="inlineStr">
        <is>
          <t>GÄVLEBORGS LÄN</t>
        </is>
      </c>
      <c r="G339" t="inlineStr">
        <is>
          <t>OCKELBO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48221-2024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45590</v>
      </c>
      <c r="E340" s="1" t="n">
        <v>46269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54454-2024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45617</v>
      </c>
      <c r="E341" s="1" t="n">
        <v>46269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45600</v>
      </c>
      <c r="E342" s="1" t="n">
        <v>46269</v>
      </c>
      <c r="F342" t="inlineStr">
        <is>
          <t>GÄVLEBORGS LÄN</t>
        </is>
      </c>
      <c r="G342" t="inlineStr">
        <is>
          <t>OCKELBO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61622-2021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44501</v>
      </c>
      <c r="E343" s="1" t="n">
        <v>46269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46269</v>
      </c>
      <c r="F344" t="inlineStr">
        <is>
          <t>GÄVLEBORGS LÄN</t>
        </is>
      </c>
      <c r="G344" t="inlineStr">
        <is>
          <t>OCKELBO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46269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46077</v>
      </c>
      <c r="E346" s="1" t="n">
        <v>46269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45554</v>
      </c>
      <c r="E347" s="1" t="n">
        <v>46269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30418-2023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46269</v>
      </c>
      <c r="F348" t="inlineStr">
        <is>
          <t>GÄVLEBORGS LÄN</t>
        </is>
      </c>
      <c r="G348" t="inlineStr">
        <is>
          <t>OCKELBO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45162</v>
      </c>
      <c r="E349" s="1" t="n">
        <v>46269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67768-2021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44525</v>
      </c>
      <c r="E350" s="1" t="n">
        <v>46269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46269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23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46485-2024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45582</v>
      </c>
      <c r="E352" s="1" t="n">
        <v>46269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46269</v>
      </c>
      <c r="F353" t="inlineStr">
        <is>
          <t>GÄVLEBORGS LÄN</t>
        </is>
      </c>
      <c r="G353" t="inlineStr">
        <is>
          <t>OCKELBO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47011-2025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46269</v>
      </c>
      <c r="F354" t="inlineStr">
        <is>
          <t>GÄVLEBORGS LÄN</t>
        </is>
      </c>
      <c r="G354" t="inlineStr">
        <is>
          <t>OCKELBO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45929</v>
      </c>
      <c r="E355" s="1" t="n">
        <v>46269</v>
      </c>
      <c r="F355" t="inlineStr">
        <is>
          <t>GÄVLEBORGS LÄN</t>
        </is>
      </c>
      <c r="G355" t="inlineStr">
        <is>
          <t>OCKELBO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50689-2024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45602</v>
      </c>
      <c r="E356" s="1" t="n">
        <v>46269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45602</v>
      </c>
      <c r="E357" s="1" t="n">
        <v>46269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50693-2024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45602</v>
      </c>
      <c r="E358" s="1" t="n">
        <v>46269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38893-2022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44816</v>
      </c>
      <c r="E359" s="1" t="n">
        <v>46269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16141-2023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45027</v>
      </c>
      <c r="E360" s="1" t="n">
        <v>46269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46269</v>
      </c>
      <c r="F361" t="inlineStr">
        <is>
          <t>GÄVLEBORGS LÄN</t>
        </is>
      </c>
      <c r="G361" t="inlineStr">
        <is>
          <t>OCKELBO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46269</v>
      </c>
      <c r="F362" t="inlineStr">
        <is>
          <t>GÄVLEBORGS LÄN</t>
        </is>
      </c>
      <c r="G362" t="inlineStr">
        <is>
          <t>OCKELBO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45608</v>
      </c>
      <c r="E363" s="1" t="n">
        <v>46269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9.800000000000001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45554</v>
      </c>
      <c r="E364" s="1" t="n">
        <v>46269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60699-2024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45644</v>
      </c>
      <c r="E365" s="1" t="n">
        <v>46269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46269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66825-2021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44522</v>
      </c>
      <c r="E367" s="1" t="n">
        <v>46269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46269</v>
      </c>
      <c r="F368" t="inlineStr">
        <is>
          <t>GÄVLEBORGS LÄN</t>
        </is>
      </c>
      <c r="G368" t="inlineStr">
        <is>
          <t>OCKELBO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46269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46269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47987-2025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45932</v>
      </c>
      <c r="E371" s="1" t="n">
        <v>46269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46269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46027</v>
      </c>
      <c r="E373" s="1" t="n">
        <v>46269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9401-2026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46269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46073</v>
      </c>
      <c r="E375" s="1" t="n">
        <v>46269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46269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46269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54309-2024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46269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46269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46269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17951-2026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46122</v>
      </c>
      <c r="E381" s="1" t="n">
        <v>46269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48996-2025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45937</v>
      </c>
      <c r="E382" s="1" t="n">
        <v>46269</v>
      </c>
      <c r="F382" t="inlineStr">
        <is>
          <t>GÄVLEBORGS LÄN</t>
        </is>
      </c>
      <c r="G382" t="inlineStr">
        <is>
          <t>OCKELBO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49008-2025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46269</v>
      </c>
      <c r="F383" t="inlineStr">
        <is>
          <t>GÄVLEBORGS LÄN</t>
        </is>
      </c>
      <c r="G383" t="inlineStr">
        <is>
          <t>OCKELBO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45181</v>
      </c>
      <c r="E384" s="1" t="n">
        <v>46269</v>
      </c>
      <c r="F384" t="inlineStr">
        <is>
          <t>GÄVLEBORGS LÄN</t>
        </is>
      </c>
      <c r="G384" t="inlineStr">
        <is>
          <t>OCKELBO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45624</v>
      </c>
      <c r="E385" s="1" t="n">
        <v>46269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46269</v>
      </c>
      <c r="F386" t="inlineStr">
        <is>
          <t>GÄVLEBORGS LÄN</t>
        </is>
      </c>
      <c r="G386" t="inlineStr">
        <is>
          <t>OCKELBO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46269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45180</v>
      </c>
      <c r="E388" s="1" t="n">
        <v>46269</v>
      </c>
      <c r="F388" t="inlineStr">
        <is>
          <t>GÄVLEBORGS LÄN</t>
        </is>
      </c>
      <c r="G388" t="inlineStr">
        <is>
          <t>OCKELBO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18097-2026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46125</v>
      </c>
      <c r="E389" s="1" t="n">
        <v>46269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12.6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49032-2025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46269</v>
      </c>
      <c r="F390" t="inlineStr">
        <is>
          <t>GÄVLEBORGS LÄN</t>
        </is>
      </c>
      <c r="G390" t="inlineStr">
        <is>
          <t>OCKELBO</t>
        </is>
      </c>
      <c r="I390" t="n">
        <v>11.1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46148</v>
      </c>
      <c r="E391" s="1" t="n">
        <v>46269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49027-2025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46269</v>
      </c>
      <c r="F392" t="inlineStr">
        <is>
          <t>GÄVLEBORGS LÄN</t>
        </is>
      </c>
      <c r="G392" t="inlineStr">
        <is>
          <t>OCKELBO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46148</v>
      </c>
      <c r="E393" s="1" t="n">
        <v>46269</v>
      </c>
      <c r="F393" t="inlineStr">
        <is>
          <t>GÄVLEBORGS LÄN</t>
        </is>
      </c>
      <c r="G393" t="inlineStr">
        <is>
          <t>OCKELBO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46269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öst AB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46148</v>
      </c>
      <c r="E395" s="1" t="n">
        <v>46269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19537-2026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46134</v>
      </c>
      <c r="E396" s="1" t="n">
        <v>46269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45301</v>
      </c>
      <c r="E397" s="1" t="n">
        <v>46269</v>
      </c>
      <c r="F397" t="inlineStr">
        <is>
          <t>GÄVLEBORGS LÄN</t>
        </is>
      </c>
      <c r="G397" t="inlineStr">
        <is>
          <t>OCKELBO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21280-2026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46147</v>
      </c>
      <c r="E398" s="1" t="n">
        <v>46269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öst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46119</v>
      </c>
      <c r="E399" s="1" t="n">
        <v>46269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21277-2026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46147</v>
      </c>
      <c r="E400" s="1" t="n">
        <v>46269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öst AB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21461-2026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46148</v>
      </c>
      <c r="E401" s="1" t="n">
        <v>46269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31822-2025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45834</v>
      </c>
      <c r="E402" s="1" t="n">
        <v>46269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21459-2026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46148</v>
      </c>
      <c r="E403" s="1" t="n">
        <v>46269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46269</v>
      </c>
      <c r="F404" t="inlineStr">
        <is>
          <t>GÄVLEBORGS LÄN</t>
        </is>
      </c>
      <c r="G404" t="inlineStr">
        <is>
          <t>OCKELBO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46269</v>
      </c>
      <c r="F405" t="inlineStr">
        <is>
          <t>GÄVLEBORGS LÄN</t>
        </is>
      </c>
      <c r="G405" t="inlineStr">
        <is>
          <t>OCKELBO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46269</v>
      </c>
      <c r="F406" t="inlineStr">
        <is>
          <t>GÄVLEBORGS LÄN</t>
        </is>
      </c>
      <c r="G406" t="inlineStr">
        <is>
          <t>OCKELBO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46128</v>
      </c>
      <c r="E407" s="1" t="n">
        <v>46269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46269</v>
      </c>
      <c r="F408" t="inlineStr">
        <is>
          <t>GÄVLEBORGS LÄN</t>
        </is>
      </c>
      <c r="G408" t="inlineStr">
        <is>
          <t>OCKELBO</t>
        </is>
      </c>
      <c r="I408" t="n">
        <v>8.199999999999999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46093</v>
      </c>
      <c r="E409" s="1" t="n">
        <v>46269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46269</v>
      </c>
      <c r="F410" t="inlineStr">
        <is>
          <t>GÄVLEBORGS LÄN</t>
        </is>
      </c>
      <c r="G410" t="inlineStr">
        <is>
          <t>OCKELBO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13210-2026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46269</v>
      </c>
      <c r="F411" t="inlineStr">
        <is>
          <t>GÄVLEBORGS LÄN</t>
        </is>
      </c>
      <c r="G411" t="inlineStr">
        <is>
          <t>OCKELBO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12352-2026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46088</v>
      </c>
      <c r="E412" s="1" t="n">
        <v>46269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9413-2026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46071</v>
      </c>
      <c r="E413" s="1" t="n">
        <v>46269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46269</v>
      </c>
      <c r="F414" t="inlineStr">
        <is>
          <t>GÄVLEBORGS LÄN</t>
        </is>
      </c>
      <c r="G414" t="inlineStr">
        <is>
          <t>OCKELBO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43071-2025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45909</v>
      </c>
      <c r="E415" s="1" t="n">
        <v>46269</v>
      </c>
      <c r="F415" t="inlineStr">
        <is>
          <t>GÄVLEBORGS LÄN</t>
        </is>
      </c>
      <c r="G415" t="inlineStr">
        <is>
          <t>OCKELBO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58718-2025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45986</v>
      </c>
      <c r="E416" s="1" t="n">
        <v>46269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46269</v>
      </c>
      <c r="F417" t="inlineStr">
        <is>
          <t>GÄVLEBORGS LÄN</t>
        </is>
      </c>
      <c r="G417" t="inlineStr">
        <is>
          <t>OCKELBO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46269</v>
      </c>
      <c r="F418" t="inlineStr">
        <is>
          <t>GÄVLEBORGS LÄN</t>
        </is>
      </c>
      <c r="G418" t="inlineStr">
        <is>
          <t>OCKELBO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15034-2026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46269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22329-2026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46154</v>
      </c>
      <c r="E420" s="1" t="n">
        <v>46269</v>
      </c>
      <c r="F420" t="inlineStr">
        <is>
          <t>GÄVLEBORGS LÄN</t>
        </is>
      </c>
      <c r="G420" t="inlineStr">
        <is>
          <t>OCKELBO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8408-2026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46065</v>
      </c>
      <c r="E421" s="1" t="n">
        <v>46269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8865-2026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46269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51892-2025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45952</v>
      </c>
      <c r="E423" s="1" t="n">
        <v>46269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46269</v>
      </c>
      <c r="F424" t="inlineStr">
        <is>
          <t>GÄVLEBORGS LÄN</t>
        </is>
      </c>
      <c r="G424" t="inlineStr">
        <is>
          <t>OCKELBO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46269</v>
      </c>
      <c r="F425" t="inlineStr">
        <is>
          <t>GÄVLEBORGS LÄN</t>
        </is>
      </c>
      <c r="G425" t="inlineStr">
        <is>
          <t>OCKELBO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60122-2025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45994</v>
      </c>
      <c r="E426" s="1" t="n">
        <v>46269</v>
      </c>
      <c r="F426" t="inlineStr">
        <is>
          <t>GÄVLEBORGS LÄN</t>
        </is>
      </c>
      <c r="G426" t="inlineStr">
        <is>
          <t>OCKELBO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46155</v>
      </c>
      <c r="E427" s="1" t="n">
        <v>46269</v>
      </c>
      <c r="F427" t="inlineStr">
        <is>
          <t>GÄVLEBORGS LÄN</t>
        </is>
      </c>
      <c r="G427" t="inlineStr">
        <is>
          <t>OCKELBO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46156</v>
      </c>
      <c r="E428" s="1" t="n">
        <v>46269</v>
      </c>
      <c r="F428" t="inlineStr">
        <is>
          <t>GÄVLEBORGS LÄN</t>
        </is>
      </c>
      <c r="G428" t="inlineStr">
        <is>
          <t>OCKELBO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52635-2025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45954</v>
      </c>
      <c r="E429" s="1" t="n">
        <v>46269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45994</v>
      </c>
      <c r="E430" s="1" t="n">
        <v>46269</v>
      </c>
      <c r="F430" t="inlineStr">
        <is>
          <t>GÄVLEBORGS LÄN</t>
        </is>
      </c>
      <c r="G430" t="inlineStr">
        <is>
          <t>OCKELBO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46269</v>
      </c>
      <c r="F431" t="inlineStr">
        <is>
          <t>GÄVLEBORGS LÄN</t>
        </is>
      </c>
      <c r="G431" t="inlineStr">
        <is>
          <t>OCKELBO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46269</v>
      </c>
      <c r="F432" t="inlineStr">
        <is>
          <t>GÄVLEBORGS LÄN</t>
        </is>
      </c>
      <c r="G432" t="inlineStr">
        <is>
          <t>OCKELBO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46609-2025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46269</v>
      </c>
      <c r="F433" t="inlineStr">
        <is>
          <t>GÄVLEBORGS LÄN</t>
        </is>
      </c>
      <c r="G433" t="inlineStr">
        <is>
          <t>OCKELBO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46269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22460-2026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46155</v>
      </c>
      <c r="E435" s="1" t="n">
        <v>46269</v>
      </c>
      <c r="F435" t="inlineStr">
        <is>
          <t>GÄVLEBORGS LÄN</t>
        </is>
      </c>
      <c r="G435" t="inlineStr">
        <is>
          <t>OCKELBO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52241-2025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45953</v>
      </c>
      <c r="E436" s="1" t="n">
        <v>46269</v>
      </c>
      <c r="F436" t="inlineStr">
        <is>
          <t>GÄVLEBORGS LÄN</t>
        </is>
      </c>
      <c r="G436" t="inlineStr">
        <is>
          <t>OCKELBO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46269</v>
      </c>
      <c r="F437" t="inlineStr">
        <is>
          <t>GÄVLEBORGS LÄN</t>
        </is>
      </c>
      <c r="G437" t="inlineStr">
        <is>
          <t>OCKELBO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39710-2023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45167</v>
      </c>
      <c r="E438" s="1" t="n">
        <v>46269</v>
      </c>
      <c r="F438" t="inlineStr">
        <is>
          <t>GÄVLEBORGS LÄN</t>
        </is>
      </c>
      <c r="G438" t="inlineStr">
        <is>
          <t>OCKELBO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45623</v>
      </c>
      <c r="E439" s="1" t="n">
        <v>46269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46100</v>
      </c>
      <c r="E440" s="1" t="n">
        <v>46269</v>
      </c>
      <c r="F440" t="inlineStr">
        <is>
          <t>GÄVLEBORGS LÄN</t>
        </is>
      </c>
      <c r="G440" t="inlineStr">
        <is>
          <t>OCKELBO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46269</v>
      </c>
      <c r="F441" t="inlineStr">
        <is>
          <t>GÄVLEBORGS LÄN</t>
        </is>
      </c>
      <c r="G441" t="inlineStr">
        <is>
          <t>OCKELBO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52880-2025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45957</v>
      </c>
      <c r="E442" s="1" t="n">
        <v>46269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46269</v>
      </c>
      <c r="F443" t="inlineStr">
        <is>
          <t>GÄVLEBORGS LÄN</t>
        </is>
      </c>
      <c r="G443" t="inlineStr">
        <is>
          <t>OCKELBO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45139</v>
      </c>
      <c r="E444" s="1" t="n">
        <v>46269</v>
      </c>
      <c r="F444" t="inlineStr">
        <is>
          <t>GÄVLEBORGS LÄN</t>
        </is>
      </c>
      <c r="G444" t="inlineStr">
        <is>
          <t>OCKELBO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46269</v>
      </c>
      <c r="F445" t="inlineStr">
        <is>
          <t>GÄVLEBORGS LÄN</t>
        </is>
      </c>
      <c r="G445" t="inlineStr">
        <is>
          <t>OCKELBO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23040-2026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46161</v>
      </c>
      <c r="E446" s="1" t="n">
        <v>46269</v>
      </c>
      <c r="F446" t="inlineStr">
        <is>
          <t>GÄVLEBORGS LÄN</t>
        </is>
      </c>
      <c r="G446" t="inlineStr">
        <is>
          <t>OCKELBO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45959</v>
      </c>
      <c r="E447" s="1" t="n">
        <v>46269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46269</v>
      </c>
      <c r="F448" t="inlineStr">
        <is>
          <t>GÄVLEBORGS LÄN</t>
        </is>
      </c>
      <c r="G448" t="inlineStr">
        <is>
          <t>OCKELBO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9859-2025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45716</v>
      </c>
      <c r="E449" s="1" t="n">
        <v>46269</v>
      </c>
      <c r="F449" t="inlineStr">
        <is>
          <t>GÄVLEBORGS LÄN</t>
        </is>
      </c>
      <c r="G449" t="inlineStr">
        <is>
          <t>OCKELBO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23060-2026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46269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17.6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54655-2025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46269</v>
      </c>
      <c r="F451" t="inlineStr">
        <is>
          <t>GÄVLEBORGS LÄN</t>
        </is>
      </c>
      <c r="G451" t="inlineStr">
        <is>
          <t>OCKELBO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46269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54879-2025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45967</v>
      </c>
      <c r="E453" s="1" t="n">
        <v>46269</v>
      </c>
      <c r="F453" t="inlineStr">
        <is>
          <t>GÄVLEBORGS LÄN</t>
        </is>
      </c>
      <c r="G453" t="inlineStr">
        <is>
          <t>OCKELBO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54880-2025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45967</v>
      </c>
      <c r="E454" s="1" t="n">
        <v>46269</v>
      </c>
      <c r="F454" t="inlineStr">
        <is>
          <t>GÄVLEBORGS LÄN</t>
        </is>
      </c>
      <c r="G454" t="inlineStr">
        <is>
          <t>OCKELBO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45972</v>
      </c>
      <c r="E455" s="1" t="n">
        <v>46269</v>
      </c>
      <c r="F455" t="inlineStr">
        <is>
          <t>GÄVLEBORGS LÄN</t>
        </is>
      </c>
      <c r="G455" t="inlineStr">
        <is>
          <t>OCKELBO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39062-2024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45548</v>
      </c>
      <c r="E456" s="1" t="n">
        <v>46269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23786-2026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46269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46269</v>
      </c>
      <c r="F458" t="inlineStr">
        <is>
          <t>GÄVLEBORGS LÄN</t>
        </is>
      </c>
      <c r="G458" t="inlineStr">
        <is>
          <t>OCKELBO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55629-2025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45972</v>
      </c>
      <c r="E459" s="1" t="n">
        <v>46269</v>
      </c>
      <c r="F459" t="inlineStr">
        <is>
          <t>GÄVLEBORGS LÄN</t>
        </is>
      </c>
      <c r="G459" t="inlineStr">
        <is>
          <t>OCKELBO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55726-2025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45972</v>
      </c>
      <c r="E460" s="1" t="n">
        <v>46269</v>
      </c>
      <c r="F460" t="inlineStr">
        <is>
          <t>GÄVLEBORGS LÄN</t>
        </is>
      </c>
      <c r="G460" t="inlineStr">
        <is>
          <t>OCKELBO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46269</v>
      </c>
      <c r="F461" t="inlineStr">
        <is>
          <t>GÄVLEBORGS LÄN</t>
        </is>
      </c>
      <c r="G461" t="inlineStr">
        <is>
          <t>OCKELBO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55920-2025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46269</v>
      </c>
      <c r="F462" t="inlineStr">
        <is>
          <t>GÄVLEBORGS LÄN</t>
        </is>
      </c>
      <c r="G462" t="inlineStr">
        <is>
          <t>OCKELBO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46269</v>
      </c>
      <c r="F463" t="inlineStr">
        <is>
          <t>GÄVLEBORGS LÄN</t>
        </is>
      </c>
      <c r="G463" t="inlineStr">
        <is>
          <t>OCKELBO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55859-2025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45973</v>
      </c>
      <c r="E464" s="1" t="n">
        <v>46269</v>
      </c>
      <c r="F464" t="inlineStr">
        <is>
          <t>GÄVLEBORGS LÄN</t>
        </is>
      </c>
      <c r="G464" t="inlineStr">
        <is>
          <t>OCKELBO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46269</v>
      </c>
      <c r="F465" t="inlineStr">
        <is>
          <t>GÄVLEBORGS LÄN</t>
        </is>
      </c>
      <c r="G465" t="inlineStr">
        <is>
          <t>OCKELBO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55911-2025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45973</v>
      </c>
      <c r="E466" s="1" t="n">
        <v>46269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46269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55884-2025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46269</v>
      </c>
      <c r="F468" t="inlineStr">
        <is>
          <t>GÄVLEBORGS LÄN</t>
        </is>
      </c>
      <c r="G468" t="inlineStr">
        <is>
          <t>OCKELBO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56921-2025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46269</v>
      </c>
      <c r="F469" t="inlineStr">
        <is>
          <t>GÄVLEBORGS LÄN</t>
        </is>
      </c>
      <c r="G469" t="inlineStr">
        <is>
          <t>OCKELBO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46269</v>
      </c>
      <c r="F470" t="inlineStr">
        <is>
          <t>GÄVLEBORGS LÄN</t>
        </is>
      </c>
      <c r="G470" t="inlineStr">
        <is>
          <t>OCKELBO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56919-2025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46269</v>
      </c>
      <c r="F471" t="inlineStr">
        <is>
          <t>GÄVLEBORGS LÄN</t>
        </is>
      </c>
      <c r="G471" t="inlineStr">
        <is>
          <t>OCKELBO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46269</v>
      </c>
      <c r="F472" t="inlineStr">
        <is>
          <t>GÄVLEBORGS LÄN</t>
        </is>
      </c>
      <c r="G472" t="inlineStr">
        <is>
          <t>OCKELBO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46269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46269</v>
      </c>
      <c r="F474" t="inlineStr">
        <is>
          <t>GÄVLEBORGS LÄN</t>
        </is>
      </c>
      <c r="G474" t="inlineStr">
        <is>
          <t>OCKELBO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45978</v>
      </c>
      <c r="E475" s="1" t="n">
        <v>46269</v>
      </c>
      <c r="F475" t="inlineStr">
        <is>
          <t>GÄVLEBORGS LÄN</t>
        </is>
      </c>
      <c r="G475" t="inlineStr">
        <is>
          <t>OCKELBO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46269</v>
      </c>
      <c r="F476" t="inlineStr">
        <is>
          <t>GÄVLEBORGS LÄN</t>
        </is>
      </c>
      <c r="G476" t="inlineStr">
        <is>
          <t>OCKELBO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56877-2025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46269</v>
      </c>
      <c r="F477" t="inlineStr">
        <is>
          <t>GÄVLEBORGS LÄN</t>
        </is>
      </c>
      <c r="G477" t="inlineStr">
        <is>
          <t>OCKELBO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46168</v>
      </c>
      <c r="E478" s="1" t="n">
        <v>46269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46269</v>
      </c>
      <c r="F479" t="inlineStr">
        <is>
          <t>GÄVLEBORGS LÄN</t>
        </is>
      </c>
      <c r="G479" t="inlineStr">
        <is>
          <t>OCKELBO</t>
        </is>
      </c>
      <c r="I479" t="n">
        <v>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46269</v>
      </c>
      <c r="F480" t="inlineStr">
        <is>
          <t>GÄVLEBORGS LÄN</t>
        </is>
      </c>
      <c r="G480" t="inlineStr">
        <is>
          <t>OCKELBO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24267-2026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46269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24335-2026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46169</v>
      </c>
      <c r="E482" s="1" t="n">
        <v>46269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24333-2026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46169</v>
      </c>
      <c r="E483" s="1" t="n">
        <v>46269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46169</v>
      </c>
      <c r="E484" s="1" t="n">
        <v>46269</v>
      </c>
      <c r="F484" t="inlineStr">
        <is>
          <t>GÄVLEBORGS LÄN</t>
        </is>
      </c>
      <c r="G484" t="inlineStr">
        <is>
          <t>OCKELBO</t>
        </is>
      </c>
      <c r="I484" t="n">
        <v>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11974-2026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46085</v>
      </c>
      <c r="E485" s="1" t="n">
        <v>46269</v>
      </c>
      <c r="F485" t="inlineStr">
        <is>
          <t>GÄVLEBORGS LÄN</t>
        </is>
      </c>
      <c r="G485" t="inlineStr">
        <is>
          <t>OCKELBO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46023</v>
      </c>
      <c r="E486" s="1" t="n">
        <v>46269</v>
      </c>
      <c r="F486" t="inlineStr">
        <is>
          <t>GÄVLEBORGS LÄN</t>
        </is>
      </c>
      <c r="G486" t="inlineStr">
        <is>
          <t>OCKELBO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46269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46269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54944-2025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45967</v>
      </c>
      <c r="E489" s="1" t="n">
        <v>46269</v>
      </c>
      <c r="F489" t="inlineStr">
        <is>
          <t>GÄVLEBORGS LÄN</t>
        </is>
      </c>
      <c r="G489" t="inlineStr">
        <is>
          <t>OCKELBO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46269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46269</v>
      </c>
      <c r="F491" t="inlineStr">
        <is>
          <t>GÄVLEBORGS LÄN</t>
        </is>
      </c>
      <c r="G491" t="inlineStr">
        <is>
          <t>OCKELBO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24449-2026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46170</v>
      </c>
      <c r="E492" s="1" t="n">
        <v>46269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46170</v>
      </c>
      <c r="E493" s="1" t="n">
        <v>46269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46269</v>
      </c>
      <c r="F494" t="inlineStr">
        <is>
          <t>GÄVLEBORGS LÄN</t>
        </is>
      </c>
      <c r="G494" t="inlineStr">
        <is>
          <t>OCKELBO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58770-2025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45986</v>
      </c>
      <c r="E495" s="1" t="n">
        <v>46269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46269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25128-2026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46269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46175</v>
      </c>
      <c r="E498" s="1" t="n">
        <v>46269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58727-2025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45986</v>
      </c>
      <c r="E499" s="1" t="n">
        <v>46269</v>
      </c>
      <c r="F499" t="inlineStr">
        <is>
          <t>GÄVLEBORGS LÄN</t>
        </is>
      </c>
      <c r="G499" t="inlineStr">
        <is>
          <t>OCKELBO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46269</v>
      </c>
      <c r="F500" t="inlineStr">
        <is>
          <t>GÄVLEBORGS LÄN</t>
        </is>
      </c>
      <c r="G500" t="inlineStr">
        <is>
          <t>OCKELBO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58299-2025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45985</v>
      </c>
      <c r="E501" s="1" t="n">
        <v>46269</v>
      </c>
      <c r="F501" t="inlineStr">
        <is>
          <t>GÄVLEBORGS LÄN</t>
        </is>
      </c>
      <c r="G501" t="inlineStr">
        <is>
          <t>OCKELBO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24974-2026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46269</v>
      </c>
      <c r="F502" t="inlineStr">
        <is>
          <t>GÄVLEBORGS LÄN</t>
        </is>
      </c>
      <c r="G502" t="inlineStr">
        <is>
          <t>OCKELBO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46269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24952-2026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46174</v>
      </c>
      <c r="E504" s="1" t="n">
        <v>46269</v>
      </c>
      <c r="F504" t="inlineStr">
        <is>
          <t>GÄVLEBORGS LÄN</t>
        </is>
      </c>
      <c r="G504" t="inlineStr">
        <is>
          <t>OCKELBO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46269</v>
      </c>
      <c r="F505" t="inlineStr">
        <is>
          <t>GÄVLEBORGS LÄN</t>
        </is>
      </c>
      <c r="G505" t="inlineStr">
        <is>
          <t>OCKELBO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50968-2024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46269</v>
      </c>
      <c r="F506" t="inlineStr">
        <is>
          <t>GÄVLEBORGS LÄN</t>
        </is>
      </c>
      <c r="G506" t="inlineStr">
        <is>
          <t>OCKELBO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46269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9.4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46269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60183-2025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45994</v>
      </c>
      <c r="E509" s="1" t="n">
        <v>46269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60616-2025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45996</v>
      </c>
      <c r="E510" s="1" t="n">
        <v>46269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46269</v>
      </c>
      <c r="F511" t="inlineStr">
        <is>
          <t>GÄVLEBORGS LÄN</t>
        </is>
      </c>
      <c r="G511" t="inlineStr">
        <is>
          <t>OCKELBO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46269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60527-2025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46269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33617-2023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45132</v>
      </c>
      <c r="E514" s="1" t="n">
        <v>46269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61148-2025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46000</v>
      </c>
      <c r="E515" s="1" t="n">
        <v>46269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45139</v>
      </c>
      <c r="E516" s="1" t="n">
        <v>46269</v>
      </c>
      <c r="F516" t="inlineStr">
        <is>
          <t>GÄVLEBORGS LÄN</t>
        </is>
      </c>
      <c r="G516" t="inlineStr">
        <is>
          <t>OCKELBO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46156</v>
      </c>
      <c r="E517" s="1" t="n">
        <v>46269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44950</v>
      </c>
      <c r="E518" s="1" t="n">
        <v>46269</v>
      </c>
      <c r="F518" t="inlineStr">
        <is>
          <t>GÄVLEBORGS LÄN</t>
        </is>
      </c>
      <c r="G518" t="inlineStr">
        <is>
          <t>OCKELBO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46269</v>
      </c>
      <c r="F519" t="inlineStr">
        <is>
          <t>GÄVLEBORGS LÄN</t>
        </is>
      </c>
      <c r="G519" t="inlineStr">
        <is>
          <t>OCKELBO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46269</v>
      </c>
      <c r="F520" t="inlineStr">
        <is>
          <t>GÄVLEBORGS LÄN</t>
        </is>
      </c>
      <c r="G520" t="inlineStr">
        <is>
          <t>OCKELBO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62196-2025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46006</v>
      </c>
      <c r="E521" s="1" t="n">
        <v>46269</v>
      </c>
      <c r="F521" t="inlineStr">
        <is>
          <t>GÄVLEBORGS LÄN</t>
        </is>
      </c>
      <c r="G521" t="inlineStr">
        <is>
          <t>OCKELBO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50197-2024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45600</v>
      </c>
      <c r="E522" s="1" t="n">
        <v>46269</v>
      </c>
      <c r="F522" t="inlineStr">
        <is>
          <t>GÄVLEBORGS LÄN</t>
        </is>
      </c>
      <c r="G522" t="inlineStr">
        <is>
          <t>OCKELBO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46269</v>
      </c>
      <c r="F523" t="inlineStr">
        <is>
          <t>GÄVLEBORGS LÄN</t>
        </is>
      </c>
      <c r="G523" t="inlineStr">
        <is>
          <t>OCKELBO</t>
        </is>
      </c>
      <c r="I523" t="n">
        <v>14.6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46269</v>
      </c>
      <c r="F524" t="inlineStr">
        <is>
          <t>GÄVLEBORGS LÄN</t>
        </is>
      </c>
      <c r="G524" t="inlineStr">
        <is>
          <t>OCKELBO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59383-2025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45989</v>
      </c>
      <c r="E525" s="1" t="n">
        <v>46269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52330-2024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45609</v>
      </c>
      <c r="E526" s="1" t="n">
        <v>46269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46269</v>
      </c>
      <c r="F527" t="inlineStr">
        <is>
          <t>GÄVLEBORGS LÄN</t>
        </is>
      </c>
      <c r="G527" t="inlineStr">
        <is>
          <t>OCKELBO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46230</v>
      </c>
      <c r="E528" s="1" t="n">
        <v>46269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63061-2025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46009</v>
      </c>
      <c r="E529" s="1" t="n">
        <v>46269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46189</v>
      </c>
      <c r="E530" s="1" t="n">
        <v>46269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46269</v>
      </c>
      <c r="F531" t="inlineStr">
        <is>
          <t>GÄVLEBORGS LÄN</t>
        </is>
      </c>
      <c r="G531" t="inlineStr">
        <is>
          <t>OCKELBO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46189</v>
      </c>
      <c r="E532" s="1" t="n">
        <v>46269</v>
      </c>
      <c r="F532" t="inlineStr">
        <is>
          <t>GÄVLEBORGS LÄN</t>
        </is>
      </c>
      <c r="G532" t="inlineStr">
        <is>
          <t>OCKELBO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62914-2025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46269</v>
      </c>
      <c r="F533" t="inlineStr">
        <is>
          <t>GÄVLEBORGS LÄN</t>
        </is>
      </c>
      <c r="G533" t="inlineStr">
        <is>
          <t>OCKELBO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46076</v>
      </c>
      <c r="E534" s="1" t="n">
        <v>46269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53702-2024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45615</v>
      </c>
      <c r="E535" s="1" t="n">
        <v>46269</v>
      </c>
      <c r="F535" t="inlineStr">
        <is>
          <t>GÄVLEBORGS LÄN</t>
        </is>
      </c>
      <c r="G535" t="inlineStr">
        <is>
          <t>OCKELBO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46269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63616-2025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46014</v>
      </c>
      <c r="E537" s="1" t="n">
        <v>46269</v>
      </c>
      <c r="F537" t="inlineStr">
        <is>
          <t>GÄVLEBORGS LÄN</t>
        </is>
      </c>
      <c r="G537" t="inlineStr">
        <is>
          <t>OCKELBO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63224-2025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46010</v>
      </c>
      <c r="E538" s="1" t="n">
        <v>46269</v>
      </c>
      <c r="F538" t="inlineStr">
        <is>
          <t>GÄVLEBORGS LÄN</t>
        </is>
      </c>
      <c r="G538" t="inlineStr">
        <is>
          <t>OCKELBO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63464-2025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46013</v>
      </c>
      <c r="E539" s="1" t="n">
        <v>46269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27272-2026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46269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27379-2026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46269</v>
      </c>
      <c r="F541" t="inlineStr">
        <is>
          <t>GÄVLEBORGS LÄN</t>
        </is>
      </c>
      <c r="G541" t="inlineStr">
        <is>
          <t>OCKELBO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46269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46269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46188</v>
      </c>
      <c r="E544" s="1" t="n">
        <v>46269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46232</v>
      </c>
      <c r="E545" s="1" t="n">
        <v>46269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63017-2025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46269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46269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46269</v>
      </c>
      <c r="F548" t="inlineStr">
        <is>
          <t>GÄVLEBORGS LÄN</t>
        </is>
      </c>
      <c r="G548" t="inlineStr">
        <is>
          <t>OCKELBO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46269</v>
      </c>
      <c r="F549" t="inlineStr">
        <is>
          <t>GÄVLEBORGS LÄN</t>
        </is>
      </c>
      <c r="G549" t="inlineStr">
        <is>
          <t>OCKELBO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46269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60148-2023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45258</v>
      </c>
      <c r="E551" s="1" t="n">
        <v>46269</v>
      </c>
      <c r="F551" t="inlineStr">
        <is>
          <t>GÄVLEBORGS LÄN</t>
        </is>
      </c>
      <c r="G551" t="inlineStr">
        <is>
          <t>OCKELBO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64006-2025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46021</v>
      </c>
      <c r="E552" s="1" t="n">
        <v>46269</v>
      </c>
      <c r="F552" t="inlineStr">
        <is>
          <t>GÄVLEBORGS LÄN</t>
        </is>
      </c>
      <c r="G552" t="inlineStr">
        <is>
          <t>OCKELBO</t>
        </is>
      </c>
      <c r="I552" t="n">
        <v>13.6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46024</v>
      </c>
      <c r="E553" s="1" t="n">
        <v>46269</v>
      </c>
      <c r="F553" t="inlineStr">
        <is>
          <t>GÄVLEBORGS LÄN</t>
        </is>
      </c>
      <c r="G553" t="inlineStr">
        <is>
          <t>OCKELBO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46269</v>
      </c>
      <c r="F554" t="inlineStr">
        <is>
          <t>GÄVLEBORGS LÄN</t>
        </is>
      </c>
      <c r="G554" t="inlineStr">
        <is>
          <t>OCKELBO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46191</v>
      </c>
      <c r="E555" s="1" t="n">
        <v>46269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46027</v>
      </c>
      <c r="E556" s="1" t="n">
        <v>46269</v>
      </c>
      <c r="F556" t="inlineStr">
        <is>
          <t>GÄVLEBORGS LÄN</t>
        </is>
      </c>
      <c r="G556" t="inlineStr">
        <is>
          <t>OCKELBO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46027</v>
      </c>
      <c r="E557" s="1" t="n">
        <v>46269</v>
      </c>
      <c r="F557" t="inlineStr">
        <is>
          <t>GÄVLEBORGS LÄN</t>
        </is>
      </c>
      <c r="G557" t="inlineStr">
        <is>
          <t>OCKELBO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46027</v>
      </c>
      <c r="E558" s="1" t="n">
        <v>46269</v>
      </c>
      <c r="F558" t="inlineStr">
        <is>
          <t>GÄVLEBORGS LÄN</t>
        </is>
      </c>
      <c r="G558" t="inlineStr">
        <is>
          <t>OCKELBO</t>
        </is>
      </c>
      <c r="I558" t="n">
        <v>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46027</v>
      </c>
      <c r="E559" s="1" t="n">
        <v>46269</v>
      </c>
      <c r="F559" t="inlineStr">
        <is>
          <t>GÄVLEBORGS LÄN</t>
        </is>
      </c>
      <c r="G559" t="inlineStr">
        <is>
          <t>OCKELBO</t>
        </is>
      </c>
      <c r="I559" t="n">
        <v>16.2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46027</v>
      </c>
      <c r="E560" s="1" t="n">
        <v>46269</v>
      </c>
      <c r="F560" t="inlineStr">
        <is>
          <t>GÄVLEBORGS LÄN</t>
        </is>
      </c>
      <c r="G560" t="inlineStr">
        <is>
          <t>OCKELBO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46027</v>
      </c>
      <c r="E561" s="1" t="n">
        <v>46269</v>
      </c>
      <c r="F561" t="inlineStr">
        <is>
          <t>GÄVLEBORGS LÄN</t>
        </is>
      </c>
      <c r="G561" t="inlineStr">
        <is>
          <t>OCKELBO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46269</v>
      </c>
      <c r="F562" t="inlineStr">
        <is>
          <t>GÄVLEBORGS LÄN</t>
        </is>
      </c>
      <c r="G562" t="inlineStr">
        <is>
          <t>OCKELBO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46028</v>
      </c>
      <c r="E563" s="1" t="n">
        <v>46269</v>
      </c>
      <c r="F563" t="inlineStr">
        <is>
          <t>GÄVLEBORGS LÄN</t>
        </is>
      </c>
      <c r="G563" t="inlineStr">
        <is>
          <t>OCKELBO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46269</v>
      </c>
      <c r="F564" t="inlineStr">
        <is>
          <t>GÄVLEBORGS LÄN</t>
        </is>
      </c>
      <c r="G564" t="inlineStr">
        <is>
          <t>OCKELBO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46269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46028</v>
      </c>
      <c r="E566" s="1" t="n">
        <v>46269</v>
      </c>
      <c r="F566" t="inlineStr">
        <is>
          <t>GÄVLEBORGS LÄN</t>
        </is>
      </c>
      <c r="G566" t="inlineStr">
        <is>
          <t>OCKELBO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46269</v>
      </c>
      <c r="F567" t="inlineStr">
        <is>
          <t>GÄVLEBORGS LÄN</t>
        </is>
      </c>
      <c r="G567" t="inlineStr">
        <is>
          <t>OCKELBO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46269</v>
      </c>
      <c r="F568" t="inlineStr">
        <is>
          <t>GÄVLEBORGS LÄN</t>
        </is>
      </c>
      <c r="G568" t="inlineStr">
        <is>
          <t>OCKELBO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46024</v>
      </c>
      <c r="E569" s="1" t="n">
        <v>46269</v>
      </c>
      <c r="F569" t="inlineStr">
        <is>
          <t>GÄVLEBORGS LÄN</t>
        </is>
      </c>
      <c r="G569" t="inlineStr">
        <is>
          <t>OCKELBO</t>
        </is>
      </c>
      <c r="I569" t="n">
        <v>12.9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46031</v>
      </c>
      <c r="E570" s="1" t="n">
        <v>46269</v>
      </c>
      <c r="F570" t="inlineStr">
        <is>
          <t>GÄVLEBORGS LÄN</t>
        </is>
      </c>
      <c r="G570" t="inlineStr">
        <is>
          <t>OCKELBO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46034</v>
      </c>
      <c r="E571" s="1" t="n">
        <v>46269</v>
      </c>
      <c r="F571" t="inlineStr">
        <is>
          <t>GÄVLEBORGS LÄN</t>
        </is>
      </c>
      <c r="G571" t="inlineStr">
        <is>
          <t>OCKELBO</t>
        </is>
      </c>
      <c r="I571" t="n">
        <v>9.4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46033</v>
      </c>
      <c r="E572" s="1" t="n">
        <v>46269</v>
      </c>
      <c r="F572" t="inlineStr">
        <is>
          <t>GÄVLEBORGS LÄN</t>
        </is>
      </c>
      <c r="G572" t="inlineStr">
        <is>
          <t>OCKELBO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61116-2023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45261</v>
      </c>
      <c r="E573" s="1" t="n">
        <v>46269</v>
      </c>
      <c r="F573" t="inlineStr">
        <is>
          <t>GÄVLEBORGS LÄN</t>
        </is>
      </c>
      <c r="G573" t="inlineStr">
        <is>
          <t>OCKELBO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46269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46031</v>
      </c>
      <c r="E575" s="1" t="n">
        <v>46269</v>
      </c>
      <c r="F575" t="inlineStr">
        <is>
          <t>GÄVLEBORGS LÄN</t>
        </is>
      </c>
      <c r="G575" t="inlineStr">
        <is>
          <t>OCKELBO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46036</v>
      </c>
      <c r="E576" s="1" t="n">
        <v>46269</v>
      </c>
      <c r="F576" t="inlineStr">
        <is>
          <t>GÄVLEBORGS LÄN</t>
        </is>
      </c>
      <c r="G576" t="inlineStr">
        <is>
          <t>OCKELBO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46269</v>
      </c>
      <c r="F577" t="inlineStr">
        <is>
          <t>GÄVLEBORGS LÄN</t>
        </is>
      </c>
      <c r="G577" t="inlineStr">
        <is>
          <t>OCKELBO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46269</v>
      </c>
      <c r="F578" t="inlineStr">
        <is>
          <t>GÄVLEBORGS LÄN</t>
        </is>
      </c>
      <c r="G578" t="inlineStr">
        <is>
          <t>OCKELBO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46269</v>
      </c>
      <c r="F579" t="inlineStr">
        <is>
          <t>GÄVLEBORGS LÄN</t>
        </is>
      </c>
      <c r="G579" t="inlineStr">
        <is>
          <t>OCKELBO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46035</v>
      </c>
      <c r="E580" s="1" t="n">
        <v>46269</v>
      </c>
      <c r="F580" t="inlineStr">
        <is>
          <t>GÄVLEBORGS LÄN</t>
        </is>
      </c>
      <c r="G580" t="inlineStr">
        <is>
          <t>OCKELBO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46036</v>
      </c>
      <c r="E581" s="1" t="n">
        <v>46269</v>
      </c>
      <c r="F581" t="inlineStr">
        <is>
          <t>GÄVLEBORGS LÄN</t>
        </is>
      </c>
      <c r="G581" t="inlineStr">
        <is>
          <t>OCKELBO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46269</v>
      </c>
      <c r="F582" t="inlineStr">
        <is>
          <t>GÄVLEBORGS LÄN</t>
        </is>
      </c>
      <c r="G582" t="inlineStr">
        <is>
          <t>OCKELBO</t>
        </is>
      </c>
      <c r="I582" t="n">
        <v>5.3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46269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46269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46035</v>
      </c>
      <c r="E585" s="1" t="n">
        <v>46269</v>
      </c>
      <c r="F585" t="inlineStr">
        <is>
          <t>GÄVLEBORGS LÄN</t>
        </is>
      </c>
      <c r="G585" t="inlineStr">
        <is>
          <t>OCKELBO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46269</v>
      </c>
      <c r="F586" t="inlineStr">
        <is>
          <t>GÄVLEBORGS LÄN</t>
        </is>
      </c>
      <c r="G586" t="inlineStr">
        <is>
          <t>OCKELBO</t>
        </is>
      </c>
      <c r="I586" t="n">
        <v>16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46196</v>
      </c>
      <c r="E587" s="1" t="n">
        <v>46269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46038</v>
      </c>
      <c r="E588" s="1" t="n">
        <v>46269</v>
      </c>
      <c r="F588" t="inlineStr">
        <is>
          <t>GÄVLEBORGS LÄN</t>
        </is>
      </c>
      <c r="G588" t="inlineStr">
        <is>
          <t>OCKELBO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46038</v>
      </c>
      <c r="E589" s="1" t="n">
        <v>46269</v>
      </c>
      <c r="F589" t="inlineStr">
        <is>
          <t>GÄVLEBORGS LÄN</t>
        </is>
      </c>
      <c r="G589" t="inlineStr">
        <is>
          <t>OCKELBO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46037</v>
      </c>
      <c r="E590" s="1" t="n">
        <v>46269</v>
      </c>
      <c r="F590" t="inlineStr">
        <is>
          <t>GÄVLEBORGS LÄN</t>
        </is>
      </c>
      <c r="G590" t="inlineStr">
        <is>
          <t>OCKELBO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28681-2026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46269</v>
      </c>
      <c r="F591" t="inlineStr">
        <is>
          <t>GÄVLEBORGS LÄN</t>
        </is>
      </c>
      <c r="G591" t="inlineStr">
        <is>
          <t>OCKELBO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46041</v>
      </c>
      <c r="E592" s="1" t="n">
        <v>46269</v>
      </c>
      <c r="F592" t="inlineStr">
        <is>
          <t>GÄVLEBORGS LÄN</t>
        </is>
      </c>
      <c r="G592" t="inlineStr">
        <is>
          <t>OCKELBO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46036</v>
      </c>
      <c r="E593" s="1" t="n">
        <v>46269</v>
      </c>
      <c r="F593" t="inlineStr">
        <is>
          <t>GÄVLEBORGS LÄN</t>
        </is>
      </c>
      <c r="G593" t="inlineStr">
        <is>
          <t>OCKELBO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46045</v>
      </c>
      <c r="E594" s="1" t="n">
        <v>46269</v>
      </c>
      <c r="F594" t="inlineStr">
        <is>
          <t>GÄVLEBORGS LÄN</t>
        </is>
      </c>
      <c r="G594" t="inlineStr">
        <is>
          <t>OCKELBO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26481-2026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46183</v>
      </c>
      <c r="E595" s="1" t="n">
        <v>46269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46199</v>
      </c>
      <c r="E596" s="1" t="n">
        <v>46269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47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46269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46041</v>
      </c>
      <c r="E598" s="1" t="n">
        <v>46269</v>
      </c>
      <c r="F598" t="inlineStr">
        <is>
          <t>GÄVLEBORGS LÄN</t>
        </is>
      </c>
      <c r="G598" t="inlineStr">
        <is>
          <t>OCKELBO</t>
        </is>
      </c>
      <c r="I598" t="n">
        <v>7.1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46044</v>
      </c>
      <c r="E599" s="1" t="n">
        <v>46269</v>
      </c>
      <c r="F599" t="inlineStr">
        <is>
          <t>GÄVLEBORGS LÄN</t>
        </is>
      </c>
      <c r="G599" t="inlineStr">
        <is>
          <t>OCKELBO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46199</v>
      </c>
      <c r="E600" s="1" t="n">
        <v>46269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46044</v>
      </c>
      <c r="E601" s="1" t="n">
        <v>46269</v>
      </c>
      <c r="F601" t="inlineStr">
        <is>
          <t>GÄVLEBORGS LÄN</t>
        </is>
      </c>
      <c r="G601" t="inlineStr">
        <is>
          <t>OCKELBO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46269</v>
      </c>
      <c r="F602" t="inlineStr">
        <is>
          <t>GÄVLEBORGS LÄN</t>
        </is>
      </c>
      <c r="G602" t="inlineStr">
        <is>
          <t>OCKELBO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46269</v>
      </c>
      <c r="F603" t="inlineStr">
        <is>
          <t>GÄVLEBORGS LÄN</t>
        </is>
      </c>
      <c r="G603" t="inlineStr">
        <is>
          <t>OCKELBO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2919-2026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46038</v>
      </c>
      <c r="E604" s="1" t="n">
        <v>46269</v>
      </c>
      <c r="F604" t="inlineStr">
        <is>
          <t>GÄVLEBORGS LÄN</t>
        </is>
      </c>
      <c r="G604" t="inlineStr">
        <is>
          <t>OCKELBO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46269</v>
      </c>
      <c r="F605" t="inlineStr">
        <is>
          <t>GÄVLEBORGS LÄN</t>
        </is>
      </c>
      <c r="G605" t="inlineStr">
        <is>
          <t>OCKELBO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4891-2026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46048</v>
      </c>
      <c r="E606" s="1" t="n">
        <v>46269</v>
      </c>
      <c r="F606" t="inlineStr">
        <is>
          <t>GÄVLEBORGS LÄN</t>
        </is>
      </c>
      <c r="G606" t="inlineStr">
        <is>
          <t>OCKELBO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44281-2022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44839</v>
      </c>
      <c r="E607" s="1" t="n">
        <v>46269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46269</v>
      </c>
      <c r="F608" t="inlineStr">
        <is>
          <t>GÄVLEBORGS LÄN</t>
        </is>
      </c>
      <c r="G608" t="inlineStr">
        <is>
          <t>OCKELBO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28672-2026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46269</v>
      </c>
      <c r="F609" t="inlineStr">
        <is>
          <t>GÄVLEBORGS LÄN</t>
        </is>
      </c>
      <c r="G609" t="inlineStr">
        <is>
          <t>OCKELBO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46269</v>
      </c>
      <c r="F610" t="inlineStr">
        <is>
          <t>GÄVLEBORGS LÄN</t>
        </is>
      </c>
      <c r="G610" t="inlineStr">
        <is>
          <t>OCKELBO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46044</v>
      </c>
      <c r="E611" s="1" t="n">
        <v>46269</v>
      </c>
      <c r="F611" t="inlineStr">
        <is>
          <t>GÄVLEBORGS LÄN</t>
        </is>
      </c>
      <c r="G611" t="inlineStr">
        <is>
          <t>OCKELBO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46045</v>
      </c>
      <c r="E612" s="1" t="n">
        <v>46269</v>
      </c>
      <c r="F612" t="inlineStr">
        <is>
          <t>GÄVLEBORGS LÄN</t>
        </is>
      </c>
      <c r="G612" t="inlineStr">
        <is>
          <t>OCKELBO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4268-2026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46045</v>
      </c>
      <c r="E613" s="1" t="n">
        <v>46269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46269</v>
      </c>
      <c r="F614" t="inlineStr">
        <is>
          <t>GÄVLEBORGS LÄN</t>
        </is>
      </c>
      <c r="G614" t="inlineStr">
        <is>
          <t>OCKELBO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46245</v>
      </c>
      <c r="E615" s="1" t="n">
        <v>46269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46050</v>
      </c>
      <c r="E616" s="1" t="n">
        <v>46269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7.8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46269</v>
      </c>
      <c r="F617" t="inlineStr">
        <is>
          <t>GÄVLEBORGS LÄN</t>
        </is>
      </c>
      <c r="G617" t="inlineStr">
        <is>
          <t>OCKELBO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46269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45747</v>
      </c>
      <c r="E619" s="1" t="n">
        <v>46269</v>
      </c>
      <c r="F619" t="inlineStr">
        <is>
          <t>GÄVLEBORGS LÄN</t>
        </is>
      </c>
      <c r="G619" t="inlineStr">
        <is>
          <t>OCKELBO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29386-2026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46203</v>
      </c>
      <c r="E620" s="1" t="n">
        <v>46269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29437-2026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46203</v>
      </c>
      <c r="E621" s="1" t="n">
        <v>46269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5596-2026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46269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46052</v>
      </c>
      <c r="E623" s="1" t="n">
        <v>46269</v>
      </c>
      <c r="F623" t="inlineStr">
        <is>
          <t>GÄVLEBORGS LÄN</t>
        </is>
      </c>
      <c r="G623" t="inlineStr">
        <is>
          <t>OCKELBO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46269</v>
      </c>
      <c r="F624" t="inlineStr">
        <is>
          <t>GÄVLEBORGS LÄN</t>
        </is>
      </c>
      <c r="G624" t="inlineStr">
        <is>
          <t>OCKELBO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46269</v>
      </c>
      <c r="F625" t="inlineStr">
        <is>
          <t>GÄVLEBORGS LÄN</t>
        </is>
      </c>
      <c r="G625" t="inlineStr">
        <is>
          <t>OCKELBO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46269</v>
      </c>
      <c r="F626" t="inlineStr">
        <is>
          <t>GÄVLEBORGS LÄN</t>
        </is>
      </c>
      <c r="G626" t="inlineStr">
        <is>
          <t>OCKELBO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46051</v>
      </c>
      <c r="E627" s="1" t="n">
        <v>46269</v>
      </c>
      <c r="F627" t="inlineStr">
        <is>
          <t>GÄVLEBORGS LÄN</t>
        </is>
      </c>
      <c r="G627" t="inlineStr">
        <is>
          <t>OCKELBO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6698-2026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46056</v>
      </c>
      <c r="E628" s="1" t="n">
        <v>46269</v>
      </c>
      <c r="F628" t="inlineStr">
        <is>
          <t>GÄVLEBORGS LÄN</t>
        </is>
      </c>
      <c r="G628" t="inlineStr">
        <is>
          <t>OCKELBO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46269</v>
      </c>
      <c r="F629" t="inlineStr">
        <is>
          <t>GÄVLEBORGS LÄN</t>
        </is>
      </c>
      <c r="G629" t="inlineStr">
        <is>
          <t>OCKELBO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46269</v>
      </c>
      <c r="F630" t="inlineStr">
        <is>
          <t>GÄVLEBORGS LÄN</t>
        </is>
      </c>
      <c r="G630" t="inlineStr">
        <is>
          <t>OCKELBO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6120-2026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46053</v>
      </c>
      <c r="E631" s="1" t="n">
        <v>46269</v>
      </c>
      <c r="F631" t="inlineStr">
        <is>
          <t>GÄVLEBORGS LÄN</t>
        </is>
      </c>
      <c r="G631" t="inlineStr">
        <is>
          <t>OCKELBO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46056</v>
      </c>
      <c r="E632" s="1" t="n">
        <v>46269</v>
      </c>
      <c r="F632" t="inlineStr">
        <is>
          <t>GÄVLEBORGS LÄN</t>
        </is>
      </c>
      <c r="G632" t="inlineStr">
        <is>
          <t>OCKELBO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46269</v>
      </c>
      <c r="F633" t="inlineStr">
        <is>
          <t>GÄVLEBORGS LÄN</t>
        </is>
      </c>
      <c r="G633" t="inlineStr">
        <is>
          <t>OCKELBO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46056</v>
      </c>
      <c r="E634" s="1" t="n">
        <v>46269</v>
      </c>
      <c r="F634" t="inlineStr">
        <is>
          <t>GÄVLEBORGS LÄN</t>
        </is>
      </c>
      <c r="G634" t="inlineStr">
        <is>
          <t>OCKELBO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29687-2023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46269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6590-2026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46056</v>
      </c>
      <c r="E636" s="1" t="n">
        <v>46269</v>
      </c>
      <c r="F636" t="inlineStr">
        <is>
          <t>GÄVLEBORGS LÄN</t>
        </is>
      </c>
      <c r="G636" t="inlineStr">
        <is>
          <t>OCKELBO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46055</v>
      </c>
      <c r="E637" s="1" t="n">
        <v>46269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6665-2026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46269</v>
      </c>
      <c r="F638" t="inlineStr">
        <is>
          <t>GÄVLEBORGS LÄN</t>
        </is>
      </c>
      <c r="G638" t="inlineStr">
        <is>
          <t>OCKELBO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37442-2023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45156</v>
      </c>
      <c r="E639" s="1" t="n">
        <v>46269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6677-2026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46056</v>
      </c>
      <c r="E640" s="1" t="n">
        <v>46269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9.4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3620-2023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44950</v>
      </c>
      <c r="E641" s="1" t="n">
        <v>46269</v>
      </c>
      <c r="F641" t="inlineStr">
        <is>
          <t>GÄVLEBORGS LÄN</t>
        </is>
      </c>
      <c r="G641" t="inlineStr">
        <is>
          <t>OCKELBO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46057</v>
      </c>
      <c r="E642" s="1" t="n">
        <v>46269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29835-2026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46205</v>
      </c>
      <c r="E643" s="1" t="n">
        <v>46269</v>
      </c>
      <c r="F643" t="inlineStr">
        <is>
          <t>GÄVLEBORGS LÄN</t>
        </is>
      </c>
      <c r="G643" t="inlineStr">
        <is>
          <t>OCKELBO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29849-2026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46205</v>
      </c>
      <c r="E644" s="1" t="n">
        <v>46269</v>
      </c>
      <c r="F644" t="inlineStr">
        <is>
          <t>GÄVLEBORGS LÄN</t>
        </is>
      </c>
      <c r="G644" t="inlineStr">
        <is>
          <t>OCKELBO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7765-2026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46062</v>
      </c>
      <c r="E645" s="1" t="n">
        <v>46269</v>
      </c>
      <c r="F645" t="inlineStr">
        <is>
          <t>GÄVLEBORGS LÄN</t>
        </is>
      </c>
      <c r="G645" t="inlineStr">
        <is>
          <t>OCKELBO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29611-2026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46204</v>
      </c>
      <c r="E646" s="1" t="n">
        <v>46269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7544-2026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46059</v>
      </c>
      <c r="E647" s="1" t="n">
        <v>46269</v>
      </c>
      <c r="F647" t="inlineStr">
        <is>
          <t>GÄVLEBORGS LÄN</t>
        </is>
      </c>
      <c r="G647" t="inlineStr">
        <is>
          <t>OCKELBO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46269</v>
      </c>
      <c r="F648" t="inlineStr">
        <is>
          <t>GÄVLEBORGS LÄN</t>
        </is>
      </c>
      <c r="G648" t="inlineStr">
        <is>
          <t>OCKELBO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7681-2026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46062</v>
      </c>
      <c r="E649" s="1" t="n">
        <v>46269</v>
      </c>
      <c r="F649" t="inlineStr">
        <is>
          <t>GÄVLEBORGS LÄN</t>
        </is>
      </c>
      <c r="G649" t="inlineStr">
        <is>
          <t>OCKELBO</t>
        </is>
      </c>
      <c r="H649" t="inlineStr">
        <is>
          <t>Kyrkan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29789-2026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46269</v>
      </c>
      <c r="F650" t="inlineStr">
        <is>
          <t>GÄVLEBORGS LÄN</t>
        </is>
      </c>
      <c r="G650" t="inlineStr">
        <is>
          <t>OCKELBO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7769-2026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46269</v>
      </c>
      <c r="F651" t="inlineStr">
        <is>
          <t>GÄVLEBORGS LÄN</t>
        </is>
      </c>
      <c r="G651" t="inlineStr">
        <is>
          <t>OCKELBO</t>
        </is>
      </c>
      <c r="I651" t="n">
        <v>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46064</v>
      </c>
      <c r="E652" s="1" t="n">
        <v>46269</v>
      </c>
      <c r="F652" t="inlineStr">
        <is>
          <t>GÄVLEBORGS LÄN</t>
        </is>
      </c>
      <c r="G652" t="inlineStr">
        <is>
          <t>OCKELBO</t>
        </is>
      </c>
      <c r="I652" t="n">
        <v>17.4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46064</v>
      </c>
      <c r="E653" s="1" t="n">
        <v>46269</v>
      </c>
      <c r="F653" t="inlineStr">
        <is>
          <t>GÄVLEBORGS LÄN</t>
        </is>
      </c>
      <c r="G653" t="inlineStr">
        <is>
          <t>OCKELBO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46064</v>
      </c>
      <c r="E654" s="1" t="n">
        <v>46269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14827-2026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46104</v>
      </c>
      <c r="E655" s="1" t="n">
        <v>46269</v>
      </c>
      <c r="F655" t="inlineStr">
        <is>
          <t>GÄVLEBORGS LÄN</t>
        </is>
      </c>
      <c r="G655" t="inlineStr">
        <is>
          <t>OCKELBO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45134</v>
      </c>
      <c r="E656" s="1" t="n">
        <v>46269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33987-2023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45134</v>
      </c>
      <c r="E657" s="1" t="n">
        <v>46269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8402-2026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46065</v>
      </c>
      <c r="E658" s="1" t="n">
        <v>46269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8429-2026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46065</v>
      </c>
      <c r="E659" s="1" t="n">
        <v>46269</v>
      </c>
      <c r="F659" t="inlineStr">
        <is>
          <t>GÄVLEBORGS LÄN</t>
        </is>
      </c>
      <c r="G659" t="inlineStr">
        <is>
          <t>OCKELBO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8933-2026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46069</v>
      </c>
      <c r="E660" s="1" t="n">
        <v>46269</v>
      </c>
      <c r="F660" t="inlineStr">
        <is>
          <t>GÄVLEBORGS LÄN</t>
        </is>
      </c>
      <c r="G660" t="inlineStr">
        <is>
          <t>OCKELBO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6764-2026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46269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9505-2026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46269</v>
      </c>
      <c r="F662" t="inlineStr">
        <is>
          <t>GÄVLEBORGS LÄN</t>
        </is>
      </c>
      <c r="G662" t="inlineStr">
        <is>
          <t>OCKELBO</t>
        </is>
      </c>
      <c r="I662" t="n">
        <v>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9414-2026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46269</v>
      </c>
      <c r="F663" t="inlineStr">
        <is>
          <t>GÄVLEBORGS LÄN</t>
        </is>
      </c>
      <c r="G663" t="inlineStr">
        <is>
          <t>OCKELBO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9416-2026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46071</v>
      </c>
      <c r="E664" s="1" t="n">
        <v>46269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9464-2026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46071</v>
      </c>
      <c r="E665" s="1" t="n">
        <v>46269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46269</v>
      </c>
      <c r="F666" t="inlineStr">
        <is>
          <t>GÄVLEBORGS LÄN</t>
        </is>
      </c>
      <c r="G666" t="inlineStr">
        <is>
          <t>OCKELBO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9675-2026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46072</v>
      </c>
      <c r="E667" s="1" t="n">
        <v>46269</v>
      </c>
      <c r="F667" t="inlineStr">
        <is>
          <t>GÄVLEBORGS LÄN</t>
        </is>
      </c>
      <c r="G667" t="inlineStr">
        <is>
          <t>OCKELBO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9681-2026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46072</v>
      </c>
      <c r="E668" s="1" t="n">
        <v>46269</v>
      </c>
      <c r="F668" t="inlineStr">
        <is>
          <t>GÄVLEBORGS LÄN</t>
        </is>
      </c>
      <c r="G668" t="inlineStr">
        <is>
          <t>OCKELBO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9727-2026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46072</v>
      </c>
      <c r="E669" s="1" t="n">
        <v>46269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9732-2026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46072</v>
      </c>
      <c r="E670" s="1" t="n">
        <v>46269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46071</v>
      </c>
      <c r="E671" s="1" t="n">
        <v>46269</v>
      </c>
      <c r="F671" t="inlineStr">
        <is>
          <t>GÄVLEBORGS LÄN</t>
        </is>
      </c>
      <c r="G671" t="inlineStr">
        <is>
          <t>OCKELBO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9557-2026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46071</v>
      </c>
      <c r="E672" s="1" t="n">
        <v>46269</v>
      </c>
      <c r="F672" t="inlineStr">
        <is>
          <t>GÄVLEBORGS LÄN</t>
        </is>
      </c>
      <c r="G672" t="inlineStr">
        <is>
          <t>OCKELBO</t>
        </is>
      </c>
      <c r="I672" t="n">
        <v>10.4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46031</v>
      </c>
      <c r="E673" s="1" t="n">
        <v>46269</v>
      </c>
      <c r="F673" t="inlineStr">
        <is>
          <t>GÄVLEBORGS LÄN</t>
        </is>
      </c>
      <c r="G673" t="inlineStr">
        <is>
          <t>OCKELBO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9470-2026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46071</v>
      </c>
      <c r="E674" s="1" t="n">
        <v>46269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10159-2026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46076</v>
      </c>
      <c r="E675" s="1" t="n">
        <v>46269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10437-2026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46077</v>
      </c>
      <c r="E676" s="1" t="n">
        <v>46269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10418-2026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46077</v>
      </c>
      <c r="E677" s="1" t="n">
        <v>46269</v>
      </c>
      <c r="F677" t="inlineStr">
        <is>
          <t>GÄVLEBORGS LÄN</t>
        </is>
      </c>
      <c r="G677" t="inlineStr">
        <is>
          <t>OCKELBO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10501-2026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46077</v>
      </c>
      <c r="E678" s="1" t="n">
        <v>46269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10454-2026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46077</v>
      </c>
      <c r="E679" s="1" t="n">
        <v>46269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9997-2026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46073</v>
      </c>
      <c r="E680" s="1" t="n">
        <v>46269</v>
      </c>
      <c r="F680" t="inlineStr">
        <is>
          <t>GÄVLEBORGS LÄN</t>
        </is>
      </c>
      <c r="G680" t="inlineStr">
        <is>
          <t>OCKELBO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10529-2026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46077</v>
      </c>
      <c r="E681" s="1" t="n">
        <v>46269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öst AB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30031-2026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46206</v>
      </c>
      <c r="E682" s="1" t="n">
        <v>46269</v>
      </c>
      <c r="F682" t="inlineStr">
        <is>
          <t>GÄVLEBORGS LÄN</t>
        </is>
      </c>
      <c r="G682" t="inlineStr">
        <is>
          <t>OCKELBO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10535-2026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46077</v>
      </c>
      <c r="E683" s="1" t="n">
        <v>46269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öst AB</t>
        </is>
      </c>
      <c r="I683" t="n">
        <v>6.2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1293-2026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46031</v>
      </c>
      <c r="E684" s="1" t="n">
        <v>46269</v>
      </c>
      <c r="F684" t="inlineStr">
        <is>
          <t>GÄVLEBORGS LÄN</t>
        </is>
      </c>
      <c r="G684" t="inlineStr">
        <is>
          <t>OCKELBO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46077</v>
      </c>
      <c r="E685" s="1" t="n">
        <v>46269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öst AB</t>
        </is>
      </c>
      <c r="I685" t="n">
        <v>45.7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10682-2026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46078</v>
      </c>
      <c r="E686" s="1" t="n">
        <v>46269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46269</v>
      </c>
      <c r="F687" t="inlineStr">
        <is>
          <t>GÄVLEBORGS LÄN</t>
        </is>
      </c>
      <c r="G687" t="inlineStr">
        <is>
          <t>OCKELBO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34391-2026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46269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11027-2026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46079</v>
      </c>
      <c r="E689" s="1" t="n">
        <v>46269</v>
      </c>
      <c r="F689" t="inlineStr">
        <is>
          <t>GÄVLEBORGS LÄN</t>
        </is>
      </c>
      <c r="G689" t="inlineStr">
        <is>
          <t>OCKELBO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11234-2026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46080</v>
      </c>
      <c r="E690" s="1" t="n">
        <v>46269</v>
      </c>
      <c r="F690" t="inlineStr">
        <is>
          <t>GÄVLEBORGS LÄN</t>
        </is>
      </c>
      <c r="G690" t="inlineStr">
        <is>
          <t>OCKELBO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46080</v>
      </c>
      <c r="E691" s="1" t="n">
        <v>46269</v>
      </c>
      <c r="F691" t="inlineStr">
        <is>
          <t>GÄVLEBORGS LÄN</t>
        </is>
      </c>
      <c r="G691" t="inlineStr">
        <is>
          <t>OCKELBO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11423-2026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46083</v>
      </c>
      <c r="E692" s="1" t="n">
        <v>46269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öst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11496-2026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46083</v>
      </c>
      <c r="E693" s="1" t="n">
        <v>46269</v>
      </c>
      <c r="F693" t="inlineStr">
        <is>
          <t>GÄVLEBORGS LÄN</t>
        </is>
      </c>
      <c r="G693" t="inlineStr">
        <is>
          <t>OCKELBO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11432-2026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46083</v>
      </c>
      <c r="E694" s="1" t="n">
        <v>46269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11237-2026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46080</v>
      </c>
      <c r="E695" s="1" t="n">
        <v>46269</v>
      </c>
      <c r="F695" t="inlineStr">
        <is>
          <t>GÄVLEBORGS LÄN</t>
        </is>
      </c>
      <c r="G695" t="inlineStr">
        <is>
          <t>OCKELBO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18326-2026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46126</v>
      </c>
      <c r="E696" s="1" t="n">
        <v>46269</v>
      </c>
      <c r="F696" t="inlineStr">
        <is>
          <t>GÄVLEBORGS LÄN</t>
        </is>
      </c>
      <c r="G696" t="inlineStr">
        <is>
          <t>OCKELBO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11810-2026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46269</v>
      </c>
      <c r="F697" t="inlineStr">
        <is>
          <t>GÄVLEBORGS LÄN</t>
        </is>
      </c>
      <c r="G697" t="inlineStr">
        <is>
          <t>OCKELBO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12341-2026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46087</v>
      </c>
      <c r="E698" s="1" t="n">
        <v>46269</v>
      </c>
      <c r="F698" t="inlineStr">
        <is>
          <t>GÄVLEBORGS LÄN</t>
        </is>
      </c>
      <c r="G698" t="inlineStr">
        <is>
          <t>OCKELBO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34765-2026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46258</v>
      </c>
      <c r="E699" s="1" t="n">
        <v>46269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12370-2026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46089</v>
      </c>
      <c r="E700" s="1" t="n">
        <v>46269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29.9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29963-2024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45488</v>
      </c>
      <c r="E701" s="1" t="n">
        <v>46269</v>
      </c>
      <c r="F701" t="inlineStr">
        <is>
          <t>GÄVLEBORGS LÄN</t>
        </is>
      </c>
      <c r="G701" t="inlineStr">
        <is>
          <t>OCKELBO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12716-2026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46091</v>
      </c>
      <c r="E702" s="1" t="n">
        <v>46269</v>
      </c>
      <c r="F702" t="inlineStr">
        <is>
          <t>GÄVLEBORGS LÄN</t>
        </is>
      </c>
      <c r="G702" t="inlineStr">
        <is>
          <t>OCKELBO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13271-2026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46093</v>
      </c>
      <c r="E703" s="1" t="n">
        <v>46269</v>
      </c>
      <c r="F703" t="inlineStr">
        <is>
          <t>GÄVLEBORGS LÄN</t>
        </is>
      </c>
      <c r="G703" t="inlineStr">
        <is>
          <t>OCKELBO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13162-2026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46093</v>
      </c>
      <c r="E704" s="1" t="n">
        <v>46269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12807-2026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46092</v>
      </c>
      <c r="E705" s="1" t="n">
        <v>46269</v>
      </c>
      <c r="F705" t="inlineStr">
        <is>
          <t>GÄVLEBORGS LÄN</t>
        </is>
      </c>
      <c r="G705" t="inlineStr">
        <is>
          <t>OCKELBO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13216-2026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46093</v>
      </c>
      <c r="E706" s="1" t="n">
        <v>46269</v>
      </c>
      <c r="F706" t="inlineStr">
        <is>
          <t>GÄVLEBORGS LÄN</t>
        </is>
      </c>
      <c r="G706" t="inlineStr">
        <is>
          <t>OCKELBO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52241-2024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45608</v>
      </c>
      <c r="E707" s="1" t="n">
        <v>46269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7.7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52243-2024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45608</v>
      </c>
      <c r="E708" s="1" t="n">
        <v>46269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34440-2023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45139</v>
      </c>
      <c r="E709" s="1" t="n">
        <v>46269</v>
      </c>
      <c r="F709" t="inlineStr">
        <is>
          <t>GÄVLEBORGS LÄN</t>
        </is>
      </c>
      <c r="G709" t="inlineStr">
        <is>
          <t>OCKELBO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29968-2024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45488</v>
      </c>
      <c r="E710" s="1" t="n">
        <v>46269</v>
      </c>
      <c r="F710" t="inlineStr">
        <is>
          <t>GÄVLEBORGS LÄN</t>
        </is>
      </c>
      <c r="G710" t="inlineStr">
        <is>
          <t>OCKELBO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13481-2026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46094</v>
      </c>
      <c r="E711" s="1" t="n">
        <v>46269</v>
      </c>
      <c r="F711" t="inlineStr">
        <is>
          <t>GÄVLEBORGS LÄN</t>
        </is>
      </c>
      <c r="G711" t="inlineStr">
        <is>
          <t>OCKELBO</t>
        </is>
      </c>
      <c r="H711" t="inlineStr">
        <is>
          <t>Naturvårdsverket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46097</v>
      </c>
      <c r="E712" s="1" t="n">
        <v>46269</v>
      </c>
      <c r="F712" t="inlineStr">
        <is>
          <t>GÄVLEBORGS LÄN</t>
        </is>
      </c>
      <c r="G712" t="inlineStr">
        <is>
          <t>OCKELBO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30990-2026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46213</v>
      </c>
      <c r="E713" s="1" t="n">
        <v>46269</v>
      </c>
      <c r="F713" t="inlineStr">
        <is>
          <t>GÄVLEBORGS LÄN</t>
        </is>
      </c>
      <c r="G713" t="inlineStr">
        <is>
          <t>OCKELBO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13321-2026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46094</v>
      </c>
      <c r="E714" s="1" t="n">
        <v>46269</v>
      </c>
      <c r="F714" t="inlineStr">
        <is>
          <t>GÄVLEBORGS LÄN</t>
        </is>
      </c>
      <c r="G714" t="inlineStr">
        <is>
          <t>OCKELBO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13441-2026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46269</v>
      </c>
      <c r="F715" t="inlineStr">
        <is>
          <t>GÄVLEBORGS LÄN</t>
        </is>
      </c>
      <c r="G715" t="inlineStr">
        <is>
          <t>OCKELBO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46052</v>
      </c>
      <c r="E716" s="1" t="n">
        <v>46269</v>
      </c>
      <c r="F716" t="inlineStr">
        <is>
          <t>GÄVLEBORGS LÄN</t>
        </is>
      </c>
      <c r="G716" t="inlineStr">
        <is>
          <t>OCKELBO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12947-2026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46092</v>
      </c>
      <c r="E717" s="1" t="n">
        <v>46269</v>
      </c>
      <c r="F717" t="inlineStr">
        <is>
          <t>GÄVLEBORGS LÄN</t>
        </is>
      </c>
      <c r="G717" t="inlineStr">
        <is>
          <t>OCKELBO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35155-2026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46260</v>
      </c>
      <c r="E718" s="1" t="n">
        <v>46269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13882-2026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46098</v>
      </c>
      <c r="E719" s="1" t="n">
        <v>46269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13856-2026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46098</v>
      </c>
      <c r="E720" s="1" t="n">
        <v>46269</v>
      </c>
      <c r="F720" t="inlineStr">
        <is>
          <t>GÄVLEBORGS LÄN</t>
        </is>
      </c>
      <c r="G720" t="inlineStr">
        <is>
          <t>OCKELBO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46269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51989-2023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45223</v>
      </c>
      <c r="E722" s="1" t="n">
        <v>46269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13972-2026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46098</v>
      </c>
      <c r="E723" s="1" t="n">
        <v>46269</v>
      </c>
      <c r="F723" t="inlineStr">
        <is>
          <t>GÄVLEBORGS LÄN</t>
        </is>
      </c>
      <c r="G723" t="inlineStr">
        <is>
          <t>OCKELBO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13825-2026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46098</v>
      </c>
      <c r="E724" s="1" t="n">
        <v>46269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36.6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13962-2026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46098</v>
      </c>
      <c r="E725" s="1" t="n">
        <v>46269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45068</v>
      </c>
      <c r="E726" s="1" t="n">
        <v>46269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31083-2026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46216</v>
      </c>
      <c r="E727" s="1" t="n">
        <v>46269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14037-2026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46098</v>
      </c>
      <c r="E728" s="1" t="n">
        <v>46269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46269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14100-2026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46099</v>
      </c>
      <c r="E730" s="1" t="n">
        <v>46269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5.7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45678</v>
      </c>
      <c r="E731" s="1" t="n">
        <v>46269</v>
      </c>
      <c r="F731" t="inlineStr">
        <is>
          <t>GÄVLEBORGS LÄN</t>
        </is>
      </c>
      <c r="G731" t="inlineStr">
        <is>
          <t>OCKELBO</t>
        </is>
      </c>
      <c r="I731" t="n">
        <v>8.1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56741-2024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45628</v>
      </c>
      <c r="E732" s="1" t="n">
        <v>46269</v>
      </c>
      <c r="F732" t="inlineStr">
        <is>
          <t>GÄVLEBORGS LÄN</t>
        </is>
      </c>
      <c r="G732" t="inlineStr">
        <is>
          <t>OCKELBO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14439-2026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46100</v>
      </c>
      <c r="E733" s="1" t="n">
        <v>46269</v>
      </c>
      <c r="F733" t="inlineStr">
        <is>
          <t>GÄVLEBORGS LÄN</t>
        </is>
      </c>
      <c r="G733" t="inlineStr">
        <is>
          <t>OCKELBO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46100</v>
      </c>
      <c r="E734" s="1" t="n">
        <v>46269</v>
      </c>
      <c r="F734" t="inlineStr">
        <is>
          <t>GÄVLEBORGS LÄN</t>
        </is>
      </c>
      <c r="G734" t="inlineStr">
        <is>
          <t>OCKELBO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14684-2026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46101</v>
      </c>
      <c r="E735" s="1" t="n">
        <v>46269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49448-2023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45211</v>
      </c>
      <c r="E736" s="1" t="n">
        <v>46269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14756-2026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46101</v>
      </c>
      <c r="E737" s="1" t="n">
        <v>46269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15018-2026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46269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15151-2026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46105</v>
      </c>
      <c r="E739" s="1" t="n">
        <v>46269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öst AB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15067-2026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46269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14972-2026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46269</v>
      </c>
      <c r="F741" t="inlineStr">
        <is>
          <t>GÄVLEBORGS LÄN</t>
        </is>
      </c>
      <c r="G741" t="inlineStr">
        <is>
          <t>OCKELBO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15029-2026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46269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15052-2026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46104</v>
      </c>
      <c r="E743" s="1" t="n">
        <v>46269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15042-2026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46269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15043-2026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46269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14973-2026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46104</v>
      </c>
      <c r="E746" s="1" t="n">
        <v>46269</v>
      </c>
      <c r="F746" t="inlineStr">
        <is>
          <t>GÄVLEBORGS LÄN</t>
        </is>
      </c>
      <c r="G746" t="inlineStr">
        <is>
          <t>OCKELBO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14169-2026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46099</v>
      </c>
      <c r="E747" s="1" t="n">
        <v>46269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19772-2025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45771</v>
      </c>
      <c r="E748" s="1" t="n">
        <v>46269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19774-2025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45771</v>
      </c>
      <c r="E749" s="1" t="n">
        <v>46269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15679-2026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46106</v>
      </c>
      <c r="E750" s="1" t="n">
        <v>46269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15572-2026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46269</v>
      </c>
      <c r="F751" t="inlineStr">
        <is>
          <t>GÄVLEBORGS LÄN</t>
        </is>
      </c>
      <c r="G751" t="inlineStr">
        <is>
          <t>OCKELBO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46074-2024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45581</v>
      </c>
      <c r="E752" s="1" t="n">
        <v>46269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14168-2026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46099</v>
      </c>
      <c r="E753" s="1" t="n">
        <v>46269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31277-2026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46218</v>
      </c>
      <c r="E754" s="1" t="n">
        <v>46269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46106</v>
      </c>
      <c r="E755" s="1" t="n">
        <v>46269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21878-2023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45068</v>
      </c>
      <c r="E756" s="1" t="n">
        <v>46269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15648-2026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46269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15575-2026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46269</v>
      </c>
      <c r="F758" t="inlineStr">
        <is>
          <t>GÄVLEBORGS LÄN</t>
        </is>
      </c>
      <c r="G758" t="inlineStr">
        <is>
          <t>OCKELBO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16296-2026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46269</v>
      </c>
      <c r="F759" t="inlineStr">
        <is>
          <t>GÄVLEBORGS LÄN</t>
        </is>
      </c>
      <c r="G759" t="inlineStr">
        <is>
          <t>OCKELBO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16054-2026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46108</v>
      </c>
      <c r="E760" s="1" t="n">
        <v>46269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16006-2026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46269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9.699999999999999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16388-2026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46111</v>
      </c>
      <c r="E762" s="1" t="n">
        <v>46269</v>
      </c>
      <c r="F762" t="inlineStr">
        <is>
          <t>GÄVLEBORGS LÄN</t>
        </is>
      </c>
      <c r="G762" t="inlineStr">
        <is>
          <t>OCKELBO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39430-2024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45551</v>
      </c>
      <c r="E763" s="1" t="n">
        <v>46269</v>
      </c>
      <c r="F763" t="inlineStr">
        <is>
          <t>GÄVLEBORGS LÄN</t>
        </is>
      </c>
      <c r="G763" t="inlineStr">
        <is>
          <t>OCKELBO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31443-2026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46220</v>
      </c>
      <c r="E764" s="1" t="n">
        <v>46269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16667-2026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46269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16481-2026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46269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46269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16981-2026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46114</v>
      </c>
      <c r="E768" s="1" t="n">
        <v>46269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9.4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16989-2026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46114</v>
      </c>
      <c r="E769" s="1" t="n">
        <v>46269</v>
      </c>
      <c r="F769" t="inlineStr">
        <is>
          <t>GÄVLEBORGS LÄN</t>
        </is>
      </c>
      <c r="G769" t="inlineStr">
        <is>
          <t>OCKELBO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16991-2026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46114</v>
      </c>
      <c r="E770" s="1" t="n">
        <v>46269</v>
      </c>
      <c r="F770" t="inlineStr">
        <is>
          <t>GÄVLEBORGS LÄN</t>
        </is>
      </c>
      <c r="G770" t="inlineStr">
        <is>
          <t>OCKELBO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13428-2026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46094</v>
      </c>
      <c r="E771" s="1" t="n">
        <v>46269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17115-2026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46114</v>
      </c>
      <c r="E772" s="1" t="n">
        <v>46269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17224-2026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46119</v>
      </c>
      <c r="E773" s="1" t="n">
        <v>46269</v>
      </c>
      <c r="F773" t="inlineStr">
        <is>
          <t>GÄVLEBORGS LÄN</t>
        </is>
      </c>
      <c r="G773" t="inlineStr">
        <is>
          <t>OCKELBO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17241-2026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46119</v>
      </c>
      <c r="E774" s="1" t="n">
        <v>46269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58156-2025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45982</v>
      </c>
      <c r="E775" s="1" t="n">
        <v>46269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17202-2026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46118</v>
      </c>
      <c r="E776" s="1" t="n">
        <v>46269</v>
      </c>
      <c r="F776" t="inlineStr">
        <is>
          <t>GÄVLEBORGS LÄN</t>
        </is>
      </c>
      <c r="G776" t="inlineStr">
        <is>
          <t>OCKELBO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17709-2026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46121</v>
      </c>
      <c r="E777" s="1" t="n">
        <v>46269</v>
      </c>
      <c r="F777" t="inlineStr">
        <is>
          <t>GÄVLEBORGS LÄN</t>
        </is>
      </c>
      <c r="G777" t="inlineStr">
        <is>
          <t>OCKELBO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10290-2026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46076</v>
      </c>
      <c r="E778" s="1" t="n">
        <v>46269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öst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10326-2026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46076</v>
      </c>
      <c r="E779" s="1" t="n">
        <v>46269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öst AB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10457-2026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46077</v>
      </c>
      <c r="E780" s="1" t="n">
        <v>46269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öst AB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55070-2023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45237</v>
      </c>
      <c r="E781" s="1" t="n">
        <v>46269</v>
      </c>
      <c r="F781" t="inlineStr">
        <is>
          <t>GÄVLEBORGS LÄN</t>
        </is>
      </c>
      <c r="G781" t="inlineStr">
        <is>
          <t>OCKELBO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10268-2026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46076</v>
      </c>
      <c r="E782" s="1" t="n">
        <v>46269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öst AB</t>
        </is>
      </c>
      <c r="I782" t="n">
        <v>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17589-2026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46121</v>
      </c>
      <c r="E783" s="1" t="n">
        <v>46269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13931-2026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46098</v>
      </c>
      <c r="E784" s="1" t="n">
        <v>46269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31530-2026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46223</v>
      </c>
      <c r="E785" s="1" t="n">
        <v>46269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17600-2026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46121</v>
      </c>
      <c r="E786" s="1" t="n">
        <v>46269</v>
      </c>
      <c r="F786" t="inlineStr">
        <is>
          <t>GÄVLEBORGS LÄN</t>
        </is>
      </c>
      <c r="G786" t="inlineStr">
        <is>
          <t>OCKELBO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9461-2026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46269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46049</v>
      </c>
      <c r="E788" s="1" t="n">
        <v>46269</v>
      </c>
      <c r="F788" t="inlineStr">
        <is>
          <t>GÄVLEBORGS LÄN</t>
        </is>
      </c>
      <c r="G788" t="inlineStr">
        <is>
          <t>OCKELBO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46076</v>
      </c>
      <c r="E789" s="1" t="n">
        <v>46269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öst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18133-2026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46269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15581-2026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46269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öst AB</t>
        </is>
      </c>
      <c r="I791" t="n">
        <v>7.6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31517-2026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46223</v>
      </c>
      <c r="E792" s="1" t="n">
        <v>46269</v>
      </c>
      <c r="F792" t="inlineStr">
        <is>
          <t>GÄVLEBORGS LÄN</t>
        </is>
      </c>
      <c r="G792" t="inlineStr">
        <is>
          <t>OCKELBO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31519-2026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46223</v>
      </c>
      <c r="E793" s="1" t="n">
        <v>46269</v>
      </c>
      <c r="F793" t="inlineStr">
        <is>
          <t>GÄVLEBORGS LÄN</t>
        </is>
      </c>
      <c r="G793" t="inlineStr">
        <is>
          <t>OCKELBO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31571-2026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46224</v>
      </c>
      <c r="E794" s="1" t="n">
        <v>46269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18248-2026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46126</v>
      </c>
      <c r="E795" s="1" t="n">
        <v>46269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15255-2026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46105</v>
      </c>
      <c r="E796" s="1" t="n">
        <v>46269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18234-2026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46126</v>
      </c>
      <c r="E797" s="1" t="n">
        <v>46269</v>
      </c>
      <c r="F797" t="inlineStr">
        <is>
          <t>GÄVLEBORGS LÄN</t>
        </is>
      </c>
      <c r="G797" t="inlineStr">
        <is>
          <t>OCKELBO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18457-2026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46127</v>
      </c>
      <c r="E798" s="1" t="n">
        <v>46269</v>
      </c>
      <c r="F798" t="inlineStr">
        <is>
          <t>GÄVLEBORGS LÄN</t>
        </is>
      </c>
      <c r="G798" t="inlineStr">
        <is>
          <t>OCKELBO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18513-2026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46127</v>
      </c>
      <c r="E799" s="1" t="n">
        <v>46269</v>
      </c>
      <c r="F799" t="inlineStr">
        <is>
          <t>GÄVLEBORGS LÄN</t>
        </is>
      </c>
      <c r="G799" t="inlineStr">
        <is>
          <t>OCKELBO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18426-2026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46127</v>
      </c>
      <c r="E800" s="1" t="n">
        <v>46269</v>
      </c>
      <c r="F800" t="inlineStr">
        <is>
          <t>GÄVLEBORGS LÄN</t>
        </is>
      </c>
      <c r="G800" t="inlineStr">
        <is>
          <t>OCKELBO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31591-2026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46224</v>
      </c>
      <c r="E801" s="1" t="n">
        <v>46269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13855-2026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46098</v>
      </c>
      <c r="E802" s="1" t="n">
        <v>46269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36097-2026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46267</v>
      </c>
      <c r="E803" s="1" t="n">
        <v>46269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19038-2026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46132</v>
      </c>
      <c r="E804" s="1" t="n">
        <v>46269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17.7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36280-2026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46268</v>
      </c>
      <c r="E805" s="1" t="n">
        <v>46269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19068-2026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46132</v>
      </c>
      <c r="E806" s="1" t="n">
        <v>46269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19138-2026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46132</v>
      </c>
      <c r="E807" s="1" t="n">
        <v>46269</v>
      </c>
      <c r="F807" t="inlineStr">
        <is>
          <t>GÄVLEBORGS LÄN</t>
        </is>
      </c>
      <c r="G807" t="inlineStr">
        <is>
          <t>OCKELBO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19213-2026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46132</v>
      </c>
      <c r="E808" s="1" t="n">
        <v>46269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18705-2026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46128</v>
      </c>
      <c r="E809" s="1" t="n">
        <v>46269</v>
      </c>
      <c r="F809" t="inlineStr">
        <is>
          <t>GÄVLEBORGS LÄN</t>
        </is>
      </c>
      <c r="G809" t="inlineStr">
        <is>
          <t>OCKELBO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36380-2026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46268</v>
      </c>
      <c r="E810" s="1" t="n">
        <v>46269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16572-2026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46269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40218-2023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45169</v>
      </c>
      <c r="E812" s="1" t="n">
        <v>46269</v>
      </c>
      <c r="F812" t="inlineStr">
        <is>
          <t>GÄVLEBORGS LÄN</t>
        </is>
      </c>
      <c r="G812" t="inlineStr">
        <is>
          <t>OCKELBO</t>
        </is>
      </c>
      <c r="I812" t="n">
        <v>13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16530-2026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46112</v>
      </c>
      <c r="E813" s="1" t="n">
        <v>46269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19142-2026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46132</v>
      </c>
      <c r="E814" s="1" t="n">
        <v>46269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19139-2026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46132</v>
      </c>
      <c r="E815" s="1" t="n">
        <v>46269</v>
      </c>
      <c r="F815" t="inlineStr">
        <is>
          <t>GÄVLEBORGS LÄN</t>
        </is>
      </c>
      <c r="G815" t="inlineStr">
        <is>
          <t>OCKELBO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18669-2026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46269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19178-2023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45048</v>
      </c>
      <c r="E817" s="1" t="n">
        <v>46269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37386-2023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45156</v>
      </c>
      <c r="E818" s="1" t="n">
        <v>46269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2556-2025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45674</v>
      </c>
      <c r="E819" s="1" t="n">
        <v>46269</v>
      </c>
      <c r="F819" t="inlineStr">
        <is>
          <t>GÄVLEBORGS LÄN</t>
        </is>
      </c>
      <c r="G819" t="inlineStr">
        <is>
          <t>OCKELBO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59063-2023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45252</v>
      </c>
      <c r="E820" s="1" t="n">
        <v>46269</v>
      </c>
      <c r="F820" t="inlineStr">
        <is>
          <t>GÄVLEBORGS LÄN</t>
        </is>
      </c>
      <c r="G820" t="inlineStr">
        <is>
          <t>OCKELBO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10150-2023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44986</v>
      </c>
      <c r="E821" s="1" t="n">
        <v>46269</v>
      </c>
      <c r="F821" t="inlineStr">
        <is>
          <t>GÄVLEBORGS LÄN</t>
        </is>
      </c>
      <c r="G821" t="inlineStr">
        <is>
          <t>OCKELBO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37845-2024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45544</v>
      </c>
      <c r="E822" s="1" t="n">
        <v>46269</v>
      </c>
      <c r="F822" t="inlineStr">
        <is>
          <t>GÄVLEBORGS LÄN</t>
        </is>
      </c>
      <c r="G822" t="inlineStr">
        <is>
          <t>OCKELBO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20775-2025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45776</v>
      </c>
      <c r="E823" s="1" t="n">
        <v>46269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52273-2024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45608</v>
      </c>
      <c r="E824" s="1" t="n">
        <v>46269</v>
      </c>
      <c r="F824" t="inlineStr">
        <is>
          <t>GÄVLEBORGS LÄN</t>
        </is>
      </c>
      <c r="G824" t="inlineStr">
        <is>
          <t>OCKELBO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54323-2024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45617</v>
      </c>
      <c r="E825" s="1" t="n">
        <v>46269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46269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46269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46269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46269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46269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46269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46269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46269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46269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46269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2026-09-04T02:08:43Z</dcterms:created>
  <dcterms:modified xmlns:dcterms="http://purl.org/dc/terms/" xmlns:xsi="http://www.w3.org/2001/XMLSchema-instance" xsi:type="dcterms:W3CDTF">2026-09-04T02:08:44Z</dcterms:modified>
</cp:coreProperties>
</file>