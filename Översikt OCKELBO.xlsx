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46224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46224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46224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46224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46224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46224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46224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46224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46224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46224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46224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46224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46224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46224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46224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46224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46224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46224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46224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46224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46224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46224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46224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46224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46224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46224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46224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46224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46224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46224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46224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46224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46224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46224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46224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46224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62989-2025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46224</v>
      </c>
      <c r="F38" t="inlineStr">
        <is>
          <t>GÄVLEBORGS LÄN</t>
        </is>
      </c>
      <c r="G38" t="inlineStr">
        <is>
          <t>OCKELBO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HYPERLINK("https://klasma.github.io/Logging_2101/artfynd/A 62989-2025 artfynd.xlsx", "A 62989-2025")</f>
        <v/>
      </c>
      <c r="X38">
        <f>HYPERLINK("https://klasma.github.io/Logging_2101/kartor/A 62989-2025 karta.png", "A 62989-2025")</f>
        <v/>
      </c>
      <c r="Y38">
        <f>HYPERLINK("https://klasma.github.io/Logging_2101/kartor_geotiff/A 62989-2025 georefererad karta.tif", "A 62989-2025")</f>
        <v/>
      </c>
      <c r="AA38">
        <f>HYPERLINK("https://klasma.github.io/Logging_2101/klagomål/A 62989-2025 FSC-klagomål.docx", "A 62989-2025")</f>
        <v/>
      </c>
      <c r="AB38">
        <f>HYPERLINK("https://klasma.github.io/Logging_2101/klagomålsmail/A 62989-2025 FSC-klagomål mail.docx", "A 62989-2025")</f>
        <v/>
      </c>
      <c r="AC38">
        <f>HYPERLINK("https://klasma.github.io/Logging_2101/tillsyn/A 62989-2025 tillsynsbegäran.docx", "A 62989-2025")</f>
        <v/>
      </c>
      <c r="AD38">
        <f>HYPERLINK("https://klasma.github.io/Logging_2101/tillsynsmail/A 62989-2025 tillsynsbegäran mail.docx", "A 62989-2025")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46224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46224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46224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46224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46224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HYPERLINK("https://klasma.github.io/Logging_2101/artfynd/A 55778-2025 artfynd.xlsx", "A 55778-2025")</f>
        <v/>
      </c>
      <c r="X43">
        <f>HYPERLINK("https://klasma.github.io/Logging_2101/kartor/A 55778-2025 karta.png", "A 55778-2025")</f>
        <v/>
      </c>
      <c r="Y43">
        <f>HYPERLINK("https://klasma.github.io/Logging_2101/kartor_geotiff/A 55778-2025 georefererad karta.tif", "A 55778-2025")</f>
        <v/>
      </c>
      <c r="AA43">
        <f>HYPERLINK("https://klasma.github.io/Logging_2101/klagomål/A 55778-2025 FSC-klagomål.docx", "A 55778-2025")</f>
        <v/>
      </c>
      <c r="AB43">
        <f>HYPERLINK("https://klasma.github.io/Logging_2101/klagomålsmail/A 55778-2025 FSC-klagomål mail.docx", "A 55778-2025")</f>
        <v/>
      </c>
      <c r="AC43">
        <f>HYPERLINK("https://klasma.github.io/Logging_2101/tillsyn/A 55778-2025 tillsynsbegäran.docx", "A 55778-2025")</f>
        <v/>
      </c>
      <c r="AD43">
        <f>HYPERLINK("https://klasma.github.io/Logging_2101/tillsynsmail/A 55778-2025 tillsynsbegäran mail.docx", "A 55778-2025")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46224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46224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46224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8451-2026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46065</v>
      </c>
      <c r="E47" s="1" t="n">
        <v>46224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Lavskrika</t>
        </is>
      </c>
      <c r="W47">
        <f>HYPERLINK("https://klasma.github.io/Logging_2101/artfynd/A 8451-2026 artfynd.xlsx", "A 8451-2026")</f>
        <v/>
      </c>
      <c r="X47">
        <f>HYPERLINK("https://klasma.github.io/Logging_2101/kartor/A 8451-2026 karta.png", "A 8451-2026")</f>
        <v/>
      </c>
      <c r="Y47">
        <f>HYPERLINK("https://klasma.github.io/Logging_2101/kartor_geotiff/A 8451-2026 georefererad karta.tif", "A 8451-2026")</f>
        <v/>
      </c>
      <c r="AA47">
        <f>HYPERLINK("https://klasma.github.io/Logging_2101/klagomål/A 8451-2026 FSC-klagomål.docx", "A 8451-2026")</f>
        <v/>
      </c>
      <c r="AB47">
        <f>HYPERLINK("https://klasma.github.io/Logging_2101/klagomålsmail/A 8451-2026 FSC-klagomål mail.docx", "A 8451-2026")</f>
        <v/>
      </c>
      <c r="AC47">
        <f>HYPERLINK("https://klasma.github.io/Logging_2101/tillsyn/A 8451-2026 tillsynsbegäran.docx", "A 8451-2026")</f>
        <v/>
      </c>
      <c r="AD47">
        <f>HYPERLINK("https://klasma.github.io/Logging_2101/tillsynsmail/A 8451-2026 tillsynsbegäran mail.docx", "A 8451-2026")</f>
        <v/>
      </c>
      <c r="AE47">
        <f>HYPERLINK("https://klasma.github.io/Logging_2101/fåglar/A 8451-2026 prioriterade fågelarter.docx", "A 8451-2026")</f>
        <v/>
      </c>
    </row>
    <row r="48" ht="15" customHeight="1">
      <c r="A48" t="inlineStr">
        <is>
          <t>A 10484-2026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46224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Ullticka</t>
        </is>
      </c>
      <c r="W48">
        <f>HYPERLINK("https://klasma.github.io/Logging_2101/artfynd/A 10484-2026 artfynd.xlsx", "A 10484-2026")</f>
        <v/>
      </c>
      <c r="X48">
        <f>HYPERLINK("https://klasma.github.io/Logging_2101/kartor/A 10484-2026 karta.png", "A 10484-2026")</f>
        <v/>
      </c>
      <c r="Y48">
        <f>HYPERLINK("https://klasma.github.io/Logging_2101/kartor_geotiff/A 10484-2026 georefererad karta.tif", "A 10484-2026")</f>
        <v/>
      </c>
      <c r="AA48">
        <f>HYPERLINK("https://klasma.github.io/Logging_2101/klagomål/A 10484-2026 FSC-klagomål.docx", "A 10484-2026")</f>
        <v/>
      </c>
      <c r="AB48">
        <f>HYPERLINK("https://klasma.github.io/Logging_2101/klagomålsmail/A 10484-2026 FSC-klagomål mail.docx", "A 10484-2026")</f>
        <v/>
      </c>
      <c r="AC48">
        <f>HYPERLINK("https://klasma.github.io/Logging_2101/tillsyn/A 10484-2026 tillsynsbegäran.docx", "A 10484-2026")</f>
        <v/>
      </c>
      <c r="AD48">
        <f>HYPERLINK("https://klasma.github.io/Logging_2101/tillsynsmail/A 10484-2026 tillsynsbegäran mail.docx", "A 10484-2026")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46224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46224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46224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46224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46224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46224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8475-2026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46065</v>
      </c>
      <c r="E55" s="1" t="n">
        <v>46224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HYPERLINK("https://klasma.github.io/Logging_2101/artfynd/A 8475-2026 artfynd.xlsx", "A 8475-2026")</f>
        <v/>
      </c>
      <c r="X55">
        <f>HYPERLINK("https://klasma.github.io/Logging_2101/kartor/A 8475-2026 karta.png", "A 8475-2026")</f>
        <v/>
      </c>
      <c r="Y55">
        <f>HYPERLINK("https://klasma.github.io/Logging_2101/kartor_geotiff/A 8475-2026 georefererad karta.tif", "A 8475-2026")</f>
        <v/>
      </c>
      <c r="AA55">
        <f>HYPERLINK("https://klasma.github.io/Logging_2101/klagomål/A 8475-2026 FSC-klagomål.docx", "A 8475-2026")</f>
        <v/>
      </c>
      <c r="AB55">
        <f>HYPERLINK("https://klasma.github.io/Logging_2101/klagomålsmail/A 8475-2026 FSC-klagomål mail.docx", "A 8475-2026")</f>
        <v/>
      </c>
      <c r="AC55">
        <f>HYPERLINK("https://klasma.github.io/Logging_2101/tillsyn/A 8475-2026 tillsynsbegäran.docx", "A 8475-2026")</f>
        <v/>
      </c>
      <c r="AD55">
        <f>HYPERLINK("https://klasma.github.io/Logging_2101/tillsynsmail/A 8475-2026 tillsynsbegäran mail.docx", "A 8475-2026")</f>
        <v/>
      </c>
    </row>
    <row r="56" ht="15" customHeight="1">
      <c r="A56" t="inlineStr">
        <is>
          <t>A 22821-2024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46224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HYPERLINK("https://klasma.github.io/Logging_2101/artfynd/A 22821-2024 artfynd.xlsx", "A 22821-2024")</f>
        <v/>
      </c>
      <c r="X56">
        <f>HYPERLINK("https://klasma.github.io/Logging_2101/kartor/A 22821-2024 karta.png", "A 22821-2024")</f>
        <v/>
      </c>
      <c r="Y56">
        <f>HYPERLINK("https://klasma.github.io/Logging_2101/kartor_geotiff/A 22821-2024 georefererad karta.tif", "A 22821-2024")</f>
        <v/>
      </c>
      <c r="AA56">
        <f>HYPERLINK("https://klasma.github.io/Logging_2101/klagomål/A 22821-2024 FSC-klagomål.docx", "A 22821-2024")</f>
        <v/>
      </c>
      <c r="AB56">
        <f>HYPERLINK("https://klasma.github.io/Logging_2101/klagomålsmail/A 22821-2024 FSC-klagomål mail.docx", "A 22821-2024")</f>
        <v/>
      </c>
      <c r="AC56">
        <f>HYPERLINK("https://klasma.github.io/Logging_2101/tillsyn/A 22821-2024 tillsynsbegäran.docx", "A 22821-2024")</f>
        <v/>
      </c>
      <c r="AD56">
        <f>HYPERLINK("https://klasma.github.io/Logging_2101/tillsynsmail/A 22821-2024 tillsynsbegäran mail.docx", "A 22821-2024")</f>
        <v/>
      </c>
    </row>
    <row r="57" ht="15" customHeight="1">
      <c r="A57" t="inlineStr">
        <is>
          <t>A 9155-2026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46224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Kolflarnlav</t>
        </is>
      </c>
      <c r="W57">
        <f>HYPERLINK("https://klasma.github.io/Logging_2101/artfynd/A 9155-2026 artfynd.xlsx", "A 9155-2026")</f>
        <v/>
      </c>
      <c r="X57">
        <f>HYPERLINK("https://klasma.github.io/Logging_2101/kartor/A 9155-2026 karta.png", "A 9155-2026")</f>
        <v/>
      </c>
      <c r="Y57">
        <f>HYPERLINK("https://klasma.github.io/Logging_2101/kartor_geotiff/A 9155-2026 georefererad karta.tif", "A 9155-2026")</f>
        <v/>
      </c>
      <c r="AA57">
        <f>HYPERLINK("https://klasma.github.io/Logging_2101/klagomål/A 9155-2026 FSC-klagomål.docx", "A 9155-2026")</f>
        <v/>
      </c>
      <c r="AB57">
        <f>HYPERLINK("https://klasma.github.io/Logging_2101/klagomålsmail/A 9155-2026 FSC-klagomål mail.docx", "A 9155-2026")</f>
        <v/>
      </c>
      <c r="AC57">
        <f>HYPERLINK("https://klasma.github.io/Logging_2101/tillsyn/A 9155-2026 tillsynsbegäran.docx", "A 9155-2026")</f>
        <v/>
      </c>
      <c r="AD57">
        <f>HYPERLINK("https://klasma.github.io/Logging_2101/tillsynsmail/A 9155-2026 tillsynsbegäran mail.docx", "A 9155-2026")</f>
        <v/>
      </c>
    </row>
    <row r="58" ht="15" customHeight="1">
      <c r="A58" t="inlineStr">
        <is>
          <t>A 26448-2024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46224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HYPERLINK("https://klasma.github.io/Logging_2101/artfynd/A 26448-2024 artfynd.xlsx", "A 26448-2024")</f>
        <v/>
      </c>
      <c r="X58">
        <f>HYPERLINK("https://klasma.github.io/Logging_2101/kartor/A 26448-2024 karta.png", "A 26448-2024")</f>
        <v/>
      </c>
      <c r="Y58">
        <f>HYPERLINK("https://klasma.github.io/Logging_2101/kartor_geotiff/A 26448-2024 georefererad karta.tif", "A 26448-2024")</f>
        <v/>
      </c>
      <c r="AA58">
        <f>HYPERLINK("https://klasma.github.io/Logging_2101/klagomål/A 26448-2024 FSC-klagomål.docx", "A 26448-2024")</f>
        <v/>
      </c>
      <c r="AB58">
        <f>HYPERLINK("https://klasma.github.io/Logging_2101/klagomålsmail/A 26448-2024 FSC-klagomål mail.docx", "A 26448-2024")</f>
        <v/>
      </c>
      <c r="AC58">
        <f>HYPERLINK("https://klasma.github.io/Logging_2101/tillsyn/A 26448-2024 tillsynsbegäran.docx", "A 26448-2024")</f>
        <v/>
      </c>
      <c r="AD58">
        <f>HYPERLINK("https://klasma.github.io/Logging_2101/tillsynsmail/A 26448-2024 tillsynsbegäran mail.docx", "A 26448-2024")</f>
        <v/>
      </c>
    </row>
    <row r="59" ht="15" customHeight="1">
      <c r="A59" t="inlineStr">
        <is>
          <t>A 20233-2026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46224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17.9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Tibast</t>
        </is>
      </c>
      <c r="W59">
        <f>HYPERLINK("https://klasma.github.io/Logging_2101/artfynd/A 20233-2026 artfynd.xlsx", "A 20233-2026")</f>
        <v/>
      </c>
      <c r="X59">
        <f>HYPERLINK("https://klasma.github.io/Logging_2101/kartor/A 20233-2026 karta.png", "A 20233-2026")</f>
        <v/>
      </c>
      <c r="Y59">
        <f>HYPERLINK("https://klasma.github.io/Logging_2101/kartor_geotiff/A 20233-2026 georefererad karta.tif", "A 20233-2026")</f>
        <v/>
      </c>
      <c r="AA59">
        <f>HYPERLINK("https://klasma.github.io/Logging_2101/klagomål/A 20233-2026 FSC-klagomål.docx", "A 20233-2026")</f>
        <v/>
      </c>
      <c r="AB59">
        <f>HYPERLINK("https://klasma.github.io/Logging_2101/klagomålsmail/A 20233-2026 FSC-klagomål mail.docx", "A 20233-2026")</f>
        <v/>
      </c>
      <c r="AC59">
        <f>HYPERLINK("https://klasma.github.io/Logging_2101/tillsyn/A 20233-2026 tillsynsbegäran.docx", "A 20233-2026")</f>
        <v/>
      </c>
      <c r="AD59">
        <f>HYPERLINK("https://klasma.github.io/Logging_2101/tillsynsmail/A 20233-2026 tillsynsbegäran mail.docx", "A 20233-2026")</f>
        <v/>
      </c>
    </row>
    <row r="60" ht="15" customHeight="1">
      <c r="A60" t="inlineStr">
        <is>
          <t>A 15039-2026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46104</v>
      </c>
      <c r="E60" s="1" t="n">
        <v>46224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18.2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15039-2026 artfynd.xlsx", "A 15039-2026")</f>
        <v/>
      </c>
      <c r="X60">
        <f>HYPERLINK("https://klasma.github.io/Logging_2101/kartor/A 15039-2026 karta.png", "A 15039-2026")</f>
        <v/>
      </c>
      <c r="Y60">
        <f>HYPERLINK("https://klasma.github.io/Logging_2101/kartor_geotiff/A 15039-2026 georefererad karta.tif", "A 15039-2026")</f>
        <v/>
      </c>
      <c r="AA60">
        <f>HYPERLINK("https://klasma.github.io/Logging_2101/klagomål/A 15039-2026 FSC-klagomål.docx", "A 15039-2026")</f>
        <v/>
      </c>
      <c r="AB60">
        <f>HYPERLINK("https://klasma.github.io/Logging_2101/klagomålsmail/A 15039-2026 FSC-klagomål mail.docx", "A 15039-2026")</f>
        <v/>
      </c>
      <c r="AC60">
        <f>HYPERLINK("https://klasma.github.io/Logging_2101/tillsyn/A 15039-2026 tillsynsbegäran.docx", "A 15039-2026")</f>
        <v/>
      </c>
      <c r="AD60">
        <f>HYPERLINK("https://klasma.github.io/Logging_2101/tillsynsmail/A 15039-2026 tillsynsbegäran mail.docx", "A 15039-2026")</f>
        <v/>
      </c>
      <c r="AE60">
        <f>HYPERLINK("https://klasma.github.io/Logging_2101/fåglar/A 15039-2026 prioriterade fågelarter.docx", "A 15039-2026")</f>
        <v/>
      </c>
    </row>
    <row r="61" ht="15" customHeight="1">
      <c r="A61" t="inlineStr">
        <is>
          <t>A 11970-2026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46224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HYPERLINK("https://klasma.github.io/Logging_2101/artfynd/A 11970-2026 artfynd.xlsx", "A 11970-2026")</f>
        <v/>
      </c>
      <c r="X61">
        <f>HYPERLINK("https://klasma.github.io/Logging_2101/kartor/A 11970-2026 karta.png", "A 11970-2026")</f>
        <v/>
      </c>
      <c r="Y61">
        <f>HYPERLINK("https://klasma.github.io/Logging_2101/kartor_geotiff/A 11970-2026 georefererad karta.tif", "A 11970-2026")</f>
        <v/>
      </c>
      <c r="AA61">
        <f>HYPERLINK("https://klasma.github.io/Logging_2101/klagomål/A 11970-2026 FSC-klagomål.docx", "A 11970-2026")</f>
        <v/>
      </c>
      <c r="AB61">
        <f>HYPERLINK("https://klasma.github.io/Logging_2101/klagomålsmail/A 11970-2026 FSC-klagomål mail.docx", "A 11970-2026")</f>
        <v/>
      </c>
      <c r="AC61">
        <f>HYPERLINK("https://klasma.github.io/Logging_2101/tillsyn/A 11970-2026 tillsynsbegäran.docx", "A 11970-2026")</f>
        <v/>
      </c>
      <c r="AD61">
        <f>HYPERLINK("https://klasma.github.io/Logging_2101/tillsynsmail/A 11970-2026 tillsynsbegäran mail.docx", "A 11970-2026")</f>
        <v/>
      </c>
      <c r="AE61">
        <f>HYPERLINK("https://klasma.github.io/Logging_2101/fåglar/A 11970-2026 prioriterade fågelarter.docx", "A 11970-2026")</f>
        <v/>
      </c>
    </row>
    <row r="62" ht="15" customHeight="1">
      <c r="A62" t="inlineStr">
        <is>
          <t>A 10448-2026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46224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3.6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Plattlummer</t>
        </is>
      </c>
      <c r="W62">
        <f>HYPERLINK("https://klasma.github.io/Logging_2101/artfynd/A 10448-2026 artfynd.xlsx", "A 10448-2026")</f>
        <v/>
      </c>
      <c r="X62">
        <f>HYPERLINK("https://klasma.github.io/Logging_2101/kartor/A 10448-2026 karta.png", "A 10448-2026")</f>
        <v/>
      </c>
      <c r="Y62">
        <f>HYPERLINK("https://klasma.github.io/Logging_2101/kartor_geotiff/A 10448-2026 georefererad karta.tif", "A 10448-2026")</f>
        <v/>
      </c>
      <c r="AA62">
        <f>HYPERLINK("https://klasma.github.io/Logging_2101/klagomål/A 10448-2026 FSC-klagomål.docx", "A 10448-2026")</f>
        <v/>
      </c>
      <c r="AB62">
        <f>HYPERLINK("https://klasma.github.io/Logging_2101/klagomålsmail/A 10448-2026 FSC-klagomål mail.docx", "A 10448-2026")</f>
        <v/>
      </c>
      <c r="AC62">
        <f>HYPERLINK("https://klasma.github.io/Logging_2101/tillsyn/A 10448-2026 tillsynsbegäran.docx", "A 10448-2026")</f>
        <v/>
      </c>
      <c r="AD62">
        <f>HYPERLINK("https://klasma.github.io/Logging_2101/tillsynsmail/A 10448-2026 tillsynsbegäran mail.docx", "A 10448-2026")</f>
        <v/>
      </c>
    </row>
    <row r="63" ht="15" customHeight="1">
      <c r="A63" t="inlineStr">
        <is>
          <t>A 4226-2023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44953</v>
      </c>
      <c r="E63" s="1" t="n">
        <v>46224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Skogsknipprot</t>
        </is>
      </c>
      <c r="W63">
        <f>HYPERLINK("https://klasma.github.io/Logging_2101/artfynd/A 4226-2023 artfynd.xlsx", "A 4226-2023")</f>
        <v/>
      </c>
      <c r="X63">
        <f>HYPERLINK("https://klasma.github.io/Logging_2101/kartor/A 4226-2023 karta.png", "A 4226-2023")</f>
        <v/>
      </c>
      <c r="Y63">
        <f>HYPERLINK("https://klasma.github.io/Logging_2101/kartor_geotiff/A 4226-2023 georefererad karta.tif", "A 4226-2023")</f>
        <v/>
      </c>
      <c r="AA63">
        <f>HYPERLINK("https://klasma.github.io/Logging_2101/klagomål/A 4226-2023 FSC-klagomål.docx", "A 4226-2023")</f>
        <v/>
      </c>
      <c r="AB63">
        <f>HYPERLINK("https://klasma.github.io/Logging_2101/klagomålsmail/A 4226-2023 FSC-klagomål mail.docx", "A 4226-2023")</f>
        <v/>
      </c>
      <c r="AC63">
        <f>HYPERLINK("https://klasma.github.io/Logging_2101/tillsyn/A 4226-2023 tillsynsbegäran.docx", "A 4226-2023")</f>
        <v/>
      </c>
      <c r="AD63">
        <f>HYPERLINK("https://klasma.github.io/Logging_2101/tillsynsmail/A 4226-2023 tillsynsbegäran mail.docx", "A 4226-2023")</f>
        <v/>
      </c>
    </row>
    <row r="64" ht="15" customHeight="1">
      <c r="A64" t="inlineStr">
        <is>
          <t>A 33384-2024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45519</v>
      </c>
      <c r="E64" s="1" t="n">
        <v>46224</v>
      </c>
      <c r="F64" t="inlineStr">
        <is>
          <t>GÄVLEBORGS LÄN</t>
        </is>
      </c>
      <c r="G64" t="inlineStr">
        <is>
          <t>OCKELBO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Plattlummer</t>
        </is>
      </c>
      <c r="W64">
        <f>HYPERLINK("https://klasma.github.io/Logging_2101/artfynd/A 33384-2024 artfynd.xlsx", "A 33384-2024")</f>
        <v/>
      </c>
      <c r="X64">
        <f>HYPERLINK("https://klasma.github.io/Logging_2101/kartor/A 33384-2024 karta.png", "A 33384-2024")</f>
        <v/>
      </c>
      <c r="Y64">
        <f>HYPERLINK("https://klasma.github.io/Logging_2101/kartor_geotiff/A 33384-2024 georefererad karta.tif", "A 33384-2024")</f>
        <v/>
      </c>
      <c r="AA64">
        <f>HYPERLINK("https://klasma.github.io/Logging_2101/klagomål/A 33384-2024 FSC-klagomål.docx", "A 33384-2024")</f>
        <v/>
      </c>
      <c r="AB64">
        <f>HYPERLINK("https://klasma.github.io/Logging_2101/klagomålsmail/A 33384-2024 FSC-klagomål mail.docx", "A 33384-2024")</f>
        <v/>
      </c>
      <c r="AC64">
        <f>HYPERLINK("https://klasma.github.io/Logging_2101/tillsyn/A 33384-2024 tillsynsbegäran.docx", "A 33384-2024")</f>
        <v/>
      </c>
      <c r="AD64">
        <f>HYPERLINK("https://klasma.github.io/Logging_2101/tillsynsmail/A 33384-2024 tillsynsbegäran mail.docx", "A 33384-2024")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46224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Skogsalm</t>
        </is>
      </c>
      <c r="W65">
        <f>HYPERLINK("https://klasma.github.io/Logging_2101/artfynd/S 1497-2023 artfynd.xlsx", "S 1497-2023")</f>
        <v/>
      </c>
      <c r="X65">
        <f>HYPERLINK("https://klasma.github.io/Logging_2101/kartor/S 1497-2023 karta.png", "S 1497-2023")</f>
        <v/>
      </c>
      <c r="Y65">
        <f>HYPERLINK("https://klasma.github.io/Logging_2101/kartor_geotiff/S 1497-2023 georefererad karta.tif", "S 1497-2023")</f>
        <v/>
      </c>
      <c r="AA65">
        <f>HYPERLINK("https://klasma.github.io/Logging_2101/klagomål/S 1497-2023 FSC-klagomål.docx", "S 1497-2023")</f>
        <v/>
      </c>
      <c r="AB65">
        <f>HYPERLINK("https://klasma.github.io/Logging_2101/klagomålsmail/S 1497-2023 FSC-klagomål mail.docx", "S 1497-2023")</f>
        <v/>
      </c>
      <c r="AC65">
        <f>HYPERLINK("https://klasma.github.io/Logging_2101/tillsyn/S 1497-2023 tillsynsbegäran.docx", "S 1497-2023")</f>
        <v/>
      </c>
      <c r="AD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46224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HYPERLINK("https://klasma.github.io/Logging_2101/artfynd/S 3258-2025 artfynd.xlsx", "S 3258-2025")</f>
        <v/>
      </c>
      <c r="X66">
        <f>HYPERLINK("https://klasma.github.io/Logging_2101/kartor/S 3258-2025 karta.png", "S 3258-2025")</f>
        <v/>
      </c>
      <c r="Y66">
        <f>HYPERLINK("https://klasma.github.io/Logging_2101/kartor_geotiff/S 3258-2025 georefererad karta.tif", "S 3258-2025")</f>
        <v/>
      </c>
      <c r="AA66">
        <f>HYPERLINK("https://klasma.github.io/Logging_2101/klagomål/S 3258-2025 FSC-klagomål.docx", "S 3258-2025")</f>
        <v/>
      </c>
      <c r="AB66">
        <f>HYPERLINK("https://klasma.github.io/Logging_2101/klagomålsmail/S 3258-2025 FSC-klagomål mail.docx", "S 3258-2025")</f>
        <v/>
      </c>
      <c r="AC66">
        <f>HYPERLINK("https://klasma.github.io/Logging_2101/tillsyn/S 3258-2025 tillsynsbegäran.docx", "S 3258-2025")</f>
        <v/>
      </c>
      <c r="AD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46224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HYPERLINK("https://klasma.github.io/Logging_2101/artfynd/S 3581-2025 artfynd.xlsx", "S 3581-2025")</f>
        <v/>
      </c>
      <c r="X67">
        <f>HYPERLINK("https://klasma.github.io/Logging_2101/kartor/S 3581-2025 karta.png", "S 3581-2025")</f>
        <v/>
      </c>
      <c r="Y67">
        <f>HYPERLINK("https://klasma.github.io/Logging_2101/kartor_geotiff/S 3581-2025 georefererad karta.tif", "S 3581-2025")</f>
        <v/>
      </c>
      <c r="AA67">
        <f>HYPERLINK("https://klasma.github.io/Logging_2101/klagomål/S 3581-2025 FSC-klagomål.docx", "S 3581-2025")</f>
        <v/>
      </c>
      <c r="AB67">
        <f>HYPERLINK("https://klasma.github.io/Logging_2101/klagomålsmail/S 3581-2025 FSC-klagomål mail.docx", "S 3581-2025")</f>
        <v/>
      </c>
      <c r="AC67">
        <f>HYPERLINK("https://klasma.github.io/Logging_2101/tillsyn/S 3581-2025 tillsynsbegäran.docx", "S 3581-2025")</f>
        <v/>
      </c>
      <c r="AD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46224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46224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46224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39888-2021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44417</v>
      </c>
      <c r="E71" s="1" t="n">
        <v>46224</v>
      </c>
      <c r="F71" t="inlineStr">
        <is>
          <t>GÄVLEBORGS LÄN</t>
        </is>
      </c>
      <c r="G71" t="inlineStr">
        <is>
          <t>OCKELBO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46224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46224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46224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46224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46224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46224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46224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46224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46224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46224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46224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46224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44400</v>
      </c>
      <c r="E84" s="1" t="n">
        <v>46224</v>
      </c>
      <c r="F84" t="inlineStr">
        <is>
          <t>GÄVLEBORGS LÄN</t>
        </is>
      </c>
      <c r="G84" t="inlineStr">
        <is>
          <t>OCKELBO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46224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46224</v>
      </c>
      <c r="F86" t="inlineStr">
        <is>
          <t>GÄVLEBORGS LÄN</t>
        </is>
      </c>
      <c r="G86" t="inlineStr">
        <is>
          <t>OCKELBO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46224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46224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44425</v>
      </c>
      <c r="E89" s="1" t="n">
        <v>46224</v>
      </c>
      <c r="F89" t="inlineStr">
        <is>
          <t>GÄVLEBORGS LÄN</t>
        </is>
      </c>
      <c r="G89" t="inlineStr">
        <is>
          <t>OCKELBO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46224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46224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46224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46224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44881</v>
      </c>
      <c r="E94" s="1" t="n">
        <v>46224</v>
      </c>
      <c r="F94" t="inlineStr">
        <is>
          <t>GÄVLEBORGS LÄN</t>
        </is>
      </c>
      <c r="G94" t="inlineStr">
        <is>
          <t>OCKELBO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69580-2021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46224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44643</v>
      </c>
      <c r="E96" s="1" t="n">
        <v>46224</v>
      </c>
      <c r="F96" t="inlineStr">
        <is>
          <t>GÄVLEBORGS LÄN</t>
        </is>
      </c>
      <c r="G96" t="inlineStr">
        <is>
          <t>OCKELBO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46224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46224</v>
      </c>
      <c r="F98" t="inlineStr">
        <is>
          <t>GÄVLEBORGS LÄN</t>
        </is>
      </c>
      <c r="G98" t="inlineStr">
        <is>
          <t>OCKELBO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46224</v>
      </c>
      <c r="F99" t="inlineStr">
        <is>
          <t>GÄVLEBORGS LÄN</t>
        </is>
      </c>
      <c r="G99" t="inlineStr">
        <is>
          <t>OCKELBO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46224</v>
      </c>
      <c r="F100" t="inlineStr">
        <is>
          <t>GÄVLEBORGS LÄN</t>
        </is>
      </c>
      <c r="G100" t="inlineStr">
        <is>
          <t>OCKELBO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46224</v>
      </c>
      <c r="F101" t="inlineStr">
        <is>
          <t>GÄVLEBORGS LÄN</t>
        </is>
      </c>
      <c r="G101" t="inlineStr">
        <is>
          <t>OCKELBO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46224</v>
      </c>
      <c r="F102" t="inlineStr">
        <is>
          <t>GÄVLEBORGS LÄN</t>
        </is>
      </c>
      <c r="G102" t="inlineStr">
        <is>
          <t>OCKELBO</t>
        </is>
      </c>
      <c r="H102" t="inlineStr">
        <is>
          <t>Kyrkan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45156</v>
      </c>
      <c r="E103" s="1" t="n">
        <v>46224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46224</v>
      </c>
      <c r="F104" t="inlineStr">
        <is>
          <t>GÄVLEBORGS LÄN</t>
        </is>
      </c>
      <c r="G104" t="inlineStr">
        <is>
          <t>OCKELBO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46224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46224</v>
      </c>
      <c r="F106" t="inlineStr">
        <is>
          <t>GÄVLEBORGS LÄN</t>
        </is>
      </c>
      <c r="G106" t="inlineStr">
        <is>
          <t>OCKELBO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46224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46224</v>
      </c>
      <c r="F108" t="inlineStr">
        <is>
          <t>GÄVLEBORGS LÄN</t>
        </is>
      </c>
      <c r="G108" t="inlineStr">
        <is>
          <t>OCKELBO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46224</v>
      </c>
      <c r="F109" t="inlineStr">
        <is>
          <t>GÄVLEBORGS LÄN</t>
        </is>
      </c>
      <c r="G109" t="inlineStr">
        <is>
          <t>OCKELBO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46224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59063-2023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46224</v>
      </c>
      <c r="F111" t="inlineStr">
        <is>
          <t>GÄVLEBORGS LÄN</t>
        </is>
      </c>
      <c r="G111" t="inlineStr">
        <is>
          <t>OCKELBO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45167</v>
      </c>
      <c r="E112" s="1" t="n">
        <v>46224</v>
      </c>
      <c r="F112" t="inlineStr">
        <is>
          <t>GÄVLEBORGS LÄN</t>
        </is>
      </c>
      <c r="G112" t="inlineStr">
        <is>
          <t>OCKELBO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46224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44804</v>
      </c>
      <c r="E114" s="1" t="n">
        <v>46224</v>
      </c>
      <c r="F114" t="inlineStr">
        <is>
          <t>GÄVLEBORGS LÄN</t>
        </is>
      </c>
      <c r="G114" t="inlineStr">
        <is>
          <t>OCKELBO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45478</v>
      </c>
      <c r="E115" s="1" t="n">
        <v>46224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46224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46224</v>
      </c>
      <c r="F117" t="inlineStr">
        <is>
          <t>GÄVLEBORGS LÄN</t>
        </is>
      </c>
      <c r="G117" t="inlineStr">
        <is>
          <t>OCKELBO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45341</v>
      </c>
      <c r="E118" s="1" t="n">
        <v>46224</v>
      </c>
      <c r="F118" t="inlineStr">
        <is>
          <t>GÄVLEBORGS LÄN</t>
        </is>
      </c>
      <c r="G118" t="inlineStr">
        <is>
          <t>OCKELBO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60962-2024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46224</v>
      </c>
      <c r="F119" t="inlineStr">
        <is>
          <t>GÄVLEBORGS LÄN</t>
        </is>
      </c>
      <c r="G119" t="inlineStr">
        <is>
          <t>OCKELBO</t>
        </is>
      </c>
      <c r="H119" t="inlineStr">
        <is>
          <t>Kyrkan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46224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23004-2025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45790</v>
      </c>
      <c r="E121" s="1" t="n">
        <v>46224</v>
      </c>
      <c r="F121" t="inlineStr">
        <is>
          <t>GÄVLEBORGS LÄN</t>
        </is>
      </c>
      <c r="G121" t="inlineStr">
        <is>
          <t>OCKELBO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45799</v>
      </c>
      <c r="E122" s="1" t="n">
        <v>46224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46224</v>
      </c>
      <c r="F123" t="inlineStr">
        <is>
          <t>GÄVLEBORGS LÄN</t>
        </is>
      </c>
      <c r="G123" t="inlineStr">
        <is>
          <t>OCKELBO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46224</v>
      </c>
      <c r="F124" t="inlineStr">
        <is>
          <t>GÄVLEBORGS LÄN</t>
        </is>
      </c>
      <c r="G124" t="inlineStr">
        <is>
          <t>OCKELBO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45593</v>
      </c>
      <c r="E125" s="1" t="n">
        <v>46224</v>
      </c>
      <c r="F125" t="inlineStr">
        <is>
          <t>GÄVLEBORGS LÄN</t>
        </is>
      </c>
      <c r="G125" t="inlineStr">
        <is>
          <t>OCKELBO</t>
        </is>
      </c>
      <c r="I125" t="n">
        <v>9.4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62196-2025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46006</v>
      </c>
      <c r="E126" s="1" t="n">
        <v>46224</v>
      </c>
      <c r="F126" t="inlineStr">
        <is>
          <t>GÄVLEBORGS LÄN</t>
        </is>
      </c>
      <c r="G126" t="inlineStr">
        <is>
          <t>OCKELBO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45754</v>
      </c>
      <c r="E127" s="1" t="n">
        <v>46224</v>
      </c>
      <c r="F127" t="inlineStr">
        <is>
          <t>GÄVLEBORGS LÄN</t>
        </is>
      </c>
      <c r="G127" t="inlineStr">
        <is>
          <t>OCKELBO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59383-2025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46224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46224</v>
      </c>
      <c r="F129" t="inlineStr">
        <is>
          <t>GÄVLEBORGS LÄN</t>
        </is>
      </c>
      <c r="G129" t="inlineStr">
        <is>
          <t>OCKELBO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46224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64924-2023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46224</v>
      </c>
      <c r="F131" t="inlineStr">
        <is>
          <t>GÄVLEBORGS LÄN</t>
        </is>
      </c>
      <c r="G131" t="inlineStr">
        <is>
          <t>OCKELBO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62914-2025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46009</v>
      </c>
      <c r="E132" s="1" t="n">
        <v>46224</v>
      </c>
      <c r="F132" t="inlineStr">
        <is>
          <t>GÄVLEBORGS LÄN</t>
        </is>
      </c>
      <c r="G132" t="inlineStr">
        <is>
          <t>OCKELBO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46224</v>
      </c>
      <c r="F133" t="inlineStr">
        <is>
          <t>GÄVLEBORGS LÄN</t>
        </is>
      </c>
      <c r="G133" t="inlineStr">
        <is>
          <t>OCKELBO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46224</v>
      </c>
      <c r="F134" t="inlineStr">
        <is>
          <t>GÄVLEBORGS LÄN</t>
        </is>
      </c>
      <c r="G134" t="inlineStr">
        <is>
          <t>OCKELBO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45772</v>
      </c>
      <c r="E135" s="1" t="n">
        <v>46224</v>
      </c>
      <c r="F135" t="inlineStr">
        <is>
          <t>GÄVLEBORGS LÄN</t>
        </is>
      </c>
      <c r="G135" t="inlineStr">
        <is>
          <t>OCKELBO</t>
        </is>
      </c>
      <c r="I135" t="n">
        <v>14.8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46224</v>
      </c>
      <c r="F136" t="inlineStr">
        <is>
          <t>GÄVLEBORGS LÄN</t>
        </is>
      </c>
      <c r="G136" t="inlineStr">
        <is>
          <t>OCKELBO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45888</v>
      </c>
      <c r="E137" s="1" t="n">
        <v>46224</v>
      </c>
      <c r="F137" t="inlineStr">
        <is>
          <t>GÄVLEBORGS LÄN</t>
        </is>
      </c>
      <c r="G137" t="inlineStr">
        <is>
          <t>OCKELBO</t>
        </is>
      </c>
      <c r="H137" t="inlineStr">
        <is>
          <t>Kyrkan</t>
        </is>
      </c>
      <c r="I137" t="n">
        <v>12.5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46224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59533-2023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45254</v>
      </c>
      <c r="E139" s="1" t="n">
        <v>46224</v>
      </c>
      <c r="F139" t="inlineStr">
        <is>
          <t>GÄVLEBORGS LÄN</t>
        </is>
      </c>
      <c r="G139" t="inlineStr">
        <is>
          <t>OCKELBO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46224</v>
      </c>
      <c r="F140" t="inlineStr">
        <is>
          <t>GÄVLEBORGS LÄN</t>
        </is>
      </c>
      <c r="G140" t="inlineStr">
        <is>
          <t>OCKELBO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46224</v>
      </c>
      <c r="F141" t="inlineStr">
        <is>
          <t>GÄVLEBORGS LÄN</t>
        </is>
      </c>
      <c r="G141" t="inlineStr">
        <is>
          <t>OCKELBO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49470-2024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45596</v>
      </c>
      <c r="E142" s="1" t="n">
        <v>46224</v>
      </c>
      <c r="F142" t="inlineStr">
        <is>
          <t>GÄVLEBORGS LÄN</t>
        </is>
      </c>
      <c r="G142" t="inlineStr">
        <is>
          <t>OCKELBO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45891</v>
      </c>
      <c r="E143" s="1" t="n">
        <v>46224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46224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15502-2025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46224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46224</v>
      </c>
      <c r="F146" t="inlineStr">
        <is>
          <t>GÄVLEBORGS LÄN</t>
        </is>
      </c>
      <c r="G146" t="inlineStr">
        <is>
          <t>OCKELBO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46013</v>
      </c>
      <c r="E147" s="1" t="n">
        <v>46224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46224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46224</v>
      </c>
      <c r="F149" t="inlineStr">
        <is>
          <t>GÄVLEBORGS LÄN</t>
        </is>
      </c>
      <c r="G149" t="inlineStr">
        <is>
          <t>OCKELBO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46224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46224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46224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46224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25250-2025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45800</v>
      </c>
      <c r="E154" s="1" t="n">
        <v>46224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46224</v>
      </c>
      <c r="F155" t="inlineStr">
        <is>
          <t>GÄVLEBORGS LÄN</t>
        </is>
      </c>
      <c r="G155" t="inlineStr">
        <is>
          <t>OCKELBO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46224</v>
      </c>
      <c r="F156" t="inlineStr">
        <is>
          <t>GÄVLEBORGS LÄN</t>
        </is>
      </c>
      <c r="G156" t="inlineStr">
        <is>
          <t>OCKELBO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46224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46224</v>
      </c>
      <c r="F158" t="inlineStr">
        <is>
          <t>GÄVLEBORGS LÄN</t>
        </is>
      </c>
      <c r="G158" t="inlineStr">
        <is>
          <t>OCKELBO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46224</v>
      </c>
      <c r="F159" t="inlineStr">
        <is>
          <t>GÄVLEBORGS LÄN</t>
        </is>
      </c>
      <c r="G159" t="inlineStr">
        <is>
          <t>OCKELBO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46224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20231-2024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45434</v>
      </c>
      <c r="E161" s="1" t="n">
        <v>46224</v>
      </c>
      <c r="F161" t="inlineStr">
        <is>
          <t>GÄVLEBORGS LÄN</t>
        </is>
      </c>
      <c r="G161" t="inlineStr">
        <is>
          <t>OCKELBO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46224</v>
      </c>
      <c r="F162" t="inlineStr">
        <is>
          <t>GÄVLEBORGS LÄN</t>
        </is>
      </c>
      <c r="G162" t="inlineStr">
        <is>
          <t>OCKELBO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46224</v>
      </c>
      <c r="F163" t="inlineStr">
        <is>
          <t>GÄVLEBORGS LÄN</t>
        </is>
      </c>
      <c r="G163" t="inlineStr">
        <is>
          <t>OCKELBO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63224-2025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46010</v>
      </c>
      <c r="E164" s="1" t="n">
        <v>46224</v>
      </c>
      <c r="F164" t="inlineStr">
        <is>
          <t>GÄVLEBORGS LÄN</t>
        </is>
      </c>
      <c r="G164" t="inlineStr">
        <is>
          <t>OCKELBO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45835</v>
      </c>
      <c r="E165" s="1" t="n">
        <v>46224</v>
      </c>
      <c r="F165" t="inlineStr">
        <is>
          <t>GÄVLEBORGS LÄN</t>
        </is>
      </c>
      <c r="G165" t="inlineStr">
        <is>
          <t>OCKELBO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46224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46224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44986</v>
      </c>
      <c r="E168" s="1" t="n">
        <v>46224</v>
      </c>
      <c r="F168" t="inlineStr">
        <is>
          <t>GÄVLEBORGS LÄN</t>
        </is>
      </c>
      <c r="G168" t="inlineStr">
        <is>
          <t>OCKELBO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46224</v>
      </c>
      <c r="F169" t="inlineStr">
        <is>
          <t>GÄVLEBORGS LÄN</t>
        </is>
      </c>
      <c r="G169" t="inlineStr">
        <is>
          <t>OCKELBO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46224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45618</v>
      </c>
      <c r="E171" s="1" t="n">
        <v>46224</v>
      </c>
      <c r="F171" t="inlineStr">
        <is>
          <t>GÄVLEBORGS LÄN</t>
        </is>
      </c>
      <c r="G171" t="inlineStr">
        <is>
          <t>OCKELBO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46224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46224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45817</v>
      </c>
      <c r="E174" s="1" t="n">
        <v>46224</v>
      </c>
      <c r="F174" t="inlineStr">
        <is>
          <t>GÄVLEBORGS LÄN</t>
        </is>
      </c>
      <c r="G174" t="inlineStr">
        <is>
          <t>OCKELBO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46224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46224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45611</v>
      </c>
      <c r="E177" s="1" t="n">
        <v>46224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46224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45132</v>
      </c>
      <c r="E179" s="1" t="n">
        <v>46224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63017-2025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46224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63616-2025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46014</v>
      </c>
      <c r="E181" s="1" t="n">
        <v>46224</v>
      </c>
      <c r="F181" t="inlineStr">
        <is>
          <t>GÄVLEBORGS LÄN</t>
        </is>
      </c>
      <c r="G181" t="inlineStr">
        <is>
          <t>OCKELBO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46224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46224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64006-2025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46224</v>
      </c>
      <c r="F184" t="inlineStr">
        <is>
          <t>GÄVLEBORGS LÄN</t>
        </is>
      </c>
      <c r="G184" t="inlineStr">
        <is>
          <t>OCKELBO</t>
        </is>
      </c>
      <c r="I184" t="n">
        <v>13.6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46224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46224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46224</v>
      </c>
      <c r="F187" t="inlineStr">
        <is>
          <t>GÄVLEBORGS LÄN</t>
        </is>
      </c>
      <c r="G187" t="inlineStr">
        <is>
          <t>OCKELBO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30229-2025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46224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44950</v>
      </c>
      <c r="E189" s="1" t="n">
        <v>46224</v>
      </c>
      <c r="F189" t="inlineStr">
        <is>
          <t>GÄVLEBORGS LÄN</t>
        </is>
      </c>
      <c r="G189" t="inlineStr">
        <is>
          <t>OCKELBO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60699-2024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46224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46224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45027</v>
      </c>
      <c r="E192" s="1" t="n">
        <v>46224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46224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50689-2024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45602</v>
      </c>
      <c r="E194" s="1" t="n">
        <v>46224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46224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46224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46224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66825-2021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46224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46224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46224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46224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45554</v>
      </c>
      <c r="E202" s="1" t="n">
        <v>46224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44816</v>
      </c>
      <c r="E203" s="1" t="n">
        <v>46224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46224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47011-2025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46224</v>
      </c>
      <c r="F205" t="inlineStr">
        <is>
          <t>GÄVLEBORGS LÄN</t>
        </is>
      </c>
      <c r="G205" t="inlineStr">
        <is>
          <t>OCKELBO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46224</v>
      </c>
      <c r="F206" t="inlineStr">
        <is>
          <t>GÄVLEBORGS LÄN</t>
        </is>
      </c>
      <c r="G206" t="inlineStr">
        <is>
          <t>OCKELBO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61622-2021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46224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46224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46224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67768-2021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46224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46224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46224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46224</v>
      </c>
      <c r="F213" t="inlineStr">
        <is>
          <t>GÄVLEBORGS LÄN</t>
        </is>
      </c>
      <c r="G213" t="inlineStr">
        <is>
          <t>OCKELBO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46224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45432</v>
      </c>
      <c r="E215" s="1" t="n">
        <v>46224</v>
      </c>
      <c r="F215" t="inlineStr">
        <is>
          <t>GÄVLEBORGS LÄN</t>
        </is>
      </c>
      <c r="G215" t="inlineStr">
        <is>
          <t>OCKELBO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46224</v>
      </c>
      <c r="F216" t="inlineStr">
        <is>
          <t>GÄVLEBORGS LÄN</t>
        </is>
      </c>
      <c r="G216" t="inlineStr">
        <is>
          <t>OCKELBO</t>
        </is>
      </c>
      <c r="I216" t="n">
        <v>11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46224</v>
      </c>
      <c r="F217" t="inlineStr">
        <is>
          <t>GÄVLEBORGS LÄN</t>
        </is>
      </c>
      <c r="G217" t="inlineStr">
        <is>
          <t>OCKELBO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46224</v>
      </c>
      <c r="F218" t="inlineStr">
        <is>
          <t>GÄVLEBORGS LÄN</t>
        </is>
      </c>
      <c r="G218" t="inlineStr">
        <is>
          <t>OCKELBO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46027</v>
      </c>
      <c r="E219" s="1" t="n">
        <v>46224</v>
      </c>
      <c r="F219" t="inlineStr">
        <is>
          <t>GÄVLEBORGS LÄN</t>
        </is>
      </c>
      <c r="G219" t="inlineStr">
        <is>
          <t>OCKELBO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46027</v>
      </c>
      <c r="E220" s="1" t="n">
        <v>46224</v>
      </c>
      <c r="F220" t="inlineStr">
        <is>
          <t>GÄVLEBORGS LÄN</t>
        </is>
      </c>
      <c r="G220" t="inlineStr">
        <is>
          <t>OCKELBO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32449-2025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46224</v>
      </c>
      <c r="F221" t="inlineStr">
        <is>
          <t>GÄVLEBORGS LÄN</t>
        </is>
      </c>
      <c r="G221" t="inlineStr">
        <is>
          <t>OCKELBO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46224</v>
      </c>
      <c r="F222" t="inlineStr">
        <is>
          <t>GÄVLEBORGS LÄN</t>
        </is>
      </c>
      <c r="G222" t="inlineStr">
        <is>
          <t>OCKELBO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45840</v>
      </c>
      <c r="E223" s="1" t="n">
        <v>46224</v>
      </c>
      <c r="F223" t="inlineStr">
        <is>
          <t>GÄVLEBORGS LÄN</t>
        </is>
      </c>
      <c r="G223" t="inlineStr">
        <is>
          <t>OCKELBO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46027</v>
      </c>
      <c r="E224" s="1" t="n">
        <v>46224</v>
      </c>
      <c r="F224" t="inlineStr">
        <is>
          <t>GÄVLEBORGS LÄN</t>
        </is>
      </c>
      <c r="G224" t="inlineStr">
        <is>
          <t>OCKELBO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46224</v>
      </c>
      <c r="F225" t="inlineStr">
        <is>
          <t>GÄVLEBORGS LÄN</t>
        </is>
      </c>
      <c r="G225" t="inlineStr">
        <is>
          <t>OCKELBO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46224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46224</v>
      </c>
      <c r="F227" t="inlineStr">
        <is>
          <t>GÄVLEBORGS LÄN</t>
        </is>
      </c>
      <c r="G227" t="inlineStr">
        <is>
          <t>OCKELBO</t>
        </is>
      </c>
      <c r="I227" t="n">
        <v>11.1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46224</v>
      </c>
      <c r="F228" t="inlineStr">
        <is>
          <t>GÄVLEBORGS LÄN</t>
        </is>
      </c>
      <c r="G228" t="inlineStr">
        <is>
          <t>OCKELBO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46224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21878-2024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46224</v>
      </c>
      <c r="F230" t="inlineStr">
        <is>
          <t>GÄVLEBORGS LÄN</t>
        </is>
      </c>
      <c r="G230" t="inlineStr">
        <is>
          <t>OCKELBO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46027</v>
      </c>
      <c r="E231" s="1" t="n">
        <v>46224</v>
      </c>
      <c r="F231" t="inlineStr">
        <is>
          <t>GÄVLEBORGS LÄN</t>
        </is>
      </c>
      <c r="G231" t="inlineStr">
        <is>
          <t>OCKELBO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30011-2023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45109</v>
      </c>
      <c r="E232" s="1" t="n">
        <v>46224</v>
      </c>
      <c r="F232" t="inlineStr">
        <is>
          <t>GÄVLEBORGS LÄN</t>
        </is>
      </c>
      <c r="G232" t="inlineStr">
        <is>
          <t>OCKELBO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46024</v>
      </c>
      <c r="E233" s="1" t="n">
        <v>46224</v>
      </c>
      <c r="F233" t="inlineStr">
        <is>
          <t>GÄVLEBORGS LÄN</t>
        </is>
      </c>
      <c r="G233" t="inlineStr">
        <is>
          <t>OCKELBO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46224</v>
      </c>
      <c r="F234" t="inlineStr">
        <is>
          <t>GÄVLEBORGS LÄN</t>
        </is>
      </c>
      <c r="G234" t="inlineStr">
        <is>
          <t>OCKELBO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23006-2023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45073</v>
      </c>
      <c r="E235" s="1" t="n">
        <v>46224</v>
      </c>
      <c r="F235" t="inlineStr">
        <is>
          <t>GÄVLEBORGS LÄN</t>
        </is>
      </c>
      <c r="G235" t="inlineStr">
        <is>
          <t>OCKELBO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46027</v>
      </c>
      <c r="E236" s="1" t="n">
        <v>46224</v>
      </c>
      <c r="F236" t="inlineStr">
        <is>
          <t>GÄVLEBORGS LÄN</t>
        </is>
      </c>
      <c r="G236" t="inlineStr">
        <is>
          <t>OCKELBO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46224</v>
      </c>
      <c r="F237" t="inlineStr">
        <is>
          <t>GÄVLEBORGS LÄN</t>
        </is>
      </c>
      <c r="G237" t="inlineStr">
        <is>
          <t>OCKELBO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46224</v>
      </c>
      <c r="F238" t="inlineStr">
        <is>
          <t>GÄVLEBORGS LÄN</t>
        </is>
      </c>
      <c r="G238" t="inlineStr">
        <is>
          <t>OCKELBO</t>
        </is>
      </c>
      <c r="I238" t="n">
        <v>13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46224</v>
      </c>
      <c r="F239" t="inlineStr">
        <is>
          <t>GÄVLEBORGS LÄN</t>
        </is>
      </c>
      <c r="G239" t="inlineStr">
        <is>
          <t>OCKELBO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46028</v>
      </c>
      <c r="E240" s="1" t="n">
        <v>46224</v>
      </c>
      <c r="F240" t="inlineStr">
        <is>
          <t>GÄVLEBORGS LÄN</t>
        </is>
      </c>
      <c r="G240" t="inlineStr">
        <is>
          <t>OCKELBO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46028</v>
      </c>
      <c r="E241" s="1" t="n">
        <v>46224</v>
      </c>
      <c r="F241" t="inlineStr">
        <is>
          <t>GÄVLEBORGS LÄN</t>
        </is>
      </c>
      <c r="G241" t="inlineStr">
        <is>
          <t>OCKELBO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46224</v>
      </c>
      <c r="F242" t="inlineStr">
        <is>
          <t>GÄVLEBORGS LÄN</t>
        </is>
      </c>
      <c r="G242" t="inlineStr">
        <is>
          <t>OCKELBO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46024</v>
      </c>
      <c r="E243" s="1" t="n">
        <v>46224</v>
      </c>
      <c r="F243" t="inlineStr">
        <is>
          <t>GÄVLEBORGS LÄN</t>
        </is>
      </c>
      <c r="G243" t="inlineStr">
        <is>
          <t>OCKELBO</t>
        </is>
      </c>
      <c r="I243" t="n">
        <v>12.9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35017-2025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45851</v>
      </c>
      <c r="E244" s="1" t="n">
        <v>46224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27.8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55422-2022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44887</v>
      </c>
      <c r="E245" s="1" t="n">
        <v>46224</v>
      </c>
      <c r="F245" t="inlineStr">
        <is>
          <t>GÄVLEBORGS LÄN</t>
        </is>
      </c>
      <c r="G245" t="inlineStr">
        <is>
          <t>OCKELBO</t>
        </is>
      </c>
      <c r="I245" t="n">
        <v>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46224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45859</v>
      </c>
      <c r="E247" s="1" t="n">
        <v>46224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52259-2025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46224</v>
      </c>
      <c r="F248" t="inlineStr">
        <is>
          <t>GÄVLEBORGS LÄN</t>
        </is>
      </c>
      <c r="G248" t="inlineStr">
        <is>
          <t>OCKELBO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46224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46224</v>
      </c>
      <c r="F250" t="inlineStr">
        <is>
          <t>GÄVLEBORGS LÄN</t>
        </is>
      </c>
      <c r="G250" t="inlineStr">
        <is>
          <t>OCKELBO</t>
        </is>
      </c>
      <c r="I250" t="n">
        <v>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46224</v>
      </c>
      <c r="F251" t="inlineStr">
        <is>
          <t>GÄVLEBORGS LÄN</t>
        </is>
      </c>
      <c r="G251" t="inlineStr">
        <is>
          <t>OCKELBO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46224</v>
      </c>
      <c r="F252" t="inlineStr">
        <is>
          <t>GÄVLEBORGS LÄN</t>
        </is>
      </c>
      <c r="G252" t="inlineStr">
        <is>
          <t>OCKELBO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52880-2025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46224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52635-2025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46224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45954</v>
      </c>
      <c r="E255" s="1" t="n">
        <v>46224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19178-2023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46224</v>
      </c>
      <c r="F256" t="inlineStr">
        <is>
          <t>GÄVLEBORGS LÄN</t>
        </is>
      </c>
      <c r="G256" t="inlineStr">
        <is>
          <t>OCKELBO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46224</v>
      </c>
      <c r="F257" t="inlineStr">
        <is>
          <t>GÄVLEBORGS LÄN</t>
        </is>
      </c>
      <c r="G257" t="inlineStr">
        <is>
          <t>OCKELBO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45581</v>
      </c>
      <c r="E258" s="1" t="n">
        <v>46224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45041</v>
      </c>
      <c r="E259" s="1" t="n">
        <v>46224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46224</v>
      </c>
      <c r="F260" t="inlineStr">
        <is>
          <t>GÄVLEBORGS LÄN</t>
        </is>
      </c>
      <c r="G260" t="inlineStr">
        <is>
          <t>OCKELBO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46224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32011-2024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45510</v>
      </c>
      <c r="E262" s="1" t="n">
        <v>46224</v>
      </c>
      <c r="F262" t="inlineStr">
        <is>
          <t>GÄVLEBORGS LÄN</t>
        </is>
      </c>
      <c r="G262" t="inlineStr">
        <is>
          <t>OCKELBO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30349-2023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45111</v>
      </c>
      <c r="E263" s="1" t="n">
        <v>46224</v>
      </c>
      <c r="F263" t="inlineStr">
        <is>
          <t>GÄVLEBORGS LÄN</t>
        </is>
      </c>
      <c r="G263" t="inlineStr">
        <is>
          <t>OCKELBO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45719</v>
      </c>
      <c r="E264" s="1" t="n">
        <v>46224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öst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46224</v>
      </c>
      <c r="F265" t="inlineStr">
        <is>
          <t>GÄVLEBORGS LÄN</t>
        </is>
      </c>
      <c r="G265" t="inlineStr">
        <is>
          <t>OCKELBO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46224</v>
      </c>
      <c r="F266" t="inlineStr">
        <is>
          <t>GÄVLEBORGS LÄN</t>
        </is>
      </c>
      <c r="G266" t="inlineStr">
        <is>
          <t>OCKELBO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46224</v>
      </c>
      <c r="F267" t="inlineStr">
        <is>
          <t>GÄVLEBORGS LÄN</t>
        </is>
      </c>
      <c r="G267" t="inlineStr">
        <is>
          <t>OCKELBO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54880-2025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46224</v>
      </c>
      <c r="F268" t="inlineStr">
        <is>
          <t>GÄVLEBORGS LÄN</t>
        </is>
      </c>
      <c r="G268" t="inlineStr">
        <is>
          <t>OCKELBO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46224</v>
      </c>
      <c r="F269" t="inlineStr">
        <is>
          <t>GÄVLEBORGS LÄN</t>
        </is>
      </c>
      <c r="G269" t="inlineStr">
        <is>
          <t>OCKELBO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46031</v>
      </c>
      <c r="E270" s="1" t="n">
        <v>46224</v>
      </c>
      <c r="F270" t="inlineStr">
        <is>
          <t>GÄVLEBORGS LÄN</t>
        </is>
      </c>
      <c r="G270" t="inlineStr">
        <is>
          <t>OCKELBO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46034</v>
      </c>
      <c r="E271" s="1" t="n">
        <v>46224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46224</v>
      </c>
      <c r="F272" t="inlineStr">
        <is>
          <t>GÄVLEBORGS LÄN</t>
        </is>
      </c>
      <c r="G272" t="inlineStr">
        <is>
          <t>OCKELBO</t>
        </is>
      </c>
      <c r="I272" t="n">
        <v>9.4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46033</v>
      </c>
      <c r="E273" s="1" t="n">
        <v>46224</v>
      </c>
      <c r="F273" t="inlineStr">
        <is>
          <t>GÄVLEBORGS LÄN</t>
        </is>
      </c>
      <c r="G273" t="inlineStr">
        <is>
          <t>OCKELBO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46035</v>
      </c>
      <c r="E274" s="1" t="n">
        <v>46224</v>
      </c>
      <c r="F274" t="inlineStr">
        <is>
          <t>GÄVLEBORGS LÄN</t>
        </is>
      </c>
      <c r="G274" t="inlineStr">
        <is>
          <t>OCKELBO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46035</v>
      </c>
      <c r="E275" s="1" t="n">
        <v>46224</v>
      </c>
      <c r="F275" t="inlineStr">
        <is>
          <t>GÄVLEBORGS LÄN</t>
        </is>
      </c>
      <c r="G275" t="inlineStr">
        <is>
          <t>OCKELBO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46035</v>
      </c>
      <c r="E276" s="1" t="n">
        <v>46224</v>
      </c>
      <c r="F276" t="inlineStr">
        <is>
          <t>GÄVLEBORGS LÄN</t>
        </is>
      </c>
      <c r="G276" t="inlineStr">
        <is>
          <t>OCKELBO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46224</v>
      </c>
      <c r="F277" t="inlineStr">
        <is>
          <t>GÄVLEBORGS LÄN</t>
        </is>
      </c>
      <c r="G277" t="inlineStr">
        <is>
          <t>OCKELBO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46224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46224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45973</v>
      </c>
      <c r="E280" s="1" t="n">
        <v>46224</v>
      </c>
      <c r="F280" t="inlineStr">
        <is>
          <t>GÄVLEBORGS LÄN</t>
        </is>
      </c>
      <c r="G280" t="inlineStr">
        <is>
          <t>OCKELBO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46224</v>
      </c>
      <c r="F281" t="inlineStr">
        <is>
          <t>GÄVLEBORGS LÄN</t>
        </is>
      </c>
      <c r="G281" t="inlineStr">
        <is>
          <t>OCKELBO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46224</v>
      </c>
      <c r="F282" t="inlineStr">
        <is>
          <t>GÄVLEBORGS LÄN</t>
        </is>
      </c>
      <c r="G282" t="inlineStr">
        <is>
          <t>OCKELBO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55884-2025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45973</v>
      </c>
      <c r="E283" s="1" t="n">
        <v>46224</v>
      </c>
      <c r="F283" t="inlineStr">
        <is>
          <t>GÄVLEBORGS LÄN</t>
        </is>
      </c>
      <c r="G283" t="inlineStr">
        <is>
          <t>OCKELBO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46224</v>
      </c>
      <c r="F284" t="inlineStr">
        <is>
          <t>GÄVLEBORGS LÄN</t>
        </is>
      </c>
      <c r="G284" t="inlineStr">
        <is>
          <t>OCKELBO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46224</v>
      </c>
      <c r="F285" t="inlineStr">
        <is>
          <t>GÄVLEBORGS LÄN</t>
        </is>
      </c>
      <c r="G285" t="inlineStr">
        <is>
          <t>OCKELBO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55629-2025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46224</v>
      </c>
      <c r="F286" t="inlineStr">
        <is>
          <t>GÄVLEBORGS LÄN</t>
        </is>
      </c>
      <c r="G286" t="inlineStr">
        <is>
          <t>OCKELBO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45973</v>
      </c>
      <c r="E287" s="1" t="n">
        <v>46224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45973</v>
      </c>
      <c r="E288" s="1" t="n">
        <v>46224</v>
      </c>
      <c r="F288" t="inlineStr">
        <is>
          <t>GÄVLEBORGS LÄN</t>
        </is>
      </c>
      <c r="G288" t="inlineStr">
        <is>
          <t>OCKELBO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46224</v>
      </c>
      <c r="F289" t="inlineStr">
        <is>
          <t>GÄVLEBORGS LÄN</t>
        </is>
      </c>
      <c r="G289" t="inlineStr">
        <is>
          <t>OCKELBO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46224</v>
      </c>
      <c r="F290" t="inlineStr">
        <is>
          <t>GÄVLEBORGS LÄN</t>
        </is>
      </c>
      <c r="G290" t="inlineStr">
        <is>
          <t>OCKELBO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46224</v>
      </c>
      <c r="F291" t="inlineStr">
        <is>
          <t>GÄVLEBORGS LÄN</t>
        </is>
      </c>
      <c r="G291" t="inlineStr">
        <is>
          <t>OCKELBO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46224</v>
      </c>
      <c r="F292" t="inlineStr">
        <is>
          <t>GÄVLEBORGS LÄN</t>
        </is>
      </c>
      <c r="G292" t="inlineStr">
        <is>
          <t>OCKELBO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2319-2026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46224</v>
      </c>
      <c r="F293" t="inlineStr">
        <is>
          <t>GÄVLEBORGS LÄN</t>
        </is>
      </c>
      <c r="G293" t="inlineStr">
        <is>
          <t>OCKELBO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46224</v>
      </c>
      <c r="F294" t="inlineStr">
        <is>
          <t>GÄVLEBORGS LÄN</t>
        </is>
      </c>
      <c r="G294" t="inlineStr">
        <is>
          <t>OCKELBO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45978</v>
      </c>
      <c r="E295" s="1" t="n">
        <v>46224</v>
      </c>
      <c r="F295" t="inlineStr">
        <is>
          <t>GÄVLEBORGS LÄN</t>
        </is>
      </c>
      <c r="G295" t="inlineStr">
        <is>
          <t>OCKELBO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46224</v>
      </c>
      <c r="F296" t="inlineStr">
        <is>
          <t>GÄVLEBORGS LÄN</t>
        </is>
      </c>
      <c r="G296" t="inlineStr">
        <is>
          <t>OCKELBO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46224</v>
      </c>
      <c r="F297" t="inlineStr">
        <is>
          <t>GÄVLEBORGS LÄN</t>
        </is>
      </c>
      <c r="G297" t="inlineStr">
        <is>
          <t>OCKELBO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46224</v>
      </c>
      <c r="F298" t="inlineStr">
        <is>
          <t>GÄVLEBORGS LÄN</t>
        </is>
      </c>
      <c r="G298" t="inlineStr">
        <is>
          <t>OCKELBO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46224</v>
      </c>
      <c r="F299" t="inlineStr">
        <is>
          <t>GÄVLEBORGS LÄN</t>
        </is>
      </c>
      <c r="G299" t="inlineStr">
        <is>
          <t>OCKELBO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46224</v>
      </c>
      <c r="F300" t="inlineStr">
        <is>
          <t>GÄVLEBORGS LÄN</t>
        </is>
      </c>
      <c r="G300" t="inlineStr">
        <is>
          <t>OCKELBO</t>
        </is>
      </c>
      <c r="I300" t="n">
        <v>16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46224</v>
      </c>
      <c r="F301" t="inlineStr">
        <is>
          <t>GÄVLEBORGS LÄN</t>
        </is>
      </c>
      <c r="G301" t="inlineStr">
        <is>
          <t>OCKELBO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38652-2025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46224</v>
      </c>
      <c r="F302" t="inlineStr">
        <is>
          <t>GÄVLEBORGS LÄN</t>
        </is>
      </c>
      <c r="G302" t="inlineStr">
        <is>
          <t>OCKELBO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46224</v>
      </c>
      <c r="F303" t="inlineStr">
        <is>
          <t>GÄVLEBORGS LÄN</t>
        </is>
      </c>
      <c r="G303" t="inlineStr">
        <is>
          <t>OCKELBO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46224</v>
      </c>
      <c r="F304" t="inlineStr">
        <is>
          <t>GÄVLEBORGS LÄN</t>
        </is>
      </c>
      <c r="G304" t="inlineStr">
        <is>
          <t>OCKELBO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46224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46224</v>
      </c>
      <c r="F306" t="inlineStr">
        <is>
          <t>GÄVLEBORGS LÄN</t>
        </is>
      </c>
      <c r="G306" t="inlineStr">
        <is>
          <t>OCKELBO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58295-2025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46224</v>
      </c>
      <c r="F307" t="inlineStr">
        <is>
          <t>GÄVLEBORGS LÄN</t>
        </is>
      </c>
      <c r="G307" t="inlineStr">
        <is>
          <t>OCKELBO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46224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46041</v>
      </c>
      <c r="E309" s="1" t="n">
        <v>46224</v>
      </c>
      <c r="F309" t="inlineStr">
        <is>
          <t>GÄVLEBORGS LÄN</t>
        </is>
      </c>
      <c r="G309" t="inlineStr">
        <is>
          <t>OCKELBO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45985</v>
      </c>
      <c r="E310" s="1" t="n">
        <v>46224</v>
      </c>
      <c r="F310" t="inlineStr">
        <is>
          <t>GÄVLEBORGS LÄN</t>
        </is>
      </c>
      <c r="G310" t="inlineStr">
        <is>
          <t>OCKELBO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45982</v>
      </c>
      <c r="E311" s="1" t="n">
        <v>46224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46224</v>
      </c>
      <c r="F312" t="inlineStr">
        <is>
          <t>GÄVLEBORGS LÄN</t>
        </is>
      </c>
      <c r="G312" t="inlineStr">
        <is>
          <t>OCKELBO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46224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45490</v>
      </c>
      <c r="E314" s="1" t="n">
        <v>46224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46224</v>
      </c>
      <c r="F315" t="inlineStr">
        <is>
          <t>GÄVLEBORGS LÄN</t>
        </is>
      </c>
      <c r="G315" t="inlineStr">
        <is>
          <t>OCKELBO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46224</v>
      </c>
      <c r="F316" t="inlineStr">
        <is>
          <t>GÄVLEBORGS LÄN</t>
        </is>
      </c>
      <c r="G316" t="inlineStr">
        <is>
          <t>OCKELBO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46043</v>
      </c>
      <c r="E317" s="1" t="n">
        <v>46224</v>
      </c>
      <c r="F317" t="inlineStr">
        <is>
          <t>GÄVLEBORGS LÄN</t>
        </is>
      </c>
      <c r="G317" t="inlineStr">
        <is>
          <t>OCKELBO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45986</v>
      </c>
      <c r="E318" s="1" t="n">
        <v>46224</v>
      </c>
      <c r="F318" t="inlineStr">
        <is>
          <t>GÄVLEBORGS LÄN</t>
        </is>
      </c>
      <c r="G318" t="inlineStr">
        <is>
          <t>OCKELBO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45139</v>
      </c>
      <c r="E319" s="1" t="n">
        <v>46224</v>
      </c>
      <c r="F319" t="inlineStr">
        <is>
          <t>GÄVLEBORGS LÄN</t>
        </is>
      </c>
      <c r="G319" t="inlineStr">
        <is>
          <t>OCKELBO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45705</v>
      </c>
      <c r="E320" s="1" t="n">
        <v>46224</v>
      </c>
      <c r="F320" t="inlineStr">
        <is>
          <t>GÄVLEBORGS LÄN</t>
        </is>
      </c>
      <c r="G320" t="inlineStr">
        <is>
          <t>OCKELBO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45988</v>
      </c>
      <c r="E321" s="1" t="n">
        <v>46224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42585-2023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46224</v>
      </c>
      <c r="F322" t="inlineStr">
        <is>
          <t>GÄVLEBORGS LÄN</t>
        </is>
      </c>
      <c r="G322" t="inlineStr">
        <is>
          <t>OCKELBO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46224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45608</v>
      </c>
      <c r="E324" s="1" t="n">
        <v>46224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20660-2022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44700</v>
      </c>
      <c r="E325" s="1" t="n">
        <v>46224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45995</v>
      </c>
      <c r="E326" s="1" t="n">
        <v>46224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46224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60183-2025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45994</v>
      </c>
      <c r="E328" s="1" t="n">
        <v>46224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46224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47841-2023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45204</v>
      </c>
      <c r="E330" s="1" t="n">
        <v>46224</v>
      </c>
      <c r="F330" t="inlineStr">
        <is>
          <t>GÄVLEBORGS LÄN</t>
        </is>
      </c>
      <c r="G330" t="inlineStr">
        <is>
          <t>OCKELBO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46224</v>
      </c>
      <c r="F331" t="inlineStr">
        <is>
          <t>GÄVLEBORGS LÄN</t>
        </is>
      </c>
      <c r="G331" t="inlineStr">
        <is>
          <t>OCKELBO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46224</v>
      </c>
      <c r="F332" t="inlineStr">
        <is>
          <t>GÄVLEBORGS LÄN</t>
        </is>
      </c>
      <c r="G332" t="inlineStr">
        <is>
          <t>OCKELBO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46224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46224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61148-2025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46224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46224</v>
      </c>
      <c r="F336" t="inlineStr">
        <is>
          <t>GÄVLEBORGS LÄN</t>
        </is>
      </c>
      <c r="G336" t="inlineStr">
        <is>
          <t>OCKELBO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46224</v>
      </c>
      <c r="F337" t="inlineStr">
        <is>
          <t>GÄVLEBORGS LÄN</t>
        </is>
      </c>
      <c r="G337" t="inlineStr">
        <is>
          <t>OCKELBO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45334</v>
      </c>
      <c r="E338" s="1" t="n">
        <v>46224</v>
      </c>
      <c r="F338" t="inlineStr">
        <is>
          <t>GÄVLEBORGS LÄN</t>
        </is>
      </c>
      <c r="G338" t="inlineStr">
        <is>
          <t>OCKELBO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46224</v>
      </c>
      <c r="F339" t="inlineStr">
        <is>
          <t>GÄVLEBORGS LÄN</t>
        </is>
      </c>
      <c r="G339" t="inlineStr">
        <is>
          <t>OCKELBO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60915-2024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46224</v>
      </c>
      <c r="F340" t="inlineStr">
        <is>
          <t>GÄVLEBORGS LÄN</t>
        </is>
      </c>
      <c r="G340" t="inlineStr">
        <is>
          <t>OCKELBO</t>
        </is>
      </c>
      <c r="H340" t="inlineStr">
        <is>
          <t>Kyrkan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46224</v>
      </c>
      <c r="F341" t="inlineStr">
        <is>
          <t>GÄVLEBORGS LÄN</t>
        </is>
      </c>
      <c r="G341" t="inlineStr">
        <is>
          <t>OCKELBO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28586-2024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45478</v>
      </c>
      <c r="E342" s="1" t="n">
        <v>46224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21582-2024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45441</v>
      </c>
      <c r="E343" s="1" t="n">
        <v>46224</v>
      </c>
      <c r="F343" t="inlineStr">
        <is>
          <t>GÄVLEBORGS LÄN</t>
        </is>
      </c>
      <c r="G343" t="inlineStr">
        <is>
          <t>OCKELBO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46224</v>
      </c>
      <c r="F344" t="inlineStr">
        <is>
          <t>GÄVLEBORGS LÄN</t>
        </is>
      </c>
      <c r="G344" t="inlineStr">
        <is>
          <t>OCKELBO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59978-2023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45254</v>
      </c>
      <c r="E345" s="1" t="n">
        <v>46224</v>
      </c>
      <c r="F345" t="inlineStr">
        <is>
          <t>GÄVLEBORGS LÄN</t>
        </is>
      </c>
      <c r="G345" t="inlineStr">
        <is>
          <t>OCKELBO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46224</v>
      </c>
      <c r="F346" t="inlineStr">
        <is>
          <t>GÄVLEBORGS LÄN</t>
        </is>
      </c>
      <c r="G346" t="inlineStr">
        <is>
          <t>OCKELBO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5231-2026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46224</v>
      </c>
      <c r="F347" t="inlineStr">
        <is>
          <t>GÄVLEBORGS LÄN</t>
        </is>
      </c>
      <c r="G347" t="inlineStr">
        <is>
          <t>OCKELBO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46224</v>
      </c>
      <c r="F348" t="inlineStr">
        <is>
          <t>GÄVLEBORGS LÄN</t>
        </is>
      </c>
      <c r="G348" t="inlineStr">
        <is>
          <t>OCKELBO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46224</v>
      </c>
      <c r="F349" t="inlineStr">
        <is>
          <t>GÄVLEBORGS LÄN</t>
        </is>
      </c>
      <c r="G349" t="inlineStr">
        <is>
          <t>OCKELBO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46224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23072-2024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45450</v>
      </c>
      <c r="E351" s="1" t="n">
        <v>46224</v>
      </c>
      <c r="F351" t="inlineStr">
        <is>
          <t>GÄVLEBORGS LÄN</t>
        </is>
      </c>
      <c r="G351" t="inlineStr">
        <is>
          <t>OCKELBO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45366</v>
      </c>
      <c r="E352" s="1" t="n">
        <v>46224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46224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46224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46224</v>
      </c>
      <c r="F355" t="inlineStr">
        <is>
          <t>GÄVLEBORGS LÄN</t>
        </is>
      </c>
      <c r="G355" t="inlineStr">
        <is>
          <t>OCKELBO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46224</v>
      </c>
      <c r="F356" t="inlineStr">
        <is>
          <t>GÄVLEBORGS LÄN</t>
        </is>
      </c>
      <c r="G356" t="inlineStr">
        <is>
          <t>OCKELBO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46224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46053</v>
      </c>
      <c r="E358" s="1" t="n">
        <v>46224</v>
      </c>
      <c r="F358" t="inlineStr">
        <is>
          <t>GÄVLEBORGS LÄN</t>
        </is>
      </c>
      <c r="G358" t="inlineStr">
        <is>
          <t>OCKELBO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46224</v>
      </c>
      <c r="F359" t="inlineStr">
        <is>
          <t>GÄVLEBORGS LÄN</t>
        </is>
      </c>
      <c r="G359" t="inlineStr">
        <is>
          <t>OCKELBO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6531-2026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46224</v>
      </c>
      <c r="F360" t="inlineStr">
        <is>
          <t>GÄVLEBORGS LÄN</t>
        </is>
      </c>
      <c r="G360" t="inlineStr">
        <is>
          <t>OCKELBO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46224</v>
      </c>
      <c r="F361" t="inlineStr">
        <is>
          <t>GÄVLEBORGS LÄN</t>
        </is>
      </c>
      <c r="G361" t="inlineStr">
        <is>
          <t>OCKELBO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46224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46224</v>
      </c>
      <c r="F363" t="inlineStr">
        <is>
          <t>GÄVLEBORGS LÄN</t>
        </is>
      </c>
      <c r="G363" t="inlineStr">
        <is>
          <t>OCKELBO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46224</v>
      </c>
      <c r="F364" t="inlineStr">
        <is>
          <t>GÄVLEBORGS LÄN</t>
        </is>
      </c>
      <c r="G364" t="inlineStr">
        <is>
          <t>OCKELBO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5887-2026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46224</v>
      </c>
      <c r="F365" t="inlineStr">
        <is>
          <t>GÄVLEBORGS LÄN</t>
        </is>
      </c>
      <c r="G365" t="inlineStr">
        <is>
          <t>OCKELBO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46224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46224</v>
      </c>
      <c r="F367" t="inlineStr">
        <is>
          <t>GÄVLEBORGS LÄN</t>
        </is>
      </c>
      <c r="G367" t="inlineStr">
        <is>
          <t>OCKELBO</t>
        </is>
      </c>
      <c r="I367" t="n">
        <v>14.6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46224</v>
      </c>
      <c r="F368" t="inlineStr">
        <is>
          <t>GÄVLEBORGS LÄN</t>
        </is>
      </c>
      <c r="G368" t="inlineStr">
        <is>
          <t>OCKELBO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46224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46224</v>
      </c>
      <c r="F370" t="inlineStr">
        <is>
          <t>GÄVLEBORGS LÄN</t>
        </is>
      </c>
      <c r="G370" t="inlineStr">
        <is>
          <t>OCKELBO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6710-2026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46224</v>
      </c>
      <c r="F371" t="inlineStr">
        <is>
          <t>GÄVLEBORGS LÄN</t>
        </is>
      </c>
      <c r="G371" t="inlineStr">
        <is>
          <t>OCKELBO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6590-2026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46224</v>
      </c>
      <c r="F372" t="inlineStr">
        <is>
          <t>GÄVLEBORGS LÄN</t>
        </is>
      </c>
      <c r="G372" t="inlineStr">
        <is>
          <t>OCKELBO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46224</v>
      </c>
      <c r="F373" t="inlineStr">
        <is>
          <t>GÄVLEBORGS LÄN</t>
        </is>
      </c>
      <c r="G373" t="inlineStr">
        <is>
          <t>OCKELBO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46224</v>
      </c>
      <c r="F374" t="inlineStr">
        <is>
          <t>GÄVLEBORGS LÄN</t>
        </is>
      </c>
      <c r="G374" t="inlineStr">
        <is>
          <t>OCKELBO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6598-2026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46224</v>
      </c>
      <c r="F375" t="inlineStr">
        <is>
          <t>GÄVLEBORGS LÄN</t>
        </is>
      </c>
      <c r="G375" t="inlineStr">
        <is>
          <t>OCKELBO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46224</v>
      </c>
      <c r="F376" t="inlineStr">
        <is>
          <t>GÄVLEBORGS LÄN</t>
        </is>
      </c>
      <c r="G376" t="inlineStr">
        <is>
          <t>OCKELBO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46224</v>
      </c>
      <c r="F377" t="inlineStr">
        <is>
          <t>GÄVLEBORGS LÄN</t>
        </is>
      </c>
      <c r="G377" t="inlineStr">
        <is>
          <t>OCKELBO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45488</v>
      </c>
      <c r="E378" s="1" t="n">
        <v>46224</v>
      </c>
      <c r="F378" t="inlineStr">
        <is>
          <t>GÄVLEBORGS LÄN</t>
        </is>
      </c>
      <c r="G378" t="inlineStr">
        <is>
          <t>OCKELBO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7765-2026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46224</v>
      </c>
      <c r="F379" t="inlineStr">
        <is>
          <t>GÄVLEBORGS LÄN</t>
        </is>
      </c>
      <c r="G379" t="inlineStr">
        <is>
          <t>OCKELBO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46224</v>
      </c>
      <c r="F380" t="inlineStr">
        <is>
          <t>GÄVLEBORGS LÄN</t>
        </is>
      </c>
      <c r="G380" t="inlineStr">
        <is>
          <t>OCKELBO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46224</v>
      </c>
      <c r="F381" t="inlineStr">
        <is>
          <t>GÄVLEBORGS LÄN</t>
        </is>
      </c>
      <c r="G381" t="inlineStr">
        <is>
          <t>OCKELBO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46224</v>
      </c>
      <c r="F382" t="inlineStr">
        <is>
          <t>GÄVLEBORGS LÄN</t>
        </is>
      </c>
      <c r="G382" t="inlineStr">
        <is>
          <t>OCKELBO</t>
        </is>
      </c>
      <c r="H382" t="inlineStr">
        <is>
          <t>Kyrkan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46224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46224</v>
      </c>
      <c r="F384" t="inlineStr">
        <is>
          <t>GÄVLEBORGS LÄN</t>
        </is>
      </c>
      <c r="G384" t="inlineStr">
        <is>
          <t>OCKELBO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46064</v>
      </c>
      <c r="E385" s="1" t="n">
        <v>46224</v>
      </c>
      <c r="F385" t="inlineStr">
        <is>
          <t>GÄVLEBORGS LÄN</t>
        </is>
      </c>
      <c r="G385" t="inlineStr">
        <is>
          <t>OCKELBO</t>
        </is>
      </c>
      <c r="H385" t="inlineStr">
        <is>
          <t>Kyrkan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8351-2026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46064</v>
      </c>
      <c r="E386" s="1" t="n">
        <v>46224</v>
      </c>
      <c r="F386" t="inlineStr">
        <is>
          <t>GÄVLEBORGS LÄN</t>
        </is>
      </c>
      <c r="G386" t="inlineStr">
        <is>
          <t>OCKELBO</t>
        </is>
      </c>
      <c r="I386" t="n">
        <v>17.4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46224</v>
      </c>
      <c r="F387" t="inlineStr">
        <is>
          <t>GÄVLEBORGS LÄN</t>
        </is>
      </c>
      <c r="G387" t="inlineStr">
        <is>
          <t>OCKELBO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46064</v>
      </c>
      <c r="E388" s="1" t="n">
        <v>46224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8750-2026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46066</v>
      </c>
      <c r="E389" s="1" t="n">
        <v>46224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46224</v>
      </c>
      <c r="F390" t="inlineStr">
        <is>
          <t>GÄVLEBORGS LÄN</t>
        </is>
      </c>
      <c r="G390" t="inlineStr">
        <is>
          <t>OCKELBO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46224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46224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46224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9507-2026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46224</v>
      </c>
      <c r="F394" t="inlineStr">
        <is>
          <t>GÄVLEBORGS LÄN</t>
        </is>
      </c>
      <c r="G394" t="inlineStr">
        <is>
          <t>OCKELBO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45700</v>
      </c>
      <c r="E395" s="1" t="n">
        <v>46224</v>
      </c>
      <c r="F395" t="inlineStr">
        <is>
          <t>GÄVLEBORGS LÄN</t>
        </is>
      </c>
      <c r="G395" t="inlineStr">
        <is>
          <t>OCKELBO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9416-2026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46224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46224</v>
      </c>
      <c r="F397" t="inlineStr">
        <is>
          <t>GÄVLEBORGS LÄN</t>
        </is>
      </c>
      <c r="G397" t="inlineStr">
        <is>
          <t>OCKELBO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9557-2026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46224</v>
      </c>
      <c r="F398" t="inlineStr">
        <is>
          <t>GÄVLEBORGS LÄN</t>
        </is>
      </c>
      <c r="G398" t="inlineStr">
        <is>
          <t>OCKELBO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9414-2026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46071</v>
      </c>
      <c r="E399" s="1" t="n">
        <v>46224</v>
      </c>
      <c r="F399" t="inlineStr">
        <is>
          <t>GÄVLEBORGS LÄN</t>
        </is>
      </c>
      <c r="G399" t="inlineStr">
        <is>
          <t>OCKELBO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46224</v>
      </c>
      <c r="F400" t="inlineStr">
        <is>
          <t>GÄVLEBORGS LÄN</t>
        </is>
      </c>
      <c r="G400" t="inlineStr">
        <is>
          <t>OCKELBO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46056</v>
      </c>
      <c r="E401" s="1" t="n">
        <v>46224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46224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45342</v>
      </c>
      <c r="E403" s="1" t="n">
        <v>46224</v>
      </c>
      <c r="F403" t="inlineStr">
        <is>
          <t>GÄVLEBORGS LÄN</t>
        </is>
      </c>
      <c r="G403" t="inlineStr">
        <is>
          <t>OCKELBO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46224</v>
      </c>
      <c r="F404" t="inlineStr">
        <is>
          <t>GÄVLEBORGS LÄN</t>
        </is>
      </c>
      <c r="G404" t="inlineStr">
        <is>
          <t>OCKELBO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46224</v>
      </c>
      <c r="F405" t="inlineStr">
        <is>
          <t>GÄVLEBORGS LÄN</t>
        </is>
      </c>
      <c r="G405" t="inlineStr">
        <is>
          <t>OCKELBO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46224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46224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46224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46224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46224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46078</v>
      </c>
      <c r="E411" s="1" t="n">
        <v>46224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väst AB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7276-2023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44970</v>
      </c>
      <c r="E412" s="1" t="n">
        <v>46224</v>
      </c>
      <c r="F412" t="inlineStr">
        <is>
          <t>GÄVLEBORGS LÄN</t>
        </is>
      </c>
      <c r="G412" t="inlineStr">
        <is>
          <t>OCKELBO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10529-2026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46224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öst AB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46224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46077</v>
      </c>
      <c r="E415" s="1" t="n">
        <v>46224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10.1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46077</v>
      </c>
      <c r="E416" s="1" t="n">
        <v>46224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öst AB</t>
        </is>
      </c>
      <c r="I416" t="n">
        <v>45.7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46031</v>
      </c>
      <c r="E417" s="1" t="n">
        <v>46224</v>
      </c>
      <c r="F417" t="inlineStr">
        <is>
          <t>GÄVLEBORGS LÄN</t>
        </is>
      </c>
      <c r="G417" t="inlineStr">
        <is>
          <t>OCKELBO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46076</v>
      </c>
      <c r="E418" s="1" t="n">
        <v>46224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10535-2026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46224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öst AB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46224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46031</v>
      </c>
      <c r="E421" s="1" t="n">
        <v>46224</v>
      </c>
      <c r="F421" t="inlineStr">
        <is>
          <t>GÄVLEBORGS LÄN</t>
        </is>
      </c>
      <c r="G421" t="inlineStr">
        <is>
          <t>OCKELBO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46077</v>
      </c>
      <c r="E422" s="1" t="n">
        <v>46224</v>
      </c>
      <c r="F422" t="inlineStr">
        <is>
          <t>GÄVLEBORGS LÄN</t>
        </is>
      </c>
      <c r="G422" t="inlineStr">
        <is>
          <t>OCKELBO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11078-2026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46224</v>
      </c>
      <c r="F423" t="inlineStr">
        <is>
          <t>GÄVLEBORGS LÄN</t>
        </is>
      </c>
      <c r="G423" t="inlineStr">
        <is>
          <t>OCKELBO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45754</v>
      </c>
      <c r="E424" s="1" t="n">
        <v>46224</v>
      </c>
      <c r="F424" t="inlineStr">
        <is>
          <t>GÄVLEBORGS LÄN</t>
        </is>
      </c>
      <c r="G424" t="inlineStr">
        <is>
          <t>OCKELBO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11237-2026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46224</v>
      </c>
      <c r="F425" t="inlineStr">
        <is>
          <t>GÄVLEBORGS LÄN</t>
        </is>
      </c>
      <c r="G425" t="inlineStr">
        <is>
          <t>OCKELBO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11234-2026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46224</v>
      </c>
      <c r="F426" t="inlineStr">
        <is>
          <t>GÄVLEBORGS LÄN</t>
        </is>
      </c>
      <c r="G426" t="inlineStr">
        <is>
          <t>OCKELBO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45330</v>
      </c>
      <c r="E427" s="1" t="n">
        <v>46224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46224</v>
      </c>
      <c r="F428" t="inlineStr">
        <is>
          <t>GÄVLEBORGS LÄN</t>
        </is>
      </c>
      <c r="G428" t="inlineStr">
        <is>
          <t>OCKELBO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46224</v>
      </c>
      <c r="F429" t="inlineStr">
        <is>
          <t>GÄVLEBORGS LÄN</t>
        </is>
      </c>
      <c r="G429" t="inlineStr">
        <is>
          <t>OCKELBO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18326-2026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46126</v>
      </c>
      <c r="E430" s="1" t="n">
        <v>46224</v>
      </c>
      <c r="F430" t="inlineStr">
        <is>
          <t>GÄVLEBORGS LÄN</t>
        </is>
      </c>
      <c r="G430" t="inlineStr">
        <is>
          <t>OCKELBO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11496-2026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46083</v>
      </c>
      <c r="E431" s="1" t="n">
        <v>46224</v>
      </c>
      <c r="F431" t="inlineStr">
        <is>
          <t>GÄVLEBORGS LÄN</t>
        </is>
      </c>
      <c r="G431" t="inlineStr">
        <is>
          <t>OCKELBO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46224</v>
      </c>
      <c r="F432" t="inlineStr">
        <is>
          <t>GÄVLEBORGS LÄN</t>
        </is>
      </c>
      <c r="G432" t="inlineStr">
        <is>
          <t>OCKELBO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11432-2026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46083</v>
      </c>
      <c r="E433" s="1" t="n">
        <v>46224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11423-2026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46083</v>
      </c>
      <c r="E434" s="1" t="n">
        <v>46224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öst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29534-2023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46224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11810-2026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46085</v>
      </c>
      <c r="E436" s="1" t="n">
        <v>46224</v>
      </c>
      <c r="F436" t="inlineStr">
        <is>
          <t>GÄVLEBORGS LÄN</t>
        </is>
      </c>
      <c r="G436" t="inlineStr">
        <is>
          <t>OCKELBO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12080-2026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46086</v>
      </c>
      <c r="E437" s="1" t="n">
        <v>46224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18.7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46224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öst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46224</v>
      </c>
      <c r="F439" t="inlineStr">
        <is>
          <t>GÄVLEBORGS LÄN</t>
        </is>
      </c>
      <c r="G439" t="inlineStr">
        <is>
          <t>OCKELBO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46089</v>
      </c>
      <c r="E440" s="1" t="n">
        <v>46224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29.9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12807-2026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46224</v>
      </c>
      <c r="F441" t="inlineStr">
        <is>
          <t>GÄVLEBORGS LÄN</t>
        </is>
      </c>
      <c r="G441" t="inlineStr">
        <is>
          <t>OCKELBO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12716-2026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46224</v>
      </c>
      <c r="F442" t="inlineStr">
        <is>
          <t>GÄVLEBORGS LÄN</t>
        </is>
      </c>
      <c r="G442" t="inlineStr">
        <is>
          <t>OCKELBO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2556-2025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45674</v>
      </c>
      <c r="E443" s="1" t="n">
        <v>46224</v>
      </c>
      <c r="F443" t="inlineStr">
        <is>
          <t>GÄVLEBORGS LÄN</t>
        </is>
      </c>
      <c r="G443" t="inlineStr">
        <is>
          <t>OCKELBO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46224</v>
      </c>
      <c r="F444" t="inlineStr">
        <is>
          <t>GÄVLEBORGS LÄN</t>
        </is>
      </c>
      <c r="G444" t="inlineStr">
        <is>
          <t>OCKELBO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46224</v>
      </c>
      <c r="F445" t="inlineStr">
        <is>
          <t>GÄVLEBORGS LÄN</t>
        </is>
      </c>
      <c r="G445" t="inlineStr">
        <is>
          <t>OCKELBO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46224</v>
      </c>
      <c r="F446" t="inlineStr">
        <is>
          <t>GÄVLEBORGS LÄN</t>
        </is>
      </c>
      <c r="G446" t="inlineStr">
        <is>
          <t>OCKELBO</t>
        </is>
      </c>
      <c r="H446" t="inlineStr">
        <is>
          <t>Naturvårdsverket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46224</v>
      </c>
      <c r="F447" t="inlineStr">
        <is>
          <t>GÄVLEBORGS LÄN</t>
        </is>
      </c>
      <c r="G447" t="inlineStr">
        <is>
          <t>OCKELBO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46224</v>
      </c>
      <c r="F448" t="inlineStr">
        <is>
          <t>GÄVLEBORGS LÄN</t>
        </is>
      </c>
      <c r="G448" t="inlineStr">
        <is>
          <t>OCKELBO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46224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46224</v>
      </c>
      <c r="F450" t="inlineStr">
        <is>
          <t>GÄVLEBORGS LÄN</t>
        </is>
      </c>
      <c r="G450" t="inlineStr">
        <is>
          <t>OCKELBO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46224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46224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46224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36.6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46224</v>
      </c>
      <c r="F454" t="inlineStr">
        <is>
          <t>GÄVLEBORGS LÄN</t>
        </is>
      </c>
      <c r="G454" t="inlineStr">
        <is>
          <t>OCKELBO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46224</v>
      </c>
      <c r="F455" t="inlineStr">
        <is>
          <t>GÄVLEBORGS LÄN</t>
        </is>
      </c>
      <c r="G455" t="inlineStr">
        <is>
          <t>OCKELBO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13962-2026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46098</v>
      </c>
      <c r="E456" s="1" t="n">
        <v>46224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65259-2023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45291</v>
      </c>
      <c r="E457" s="1" t="n">
        <v>46224</v>
      </c>
      <c r="F457" t="inlineStr">
        <is>
          <t>GÄVLEBORGS LÄN</t>
        </is>
      </c>
      <c r="G457" t="inlineStr">
        <is>
          <t>OCKELBO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46097</v>
      </c>
      <c r="E458" s="1" t="n">
        <v>46224</v>
      </c>
      <c r="F458" t="inlineStr">
        <is>
          <t>GÄVLEBORGS LÄN</t>
        </is>
      </c>
      <c r="G458" t="inlineStr">
        <is>
          <t>OCKELBO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13931-2026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46224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13856-2026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46224</v>
      </c>
      <c r="F460" t="inlineStr">
        <is>
          <t>GÄVLEBORGS LÄN</t>
        </is>
      </c>
      <c r="G460" t="inlineStr">
        <is>
          <t>OCKELBO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46224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56352-2024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45624</v>
      </c>
      <c r="E462" s="1" t="n">
        <v>46224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46100</v>
      </c>
      <c r="E463" s="1" t="n">
        <v>46224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14037-2026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46098</v>
      </c>
      <c r="E464" s="1" t="n">
        <v>46224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46224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46100</v>
      </c>
      <c r="E466" s="1" t="n">
        <v>46224</v>
      </c>
      <c r="F466" t="inlineStr">
        <is>
          <t>GÄVLEBORGS LÄN</t>
        </is>
      </c>
      <c r="G466" t="inlineStr">
        <is>
          <t>OCKELBO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46224</v>
      </c>
      <c r="F467" t="inlineStr">
        <is>
          <t>GÄVLEBORGS LÄN</t>
        </is>
      </c>
      <c r="G467" t="inlineStr">
        <is>
          <t>OCKELBO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14100-2026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46099</v>
      </c>
      <c r="E468" s="1" t="n">
        <v>46224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15018-2026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46224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39430-2024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46224</v>
      </c>
      <c r="F470" t="inlineStr">
        <is>
          <t>GÄVLEBORGS LÄN</t>
        </is>
      </c>
      <c r="G470" t="inlineStr">
        <is>
          <t>OCKELBO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46224</v>
      </c>
      <c r="F471" t="inlineStr">
        <is>
          <t>GÄVLEBORGS LÄN</t>
        </is>
      </c>
      <c r="G471" t="inlineStr">
        <is>
          <t>OCKELBO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46224</v>
      </c>
      <c r="F472" t="inlineStr">
        <is>
          <t>GÄVLEBORGS LÄN</t>
        </is>
      </c>
      <c r="G472" t="inlineStr">
        <is>
          <t>OCKELBO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46224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15043-2026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46224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46224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46224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34.1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46224</v>
      </c>
      <c r="F477" t="inlineStr">
        <is>
          <t>GÄVLEBORGS LÄN</t>
        </is>
      </c>
      <c r="G477" t="inlineStr">
        <is>
          <t>OCKELBO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15067-2026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46224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14756-2026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46224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46224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46224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15575-2026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46224</v>
      </c>
      <c r="F482" t="inlineStr">
        <is>
          <t>GÄVLEBORGS LÄN</t>
        </is>
      </c>
      <c r="G482" t="inlineStr">
        <is>
          <t>OCKELBO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15572-2026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46224</v>
      </c>
      <c r="F483" t="inlineStr">
        <is>
          <t>GÄVLEBORGS LÄN</t>
        </is>
      </c>
      <c r="G483" t="inlineStr">
        <is>
          <t>OCKELBO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14168-2026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46224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14169-2026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46224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15151-2026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46105</v>
      </c>
      <c r="E486" s="1" t="n">
        <v>46224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öst AB</t>
        </is>
      </c>
      <c r="I486" t="n">
        <v>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15795-2026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46224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46224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46224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46224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46224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9.699999999999999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46108</v>
      </c>
      <c r="E492" s="1" t="n">
        <v>46224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61732-2024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45649</v>
      </c>
      <c r="E493" s="1" t="n">
        <v>46224</v>
      </c>
      <c r="F493" t="inlineStr">
        <is>
          <t>GÄVLEBORGS LÄN</t>
        </is>
      </c>
      <c r="G493" t="inlineStr">
        <is>
          <t>OCKELBO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46224</v>
      </c>
      <c r="F494" t="inlineStr">
        <is>
          <t>GÄVLEBORGS LÄN</t>
        </is>
      </c>
      <c r="G494" t="inlineStr">
        <is>
          <t>OCKELBO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46224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16535-2026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46224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46224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16481-2026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46224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46111</v>
      </c>
      <c r="E499" s="1" t="n">
        <v>46224</v>
      </c>
      <c r="F499" t="inlineStr">
        <is>
          <t>GÄVLEBORGS LÄN</t>
        </is>
      </c>
      <c r="G499" t="inlineStr">
        <is>
          <t>OCKELBO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17113-2026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46114</v>
      </c>
      <c r="E500" s="1" t="n">
        <v>46224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16981-2026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46224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9.4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46224</v>
      </c>
      <c r="F502" t="inlineStr">
        <is>
          <t>GÄVLEBORGS LÄN</t>
        </is>
      </c>
      <c r="G502" t="inlineStr">
        <is>
          <t>OCKELBO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46224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46114</v>
      </c>
      <c r="E504" s="1" t="n">
        <v>46224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45600</v>
      </c>
      <c r="E505" s="1" t="n">
        <v>46224</v>
      </c>
      <c r="F505" t="inlineStr">
        <is>
          <t>GÄVLEBORGS LÄN</t>
        </is>
      </c>
      <c r="G505" t="inlineStr">
        <is>
          <t>OCKELBO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46224</v>
      </c>
      <c r="F506" t="inlineStr">
        <is>
          <t>GÄVLEBORGS LÄN</t>
        </is>
      </c>
      <c r="G506" t="inlineStr">
        <is>
          <t>OCKELBO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13428-2026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46094</v>
      </c>
      <c r="E507" s="1" t="n">
        <v>46224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10268-2026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46076</v>
      </c>
      <c r="E508" s="1" t="n">
        <v>46224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öst AB</t>
        </is>
      </c>
      <c r="I508" t="n">
        <v>7.7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46224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öst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46077</v>
      </c>
      <c r="E510" s="1" t="n">
        <v>46224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öst AB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46119</v>
      </c>
      <c r="E511" s="1" t="n">
        <v>46224</v>
      </c>
      <c r="F511" t="inlineStr">
        <is>
          <t>GÄVLEBORGS LÄN</t>
        </is>
      </c>
      <c r="G511" t="inlineStr">
        <is>
          <t>OCKELBO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10326-2026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46076</v>
      </c>
      <c r="E512" s="1" t="n">
        <v>46224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öst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17241-2026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46224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17202-2026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46118</v>
      </c>
      <c r="E514" s="1" t="n">
        <v>46224</v>
      </c>
      <c r="F514" t="inlineStr">
        <is>
          <t>GÄVLEBORGS LÄN</t>
        </is>
      </c>
      <c r="G514" t="inlineStr">
        <is>
          <t>OCKELBO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10309-2026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46224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öst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46121</v>
      </c>
      <c r="E516" s="1" t="n">
        <v>46224</v>
      </c>
      <c r="F516" t="inlineStr">
        <is>
          <t>GÄVLEBORGS LÄN</t>
        </is>
      </c>
      <c r="G516" t="inlineStr">
        <is>
          <t>OCKELBO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46224</v>
      </c>
      <c r="F517" t="inlineStr">
        <is>
          <t>GÄVLEBORGS LÄN</t>
        </is>
      </c>
      <c r="G517" t="inlineStr">
        <is>
          <t>OCKELBO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17600-2026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46121</v>
      </c>
      <c r="E518" s="1" t="n">
        <v>46224</v>
      </c>
      <c r="F518" t="inlineStr">
        <is>
          <t>GÄVLEBORGS LÄN</t>
        </is>
      </c>
      <c r="G518" t="inlineStr">
        <is>
          <t>OCKELBO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46224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23772-2024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45455</v>
      </c>
      <c r="E520" s="1" t="n">
        <v>46224</v>
      </c>
      <c r="F520" t="inlineStr">
        <is>
          <t>GÄVLEBORGS LÄN</t>
        </is>
      </c>
      <c r="G520" t="inlineStr">
        <is>
          <t>OCKELBO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46224</v>
      </c>
      <c r="F521" t="inlineStr">
        <is>
          <t>GÄVLEBORGS LÄN</t>
        </is>
      </c>
      <c r="G521" t="inlineStr">
        <is>
          <t>OCKELBO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46125</v>
      </c>
      <c r="E522" s="1" t="n">
        <v>46224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26367-2024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45469</v>
      </c>
      <c r="E523" s="1" t="n">
        <v>46224</v>
      </c>
      <c r="F523" t="inlineStr">
        <is>
          <t>GÄVLEBORGS LÄN</t>
        </is>
      </c>
      <c r="G523" t="inlineStr">
        <is>
          <t>OCKELBO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18234-2026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46126</v>
      </c>
      <c r="E524" s="1" t="n">
        <v>46224</v>
      </c>
      <c r="F524" t="inlineStr">
        <is>
          <t>GÄVLEBORGS LÄN</t>
        </is>
      </c>
      <c r="G524" t="inlineStr">
        <is>
          <t>OCKELBO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46224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13855-2026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46098</v>
      </c>
      <c r="E526" s="1" t="n">
        <v>46224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46127</v>
      </c>
      <c r="E527" s="1" t="n">
        <v>46224</v>
      </c>
      <c r="F527" t="inlineStr">
        <is>
          <t>GÄVLEBORGS LÄN</t>
        </is>
      </c>
      <c r="G527" t="inlineStr">
        <is>
          <t>OCKELBO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15255-2026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46224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46224</v>
      </c>
      <c r="F529" t="inlineStr">
        <is>
          <t>GÄVLEBORGS LÄN</t>
        </is>
      </c>
      <c r="G529" t="inlineStr">
        <is>
          <t>OCKELBO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46112</v>
      </c>
      <c r="E530" s="1" t="n">
        <v>46224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46128</v>
      </c>
      <c r="E531" s="1" t="n">
        <v>46224</v>
      </c>
      <c r="F531" t="inlineStr">
        <is>
          <t>GÄVLEBORGS LÄN</t>
        </is>
      </c>
      <c r="G531" t="inlineStr">
        <is>
          <t>OCKELBO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16530-2026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46224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54817-2022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44883</v>
      </c>
      <c r="E533" s="1" t="n">
        <v>46224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46224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15581-2026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46224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öst AB</t>
        </is>
      </c>
      <c r="I535" t="n">
        <v>7.6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46127</v>
      </c>
      <c r="E536" s="1" t="n">
        <v>46224</v>
      </c>
      <c r="F536" t="inlineStr">
        <is>
          <t>GÄVLEBORGS LÄN</t>
        </is>
      </c>
      <c r="G536" t="inlineStr">
        <is>
          <t>OCKELBO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46132</v>
      </c>
      <c r="E537" s="1" t="n">
        <v>46224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46133</v>
      </c>
      <c r="E538" s="1" t="n">
        <v>46224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19068-2026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46224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13.8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19277-2026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46133</v>
      </c>
      <c r="E540" s="1" t="n">
        <v>46224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19138-2026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46224</v>
      </c>
      <c r="F541" t="inlineStr">
        <is>
          <t>GÄVLEBORGS LÄN</t>
        </is>
      </c>
      <c r="G541" t="inlineStr">
        <is>
          <t>OCKELBO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19040-2026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46132</v>
      </c>
      <c r="E542" s="1" t="n">
        <v>46224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46132</v>
      </c>
      <c r="E543" s="1" t="n">
        <v>46224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19139-2026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46224</v>
      </c>
      <c r="F544" t="inlineStr">
        <is>
          <t>GÄVLEBORGS LÄN</t>
        </is>
      </c>
      <c r="G544" t="inlineStr">
        <is>
          <t>OCKELBO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19424-2026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46224</v>
      </c>
      <c r="F545" t="inlineStr">
        <is>
          <t>GÄVLEBORGS LÄN</t>
        </is>
      </c>
      <c r="G545" t="inlineStr">
        <is>
          <t>OCKELBO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46224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17.7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45554</v>
      </c>
      <c r="E547" s="1" t="n">
        <v>46224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19146-2026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46224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46224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19491-2026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46134</v>
      </c>
      <c r="E550" s="1" t="n">
        <v>46224</v>
      </c>
      <c r="F550" t="inlineStr">
        <is>
          <t>GÄVLEBORGS LÄN</t>
        </is>
      </c>
      <c r="G550" t="inlineStr">
        <is>
          <t>OCKELBO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46134</v>
      </c>
      <c r="E551" s="1" t="n">
        <v>46224</v>
      </c>
      <c r="F551" t="inlineStr">
        <is>
          <t>GÄVLEBORGS LÄN</t>
        </is>
      </c>
      <c r="G551" t="inlineStr">
        <is>
          <t>OCKELBO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54977-2024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45620</v>
      </c>
      <c r="E552" s="1" t="n">
        <v>46224</v>
      </c>
      <c r="F552" t="inlineStr">
        <is>
          <t>GÄVLEBORGS LÄN</t>
        </is>
      </c>
      <c r="G552" t="inlineStr">
        <is>
          <t>OCKELBO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47674-2023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45203</v>
      </c>
      <c r="E553" s="1" t="n">
        <v>46224</v>
      </c>
      <c r="F553" t="inlineStr">
        <is>
          <t>GÄVLEBORGS LÄN</t>
        </is>
      </c>
      <c r="G553" t="inlineStr">
        <is>
          <t>OCKELBO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17117-2026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46224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17208-2026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46224</v>
      </c>
      <c r="F555" t="inlineStr">
        <is>
          <t>GÄVLEBORGS LÄN</t>
        </is>
      </c>
      <c r="G555" t="inlineStr">
        <is>
          <t>OCKELBO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19431-2026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46133</v>
      </c>
      <c r="E556" s="1" t="n">
        <v>46224</v>
      </c>
      <c r="F556" t="inlineStr">
        <is>
          <t>GÄVLEBORGS LÄN</t>
        </is>
      </c>
      <c r="G556" t="inlineStr">
        <is>
          <t>OCKELBO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19531-2026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46224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17682-2026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46121</v>
      </c>
      <c r="E558" s="1" t="n">
        <v>46224</v>
      </c>
      <c r="F558" t="inlineStr">
        <is>
          <t>GÄVLEBORGS LÄN</t>
        </is>
      </c>
      <c r="G558" t="inlineStr">
        <is>
          <t>OCKELBO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20157-2026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46138</v>
      </c>
      <c r="E559" s="1" t="n">
        <v>46224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46224</v>
      </c>
      <c r="F560" t="inlineStr">
        <is>
          <t>GÄVLEBORGS LÄN</t>
        </is>
      </c>
      <c r="G560" t="inlineStr">
        <is>
          <t>OCKELBO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46224</v>
      </c>
      <c r="F561" t="inlineStr">
        <is>
          <t>GÄVLEBORGS LÄN</t>
        </is>
      </c>
      <c r="G561" t="inlineStr">
        <is>
          <t>OCKELBO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20151-2026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46137</v>
      </c>
      <c r="E562" s="1" t="n">
        <v>46224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46224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46224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46224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50742-2025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45946</v>
      </c>
      <c r="E566" s="1" t="n">
        <v>46224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14937-2024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45398</v>
      </c>
      <c r="E567" s="1" t="n">
        <v>46224</v>
      </c>
      <c r="F567" t="inlineStr">
        <is>
          <t>GÄVLEBORGS LÄN</t>
        </is>
      </c>
      <c r="G567" t="inlineStr">
        <is>
          <t>OCKELBO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15694-2022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44663</v>
      </c>
      <c r="E568" s="1" t="n">
        <v>46224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33880-2023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45134</v>
      </c>
      <c r="E569" s="1" t="n">
        <v>46224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45134</v>
      </c>
      <c r="E570" s="1" t="n">
        <v>46224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46316-2025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45925</v>
      </c>
      <c r="E571" s="1" t="n">
        <v>46224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4675-2026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46048</v>
      </c>
      <c r="E572" s="1" t="n">
        <v>46224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6386-2026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46224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7.8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61456-2024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46224</v>
      </c>
      <c r="F574" t="inlineStr">
        <is>
          <t>GÄVLEBORGS LÄN</t>
        </is>
      </c>
      <c r="G574" t="inlineStr">
        <is>
          <t>OCKELBO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46224</v>
      </c>
      <c r="F575" t="inlineStr">
        <is>
          <t>GÄVLEBORGS LÄN</t>
        </is>
      </c>
      <c r="G575" t="inlineStr">
        <is>
          <t>OCKELBO</t>
        </is>
      </c>
      <c r="I575" t="n">
        <v>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36604-2025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45870</v>
      </c>
      <c r="E576" s="1" t="n">
        <v>46224</v>
      </c>
      <c r="F576" t="inlineStr">
        <is>
          <t>GÄVLEBORGS LÄN</t>
        </is>
      </c>
      <c r="G576" t="inlineStr">
        <is>
          <t>OCKELBO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44281-2022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44839</v>
      </c>
      <c r="E577" s="1" t="n">
        <v>46224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46224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62096-2024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45656</v>
      </c>
      <c r="E579" s="1" t="n">
        <v>46224</v>
      </c>
      <c r="F579" t="inlineStr">
        <is>
          <t>GÄVLEBORGS LÄN</t>
        </is>
      </c>
      <c r="G579" t="inlineStr">
        <is>
          <t>OCKELBO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20149-2026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46137</v>
      </c>
      <c r="E580" s="1" t="n">
        <v>46224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7.3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46137</v>
      </c>
      <c r="E581" s="1" t="n">
        <v>46224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60497-2021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44496</v>
      </c>
      <c r="E582" s="1" t="n">
        <v>46224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46224</v>
      </c>
      <c r="F583" t="inlineStr">
        <is>
          <t>GÄVLEBORGS LÄN</t>
        </is>
      </c>
      <c r="G583" t="inlineStr">
        <is>
          <t>OCKELBO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25564-2025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46224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45800</v>
      </c>
      <c r="E585" s="1" t="n">
        <v>46224</v>
      </c>
      <c r="F585" t="inlineStr">
        <is>
          <t>GÄVLEBORGS LÄN</t>
        </is>
      </c>
      <c r="G585" t="inlineStr">
        <is>
          <t>OCKELBO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46224</v>
      </c>
      <c r="F586" t="inlineStr">
        <is>
          <t>GÄVLEBORGS LÄN</t>
        </is>
      </c>
      <c r="G586" t="inlineStr">
        <is>
          <t>OCKELBO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46052</v>
      </c>
      <c r="E587" s="1" t="n">
        <v>46224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61335-2022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44915</v>
      </c>
      <c r="E588" s="1" t="n">
        <v>46224</v>
      </c>
      <c r="F588" t="inlineStr">
        <is>
          <t>GÄVLEBORGS LÄN</t>
        </is>
      </c>
      <c r="G588" t="inlineStr">
        <is>
          <t>OCKELBO</t>
        </is>
      </c>
      <c r="I588" t="n">
        <v>8.5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45821</v>
      </c>
      <c r="E589" s="1" t="n">
        <v>46224</v>
      </c>
      <c r="F589" t="inlineStr">
        <is>
          <t>GÄVLEBORGS LÄN</t>
        </is>
      </c>
      <c r="G589" t="inlineStr">
        <is>
          <t>OCKELBO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14934-2026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46104</v>
      </c>
      <c r="E590" s="1" t="n">
        <v>46224</v>
      </c>
      <c r="F590" t="inlineStr">
        <is>
          <t>GÄVLEBORGS LÄN</t>
        </is>
      </c>
      <c r="G590" t="inlineStr">
        <is>
          <t>OCKELBO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45699</v>
      </c>
      <c r="E591" s="1" t="n">
        <v>46224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46224</v>
      </c>
      <c r="F592" t="inlineStr">
        <is>
          <t>GÄVLEBORGS LÄN</t>
        </is>
      </c>
      <c r="G592" t="inlineStr">
        <is>
          <t>OCKELBO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38292-2021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44406</v>
      </c>
      <c r="E593" s="1" t="n">
        <v>46224</v>
      </c>
      <c r="F593" t="inlineStr">
        <is>
          <t>GÄVLEBORGS LÄN</t>
        </is>
      </c>
      <c r="G593" t="inlineStr">
        <is>
          <t>OCKELBO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43550-2023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45184</v>
      </c>
      <c r="E594" s="1" t="n">
        <v>46224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63977-2025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46021</v>
      </c>
      <c r="E595" s="1" t="n">
        <v>46224</v>
      </c>
      <c r="F595" t="inlineStr">
        <is>
          <t>GÄVLEBORGS LÄN</t>
        </is>
      </c>
      <c r="G595" t="inlineStr">
        <is>
          <t>OCKELBO</t>
        </is>
      </c>
      <c r="I595" t="n">
        <v>18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20251-2026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46139</v>
      </c>
      <c r="E596" s="1" t="n">
        <v>46224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15739-2026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46107</v>
      </c>
      <c r="E597" s="1" t="n">
        <v>46224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20.4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19924-2026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46136</v>
      </c>
      <c r="E598" s="1" t="n">
        <v>46224</v>
      </c>
      <c r="F598" t="inlineStr">
        <is>
          <t>GÄVLEBORGS LÄN</t>
        </is>
      </c>
      <c r="G598" t="inlineStr">
        <is>
          <t>OCKELBO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19945-2026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46136</v>
      </c>
      <c r="E599" s="1" t="n">
        <v>46224</v>
      </c>
      <c r="F599" t="inlineStr">
        <is>
          <t>GÄVLEBORGS LÄN</t>
        </is>
      </c>
      <c r="G599" t="inlineStr">
        <is>
          <t>OCKELBO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46064</v>
      </c>
      <c r="E600" s="1" t="n">
        <v>46224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20155-2026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46138</v>
      </c>
      <c r="E601" s="1" t="n">
        <v>46224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46224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8521-2026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46065</v>
      </c>
      <c r="E603" s="1" t="n">
        <v>46224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45712</v>
      </c>
      <c r="E604" s="1" t="n">
        <v>46224</v>
      </c>
      <c r="F604" t="inlineStr">
        <is>
          <t>GÄVLEBORGS LÄN</t>
        </is>
      </c>
      <c r="G604" t="inlineStr">
        <is>
          <t>OCKELBO</t>
        </is>
      </c>
      <c r="I604" t="n">
        <v>14.7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46034</v>
      </c>
      <c r="E605" s="1" t="n">
        <v>46224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33079-2025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45840</v>
      </c>
      <c r="E606" s="1" t="n">
        <v>46224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32123-2024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45511</v>
      </c>
      <c r="E607" s="1" t="n">
        <v>46224</v>
      </c>
      <c r="F607" t="inlineStr">
        <is>
          <t>GÄVLEBORGS LÄN</t>
        </is>
      </c>
      <c r="G607" t="inlineStr">
        <is>
          <t>OCKELBO</t>
        </is>
      </c>
      <c r="I607" t="n">
        <v>11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46052</v>
      </c>
      <c r="E608" s="1" t="n">
        <v>46224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27997-2025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45817</v>
      </c>
      <c r="E609" s="1" t="n">
        <v>46224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40140-2022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44820</v>
      </c>
      <c r="E610" s="1" t="n">
        <v>46224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36343-2023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45152</v>
      </c>
      <c r="E611" s="1" t="n">
        <v>46224</v>
      </c>
      <c r="F611" t="inlineStr">
        <is>
          <t>GÄVLEBORGS LÄN</t>
        </is>
      </c>
      <c r="G611" t="inlineStr">
        <is>
          <t>OCKELBO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12983-2022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44643</v>
      </c>
      <c r="E612" s="1" t="n">
        <v>46224</v>
      </c>
      <c r="F612" t="inlineStr">
        <is>
          <t>GÄVLEBORGS LÄN</t>
        </is>
      </c>
      <c r="G612" t="inlineStr">
        <is>
          <t>OCKELBO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56631-2022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44893</v>
      </c>
      <c r="E613" s="1" t="n">
        <v>46224</v>
      </c>
      <c r="F613" t="inlineStr">
        <is>
          <t>GÄVLEBORGS LÄN</t>
        </is>
      </c>
      <c r="G613" t="inlineStr">
        <is>
          <t>OCKELBO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20604-2026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46224</v>
      </c>
      <c r="F614" t="inlineStr">
        <is>
          <t>GÄVLEBORGS LÄN</t>
        </is>
      </c>
      <c r="G614" t="inlineStr">
        <is>
          <t>OCKELBO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15484-2026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46106</v>
      </c>
      <c r="E615" s="1" t="n">
        <v>46224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29687-2023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45107</v>
      </c>
      <c r="E616" s="1" t="n">
        <v>46224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56634-2023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45243</v>
      </c>
      <c r="E617" s="1" t="n">
        <v>46224</v>
      </c>
      <c r="F617" t="inlineStr">
        <is>
          <t>GÄVLEBORGS LÄN</t>
        </is>
      </c>
      <c r="G617" t="inlineStr">
        <is>
          <t>OCKELBO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8683-2026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46066</v>
      </c>
      <c r="E618" s="1" t="n">
        <v>46224</v>
      </c>
      <c r="F618" t="inlineStr">
        <is>
          <t>GÄVLEBORGS LÄN</t>
        </is>
      </c>
      <c r="G618" t="inlineStr">
        <is>
          <t>OCKELBO</t>
        </is>
      </c>
      <c r="I618" t="n">
        <v>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46064</v>
      </c>
      <c r="E619" s="1" t="n">
        <v>46224</v>
      </c>
      <c r="F619" t="inlineStr">
        <is>
          <t>GÄVLEBORGS LÄN</t>
        </is>
      </c>
      <c r="G619" t="inlineStr">
        <is>
          <t>OCKELBO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46035</v>
      </c>
      <c r="E620" s="1" t="n">
        <v>46224</v>
      </c>
      <c r="F620" t="inlineStr">
        <is>
          <t>GÄVLEBORGS LÄN</t>
        </is>
      </c>
      <c r="G620" t="inlineStr">
        <is>
          <t>OCKELBO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46071</v>
      </c>
      <c r="E621" s="1" t="n">
        <v>46224</v>
      </c>
      <c r="F621" t="inlineStr">
        <is>
          <t>GÄVLEBORGS LÄN</t>
        </is>
      </c>
      <c r="G621" t="inlineStr">
        <is>
          <t>OCKELBO</t>
        </is>
      </c>
      <c r="I621" t="n">
        <v>11.9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46224</v>
      </c>
      <c r="F622" t="inlineStr">
        <is>
          <t>GÄVLEBORGS LÄN</t>
        </is>
      </c>
      <c r="G622" t="inlineStr">
        <is>
          <t>OCKELBO</t>
        </is>
      </c>
      <c r="I622" t="n">
        <v>36.1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20467-2026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46140</v>
      </c>
      <c r="E623" s="1" t="n">
        <v>46224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1716-2025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45671</v>
      </c>
      <c r="E624" s="1" t="n">
        <v>46224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46224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30418-2023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45111</v>
      </c>
      <c r="E626" s="1" t="n">
        <v>46224</v>
      </c>
      <c r="F626" t="inlineStr">
        <is>
          <t>GÄVLEBORGS LÄN</t>
        </is>
      </c>
      <c r="G626" t="inlineStr">
        <is>
          <t>OCKELBO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45111</v>
      </c>
      <c r="E627" s="1" t="n">
        <v>46224</v>
      </c>
      <c r="F627" t="inlineStr">
        <is>
          <t>GÄVLEBORGS LÄN</t>
        </is>
      </c>
      <c r="G627" t="inlineStr">
        <is>
          <t>OCKELBO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46027</v>
      </c>
      <c r="E628" s="1" t="n">
        <v>46224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46224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49207-2023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45210</v>
      </c>
      <c r="E630" s="1" t="n">
        <v>46224</v>
      </c>
      <c r="F630" t="inlineStr">
        <is>
          <t>GÄVLEBORGS LÄN</t>
        </is>
      </c>
      <c r="G630" t="inlineStr">
        <is>
          <t>OCKELBO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46042</v>
      </c>
      <c r="E631" s="1" t="n">
        <v>46224</v>
      </c>
      <c r="F631" t="inlineStr">
        <is>
          <t>GÄVLEBORGS LÄN</t>
        </is>
      </c>
      <c r="G631" t="inlineStr">
        <is>
          <t>OCKELBO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7907-2026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46224</v>
      </c>
      <c r="F632" t="inlineStr">
        <is>
          <t>GÄVLEBORGS LÄN</t>
        </is>
      </c>
      <c r="G632" t="inlineStr">
        <is>
          <t>OCKELBO</t>
        </is>
      </c>
      <c r="I632" t="n">
        <v>11.5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46224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20641-2026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46224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20674-2026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46224</v>
      </c>
      <c r="F635" t="inlineStr">
        <is>
          <t>GÄVLEBORGS LÄN</t>
        </is>
      </c>
      <c r="G635" t="inlineStr">
        <is>
          <t>OCKELBO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46224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29953-2024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45488</v>
      </c>
      <c r="E637" s="1" t="n">
        <v>46224</v>
      </c>
      <c r="F637" t="inlineStr">
        <is>
          <t>GÄVLEBORGS LÄN</t>
        </is>
      </c>
      <c r="G637" t="inlineStr">
        <is>
          <t>OCKELBO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46224</v>
      </c>
      <c r="F638" t="inlineStr">
        <is>
          <t>GÄVLEBORGS LÄN</t>
        </is>
      </c>
      <c r="G638" t="inlineStr">
        <is>
          <t>OCKELBO</t>
        </is>
      </c>
      <c r="I638" t="n">
        <v>6.5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34792-2024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45526</v>
      </c>
      <c r="E639" s="1" t="n">
        <v>46224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20469-2026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46140</v>
      </c>
      <c r="E640" s="1" t="n">
        <v>46224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45593</v>
      </c>
      <c r="E641" s="1" t="n">
        <v>46224</v>
      </c>
      <c r="F641" t="inlineStr">
        <is>
          <t>GÄVLEBORGS LÄN</t>
        </is>
      </c>
      <c r="G641" t="inlineStr">
        <is>
          <t>OCKELBO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46079</v>
      </c>
      <c r="E642" s="1" t="n">
        <v>46224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18191-2026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46125</v>
      </c>
      <c r="E643" s="1" t="n">
        <v>46224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12708-2026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46091</v>
      </c>
      <c r="E644" s="1" t="n">
        <v>46224</v>
      </c>
      <c r="F644" t="inlineStr">
        <is>
          <t>GÄVLEBORGS LÄN</t>
        </is>
      </c>
      <c r="G644" t="inlineStr">
        <is>
          <t>OCKELBO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46224</v>
      </c>
      <c r="F645" t="inlineStr">
        <is>
          <t>GÄVLEBORGS LÄN</t>
        </is>
      </c>
      <c r="G645" t="inlineStr">
        <is>
          <t>OCKELBO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7955-2026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46063</v>
      </c>
      <c r="E646" s="1" t="n">
        <v>46224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23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46043</v>
      </c>
      <c r="E647" s="1" t="n">
        <v>46224</v>
      </c>
      <c r="F647" t="inlineStr">
        <is>
          <t>GÄVLEBORGS LÄN</t>
        </is>
      </c>
      <c r="G647" t="inlineStr">
        <is>
          <t>OCKELBO</t>
        </is>
      </c>
      <c r="I647" t="n">
        <v>10.3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46037</v>
      </c>
      <c r="E648" s="1" t="n">
        <v>46224</v>
      </c>
      <c r="F648" t="inlineStr">
        <is>
          <t>GÄVLEBORGS LÄN</t>
        </is>
      </c>
      <c r="G648" t="inlineStr">
        <is>
          <t>OCKELBO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3034-2025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45678</v>
      </c>
      <c r="E649" s="1" t="n">
        <v>46224</v>
      </c>
      <c r="F649" t="inlineStr">
        <is>
          <t>GÄVLEBORGS LÄN</t>
        </is>
      </c>
      <c r="G649" t="inlineStr">
        <is>
          <t>OCKELBO</t>
        </is>
      </c>
      <c r="I649" t="n">
        <v>8.1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10083-2026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46073</v>
      </c>
      <c r="E650" s="1" t="n">
        <v>46224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46224</v>
      </c>
      <c r="F651" t="inlineStr">
        <is>
          <t>GÄVLEBORGS LÄN</t>
        </is>
      </c>
      <c r="G651" t="inlineStr">
        <is>
          <t>OCKELBO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6518-2026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46052</v>
      </c>
      <c r="E652" s="1" t="n">
        <v>46224</v>
      </c>
      <c r="F652" t="inlineStr">
        <is>
          <t>GÄVLEBORGS LÄN</t>
        </is>
      </c>
      <c r="G652" t="inlineStr">
        <is>
          <t>OCKELBO</t>
        </is>
      </c>
      <c r="I652" t="n">
        <v>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46034</v>
      </c>
      <c r="E653" s="1" t="n">
        <v>46224</v>
      </c>
      <c r="F653" t="inlineStr">
        <is>
          <t>GÄVLEBORGS LÄN</t>
        </is>
      </c>
      <c r="G653" t="inlineStr">
        <is>
          <t>OCKELBO</t>
        </is>
      </c>
      <c r="I653" t="n">
        <v>9.300000000000001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10489-2026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46077</v>
      </c>
      <c r="E654" s="1" t="n">
        <v>46224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37438-2023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45156</v>
      </c>
      <c r="E655" s="1" t="n">
        <v>46224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20481-2026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46140</v>
      </c>
      <c r="E656" s="1" t="n">
        <v>46224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46224</v>
      </c>
      <c r="F657" t="inlineStr">
        <is>
          <t>GÄVLEBORGS LÄN</t>
        </is>
      </c>
      <c r="G657" t="inlineStr">
        <is>
          <t>OCKELBO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45674</v>
      </c>
      <c r="E658" s="1" t="n">
        <v>46224</v>
      </c>
      <c r="F658" t="inlineStr">
        <is>
          <t>GÄVLEBORGS LÄN</t>
        </is>
      </c>
      <c r="G658" t="inlineStr">
        <is>
          <t>OCKELBO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46224</v>
      </c>
      <c r="F659" t="inlineStr">
        <is>
          <t>GÄVLEBORGS LÄN</t>
        </is>
      </c>
      <c r="G659" t="inlineStr">
        <is>
          <t>OCKELBO</t>
        </is>
      </c>
      <c r="I659" t="n">
        <v>14.6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26861-2026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46224</v>
      </c>
      <c r="F660" t="inlineStr">
        <is>
          <t>GÄVLEBORGS LÄN</t>
        </is>
      </c>
      <c r="G660" t="inlineStr">
        <is>
          <t>OCKELBO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20984-2026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46142</v>
      </c>
      <c r="E661" s="1" t="n">
        <v>46224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26808-2026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46185</v>
      </c>
      <c r="E662" s="1" t="n">
        <v>46224</v>
      </c>
      <c r="F662" t="inlineStr">
        <is>
          <t>GÄVLEBORGS LÄN</t>
        </is>
      </c>
      <c r="G662" t="inlineStr">
        <is>
          <t>OCKELBO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14905-2026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46104</v>
      </c>
      <c r="E663" s="1" t="n">
        <v>46224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26845-2026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46224</v>
      </c>
      <c r="F664" t="inlineStr">
        <is>
          <t>GÄVLEBORGS LÄN</t>
        </is>
      </c>
      <c r="G664" t="inlineStr">
        <is>
          <t>OCKELBO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46224</v>
      </c>
      <c r="F665" t="inlineStr">
        <is>
          <t>GÄVLEBORGS LÄN</t>
        </is>
      </c>
      <c r="G665" t="inlineStr">
        <is>
          <t>OCKELBO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60117-2025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45994</v>
      </c>
      <c r="E666" s="1" t="n">
        <v>46224</v>
      </c>
      <c r="F666" t="inlineStr">
        <is>
          <t>GÄVLEBORGS LÄN</t>
        </is>
      </c>
      <c r="G666" t="inlineStr">
        <is>
          <t>OCKELBO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34944-2024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45527</v>
      </c>
      <c r="E667" s="1" t="n">
        <v>46224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46224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18549-2026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46127</v>
      </c>
      <c r="E669" s="1" t="n">
        <v>46224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27272-2026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46224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17951-2026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46122</v>
      </c>
      <c r="E671" s="1" t="n">
        <v>46224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27231-2026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46224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32301-2022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44781</v>
      </c>
      <c r="E673" s="1" t="n">
        <v>46224</v>
      </c>
      <c r="F673" t="inlineStr">
        <is>
          <t>GÄVLEBORGS LÄN</t>
        </is>
      </c>
      <c r="G673" t="inlineStr">
        <is>
          <t>OCKELBO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45261</v>
      </c>
      <c r="E674" s="1" t="n">
        <v>46224</v>
      </c>
      <c r="F674" t="inlineStr">
        <is>
          <t>GÄVLEBORGS LÄN</t>
        </is>
      </c>
      <c r="G674" t="inlineStr">
        <is>
          <t>OCKELBO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18097-2026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46125</v>
      </c>
      <c r="E675" s="1" t="n">
        <v>46224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21280-2026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46147</v>
      </c>
      <c r="E676" s="1" t="n">
        <v>46224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öst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21277-2026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46147</v>
      </c>
      <c r="E677" s="1" t="n">
        <v>46224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öst AB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27382-2026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46224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15908-2026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46224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öst AB</t>
        </is>
      </c>
      <c r="I679" t="n">
        <v>6.8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46148</v>
      </c>
      <c r="E680" s="1" t="n">
        <v>46224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21500-2026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46224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46224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21640-2026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46149</v>
      </c>
      <c r="E683" s="1" t="n">
        <v>46224</v>
      </c>
      <c r="F683" t="inlineStr">
        <is>
          <t>GÄVLEBORGS LÄN</t>
        </is>
      </c>
      <c r="G683" t="inlineStr">
        <is>
          <t>OCKELBO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21459-2026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46224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21468-2026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46148</v>
      </c>
      <c r="E685" s="1" t="n">
        <v>46224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21577-2026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46148</v>
      </c>
      <c r="E686" s="1" t="n">
        <v>46224</v>
      </c>
      <c r="F686" t="inlineStr">
        <is>
          <t>GÄVLEBORGS LÄN</t>
        </is>
      </c>
      <c r="G686" t="inlineStr">
        <is>
          <t>OCKELBO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14410-2026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46224</v>
      </c>
      <c r="F687" t="inlineStr">
        <is>
          <t>GÄVLEBORGS LÄN</t>
        </is>
      </c>
      <c r="G687" t="inlineStr">
        <is>
          <t>OCKELBO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27562-2026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46190</v>
      </c>
      <c r="E688" s="1" t="n">
        <v>46224</v>
      </c>
      <c r="F688" t="inlineStr">
        <is>
          <t>GÄVLEBORGS LÄN</t>
        </is>
      </c>
      <c r="G688" t="inlineStr">
        <is>
          <t>OCKELBO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27620-2026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46190</v>
      </c>
      <c r="E689" s="1" t="n">
        <v>46224</v>
      </c>
      <c r="F689" t="inlineStr">
        <is>
          <t>GÄVLEBORGS LÄN</t>
        </is>
      </c>
      <c r="G689" t="inlineStr">
        <is>
          <t>OCKELBO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27623-2026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46190</v>
      </c>
      <c r="E690" s="1" t="n">
        <v>46224</v>
      </c>
      <c r="F690" t="inlineStr">
        <is>
          <t>GÄVLEBORGS LÄN</t>
        </is>
      </c>
      <c r="G690" t="inlineStr">
        <is>
          <t>OCKELBO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17233-2026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46224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46066</v>
      </c>
      <c r="E692" s="1" t="n">
        <v>46224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27383-2026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46189</v>
      </c>
      <c r="E693" s="1" t="n">
        <v>46224</v>
      </c>
      <c r="F693" t="inlineStr">
        <is>
          <t>GÄVLEBORGS LÄN</t>
        </is>
      </c>
      <c r="G693" t="inlineStr">
        <is>
          <t>OCKELBO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22426-2026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46153</v>
      </c>
      <c r="E694" s="1" t="n">
        <v>46224</v>
      </c>
      <c r="F694" t="inlineStr">
        <is>
          <t>GÄVLEBORGS LÄN</t>
        </is>
      </c>
      <c r="G694" t="inlineStr">
        <is>
          <t>OCKELBO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46189</v>
      </c>
      <c r="E695" s="1" t="n">
        <v>46224</v>
      </c>
      <c r="F695" t="inlineStr">
        <is>
          <t>GÄVLEBORGS LÄN</t>
        </is>
      </c>
      <c r="G695" t="inlineStr">
        <is>
          <t>OCKELBO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9413-2026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46071</v>
      </c>
      <c r="E696" s="1" t="n">
        <v>46224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9.1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18645-2026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46224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22057-2026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46153</v>
      </c>
      <c r="E698" s="1" t="n">
        <v>46224</v>
      </c>
      <c r="F698" t="inlineStr">
        <is>
          <t>GÄVLEBORGS LÄN</t>
        </is>
      </c>
      <c r="G698" t="inlineStr">
        <is>
          <t>OCKELBO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9542-2026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46071</v>
      </c>
      <c r="E699" s="1" t="n">
        <v>46224</v>
      </c>
      <c r="F699" t="inlineStr">
        <is>
          <t>GÄVLEBORGS LÄN</t>
        </is>
      </c>
      <c r="G699" t="inlineStr">
        <is>
          <t>OCKELBO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46224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17730-2025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45758</v>
      </c>
      <c r="E701" s="1" t="n">
        <v>46224</v>
      </c>
      <c r="F701" t="inlineStr">
        <is>
          <t>GÄVLEBORGS LÄN</t>
        </is>
      </c>
      <c r="G701" t="inlineStr">
        <is>
          <t>OCKELBO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36362-2024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45534</v>
      </c>
      <c r="E702" s="1" t="n">
        <v>46224</v>
      </c>
      <c r="F702" t="inlineStr">
        <is>
          <t>GÄVLEBORGS LÄN</t>
        </is>
      </c>
      <c r="G702" t="inlineStr">
        <is>
          <t>OCKELBO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45334</v>
      </c>
      <c r="E703" s="1" t="n">
        <v>46224</v>
      </c>
      <c r="F703" t="inlineStr">
        <is>
          <t>GÄVLEBORGS LÄN</t>
        </is>
      </c>
      <c r="G703" t="inlineStr">
        <is>
          <t>OCKELBO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52335-2024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45609</v>
      </c>
      <c r="E704" s="1" t="n">
        <v>46224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58718-2025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46224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3697-2026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46043</v>
      </c>
      <c r="E706" s="1" t="n">
        <v>46224</v>
      </c>
      <c r="F706" t="inlineStr">
        <is>
          <t>GÄVLEBORGS LÄN</t>
        </is>
      </c>
      <c r="G706" t="inlineStr">
        <is>
          <t>OCKELBO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46609-2025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45926</v>
      </c>
      <c r="E707" s="1" t="n">
        <v>46224</v>
      </c>
      <c r="F707" t="inlineStr">
        <is>
          <t>GÄVLEBORGS LÄN</t>
        </is>
      </c>
      <c r="G707" t="inlineStr">
        <is>
          <t>OCKELBO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46155</v>
      </c>
      <c r="E708" s="1" t="n">
        <v>46224</v>
      </c>
      <c r="F708" t="inlineStr">
        <is>
          <t>GÄVLEBORGS LÄN</t>
        </is>
      </c>
      <c r="G708" t="inlineStr">
        <is>
          <t>OCKELBO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15966-2023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45022</v>
      </c>
      <c r="E709" s="1" t="n">
        <v>46224</v>
      </c>
      <c r="F709" t="inlineStr">
        <is>
          <t>GÄVLEBORGS LÄN</t>
        </is>
      </c>
      <c r="G709" t="inlineStr">
        <is>
          <t>OCKELBO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34444-2023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45139</v>
      </c>
      <c r="E710" s="1" t="n">
        <v>46224</v>
      </c>
      <c r="F710" t="inlineStr">
        <is>
          <t>GÄVLEBORGS LÄN</t>
        </is>
      </c>
      <c r="G710" t="inlineStr">
        <is>
          <t>OCKELBO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46196</v>
      </c>
      <c r="E711" s="1" t="n">
        <v>46224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22329-2026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46224</v>
      </c>
      <c r="F712" t="inlineStr">
        <is>
          <t>GÄVLEBORGS LÄN</t>
        </is>
      </c>
      <c r="G712" t="inlineStr">
        <is>
          <t>OCKELBO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22460-2026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46224</v>
      </c>
      <c r="F713" t="inlineStr">
        <is>
          <t>GÄVLEBORGS LÄN</t>
        </is>
      </c>
      <c r="G713" t="inlineStr">
        <is>
          <t>OCKELBO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13210-2026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46093</v>
      </c>
      <c r="E714" s="1" t="n">
        <v>46224</v>
      </c>
      <c r="F714" t="inlineStr">
        <is>
          <t>GÄVLEBORGS LÄN</t>
        </is>
      </c>
      <c r="G714" t="inlineStr">
        <is>
          <t>OCKELBO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46119</v>
      </c>
      <c r="E715" s="1" t="n">
        <v>46224</v>
      </c>
      <c r="F715" t="inlineStr">
        <is>
          <t>GÄVLEBORGS LÄN</t>
        </is>
      </c>
      <c r="G715" t="inlineStr">
        <is>
          <t>OCKELBO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6654-2026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46056</v>
      </c>
      <c r="E716" s="1" t="n">
        <v>46224</v>
      </c>
      <c r="F716" t="inlineStr">
        <is>
          <t>GÄVLEBORGS LÄN</t>
        </is>
      </c>
      <c r="G716" t="inlineStr">
        <is>
          <t>OCKELBO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43071-2025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45909</v>
      </c>
      <c r="E717" s="1" t="n">
        <v>46224</v>
      </c>
      <c r="F717" t="inlineStr">
        <is>
          <t>GÄVLEBORGS LÄN</t>
        </is>
      </c>
      <c r="G717" t="inlineStr">
        <is>
          <t>OCKELBO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46224</v>
      </c>
      <c r="F718" t="inlineStr">
        <is>
          <t>GÄVLEBORGS LÄN</t>
        </is>
      </c>
      <c r="G718" t="inlineStr">
        <is>
          <t>OCKELBO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27381-2026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46189</v>
      </c>
      <c r="E719" s="1" t="n">
        <v>46224</v>
      </c>
      <c r="F719" t="inlineStr">
        <is>
          <t>GÄVLEBORGS LÄN</t>
        </is>
      </c>
      <c r="G719" t="inlineStr">
        <is>
          <t>OCKELBO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15034-2026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46104</v>
      </c>
      <c r="E720" s="1" t="n">
        <v>46224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12352-2026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46088</v>
      </c>
      <c r="E721" s="1" t="n">
        <v>46224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9.199999999999999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46044</v>
      </c>
      <c r="E722" s="1" t="n">
        <v>46224</v>
      </c>
      <c r="F722" t="inlineStr">
        <is>
          <t>GÄVLEBORGS LÄN</t>
        </is>
      </c>
      <c r="G722" t="inlineStr">
        <is>
          <t>OCKELBO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46049</v>
      </c>
      <c r="E723" s="1" t="n">
        <v>46224</v>
      </c>
      <c r="F723" t="inlineStr">
        <is>
          <t>GÄVLEBORGS LÄN</t>
        </is>
      </c>
      <c r="G723" t="inlineStr">
        <is>
          <t>OCKELBO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13182-2026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46093</v>
      </c>
      <c r="E724" s="1" t="n">
        <v>46224</v>
      </c>
      <c r="F724" t="inlineStr">
        <is>
          <t>GÄVLEBORGS LÄN</t>
        </is>
      </c>
      <c r="G724" t="inlineStr">
        <is>
          <t>OCKELBO</t>
        </is>
      </c>
      <c r="I724" t="n">
        <v>8.199999999999999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13233-2026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46093</v>
      </c>
      <c r="E725" s="1" t="n">
        <v>46224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28289-2026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46224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28318-2026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46224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55070-2023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45237</v>
      </c>
      <c r="E728" s="1" t="n">
        <v>46224</v>
      </c>
      <c r="F728" t="inlineStr">
        <is>
          <t>GÄVLEBORGS LÄN</t>
        </is>
      </c>
      <c r="G728" t="inlineStr">
        <is>
          <t>OCKELBO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6194-2025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45698</v>
      </c>
      <c r="E729" s="1" t="n">
        <v>46224</v>
      </c>
      <c r="F729" t="inlineStr">
        <is>
          <t>GÄVLEBORGS LÄN</t>
        </is>
      </c>
      <c r="G729" t="inlineStr">
        <is>
          <t>OCKELBO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11734-2025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45727</v>
      </c>
      <c r="E730" s="1" t="n">
        <v>46224</v>
      </c>
      <c r="F730" t="inlineStr">
        <is>
          <t>GÄVLEBORGS LÄN</t>
        </is>
      </c>
      <c r="G730" t="inlineStr">
        <is>
          <t>OCKELBO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60122-2025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45994</v>
      </c>
      <c r="E731" s="1" t="n">
        <v>46224</v>
      </c>
      <c r="F731" t="inlineStr">
        <is>
          <t>GÄVLEBORGS LÄN</t>
        </is>
      </c>
      <c r="G731" t="inlineStr">
        <is>
          <t>OCKELBO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46224</v>
      </c>
      <c r="F732" t="inlineStr">
        <is>
          <t>GÄVLEBORGS LÄN</t>
        </is>
      </c>
      <c r="G732" t="inlineStr">
        <is>
          <t>OCKELBO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46224</v>
      </c>
      <c r="F733" t="inlineStr">
        <is>
          <t>GÄVLEBORGS LÄN</t>
        </is>
      </c>
      <c r="G733" t="inlineStr">
        <is>
          <t>OCKELBO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60120-2025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45994</v>
      </c>
      <c r="E734" s="1" t="n">
        <v>46224</v>
      </c>
      <c r="F734" t="inlineStr">
        <is>
          <t>GÄVLEBORGS LÄN</t>
        </is>
      </c>
      <c r="G734" t="inlineStr">
        <is>
          <t>OCKELBO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22712-2026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46156</v>
      </c>
      <c r="E735" s="1" t="n">
        <v>46224</v>
      </c>
      <c r="F735" t="inlineStr">
        <is>
          <t>GÄVLEBORGS LÄN</t>
        </is>
      </c>
      <c r="G735" t="inlineStr">
        <is>
          <t>OCKELBO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46224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46122</v>
      </c>
      <c r="E737" s="1" t="n">
        <v>46224</v>
      </c>
      <c r="F737" t="inlineStr">
        <is>
          <t>GÄVLEBORGS LÄN</t>
        </is>
      </c>
      <c r="G737" t="inlineStr">
        <is>
          <t>OCKELBO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46156</v>
      </c>
      <c r="E738" s="1" t="n">
        <v>46224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14474-2026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46100</v>
      </c>
      <c r="E739" s="1" t="n">
        <v>46224</v>
      </c>
      <c r="F739" t="inlineStr">
        <is>
          <t>GÄVLEBORGS LÄN</t>
        </is>
      </c>
      <c r="G739" t="inlineStr">
        <is>
          <t>OCKELBO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30798-2024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45497</v>
      </c>
      <c r="E740" s="1" t="n">
        <v>46224</v>
      </c>
      <c r="F740" t="inlineStr">
        <is>
          <t>GÄVLEBORGS LÄN</t>
        </is>
      </c>
      <c r="G740" t="inlineStr">
        <is>
          <t>OCKELBO</t>
        </is>
      </c>
      <c r="I740" t="n">
        <v>8.699999999999999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23040-2026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46161</v>
      </c>
      <c r="E741" s="1" t="n">
        <v>46224</v>
      </c>
      <c r="F741" t="inlineStr">
        <is>
          <t>GÄVLEBORGS LÄN</t>
        </is>
      </c>
      <c r="G741" t="inlineStr">
        <is>
          <t>OCKELBO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46161</v>
      </c>
      <c r="E742" s="1" t="n">
        <v>46224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17.6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43799-2022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44838</v>
      </c>
      <c r="E743" s="1" t="n">
        <v>46224</v>
      </c>
      <c r="F743" t="inlineStr">
        <is>
          <t>GÄVLEBORGS LÄN</t>
        </is>
      </c>
      <c r="G743" t="inlineStr">
        <is>
          <t>OCKELBO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14071-2026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46224</v>
      </c>
      <c r="F744" t="inlineStr">
        <is>
          <t>GÄVLEBORGS LÄN</t>
        </is>
      </c>
      <c r="G744" t="inlineStr">
        <is>
          <t>OCKELBO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37391-2023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45156</v>
      </c>
      <c r="E745" s="1" t="n">
        <v>46224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22843-2026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46160</v>
      </c>
      <c r="E746" s="1" t="n">
        <v>46224</v>
      </c>
      <c r="F746" t="inlineStr">
        <is>
          <t>GÄVLEBORGS LÄN</t>
        </is>
      </c>
      <c r="G746" t="inlineStr">
        <is>
          <t>OCKELBO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33987-2023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45134</v>
      </c>
      <c r="E747" s="1" t="n">
        <v>46224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23149-2026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46161</v>
      </c>
      <c r="E748" s="1" t="n">
        <v>46224</v>
      </c>
      <c r="F748" t="inlineStr">
        <is>
          <t>GÄVLEBORGS LÄN</t>
        </is>
      </c>
      <c r="G748" t="inlineStr">
        <is>
          <t>OCKELBO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33879-2023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45134</v>
      </c>
      <c r="E749" s="1" t="n">
        <v>46224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49529-2024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45596</v>
      </c>
      <c r="E750" s="1" t="n">
        <v>46224</v>
      </c>
      <c r="F750" t="inlineStr">
        <is>
          <t>GÄVLEBORGS LÄN</t>
        </is>
      </c>
      <c r="G750" t="inlineStr">
        <is>
          <t>OCKELBO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56034-2023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45240</v>
      </c>
      <c r="E751" s="1" t="n">
        <v>46224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52330-2024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45609</v>
      </c>
      <c r="E752" s="1" t="n">
        <v>46224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34449-2023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45139</v>
      </c>
      <c r="E753" s="1" t="n">
        <v>46224</v>
      </c>
      <c r="F753" t="inlineStr">
        <is>
          <t>GÄVLEBORGS LÄN</t>
        </is>
      </c>
      <c r="G753" t="inlineStr">
        <is>
          <t>OCKELBO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29835-2026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46205</v>
      </c>
      <c r="E754" s="1" t="n">
        <v>46224</v>
      </c>
      <c r="F754" t="inlineStr">
        <is>
          <t>GÄVLEBORGS LÄN</t>
        </is>
      </c>
      <c r="G754" t="inlineStr">
        <is>
          <t>OCKELBO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29849-2026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46224</v>
      </c>
      <c r="F755" t="inlineStr">
        <is>
          <t>GÄVLEBORGS LÄN</t>
        </is>
      </c>
      <c r="G755" t="inlineStr">
        <is>
          <t>OCKELBO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23513-2026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46163</v>
      </c>
      <c r="E756" s="1" t="n">
        <v>46224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9859-2025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45716</v>
      </c>
      <c r="E757" s="1" t="n">
        <v>46224</v>
      </c>
      <c r="F757" t="inlineStr">
        <is>
          <t>GÄVLEBORGS LÄN</t>
        </is>
      </c>
      <c r="G757" t="inlineStr">
        <is>
          <t>OCKELBO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23456-2026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46163</v>
      </c>
      <c r="E758" s="1" t="n">
        <v>46224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46224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37845-2024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45544</v>
      </c>
      <c r="E760" s="1" t="n">
        <v>46224</v>
      </c>
      <c r="F760" t="inlineStr">
        <is>
          <t>GÄVLEBORGS LÄN</t>
        </is>
      </c>
      <c r="G760" t="inlineStr">
        <is>
          <t>OCKELBO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29789-2026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46224</v>
      </c>
      <c r="F761" t="inlineStr">
        <is>
          <t>GÄVLEBORGS LÄN</t>
        </is>
      </c>
      <c r="G761" t="inlineStr">
        <is>
          <t>OCKELBO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29078-2026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46224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47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28965-2024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45481</v>
      </c>
      <c r="E763" s="1" t="n">
        <v>46224</v>
      </c>
      <c r="F763" t="inlineStr">
        <is>
          <t>GÄVLEBORGS LÄN</t>
        </is>
      </c>
      <c r="G763" t="inlineStr">
        <is>
          <t>OCKELBO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55906-2024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45623</v>
      </c>
      <c r="E764" s="1" t="n">
        <v>46224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23663-2026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46164</v>
      </c>
      <c r="E765" s="1" t="n">
        <v>46224</v>
      </c>
      <c r="F765" t="inlineStr">
        <is>
          <t>GÄVLEBORGS LÄN</t>
        </is>
      </c>
      <c r="G765" t="inlineStr">
        <is>
          <t>OCKELBO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27416-2026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46189</v>
      </c>
      <c r="E766" s="1" t="n">
        <v>46224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24228-2022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44725</v>
      </c>
      <c r="E767" s="1" t="n">
        <v>46224</v>
      </c>
      <c r="F767" t="inlineStr">
        <is>
          <t>GÄVLEBORGS LÄN</t>
        </is>
      </c>
      <c r="G767" t="inlineStr">
        <is>
          <t>OCKELBO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30031-2026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46206</v>
      </c>
      <c r="E768" s="1" t="n">
        <v>46224</v>
      </c>
      <c r="F768" t="inlineStr">
        <is>
          <t>GÄVLEBORGS LÄN</t>
        </is>
      </c>
      <c r="G768" t="inlineStr">
        <is>
          <t>OCKELBO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23786-2026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46164</v>
      </c>
      <c r="E769" s="1" t="n">
        <v>46224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64609-2023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45281</v>
      </c>
      <c r="E770" s="1" t="n">
        <v>46224</v>
      </c>
      <c r="F770" t="inlineStr">
        <is>
          <t>GÄVLEBORGS LÄN</t>
        </is>
      </c>
      <c r="G770" t="inlineStr">
        <is>
          <t>OCKELBO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3626-2023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44950</v>
      </c>
      <c r="E771" s="1" t="n">
        <v>46224</v>
      </c>
      <c r="F771" t="inlineStr">
        <is>
          <t>GÄVLEBORGS LÄN</t>
        </is>
      </c>
      <c r="G771" t="inlineStr">
        <is>
          <t>OCKELBO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46044</v>
      </c>
      <c r="E772" s="1" t="n">
        <v>46224</v>
      </c>
      <c r="F772" t="inlineStr">
        <is>
          <t>GÄVLEBORGS LÄN</t>
        </is>
      </c>
      <c r="G772" t="inlineStr">
        <is>
          <t>OCKELBO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24409-2026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46169</v>
      </c>
      <c r="E773" s="1" t="n">
        <v>46224</v>
      </c>
      <c r="F773" t="inlineStr">
        <is>
          <t>GÄVLEBORGS LÄN</t>
        </is>
      </c>
      <c r="G773" t="inlineStr">
        <is>
          <t>OCKELBO</t>
        </is>
      </c>
      <c r="I773" t="n">
        <v>8.1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46169</v>
      </c>
      <c r="E774" s="1" t="n">
        <v>46224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24333-2026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46169</v>
      </c>
      <c r="E775" s="1" t="n">
        <v>46224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24063-2026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46168</v>
      </c>
      <c r="E776" s="1" t="n">
        <v>46224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21900-2023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45068</v>
      </c>
      <c r="E777" s="1" t="n">
        <v>46224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19774-2025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45771</v>
      </c>
      <c r="E778" s="1" t="n">
        <v>46224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5.3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21878-2023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45068</v>
      </c>
      <c r="E779" s="1" t="n">
        <v>46224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24335-2026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46169</v>
      </c>
      <c r="E780" s="1" t="n">
        <v>46224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36295-2024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45534</v>
      </c>
      <c r="E781" s="1" t="n">
        <v>46224</v>
      </c>
      <c r="F781" t="inlineStr">
        <is>
          <t>GÄVLEBORGS LÄN</t>
        </is>
      </c>
      <c r="G781" t="inlineStr">
        <is>
          <t>OCKELBO</t>
        </is>
      </c>
      <c r="I781" t="n">
        <v>7.9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27630-2026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46190</v>
      </c>
      <c r="E782" s="1" t="n">
        <v>46224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24185-2026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46224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28725-2026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46198</v>
      </c>
      <c r="E784" s="1" t="n">
        <v>46224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27995-2026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46195</v>
      </c>
      <c r="E785" s="1" t="n">
        <v>46224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46203</v>
      </c>
      <c r="E786" s="1" t="n">
        <v>46224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46169</v>
      </c>
      <c r="E787" s="1" t="n">
        <v>46224</v>
      </c>
      <c r="F787" t="inlineStr">
        <is>
          <t>GÄVLEBORGS LÄN</t>
        </is>
      </c>
      <c r="G787" t="inlineStr">
        <is>
          <t>OCKELBO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46224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24569-2026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46224</v>
      </c>
      <c r="F789" t="inlineStr">
        <is>
          <t>GÄVLEBORGS LÄN</t>
        </is>
      </c>
      <c r="G789" t="inlineStr">
        <is>
          <t>OCKELBO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30990-2026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46213</v>
      </c>
      <c r="E790" s="1" t="n">
        <v>46224</v>
      </c>
      <c r="F790" t="inlineStr">
        <is>
          <t>GÄVLEBORGS LÄN</t>
        </is>
      </c>
      <c r="G790" t="inlineStr">
        <is>
          <t>OCKELBO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46224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46224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24451-2026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46224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24598-2026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46224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24578-2026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46224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46224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26481-2026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46224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53488-2023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45230</v>
      </c>
      <c r="E798" s="1" t="n">
        <v>46224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46224</v>
      </c>
      <c r="F799" t="inlineStr">
        <is>
          <t>GÄVLEBORGS LÄN</t>
        </is>
      </c>
      <c r="G799" t="inlineStr">
        <is>
          <t>OCKELBO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29437-2026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46203</v>
      </c>
      <c r="E800" s="1" t="n">
        <v>46224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37442-2023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45156</v>
      </c>
      <c r="E801" s="1" t="n">
        <v>46224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27889-2026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46191</v>
      </c>
      <c r="E802" s="1" t="n">
        <v>46224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22385-2023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45070</v>
      </c>
      <c r="E803" s="1" t="n">
        <v>46224</v>
      </c>
      <c r="F803" t="inlineStr">
        <is>
          <t>GÄVLEBORGS LÄN</t>
        </is>
      </c>
      <c r="G803" t="inlineStr">
        <is>
          <t>OCKELBO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11974-2026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46085</v>
      </c>
      <c r="E804" s="1" t="n">
        <v>46224</v>
      </c>
      <c r="F804" t="inlineStr">
        <is>
          <t>GÄVLEBORGS LÄN</t>
        </is>
      </c>
      <c r="G804" t="inlineStr">
        <is>
          <t>OCKELBO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56741-2024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45628</v>
      </c>
      <c r="E805" s="1" t="n">
        <v>46224</v>
      </c>
      <c r="F805" t="inlineStr">
        <is>
          <t>GÄVLEBORGS LÄN</t>
        </is>
      </c>
      <c r="G805" t="inlineStr">
        <is>
          <t>OCKELBO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19772-2025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45771</v>
      </c>
      <c r="E806" s="1" t="n">
        <v>46224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31083-2026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46216</v>
      </c>
      <c r="E807" s="1" t="n">
        <v>46224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46023</v>
      </c>
      <c r="E808" s="1" t="n">
        <v>46224</v>
      </c>
      <c r="F808" t="inlineStr">
        <is>
          <t>GÄVLEBORGS LÄN</t>
        </is>
      </c>
      <c r="G808" t="inlineStr">
        <is>
          <t>OCKELBO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24968-2026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46174</v>
      </c>
      <c r="E809" s="1" t="n">
        <v>46224</v>
      </c>
      <c r="F809" t="inlineStr">
        <is>
          <t>GÄVLEBORGS LÄN</t>
        </is>
      </c>
      <c r="G809" t="inlineStr">
        <is>
          <t>OCKELBO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29567-2024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45484</v>
      </c>
      <c r="E810" s="1" t="n">
        <v>46224</v>
      </c>
      <c r="F810" t="inlineStr">
        <is>
          <t>GÄVLEBORGS LÄN</t>
        </is>
      </c>
      <c r="G810" t="inlineStr">
        <is>
          <t>OCKELBO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54944-2025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45967</v>
      </c>
      <c r="E811" s="1" t="n">
        <v>46224</v>
      </c>
      <c r="F811" t="inlineStr">
        <is>
          <t>GÄVLEBORGS LÄN</t>
        </is>
      </c>
      <c r="G811" t="inlineStr">
        <is>
          <t>OCKELBO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24952-2026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46174</v>
      </c>
      <c r="E812" s="1" t="n">
        <v>46224</v>
      </c>
      <c r="F812" t="inlineStr">
        <is>
          <t>GÄVLEBORGS LÄN</t>
        </is>
      </c>
      <c r="G812" t="inlineStr">
        <is>
          <t>OCKELBO</t>
        </is>
      </c>
      <c r="I812" t="n">
        <v>7.9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64367-2023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45280</v>
      </c>
      <c r="E813" s="1" t="n">
        <v>46224</v>
      </c>
      <c r="F813" t="inlineStr">
        <is>
          <t>GÄVLEBORGS LÄN</t>
        </is>
      </c>
      <c r="G813" t="inlineStr">
        <is>
          <t>OCKELBO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46203</v>
      </c>
      <c r="E814" s="1" t="n">
        <v>46224</v>
      </c>
      <c r="F814" t="inlineStr">
        <is>
          <t>GÄVLEBORGS LÄN</t>
        </is>
      </c>
      <c r="G814" t="inlineStr">
        <is>
          <t>OCKELBO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55715-2023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45239</v>
      </c>
      <c r="E815" s="1" t="n">
        <v>46224</v>
      </c>
      <c r="F815" t="inlineStr">
        <is>
          <t>GÄVLEBORGS LÄN</t>
        </is>
      </c>
      <c r="G815" t="inlineStr">
        <is>
          <t>OCKELBO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24974-2026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46174</v>
      </c>
      <c r="E816" s="1" t="n">
        <v>46224</v>
      </c>
      <c r="F816" t="inlineStr">
        <is>
          <t>GÄVLEBORGS LÄN</t>
        </is>
      </c>
      <c r="G816" t="inlineStr">
        <is>
          <t>OCKELBO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24624-2026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46171</v>
      </c>
      <c r="E817" s="1" t="n">
        <v>46224</v>
      </c>
      <c r="F817" t="inlineStr">
        <is>
          <t>GÄVLEBORGS LÄN</t>
        </is>
      </c>
      <c r="G817" t="inlineStr">
        <is>
          <t>OCKELBO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47849-2021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44448</v>
      </c>
      <c r="E818" s="1" t="n">
        <v>46224</v>
      </c>
      <c r="F818" t="inlineStr">
        <is>
          <t>GÄVLEBORGS LÄN</t>
        </is>
      </c>
      <c r="G818" t="inlineStr">
        <is>
          <t>OCKELBO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50194-2024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45600</v>
      </c>
      <c r="E819" s="1" t="n">
        <v>46224</v>
      </c>
      <c r="F819" t="inlineStr">
        <is>
          <t>GÄVLEBORGS LÄN</t>
        </is>
      </c>
      <c r="G819" t="inlineStr">
        <is>
          <t>OCKELBO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15247-2025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45744</v>
      </c>
      <c r="E820" s="1" t="n">
        <v>46224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31277-2026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46218</v>
      </c>
      <c r="E821" s="1" t="n">
        <v>46224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22952-2023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45072</v>
      </c>
      <c r="E822" s="1" t="n">
        <v>46224</v>
      </c>
      <c r="F822" t="inlineStr">
        <is>
          <t>GÄVLEBORGS LÄN</t>
        </is>
      </c>
      <c r="G822" t="inlineStr">
        <is>
          <t>OCKELBO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25128-2026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46175</v>
      </c>
      <c r="E823" s="1" t="n">
        <v>46224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25133-2026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46175</v>
      </c>
      <c r="E824" s="1" t="n">
        <v>46224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31517-2026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46223</v>
      </c>
      <c r="E825" s="1" t="n">
        <v>46224</v>
      </c>
      <c r="F825" t="inlineStr">
        <is>
          <t>GÄVLEBORGS LÄN</t>
        </is>
      </c>
      <c r="G825" t="inlineStr">
        <is>
          <t>OCKELBO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31530-2026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46223</v>
      </c>
      <c r="E826" s="1" t="n">
        <v>46224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50968-2024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45603</v>
      </c>
      <c r="E827" s="1" t="n">
        <v>46224</v>
      </c>
      <c r="F827" t="inlineStr">
        <is>
          <t>GÄVLEBORGS LÄN</t>
        </is>
      </c>
      <c r="G827" t="inlineStr">
        <is>
          <t>OCKELBO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31443-2026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46220</v>
      </c>
      <c r="E828" s="1" t="n">
        <v>46224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26131-2026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46181</v>
      </c>
      <c r="E829" s="1" t="n">
        <v>46224</v>
      </c>
      <c r="F829" t="inlineStr">
        <is>
          <t>GÄVLEBORGS LÄN</t>
        </is>
      </c>
      <c r="G829" t="inlineStr">
        <is>
          <t>OCKELBO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22824-2024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45448</v>
      </c>
      <c r="E830" s="1" t="n">
        <v>46224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25525-2026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46177</v>
      </c>
      <c r="E831" s="1" t="n">
        <v>46224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9.4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45666</v>
      </c>
      <c r="E832" s="1" t="n">
        <v>46224</v>
      </c>
      <c r="F832" t="inlineStr">
        <is>
          <t>GÄVLEBORGS LÄN</t>
        </is>
      </c>
      <c r="G832" t="inlineStr">
        <is>
          <t>OCKELBO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25599-2026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46177</v>
      </c>
      <c r="E833" s="1" t="n">
        <v>46224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61750-2023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45265</v>
      </c>
      <c r="E834" s="1" t="n">
        <v>46224</v>
      </c>
      <c r="F834" t="inlineStr">
        <is>
          <t>GÄVLEBORGS LÄN</t>
        </is>
      </c>
      <c r="G834" t="inlineStr">
        <is>
          <t>OCKELBO</t>
        </is>
      </c>
      <c r="I834" t="n">
        <v>11.2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33985-2023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45134</v>
      </c>
      <c r="E835" s="1" t="n">
        <v>46224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31519-2026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46223</v>
      </c>
      <c r="E836" s="1" t="n">
        <v>46224</v>
      </c>
      <c r="F836" t="inlineStr">
        <is>
          <t>GÄVLEBORGS LÄN</t>
        </is>
      </c>
      <c r="G836" t="inlineStr">
        <is>
          <t>OCKELBO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44950</v>
      </c>
      <c r="E837" s="1" t="n">
        <v>46224</v>
      </c>
      <c r="F837" t="inlineStr">
        <is>
          <t>GÄVLEBORGS LÄN</t>
        </is>
      </c>
      <c r="G837" t="inlineStr">
        <is>
          <t>OCKELBO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20775-2025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45776</v>
      </c>
      <c r="E838" s="1" t="n">
        <v>46224</v>
      </c>
      <c r="F838" t="inlineStr">
        <is>
          <t>GÄVLEBORGS LÄN</t>
        </is>
      </c>
      <c r="G838" t="inlineStr">
        <is>
          <t>OCKELBO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23780-2024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45455</v>
      </c>
      <c r="E839" s="1" t="n">
        <v>46224</v>
      </c>
      <c r="F839" t="inlineStr">
        <is>
          <t>GÄVLEBORGS LÄN</t>
        </is>
      </c>
      <c r="G839" t="inlineStr">
        <is>
          <t>OCKELBO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52273-2024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45608</v>
      </c>
      <c r="E840" s="1" t="n">
        <v>46224</v>
      </c>
      <c r="F840" t="inlineStr">
        <is>
          <t>GÄVLEBORGS LÄN</t>
        </is>
      </c>
      <c r="G840" t="inlineStr">
        <is>
          <t>OCKELBO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37848-2024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45544</v>
      </c>
      <c r="E841" s="1" t="n">
        <v>46224</v>
      </c>
      <c r="F841" t="inlineStr">
        <is>
          <t>GÄVLEBORGS LÄN</t>
        </is>
      </c>
      <c r="G841" t="inlineStr">
        <is>
          <t>OCKELBO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60253-2023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45258</v>
      </c>
      <c r="E842" s="1" t="n">
        <v>46224</v>
      </c>
      <c r="F842" t="inlineStr">
        <is>
          <t>GÄVLEBORGS LÄN</t>
        </is>
      </c>
      <c r="G842" t="inlineStr">
        <is>
          <t>OCKELBO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22385-2025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45786</v>
      </c>
      <c r="E843" s="1" t="n">
        <v>46224</v>
      </c>
      <c r="F843" t="inlineStr">
        <is>
          <t>GÄVLEBORGS LÄN</t>
        </is>
      </c>
      <c r="G843" t="inlineStr">
        <is>
          <t>OCKELBO</t>
        </is>
      </c>
      <c r="H843" t="inlineStr">
        <is>
          <t>Bergvik skog väst AB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22387-2025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45786</v>
      </c>
      <c r="E844" s="1" t="n">
        <v>46224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väst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282-2024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45323</v>
      </c>
      <c r="E845" s="1" t="n">
        <v>46224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14.5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5063-2024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45638</v>
      </c>
      <c r="E846" s="1" t="n">
        <v>46224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154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195-2024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45315</v>
      </c>
      <c r="E847" s="1" t="n">
        <v>46224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öst AB</t>
        </is>
      </c>
      <c r="I847" t="n">
        <v>46.4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411-2025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45699</v>
      </c>
      <c r="E848" s="1" t="n">
        <v>46224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öst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7041-2022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44904</v>
      </c>
      <c r="E849" s="1" t="n">
        <v>46224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väst AB</t>
        </is>
      </c>
      <c r="I849" t="n">
        <v>22.8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297-2026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46058</v>
      </c>
      <c r="E850" s="1" t="n">
        <v>46224</v>
      </c>
      <c r="F850" t="inlineStr">
        <is>
          <t>GÄVLEBORGS LÄN</t>
        </is>
      </c>
      <c r="G850" t="inlineStr">
        <is>
          <t>OCKELBO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657-2026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46089</v>
      </c>
      <c r="E851" s="1" t="n">
        <v>46224</v>
      </c>
      <c r="F851" t="inlineStr">
        <is>
          <t>GÄVLEBORGS LÄN</t>
        </is>
      </c>
      <c r="G851" t="inlineStr">
        <is>
          <t>OCKELBO</t>
        </is>
      </c>
      <c r="H851" t="inlineStr">
        <is>
          <t>Bergvik skog öst AB</t>
        </is>
      </c>
      <c r="I851" t="n">
        <v>131.3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46048</v>
      </c>
      <c r="E852" s="1" t="n">
        <v>46224</v>
      </c>
      <c r="F852" t="inlineStr">
        <is>
          <t>GÄVLEBORGS LÄN</t>
        </is>
      </c>
      <c r="G852" t="inlineStr">
        <is>
          <t>OCKELBO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1344-2026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46148</v>
      </c>
      <c r="E853" s="1" t="n">
        <v>46224</v>
      </c>
      <c r="F853" t="inlineStr">
        <is>
          <t>GÄVLEBORGS LÄN</t>
        </is>
      </c>
      <c r="G853" t="inlineStr">
        <is>
          <t>OCKELBO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>
      <c r="A854" t="inlineStr">
        <is>
          <t>S 1345-2026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46148</v>
      </c>
      <c r="E854" s="1" t="n">
        <v>46224</v>
      </c>
      <c r="F854" t="inlineStr">
        <is>
          <t>GÄVLEBORGS LÄN</t>
        </is>
      </c>
      <c r="G854" t="inlineStr">
        <is>
          <t>OCKELBO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2026-07-21T01:39:25Z</dcterms:created>
  <dcterms:modified xmlns:dcterms="http://purl.org/dc/terms/" xmlns:xsi="http://www.w3.org/2001/XMLSchema-instance" xsi:type="dcterms:W3CDTF">2026-07-21T01:39:26Z</dcterms:modified>
</cp:coreProperties>
</file>