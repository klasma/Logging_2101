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46301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46301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46301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46301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46301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46301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46301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46301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46301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46301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46301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46301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46301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46301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Tjäder
Revlummer</t>
        </is>
      </c>
      <c r="W27">
        <f>HYPERLINK("https://klasma.github.io/Logging_2101/artfynd/A 4180-2026 artfynd.xlsx", "A 4180-2026")</f>
        <v/>
      </c>
      <c r="X27">
        <f>HYPERLINK("https://klasma.github.io/Logging_2101/kartor/A 4180-2026 karta.png", "A 4180-2026")</f>
        <v/>
      </c>
      <c r="Y27">
        <f>HYPERLINK("https://klasma.github.io/Logging_2101/kartor_geotiff/A 4180-2026 georefererad karta.tif", "A 4180-2026")</f>
        <v/>
      </c>
      <c r="AA27">
        <f>HYPERLINK("https://klasma.github.io/Logging_2101/klagomål/A 4180-2026 FSC-klagomål.docx", "A 4180-2026")</f>
        <v/>
      </c>
      <c r="AB27">
        <f>HYPERLINK("https://klasma.github.io/Logging_2101/klagomålsmail/A 4180-2026 FSC-klagomål mail.docx", "A 4180-2026")</f>
        <v/>
      </c>
      <c r="AC27">
        <f>HYPERLINK("https://klasma.github.io/Logging_2101/tillsyn/A 4180-2026 tillsynsbegäran.docx", "A 4180-2026")</f>
        <v/>
      </c>
      <c r="AD27">
        <f>HYPERLINK("https://klasma.github.io/Logging_2101/tillsynsmail/A 4180-2026 tillsynsbegäran mail.docx", "A 4180-2026")</f>
        <v/>
      </c>
      <c r="AE27">
        <f>HYPERLINK("https://klasma.github.io/Logging_2101/fåglar/A 4180-2026 prioriterade fågelarter.docx", "A 4180-2026")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46301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Fläcknycklar
Revlummer</t>
        </is>
      </c>
      <c r="W28">
        <f>HYPERLINK("https://klasma.github.io/Logging_2101/artfynd/A 17107-2026 artfynd.xlsx", "A 17107-2026")</f>
        <v/>
      </c>
      <c r="X28">
        <f>HYPERLINK("https://klasma.github.io/Logging_2101/kartor/A 17107-2026 karta.png", "A 17107-2026")</f>
        <v/>
      </c>
      <c r="Y28">
        <f>HYPERLINK("https://klasma.github.io/Logging_2101/kartor_geotiff/A 17107-2026 georefererad karta.tif", "A 17107-2026")</f>
        <v/>
      </c>
      <c r="AA28">
        <f>HYPERLINK("https://klasma.github.io/Logging_2101/klagomål/A 17107-2026 FSC-klagomål.docx", "A 17107-2026")</f>
        <v/>
      </c>
      <c r="AB28">
        <f>HYPERLINK("https://klasma.github.io/Logging_2101/klagomålsmail/A 17107-2026 FSC-klagomål mail.docx", "A 17107-2026")</f>
        <v/>
      </c>
      <c r="AC28">
        <f>HYPERLINK("https://klasma.github.io/Logging_2101/tillsyn/A 17107-2026 tillsynsbegäran.docx", "A 17107-2026")</f>
        <v/>
      </c>
      <c r="AD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46301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46301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46301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46301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6121-2026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46053</v>
      </c>
      <c r="E37" s="1" t="n">
        <v>46301</v>
      </c>
      <c r="F37" t="inlineStr">
        <is>
          <t>GÄVLEBORGS LÄN</t>
        </is>
      </c>
      <c r="G37" t="inlineStr">
        <is>
          <t>OCKELBO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HYPERLINK("https://klasma.github.io/Logging_2101/artfynd/A 6121-2026 artfynd.xlsx", "A 6121-2026")</f>
        <v/>
      </c>
      <c r="X37">
        <f>HYPERLINK("https://klasma.github.io/Logging_2101/kartor/A 6121-2026 karta.png", "A 6121-2026")</f>
        <v/>
      </c>
      <c r="Y37">
        <f>HYPERLINK("https://klasma.github.io/Logging_2101/kartor_geotiff/A 6121-2026 georefererad karta.tif", "A 6121-2026")</f>
        <v/>
      </c>
      <c r="AA37">
        <f>HYPERLINK("https://klasma.github.io/Logging_2101/klagomål/A 6121-2026 FSC-klagomål.docx", "A 6121-2026")</f>
        <v/>
      </c>
      <c r="AB37">
        <f>HYPERLINK("https://klasma.github.io/Logging_2101/klagomålsmail/A 6121-2026 FSC-klagomål mail.docx", "A 6121-2026")</f>
        <v/>
      </c>
      <c r="AC37">
        <f>HYPERLINK("https://klasma.github.io/Logging_2101/tillsyn/A 6121-2026 tillsynsbegäran.docx", "A 6121-2026")</f>
        <v/>
      </c>
      <c r="AD37">
        <f>HYPERLINK("https://klasma.github.io/Logging_2101/tillsynsmail/A 6121-2026 tillsynsbegäran mail.docx", "A 6121-2026")</f>
        <v/>
      </c>
      <c r="AE37">
        <f>HYPERLINK("https://klasma.github.io/Logging_2101/fåglar/A 6121-2026 prioriterade fågelarter.docx", "A 6121-2026")</f>
        <v/>
      </c>
    </row>
    <row r="38" ht="15" customHeight="1">
      <c r="A38" t="inlineStr">
        <is>
          <t>A 6586-2026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46301</v>
      </c>
      <c r="F38" t="inlineStr">
        <is>
          <t>GÄVLEBORGS LÄN</t>
        </is>
      </c>
      <c r="G38" t="inlineStr">
        <is>
          <t>OCKELBO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HYPERLINK("https://klasma.github.io/Logging_2101/artfynd/A 6586-2026 artfynd.xlsx", "A 6586-2026")</f>
        <v/>
      </c>
      <c r="X38">
        <f>HYPERLINK("https://klasma.github.io/Logging_2101/kartor/A 6586-2026 karta.png", "A 6586-2026")</f>
        <v/>
      </c>
      <c r="Y38">
        <f>HYPERLINK("https://klasma.github.io/Logging_2101/kartor_geotiff/A 6586-2026 georefererad karta.tif", "A 6586-2026")</f>
        <v/>
      </c>
      <c r="AA38">
        <f>HYPERLINK("https://klasma.github.io/Logging_2101/klagomål/A 6586-2026 FSC-klagomål.docx", "A 6586-2026")</f>
        <v/>
      </c>
      <c r="AB38">
        <f>HYPERLINK("https://klasma.github.io/Logging_2101/klagomålsmail/A 6586-2026 FSC-klagomål mail.docx", "A 6586-2026")</f>
        <v/>
      </c>
      <c r="AC38">
        <f>HYPERLINK("https://klasma.github.io/Logging_2101/tillsyn/A 6586-2026 tillsynsbegäran.docx", "A 6586-2026")</f>
        <v/>
      </c>
      <c r="AD38">
        <f>HYPERLINK("https://klasma.github.io/Logging_2101/tillsynsmail/A 6586-2026 tillsynsbegäran mail.docx", "A 6586-2026")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46301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57946-2023 artfynd.xlsx", "A 57946-2023")</f>
        <v/>
      </c>
      <c r="X39">
        <f>HYPERLINK("https://klasma.github.io/Logging_2101/kartor/A 57946-2023 karta.png", "A 57946-2023")</f>
        <v/>
      </c>
      <c r="Y39">
        <f>HYPERLINK("https://klasma.github.io/Logging_2101/kartor_geotiff/A 57946-2023 georefererad karta.tif", "A 57946-2023")</f>
        <v/>
      </c>
      <c r="AA39">
        <f>HYPERLINK("https://klasma.github.io/Logging_2101/klagomål/A 57946-2023 FSC-klagomål.docx", "A 57946-2023")</f>
        <v/>
      </c>
      <c r="AB39">
        <f>HYPERLINK("https://klasma.github.io/Logging_2101/klagomålsmail/A 57946-2023 FSC-klagomål mail.docx", "A 57946-2023")</f>
        <v/>
      </c>
      <c r="AC39">
        <f>HYPERLINK("https://klasma.github.io/Logging_2101/tillsyn/A 57946-2023 tillsynsbegäran.docx", "A 57946-2023")</f>
        <v/>
      </c>
      <c r="AD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46301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HYPERLINK("https://klasma.github.io/Logging_2101/artfynd/A 46481-2024 artfynd.xlsx", "A 46481-2024")</f>
        <v/>
      </c>
      <c r="X40">
        <f>HYPERLINK("https://klasma.github.io/Logging_2101/kartor/A 46481-2024 karta.png", "A 46481-2024")</f>
        <v/>
      </c>
      <c r="Y40">
        <f>HYPERLINK("https://klasma.github.io/Logging_2101/kartor_geotiff/A 46481-2024 georefererad karta.tif", "A 46481-2024")</f>
        <v/>
      </c>
      <c r="AA40">
        <f>HYPERLINK("https://klasma.github.io/Logging_2101/klagomål/A 46481-2024 FSC-klagomål.docx", "A 46481-2024")</f>
        <v/>
      </c>
      <c r="AB40">
        <f>HYPERLINK("https://klasma.github.io/Logging_2101/klagomålsmail/A 46481-2024 FSC-klagomål mail.docx", "A 46481-2024")</f>
        <v/>
      </c>
      <c r="AC40">
        <f>HYPERLINK("https://klasma.github.io/Logging_2101/tillsyn/A 46481-2024 tillsynsbegäran.docx", "A 46481-2024")</f>
        <v/>
      </c>
      <c r="AD40">
        <f>HYPERLINK("https://klasma.github.io/Logging_2101/tillsynsmail/A 46481-2024 tillsynsbegäran mail.docx", "A 46481-2024")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46301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10484-2026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46077</v>
      </c>
      <c r="E42" s="1" t="n">
        <v>46301</v>
      </c>
      <c r="F42" t="inlineStr">
        <is>
          <t>GÄVLEBORGS LÄN</t>
        </is>
      </c>
      <c r="G42" t="inlineStr">
        <is>
          <t>OCKELBO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Ullticka</t>
        </is>
      </c>
      <c r="W42">
        <f>HYPERLINK("https://klasma.github.io/Logging_2101/artfynd/A 10484-2026 artfynd.xlsx", "A 10484-2026")</f>
        <v/>
      </c>
      <c r="X42">
        <f>HYPERLINK("https://klasma.github.io/Logging_2101/kartor/A 10484-2026 karta.png", "A 10484-2026")</f>
        <v/>
      </c>
      <c r="Y42">
        <f>HYPERLINK("https://klasma.github.io/Logging_2101/kartor_geotiff/A 10484-2026 georefererad karta.tif", "A 10484-2026")</f>
        <v/>
      </c>
      <c r="AA42">
        <f>HYPERLINK("https://klasma.github.io/Logging_2101/klagomål/A 10484-2026 FSC-klagomål.docx", "A 10484-2026")</f>
        <v/>
      </c>
      <c r="AB42">
        <f>HYPERLINK("https://klasma.github.io/Logging_2101/klagomålsmail/A 10484-2026 FSC-klagomål mail.docx", "A 10484-2026")</f>
        <v/>
      </c>
      <c r="AC42">
        <f>HYPERLINK("https://klasma.github.io/Logging_2101/tillsyn/A 10484-2026 tillsynsbegäran.docx", "A 10484-2026")</f>
        <v/>
      </c>
      <c r="AD42">
        <f>HYPERLINK("https://klasma.github.io/Logging_2101/tillsynsmail/A 10484-2026 tillsynsbegäran mail.docx", "A 10484-2026")</f>
        <v/>
      </c>
    </row>
    <row r="43" ht="15" customHeight="1">
      <c r="A43" t="inlineStr">
        <is>
          <t>A 13640-2026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46301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3.8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HYPERLINK("https://klasma.github.io/Logging_2101/artfynd/A 13640-2026 artfynd.xlsx", "A 13640-2026")</f>
        <v/>
      </c>
      <c r="X43">
        <f>HYPERLINK("https://klasma.github.io/Logging_2101/kartor/A 13640-2026 karta.png", "A 13640-2026")</f>
        <v/>
      </c>
      <c r="Y43">
        <f>HYPERLINK("https://klasma.github.io/Logging_2101/kartor_geotiff/A 13640-2026 georefererad karta.tif", "A 13640-2026")</f>
        <v/>
      </c>
      <c r="AA43">
        <f>HYPERLINK("https://klasma.github.io/Logging_2101/klagomål/A 13640-2026 FSC-klagomål.docx", "A 13640-2026")</f>
        <v/>
      </c>
      <c r="AB43">
        <f>HYPERLINK("https://klasma.github.io/Logging_2101/klagomålsmail/A 13640-2026 FSC-klagomål mail.docx", "A 13640-2026")</f>
        <v/>
      </c>
      <c r="AC43">
        <f>HYPERLINK("https://klasma.github.io/Logging_2101/tillsyn/A 13640-2026 tillsynsbegäran.docx", "A 13640-2026")</f>
        <v/>
      </c>
      <c r="AD43">
        <f>HYPERLINK("https://klasma.github.io/Logging_2101/tillsynsmail/A 13640-2026 tillsynsbegäran mail.docx", "A 13640-2026")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46301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14479-2026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46301</v>
      </c>
      <c r="F45" t="inlineStr">
        <is>
          <t>GÄVLEBORGS LÄN</t>
        </is>
      </c>
      <c r="G45" t="inlineStr">
        <is>
          <t>OCKELBO</t>
        </is>
      </c>
      <c r="I45" t="n">
        <v>4.8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14479-2026 artfynd.xlsx", "A 14479-2026")</f>
        <v/>
      </c>
      <c r="X45">
        <f>HYPERLINK("https://klasma.github.io/Logging_2101/kartor/A 14479-2026 karta.png", "A 14479-2026")</f>
        <v/>
      </c>
      <c r="Y45">
        <f>HYPERLINK("https://klasma.github.io/Logging_2101/kartor_geotiff/A 14479-2026 georefererad karta.tif", "A 14479-2026")</f>
        <v/>
      </c>
      <c r="AA45">
        <f>HYPERLINK("https://klasma.github.io/Logging_2101/klagomål/A 14479-2026 FSC-klagomål.docx", "A 14479-2026")</f>
        <v/>
      </c>
      <c r="AB45">
        <f>HYPERLINK("https://klasma.github.io/Logging_2101/klagomålsmail/A 14479-2026 FSC-klagomål mail.docx", "A 14479-2026")</f>
        <v/>
      </c>
      <c r="AC45">
        <f>HYPERLINK("https://klasma.github.io/Logging_2101/tillsyn/A 14479-2026 tillsynsbegäran.docx", "A 14479-2026")</f>
        <v/>
      </c>
      <c r="AD45">
        <f>HYPERLINK("https://klasma.github.io/Logging_2101/tillsynsmail/A 14479-2026 tillsynsbegäran mail.docx", "A 14479-2026")</f>
        <v/>
      </c>
    </row>
    <row r="46" ht="15" customHeight="1">
      <c r="A46" t="inlineStr">
        <is>
          <t>A 14664-2026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46101</v>
      </c>
      <c r="E46" s="1" t="n">
        <v>46301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Tjäder</t>
        </is>
      </c>
      <c r="W46">
        <f>HYPERLINK("https://klasma.github.io/Logging_2101/artfynd/A 14664-2026 artfynd.xlsx", "A 14664-2026")</f>
        <v/>
      </c>
      <c r="X46">
        <f>HYPERLINK("https://klasma.github.io/Logging_2101/kartor/A 14664-2026 karta.png", "A 14664-2026")</f>
        <v/>
      </c>
      <c r="Y46">
        <f>HYPERLINK("https://klasma.github.io/Logging_2101/kartor_geotiff/A 14664-2026 georefererad karta.tif", "A 14664-2026")</f>
        <v/>
      </c>
      <c r="AA46">
        <f>HYPERLINK("https://klasma.github.io/Logging_2101/klagomål/A 14664-2026 FSC-klagomål.docx", "A 14664-2026")</f>
        <v/>
      </c>
      <c r="AB46">
        <f>HYPERLINK("https://klasma.github.io/Logging_2101/klagomålsmail/A 14664-2026 FSC-klagomål mail.docx", "A 14664-2026")</f>
        <v/>
      </c>
      <c r="AC46">
        <f>HYPERLINK("https://klasma.github.io/Logging_2101/tillsyn/A 14664-2026 tillsynsbegäran.docx", "A 14664-2026")</f>
        <v/>
      </c>
      <c r="AD46">
        <f>HYPERLINK("https://klasma.github.io/Logging_2101/tillsynsmail/A 14664-2026 tillsynsbegäran mail.docx", "A 14664-2026")</f>
        <v/>
      </c>
      <c r="AE46">
        <f>HYPERLINK("https://klasma.github.io/Logging_2101/fåglar/A 14664-2026 prioriterade fågelarter.docx", "A 14664-2026")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46301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46301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46301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15841-2023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45022</v>
      </c>
      <c r="E50" s="1" t="n">
        <v>46301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Havsörn</t>
        </is>
      </c>
      <c r="W50">
        <f>HYPERLINK("https://klasma.github.io/Logging_2101/artfynd/A 15841-2023 artfynd.xlsx", "A 15841-2023")</f>
        <v/>
      </c>
      <c r="X50">
        <f>HYPERLINK("https://klasma.github.io/Logging_2101/kartor/A 15841-2023 karta.png", "A 15841-2023")</f>
        <v/>
      </c>
      <c r="Y50">
        <f>HYPERLINK("https://klasma.github.io/Logging_2101/kartor_geotiff/A 15841-2023 georefererad karta.tif", "A 15841-2023")</f>
        <v/>
      </c>
      <c r="AA50">
        <f>HYPERLINK("https://klasma.github.io/Logging_2101/klagomål/A 15841-2023 FSC-klagomål.docx", "A 15841-2023")</f>
        <v/>
      </c>
      <c r="AB50">
        <f>HYPERLINK("https://klasma.github.io/Logging_2101/klagomålsmail/A 15841-2023 FSC-klagomål mail.docx", "A 15841-2023")</f>
        <v/>
      </c>
      <c r="AC50">
        <f>HYPERLINK("https://klasma.github.io/Logging_2101/tillsyn/A 15841-2023 tillsynsbegäran.docx", "A 15841-2023")</f>
        <v/>
      </c>
      <c r="AD50">
        <f>HYPERLINK("https://klasma.github.io/Logging_2101/tillsynsmail/A 15841-2023 tillsynsbegäran mail.docx", "A 15841-2023")</f>
        <v/>
      </c>
      <c r="AE50">
        <f>HYPERLINK("https://klasma.github.io/Logging_2101/fåglar/A 15841-2023 prioriterade fågelarter.docx", "A 15841-2023")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46301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46301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46301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46301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46301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2923-2026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46038</v>
      </c>
      <c r="E56" s="1" t="n">
        <v>46301</v>
      </c>
      <c r="F56" t="inlineStr">
        <is>
          <t>GÄVLEBORGS LÄN</t>
        </is>
      </c>
      <c r="G56" t="inlineStr">
        <is>
          <t>OCKELBO</t>
        </is>
      </c>
      <c r="I56" t="n">
        <v>2.8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HYPERLINK("https://klasma.github.io/Logging_2101/artfynd/A 2923-2026 artfynd.xlsx", "A 2923-2026")</f>
        <v/>
      </c>
      <c r="X56">
        <f>HYPERLINK("https://klasma.github.io/Logging_2101/kartor/A 2923-2026 karta.png", "A 2923-2026")</f>
        <v/>
      </c>
      <c r="Y56">
        <f>HYPERLINK("https://klasma.github.io/Logging_2101/kartor_geotiff/A 2923-2026 georefererad karta.tif", "A 2923-2026")</f>
        <v/>
      </c>
      <c r="Z56">
        <f>HYPERLINK("https://klasma.github.io/Logging_2101/knärot/A 2923-2026 karta knärot.png", "A 2923-2026")</f>
        <v/>
      </c>
      <c r="AA56">
        <f>HYPERLINK("https://klasma.github.io/Logging_2101/klagomål/A 2923-2026 FSC-klagomål.docx", "A 2923-2026")</f>
        <v/>
      </c>
      <c r="AB56">
        <f>HYPERLINK("https://klasma.github.io/Logging_2101/klagomålsmail/A 2923-2026 FSC-klagomål mail.docx", "A 2923-2026")</f>
        <v/>
      </c>
      <c r="AC56">
        <f>HYPERLINK("https://klasma.github.io/Logging_2101/tillsyn/A 2923-2026 tillsynsbegäran.docx", "A 2923-2026")</f>
        <v/>
      </c>
      <c r="AD56">
        <f>HYPERLINK("https://klasma.github.io/Logging_2101/tillsynsmail/A 2923-2026 tillsynsbegäran mail.docx", "A 2923-2026")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46301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46301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46301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16738-2025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46301</v>
      </c>
      <c r="F60" t="inlineStr">
        <is>
          <t>GÄVLEBORGS LÄN</t>
        </is>
      </c>
      <c r="G60" t="inlineStr">
        <is>
          <t>OCKELBO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16738-2025 artfynd.xlsx", "A 16738-2025")</f>
        <v/>
      </c>
      <c r="X60">
        <f>HYPERLINK("https://klasma.github.io/Logging_2101/kartor/A 16738-2025 karta.png", "A 16738-2025")</f>
        <v/>
      </c>
      <c r="Y60">
        <f>HYPERLINK("https://klasma.github.io/Logging_2101/kartor_geotiff/A 16738-2025 georefererad karta.tif", "A 16738-2025")</f>
        <v/>
      </c>
      <c r="AA60">
        <f>HYPERLINK("https://klasma.github.io/Logging_2101/klagomål/A 16738-2025 FSC-klagomål.docx", "A 16738-2025")</f>
        <v/>
      </c>
      <c r="AB60">
        <f>HYPERLINK("https://klasma.github.io/Logging_2101/klagomålsmail/A 16738-2025 FSC-klagomål mail.docx", "A 16738-2025")</f>
        <v/>
      </c>
      <c r="AC60">
        <f>HYPERLINK("https://klasma.github.io/Logging_2101/tillsyn/A 16738-2025 tillsynsbegäran.docx", "A 16738-2025")</f>
        <v/>
      </c>
      <c r="AD60">
        <f>HYPERLINK("https://klasma.github.io/Logging_2101/tillsynsmail/A 16738-2025 tillsynsbegäran mail.docx", "A 16738-2025")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46301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46301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46301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46301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46301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S 1497-2023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45051</v>
      </c>
      <c r="E66" s="1" t="n">
        <v>46301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701.6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Skogsalm</t>
        </is>
      </c>
      <c r="W66">
        <f>HYPERLINK("https://klasma.github.io/Logging_2101/artfynd/S 1497-2023 artfynd.xlsx", "S 1497-2023")</f>
        <v/>
      </c>
      <c r="X66">
        <f>HYPERLINK("https://klasma.github.io/Logging_2101/kartor/S 1497-2023 karta.png", "S 1497-2023")</f>
        <v/>
      </c>
      <c r="Y66">
        <f>HYPERLINK("https://klasma.github.io/Logging_2101/kartor_geotiff/S 1497-2023 georefererad karta.tif", "S 1497-2023")</f>
        <v/>
      </c>
      <c r="AA66">
        <f>HYPERLINK("https://klasma.github.io/Logging_2101/klagomål/S 1497-2023 FSC-klagomål.docx", "S 1497-2023")</f>
        <v/>
      </c>
      <c r="AB66">
        <f>HYPERLINK("https://klasma.github.io/Logging_2101/klagomålsmail/S 1497-2023 FSC-klagomål mail.docx", "S 1497-2023")</f>
        <v/>
      </c>
      <c r="AC66">
        <f>HYPERLINK("https://klasma.github.io/Logging_2101/tillsyn/S 1497-2023 tillsynsbegäran.docx", "S 1497-2023")</f>
        <v/>
      </c>
      <c r="AD66">
        <f>HYPERLINK("https://klasma.github.io/Logging_2101/tillsynsmail/S 1497-2023 tillsynsbegäran mail.docx", "S 1497-2023")</f>
        <v/>
      </c>
    </row>
    <row r="67" ht="15" customHeight="1">
      <c r="A67" t="inlineStr">
        <is>
          <t>S 3258-2025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45982</v>
      </c>
      <c r="E67" s="1" t="n">
        <v>46301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15.2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HYPERLINK("https://klasma.github.io/Logging_2101/artfynd/S 3258-2025 artfynd.xlsx", "S 3258-2025")</f>
        <v/>
      </c>
      <c r="X67">
        <f>HYPERLINK("https://klasma.github.io/Logging_2101/kartor/S 3258-2025 karta.png", "S 3258-2025")</f>
        <v/>
      </c>
      <c r="Y67">
        <f>HYPERLINK("https://klasma.github.io/Logging_2101/kartor_geotiff/S 3258-2025 georefererad karta.tif", "S 3258-2025")</f>
        <v/>
      </c>
      <c r="AA67">
        <f>HYPERLINK("https://klasma.github.io/Logging_2101/klagomål/S 3258-2025 FSC-klagomål.docx", "S 3258-2025")</f>
        <v/>
      </c>
      <c r="AB67">
        <f>HYPERLINK("https://klasma.github.io/Logging_2101/klagomålsmail/S 3258-2025 FSC-klagomål mail.docx", "S 3258-2025")</f>
        <v/>
      </c>
      <c r="AC67">
        <f>HYPERLINK("https://klasma.github.io/Logging_2101/tillsyn/S 3258-2025 tillsynsbegäran.docx", "S 3258-2025")</f>
        <v/>
      </c>
      <c r="AD67">
        <f>HYPERLINK("https://klasma.github.io/Logging_2101/tillsynsmail/S 3258-2025 tillsynsbegäran mail.docx", "S 3258-2025")</f>
        <v/>
      </c>
    </row>
    <row r="68" ht="15" customHeight="1">
      <c r="A68" t="inlineStr">
        <is>
          <t>S 3581-2025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46019</v>
      </c>
      <c r="E68" s="1" t="n">
        <v>46301</v>
      </c>
      <c r="F68" t="inlineStr">
        <is>
          <t>GÄVLEBORGS LÄN</t>
        </is>
      </c>
      <c r="G68" t="inlineStr">
        <is>
          <t>OCKELBO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HYPERLINK("https://klasma.github.io/Logging_2101/artfynd/S 3581-2025 artfynd.xlsx", "S 3581-2025")</f>
        <v/>
      </c>
      <c r="X68">
        <f>HYPERLINK("https://klasma.github.io/Logging_2101/kartor/S 3581-2025 karta.png", "S 3581-2025")</f>
        <v/>
      </c>
      <c r="Y68">
        <f>HYPERLINK("https://klasma.github.io/Logging_2101/kartor_geotiff/S 3581-2025 georefererad karta.tif", "S 3581-2025")</f>
        <v/>
      </c>
      <c r="AA68">
        <f>HYPERLINK("https://klasma.github.io/Logging_2101/klagomål/S 3581-2025 FSC-klagomål.docx", "S 3581-2025")</f>
        <v/>
      </c>
      <c r="AB68">
        <f>HYPERLINK("https://klasma.github.io/Logging_2101/klagomålsmail/S 3581-2025 FSC-klagomål mail.docx", "S 3581-2025")</f>
        <v/>
      </c>
      <c r="AC68">
        <f>HYPERLINK("https://klasma.github.io/Logging_2101/tillsyn/S 3581-2025 tillsynsbegäran.docx", "S 3581-2025")</f>
        <v/>
      </c>
      <c r="AD68">
        <f>HYPERLINK("https://klasma.github.io/Logging_2101/tillsynsmail/S 3581-2025 tillsynsbegäran mail.docx", "S 3581-2025")</f>
        <v/>
      </c>
    </row>
    <row r="69" ht="15" customHeight="1">
      <c r="A69" t="inlineStr">
        <is>
          <t>A 34722-2022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46301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46301</v>
      </c>
      <c r="F70" t="inlineStr">
        <is>
          <t>GÄVLEBORGS LÄN</t>
        </is>
      </c>
      <c r="G70" t="inlineStr">
        <is>
          <t>OCKELBO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46301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46301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46301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46301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46301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46301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46301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46301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46301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46301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46301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44881</v>
      </c>
      <c r="E82" s="1" t="n">
        <v>46301</v>
      </c>
      <c r="F82" t="inlineStr">
        <is>
          <t>GÄVLEBORGS LÄN</t>
        </is>
      </c>
      <c r="G82" t="inlineStr">
        <is>
          <t>OCKELBO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46301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46301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46301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46301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46301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46301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44480</v>
      </c>
      <c r="E89" s="1" t="n">
        <v>46301</v>
      </c>
      <c r="F89" t="inlineStr">
        <is>
          <t>GÄVLEBORGS LÄN</t>
        </is>
      </c>
      <c r="G89" t="inlineStr">
        <is>
          <t>OCKELBO</t>
        </is>
      </c>
      <c r="I89" t="n">
        <v>10.8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46301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46301</v>
      </c>
      <c r="F91" t="inlineStr">
        <is>
          <t>GÄVLEBORGS LÄN</t>
        </is>
      </c>
      <c r="G91" t="inlineStr">
        <is>
          <t>OCKELBO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45527</v>
      </c>
      <c r="E92" s="1" t="n">
        <v>46301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12.2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46301</v>
      </c>
      <c r="F93" t="inlineStr">
        <is>
          <t>GÄVLEBORGS LÄN</t>
        </is>
      </c>
      <c r="G93" t="inlineStr">
        <is>
          <t>OCKELBO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46301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46301</v>
      </c>
      <c r="F95" t="inlineStr">
        <is>
          <t>GÄVLEBORGS LÄN</t>
        </is>
      </c>
      <c r="G95" t="inlineStr">
        <is>
          <t>OCKELBO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46301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43799-2022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46301</v>
      </c>
      <c r="F97" t="inlineStr">
        <is>
          <t>GÄVLEBORGS LÄN</t>
        </is>
      </c>
      <c r="G97" t="inlineStr">
        <is>
          <t>OCKELBO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55422-2022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44887</v>
      </c>
      <c r="E98" s="1" t="n">
        <v>46301</v>
      </c>
      <c r="F98" t="inlineStr">
        <is>
          <t>GÄVLEBORGS LÄN</t>
        </is>
      </c>
      <c r="G98" t="inlineStr">
        <is>
          <t>OCKELBO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46301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46301</v>
      </c>
      <c r="F100" t="inlineStr">
        <is>
          <t>GÄVLEBORGS LÄN</t>
        </is>
      </c>
      <c r="G100" t="inlineStr">
        <is>
          <t>OCKELBO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23072-2024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45450</v>
      </c>
      <c r="E101" s="1" t="n">
        <v>46301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46301</v>
      </c>
      <c r="F102" t="inlineStr">
        <is>
          <t>GÄVLEBORGS LÄN</t>
        </is>
      </c>
      <c r="G102" t="inlineStr">
        <is>
          <t>OCKELBO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5571-2024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45334</v>
      </c>
      <c r="E103" s="1" t="n">
        <v>46301</v>
      </c>
      <c r="F103" t="inlineStr">
        <is>
          <t>GÄVLEBORGS LÄN</t>
        </is>
      </c>
      <c r="G103" t="inlineStr">
        <is>
          <t>OCKELBO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46301</v>
      </c>
      <c r="F104" t="inlineStr">
        <is>
          <t>GÄVLEBORGS LÄN</t>
        </is>
      </c>
      <c r="G104" t="inlineStr">
        <is>
          <t>OCKELBO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45481</v>
      </c>
      <c r="E105" s="1" t="n">
        <v>46301</v>
      </c>
      <c r="F105" t="inlineStr">
        <is>
          <t>GÄVLEBORGS LÄN</t>
        </is>
      </c>
      <c r="G105" t="inlineStr">
        <is>
          <t>OCKELBO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46301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45490</v>
      </c>
      <c r="E107" s="1" t="n">
        <v>46301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46301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45342</v>
      </c>
      <c r="E109" s="1" t="n">
        <v>46301</v>
      </c>
      <c r="F109" t="inlineStr">
        <is>
          <t>GÄVLEBORGS LÄN</t>
        </is>
      </c>
      <c r="G109" t="inlineStr">
        <is>
          <t>OCKELBO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33880-2023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45134</v>
      </c>
      <c r="E110" s="1" t="n">
        <v>46301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45534</v>
      </c>
      <c r="E111" s="1" t="n">
        <v>46301</v>
      </c>
      <c r="F111" t="inlineStr">
        <is>
          <t>GÄVLEBORGS LÄN</t>
        </is>
      </c>
      <c r="G111" t="inlineStr">
        <is>
          <t>OCKELBO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45239</v>
      </c>
      <c r="E112" s="1" t="n">
        <v>46301</v>
      </c>
      <c r="F112" t="inlineStr">
        <is>
          <t>GÄVLEBORGS LÄN</t>
        </is>
      </c>
      <c r="G112" t="inlineStr">
        <is>
          <t>OCKELBO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46301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46301</v>
      </c>
      <c r="F114" t="inlineStr">
        <is>
          <t>GÄVLEBORGS LÄN</t>
        </is>
      </c>
      <c r="G114" t="inlineStr">
        <is>
          <t>OCKELBO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46301</v>
      </c>
      <c r="F115" t="inlineStr">
        <is>
          <t>GÄVLEBORGS LÄN</t>
        </is>
      </c>
      <c r="G115" t="inlineStr">
        <is>
          <t>OCKELBO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44889</v>
      </c>
      <c r="E116" s="1" t="n">
        <v>46301</v>
      </c>
      <c r="F116" t="inlineStr">
        <is>
          <t>GÄVLEBORGS LÄN</t>
        </is>
      </c>
      <c r="G116" t="inlineStr">
        <is>
          <t>OCKELBO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46301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46301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46301</v>
      </c>
      <c r="F119" t="inlineStr">
        <is>
          <t>GÄVLEBORGS LÄN</t>
        </is>
      </c>
      <c r="G119" t="inlineStr">
        <is>
          <t>OCKELBO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46041</v>
      </c>
      <c r="E120" s="1" t="n">
        <v>46301</v>
      </c>
      <c r="F120" t="inlineStr">
        <is>
          <t>GÄVLEBORGS LÄN</t>
        </is>
      </c>
      <c r="G120" t="inlineStr">
        <is>
          <t>OCKELBO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45280</v>
      </c>
      <c r="E121" s="1" t="n">
        <v>46301</v>
      </c>
      <c r="F121" t="inlineStr">
        <is>
          <t>GÄVLEBORGS LÄN</t>
        </is>
      </c>
      <c r="G121" t="inlineStr">
        <is>
          <t>OCKELBO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3216-2026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46041</v>
      </c>
      <c r="E122" s="1" t="n">
        <v>46301</v>
      </c>
      <c r="F122" t="inlineStr">
        <is>
          <t>GÄVLEBORGS LÄN</t>
        </is>
      </c>
      <c r="G122" t="inlineStr">
        <is>
          <t>OCKELBO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46044</v>
      </c>
      <c r="E123" s="1" t="n">
        <v>46301</v>
      </c>
      <c r="F123" t="inlineStr">
        <is>
          <t>GÄVLEBORGS LÄN</t>
        </is>
      </c>
      <c r="G123" t="inlineStr">
        <is>
          <t>OCKELBO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45817</v>
      </c>
      <c r="E124" s="1" t="n">
        <v>46301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46301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45817</v>
      </c>
      <c r="E126" s="1" t="n">
        <v>46301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46044</v>
      </c>
      <c r="E127" s="1" t="n">
        <v>46301</v>
      </c>
      <c r="F127" t="inlineStr">
        <is>
          <t>GÄVLEBORGS LÄN</t>
        </is>
      </c>
      <c r="G127" t="inlineStr">
        <is>
          <t>OCKELBO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45817</v>
      </c>
      <c r="E128" s="1" t="n">
        <v>46301</v>
      </c>
      <c r="F128" t="inlineStr">
        <is>
          <t>GÄVLEBORGS LÄN</t>
        </is>
      </c>
      <c r="G128" t="inlineStr">
        <is>
          <t>OCKELBO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46301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46301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46301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46043</v>
      </c>
      <c r="E132" s="1" t="n">
        <v>46301</v>
      </c>
      <c r="F132" t="inlineStr">
        <is>
          <t>GÄVLEBORGS LÄN</t>
        </is>
      </c>
      <c r="G132" t="inlineStr">
        <is>
          <t>OCKELBO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46043</v>
      </c>
      <c r="E133" s="1" t="n">
        <v>46301</v>
      </c>
      <c r="F133" t="inlineStr">
        <is>
          <t>GÄVLEBORGS LÄN</t>
        </is>
      </c>
      <c r="G133" t="inlineStr">
        <is>
          <t>OCKELBO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46301</v>
      </c>
      <c r="F134" t="inlineStr">
        <is>
          <t>GÄVLEBORGS LÄN</t>
        </is>
      </c>
      <c r="G134" t="inlineStr">
        <is>
          <t>OCKELBO</t>
        </is>
      </c>
      <c r="H134" t="inlineStr">
        <is>
          <t>Kyrkan</t>
        </is>
      </c>
      <c r="I134" t="n">
        <v>12.5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46301</v>
      </c>
      <c r="F135" t="inlineStr">
        <is>
          <t>GÄVLEBORGS LÄN</t>
        </is>
      </c>
      <c r="G135" t="inlineStr">
        <is>
          <t>OCKELBO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46301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46301</v>
      </c>
      <c r="F137" t="inlineStr">
        <is>
          <t>GÄVLEBORGS LÄN</t>
        </is>
      </c>
      <c r="G137" t="inlineStr">
        <is>
          <t>OCKELBO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46301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46301</v>
      </c>
      <c r="F139" t="inlineStr">
        <is>
          <t>GÄVLEBORGS LÄN</t>
        </is>
      </c>
      <c r="G139" t="inlineStr">
        <is>
          <t>OCKELBO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46301</v>
      </c>
      <c r="F140" t="inlineStr">
        <is>
          <t>GÄVLEBORGS LÄN</t>
        </is>
      </c>
      <c r="G140" t="inlineStr">
        <is>
          <t>OCKELBO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46301</v>
      </c>
      <c r="F141" t="inlineStr">
        <is>
          <t>GÄVLEBORGS LÄN</t>
        </is>
      </c>
      <c r="G141" t="inlineStr">
        <is>
          <t>OCKELBO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46301</v>
      </c>
      <c r="F142" t="inlineStr">
        <is>
          <t>GÄVLEBORGS LÄN</t>
        </is>
      </c>
      <c r="G142" t="inlineStr">
        <is>
          <t>OCKELBO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46301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46301</v>
      </c>
      <c r="F144" t="inlineStr">
        <is>
          <t>GÄVLEBORGS LÄN</t>
        </is>
      </c>
      <c r="G144" t="inlineStr">
        <is>
          <t>OCKELBO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46301</v>
      </c>
      <c r="F145" t="inlineStr">
        <is>
          <t>GÄVLEBORGS LÄN</t>
        </is>
      </c>
      <c r="G145" t="inlineStr">
        <is>
          <t>OCKELBO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46301</v>
      </c>
      <c r="F146" t="inlineStr">
        <is>
          <t>GÄVLEBORGS LÄN</t>
        </is>
      </c>
      <c r="G146" t="inlineStr">
        <is>
          <t>OCKELBO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46301</v>
      </c>
      <c r="F147" t="inlineStr">
        <is>
          <t>GÄVLEBORGS LÄN</t>
        </is>
      </c>
      <c r="G147" t="inlineStr">
        <is>
          <t>OCKELBO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46301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46301</v>
      </c>
      <c r="F149" t="inlineStr">
        <is>
          <t>GÄVLEBORGS LÄN</t>
        </is>
      </c>
      <c r="G149" t="inlineStr">
        <is>
          <t>OCKELBO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46050</v>
      </c>
      <c r="E150" s="1" t="n">
        <v>46301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46301</v>
      </c>
      <c r="F151" t="inlineStr">
        <is>
          <t>GÄVLEBORGS LÄN</t>
        </is>
      </c>
      <c r="G151" t="inlineStr">
        <is>
          <t>OCKELBO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46301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46050</v>
      </c>
      <c r="E153" s="1" t="n">
        <v>46301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46301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46301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46301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46301</v>
      </c>
      <c r="F157" t="inlineStr">
        <is>
          <t>GÄVLEBORGS LÄN</t>
        </is>
      </c>
      <c r="G157" t="inlineStr">
        <is>
          <t>OCKELBO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46301</v>
      </c>
      <c r="F158" t="inlineStr">
        <is>
          <t>GÄVLEBORGS LÄN</t>
        </is>
      </c>
      <c r="G158" t="inlineStr">
        <is>
          <t>OCKELBO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46301</v>
      </c>
      <c r="F159" t="inlineStr">
        <is>
          <t>GÄVLEBORGS LÄN</t>
        </is>
      </c>
      <c r="G159" t="inlineStr">
        <is>
          <t>OCKELBO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46301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46301</v>
      </c>
      <c r="F161" t="inlineStr">
        <is>
          <t>GÄVLEBORGS LÄN</t>
        </is>
      </c>
      <c r="G161" t="inlineStr">
        <is>
          <t>OCKELBO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46301</v>
      </c>
      <c r="F162" t="inlineStr">
        <is>
          <t>GÄVLEBORGS LÄN</t>
        </is>
      </c>
      <c r="G162" t="inlineStr">
        <is>
          <t>OCKELBO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46051</v>
      </c>
      <c r="E163" s="1" t="n">
        <v>46301</v>
      </c>
      <c r="F163" t="inlineStr">
        <is>
          <t>GÄVLEBORGS LÄN</t>
        </is>
      </c>
      <c r="G163" t="inlineStr">
        <is>
          <t>OCKELBO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44950</v>
      </c>
      <c r="E164" s="1" t="n">
        <v>46301</v>
      </c>
      <c r="F164" t="inlineStr">
        <is>
          <t>GÄVLEBORGS LÄN</t>
        </is>
      </c>
      <c r="G164" t="inlineStr">
        <is>
          <t>OCKELBO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46301</v>
      </c>
      <c r="F165" t="inlineStr">
        <is>
          <t>GÄVLEBORGS LÄN</t>
        </is>
      </c>
      <c r="G165" t="inlineStr">
        <is>
          <t>OCKELBO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46301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46301</v>
      </c>
      <c r="F167" t="inlineStr">
        <is>
          <t>GÄVLEBORGS LÄN</t>
        </is>
      </c>
      <c r="G167" t="inlineStr">
        <is>
          <t>OCKELBO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46301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46053</v>
      </c>
      <c r="E169" s="1" t="n">
        <v>46301</v>
      </c>
      <c r="F169" t="inlineStr">
        <is>
          <t>GÄVLEBORGS LÄN</t>
        </is>
      </c>
      <c r="G169" t="inlineStr">
        <is>
          <t>OCKELBO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46301</v>
      </c>
      <c r="F170" t="inlineStr">
        <is>
          <t>GÄVLEBORGS LÄN</t>
        </is>
      </c>
      <c r="G170" t="inlineStr">
        <is>
          <t>OCKELBO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45497</v>
      </c>
      <c r="E171" s="1" t="n">
        <v>46301</v>
      </c>
      <c r="F171" t="inlineStr">
        <is>
          <t>GÄVLEBORGS LÄN</t>
        </is>
      </c>
      <c r="G171" t="inlineStr">
        <is>
          <t>OCKELBO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46056</v>
      </c>
      <c r="E172" s="1" t="n">
        <v>46301</v>
      </c>
      <c r="F172" t="inlineStr">
        <is>
          <t>GÄVLEBORGS LÄN</t>
        </is>
      </c>
      <c r="G172" t="inlineStr">
        <is>
          <t>OCKELBO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46056</v>
      </c>
      <c r="E173" s="1" t="n">
        <v>46301</v>
      </c>
      <c r="F173" t="inlineStr">
        <is>
          <t>GÄVLEBORGS LÄN</t>
        </is>
      </c>
      <c r="G173" t="inlineStr">
        <is>
          <t>OCKELBO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46056</v>
      </c>
      <c r="E174" s="1" t="n">
        <v>46301</v>
      </c>
      <c r="F174" t="inlineStr">
        <is>
          <t>GÄVLEBORGS LÄN</t>
        </is>
      </c>
      <c r="G174" t="inlineStr">
        <is>
          <t>OCKELBO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45109</v>
      </c>
      <c r="E175" s="1" t="n">
        <v>46301</v>
      </c>
      <c r="F175" t="inlineStr">
        <is>
          <t>GÄVLEBORGS LÄN</t>
        </is>
      </c>
      <c r="G175" t="inlineStr">
        <is>
          <t>OCKELBO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46301</v>
      </c>
      <c r="F176" t="inlineStr">
        <is>
          <t>GÄVLEBORGS LÄN</t>
        </is>
      </c>
      <c r="G176" t="inlineStr">
        <is>
          <t>OCKELBO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46301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46301</v>
      </c>
      <c r="F178" t="inlineStr">
        <is>
          <t>GÄVLEBORGS LÄN</t>
        </is>
      </c>
      <c r="G178" t="inlineStr">
        <is>
          <t>OCKELBO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46301</v>
      </c>
      <c r="F179" t="inlineStr">
        <is>
          <t>GÄVLEBORGS LÄN</t>
        </is>
      </c>
      <c r="G179" t="inlineStr">
        <is>
          <t>OCKELBO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45073</v>
      </c>
      <c r="E180" s="1" t="n">
        <v>46301</v>
      </c>
      <c r="F180" t="inlineStr">
        <is>
          <t>GÄVLEBORGS LÄN</t>
        </is>
      </c>
      <c r="G180" t="inlineStr">
        <is>
          <t>OCKELBO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46301</v>
      </c>
      <c r="F181" t="inlineStr">
        <is>
          <t>GÄVLEBORGS LÄN</t>
        </is>
      </c>
      <c r="G181" t="inlineStr">
        <is>
          <t>OCKELBO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46056</v>
      </c>
      <c r="E182" s="1" t="n">
        <v>46301</v>
      </c>
      <c r="F182" t="inlineStr">
        <is>
          <t>GÄVLEBORGS LÄN</t>
        </is>
      </c>
      <c r="G182" t="inlineStr">
        <is>
          <t>OCKELBO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46301</v>
      </c>
      <c r="F183" t="inlineStr">
        <is>
          <t>GÄVLEBORGS LÄN</t>
        </is>
      </c>
      <c r="G183" t="inlineStr">
        <is>
          <t>OCKELBO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46301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49207-2023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45210</v>
      </c>
      <c r="E185" s="1" t="n">
        <v>46301</v>
      </c>
      <c r="F185" t="inlineStr">
        <is>
          <t>GÄVLEBORGS LÄN</t>
        </is>
      </c>
      <c r="G185" t="inlineStr">
        <is>
          <t>OCKELBO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46056</v>
      </c>
      <c r="E186" s="1" t="n">
        <v>46301</v>
      </c>
      <c r="F186" t="inlineStr">
        <is>
          <t>GÄVLEBORGS LÄN</t>
        </is>
      </c>
      <c r="G186" t="inlineStr">
        <is>
          <t>OCKELBO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46056</v>
      </c>
      <c r="E187" s="1" t="n">
        <v>46301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9.4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35017-2025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45851</v>
      </c>
      <c r="E188" s="1" t="n">
        <v>46301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27.8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45777</v>
      </c>
      <c r="E189" s="1" t="n">
        <v>46301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46301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24.8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46301</v>
      </c>
      <c r="F191" t="inlineStr">
        <is>
          <t>GÄVLEBORGS LÄN</t>
        </is>
      </c>
      <c r="G191" t="inlineStr">
        <is>
          <t>OCKELBO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46301</v>
      </c>
      <c r="F192" t="inlineStr">
        <is>
          <t>GÄVLEBORGS LÄN</t>
        </is>
      </c>
      <c r="G192" t="inlineStr">
        <is>
          <t>OCKELBO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46301</v>
      </c>
      <c r="F193" t="inlineStr">
        <is>
          <t>GÄVLEBORGS LÄN</t>
        </is>
      </c>
      <c r="G193" t="inlineStr">
        <is>
          <t>OCKELBO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46301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46301</v>
      </c>
      <c r="F195" t="inlineStr">
        <is>
          <t>GÄVLEBORGS LÄN</t>
        </is>
      </c>
      <c r="G195" t="inlineStr">
        <is>
          <t>OCKELBO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22824-2024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45448</v>
      </c>
      <c r="E196" s="1" t="n">
        <v>46301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46301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64609-2023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46301</v>
      </c>
      <c r="F198" t="inlineStr">
        <is>
          <t>GÄVLEBORGS LÄN</t>
        </is>
      </c>
      <c r="G198" t="inlineStr">
        <is>
          <t>OCKELBO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46301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46301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öst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65259-2023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45291</v>
      </c>
      <c r="E201" s="1" t="n">
        <v>46301</v>
      </c>
      <c r="F201" t="inlineStr">
        <is>
          <t>GÄVLEBORGS LÄN</t>
        </is>
      </c>
      <c r="G201" t="inlineStr">
        <is>
          <t>OCKELBO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46301</v>
      </c>
      <c r="F202" t="inlineStr">
        <is>
          <t>GÄVLEBORGS LÄN</t>
        </is>
      </c>
      <c r="G202" t="inlineStr">
        <is>
          <t>OCKELBO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46301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46301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46301</v>
      </c>
      <c r="F205" t="inlineStr">
        <is>
          <t>GÄVLEBORGS LÄN</t>
        </is>
      </c>
      <c r="G205" t="inlineStr">
        <is>
          <t>OCKELBO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46301</v>
      </c>
      <c r="F206" t="inlineStr">
        <is>
          <t>GÄVLEBORGS LÄN</t>
        </is>
      </c>
      <c r="G206" t="inlineStr">
        <is>
          <t>OCKELBO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46301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48221-2024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46301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46301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46301</v>
      </c>
      <c r="F210" t="inlineStr">
        <is>
          <t>GÄVLEBORGS LÄN</t>
        </is>
      </c>
      <c r="G210" t="inlineStr">
        <is>
          <t>OCKELBO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61622-2021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46301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46301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46301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67768-2021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46301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46301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46059</v>
      </c>
      <c r="E216" s="1" t="n">
        <v>46301</v>
      </c>
      <c r="F216" t="inlineStr">
        <is>
          <t>GÄVLEBORGS LÄN</t>
        </is>
      </c>
      <c r="G216" t="inlineStr">
        <is>
          <t>OCKELBO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46301</v>
      </c>
      <c r="F217" t="inlineStr">
        <is>
          <t>GÄVLEBORGS LÄN</t>
        </is>
      </c>
      <c r="G217" t="inlineStr">
        <is>
          <t>OCKELBO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46301</v>
      </c>
      <c r="F218" t="inlineStr">
        <is>
          <t>GÄVLEBORGS LÄN</t>
        </is>
      </c>
      <c r="G218" t="inlineStr">
        <is>
          <t>OCKELBO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45602</v>
      </c>
      <c r="E219" s="1" t="n">
        <v>46301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45602</v>
      </c>
      <c r="E220" s="1" t="n">
        <v>46301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45602</v>
      </c>
      <c r="E221" s="1" t="n">
        <v>46301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44816</v>
      </c>
      <c r="E222" s="1" t="n">
        <v>46301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45027</v>
      </c>
      <c r="E223" s="1" t="n">
        <v>46301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52140-2024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46301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46301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45644</v>
      </c>
      <c r="E226" s="1" t="n">
        <v>46301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46301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66825-2021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44522</v>
      </c>
      <c r="E228" s="1" t="n">
        <v>46301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46301</v>
      </c>
      <c r="F229" t="inlineStr">
        <is>
          <t>GÄVLEBORGS LÄN</t>
        </is>
      </c>
      <c r="G229" t="inlineStr">
        <is>
          <t>OCKELBO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46301</v>
      </c>
      <c r="F230" t="inlineStr">
        <is>
          <t>GÄVLEBORGS LÄN</t>
        </is>
      </c>
      <c r="G230" t="inlineStr">
        <is>
          <t>OCKELBO</t>
        </is>
      </c>
      <c r="H230" t="inlineStr">
        <is>
          <t>Kyrkan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46301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46301</v>
      </c>
      <c r="F232" t="inlineStr">
        <is>
          <t>GÄVLEBORGS LÄN</t>
        </is>
      </c>
      <c r="G232" t="inlineStr">
        <is>
          <t>OCKELBO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46301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52335-2024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45609</v>
      </c>
      <c r="E234" s="1" t="n">
        <v>46301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46064</v>
      </c>
      <c r="E235" s="1" t="n">
        <v>46301</v>
      </c>
      <c r="F235" t="inlineStr">
        <is>
          <t>GÄVLEBORGS LÄN</t>
        </is>
      </c>
      <c r="G235" t="inlineStr">
        <is>
          <t>OCKELBO</t>
        </is>
      </c>
      <c r="I235" t="n">
        <v>17.4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8274-2026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46064</v>
      </c>
      <c r="E236" s="1" t="n">
        <v>46301</v>
      </c>
      <c r="F236" t="inlineStr">
        <is>
          <t>GÄVLEBORGS LÄN</t>
        </is>
      </c>
      <c r="G236" t="inlineStr">
        <is>
          <t>OCKELBO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46301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45611</v>
      </c>
      <c r="E238" s="1" t="n">
        <v>46301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46301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46301</v>
      </c>
      <c r="F240" t="inlineStr">
        <is>
          <t>GÄVLEBORGS LÄN</t>
        </is>
      </c>
      <c r="G240" t="inlineStr">
        <is>
          <t>OCKELBO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46301</v>
      </c>
      <c r="F241" t="inlineStr">
        <is>
          <t>GÄVLEBORGS LÄN</t>
        </is>
      </c>
      <c r="G241" t="inlineStr">
        <is>
          <t>OCKELBO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49008-2025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46301</v>
      </c>
      <c r="F242" t="inlineStr">
        <is>
          <t>GÄVLEBORGS LÄN</t>
        </is>
      </c>
      <c r="G242" t="inlineStr">
        <is>
          <t>OCKELBO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46301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46301</v>
      </c>
      <c r="F244" t="inlineStr">
        <is>
          <t>GÄVLEBORGS LÄN</t>
        </is>
      </c>
      <c r="G244" t="inlineStr">
        <is>
          <t>OCKELBO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46065</v>
      </c>
      <c r="E245" s="1" t="n">
        <v>46301</v>
      </c>
      <c r="F245" t="inlineStr">
        <is>
          <t>GÄVLEBORGS LÄN</t>
        </is>
      </c>
      <c r="G245" t="inlineStr">
        <is>
          <t>OCKELBO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46301</v>
      </c>
      <c r="F246" t="inlineStr">
        <is>
          <t>GÄVLEBORGS LÄN</t>
        </is>
      </c>
      <c r="G246" t="inlineStr">
        <is>
          <t>OCKELBO</t>
        </is>
      </c>
      <c r="I246" t="n">
        <v>11.1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46301</v>
      </c>
      <c r="F247" t="inlineStr">
        <is>
          <t>GÄVLEBORGS LÄN</t>
        </is>
      </c>
      <c r="G247" t="inlineStr">
        <is>
          <t>OCKELBO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46301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46301</v>
      </c>
      <c r="F249" t="inlineStr">
        <is>
          <t>GÄVLEBORGS LÄN</t>
        </is>
      </c>
      <c r="G249" t="inlineStr">
        <is>
          <t>OCKELBO</t>
        </is>
      </c>
      <c r="I249" t="n">
        <v>8.1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46301</v>
      </c>
      <c r="F250" t="inlineStr">
        <is>
          <t>GÄVLEBORGS LÄN</t>
        </is>
      </c>
      <c r="G250" t="inlineStr">
        <is>
          <t>OCKELBO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46301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46301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46301</v>
      </c>
      <c r="F253" t="inlineStr">
        <is>
          <t>GÄVLEBORGS LÄN</t>
        </is>
      </c>
      <c r="G253" t="inlineStr">
        <is>
          <t>OCKELBO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46301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46301</v>
      </c>
      <c r="F255" t="inlineStr">
        <is>
          <t>GÄVLEBORGS LÄN</t>
        </is>
      </c>
      <c r="G255" t="inlineStr">
        <is>
          <t>OCKELBO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46301</v>
      </c>
      <c r="F256" t="inlineStr">
        <is>
          <t>GÄVLEBORGS LÄN</t>
        </is>
      </c>
      <c r="G256" t="inlineStr">
        <is>
          <t>OCKELBO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46301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46301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46301</v>
      </c>
      <c r="F259" t="inlineStr">
        <is>
          <t>GÄVLEBORGS LÄN</t>
        </is>
      </c>
      <c r="G259" t="inlineStr">
        <is>
          <t>OCKELBO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46301</v>
      </c>
      <c r="F260" t="inlineStr">
        <is>
          <t>GÄVLEBORGS LÄN</t>
        </is>
      </c>
      <c r="G260" t="inlineStr">
        <is>
          <t>OCKELBO</t>
        </is>
      </c>
      <c r="I260" t="n">
        <v>10.4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38652-2025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45884</v>
      </c>
      <c r="E261" s="1" t="n">
        <v>46301</v>
      </c>
      <c r="F261" t="inlineStr">
        <is>
          <t>GÄVLEBORGS LÄN</t>
        </is>
      </c>
      <c r="G261" t="inlineStr">
        <is>
          <t>OCKELBO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46301</v>
      </c>
      <c r="F262" t="inlineStr">
        <is>
          <t>GÄVLEBORGS LÄN</t>
        </is>
      </c>
      <c r="G262" t="inlineStr">
        <is>
          <t>OCKELBO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46301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46301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12.1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46301</v>
      </c>
      <c r="F265" t="inlineStr">
        <is>
          <t>GÄVLEBORGS LÄN</t>
        </is>
      </c>
      <c r="G265" t="inlineStr">
        <is>
          <t>OCKELBO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46077</v>
      </c>
      <c r="E266" s="1" t="n">
        <v>46301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46301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46301</v>
      </c>
      <c r="F268" t="inlineStr">
        <is>
          <t>GÄVLEBORGS LÄN</t>
        </is>
      </c>
      <c r="G268" t="inlineStr">
        <is>
          <t>OCKELBO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45666</v>
      </c>
      <c r="E269" s="1" t="n">
        <v>46301</v>
      </c>
      <c r="F269" t="inlineStr">
        <is>
          <t>GÄVLEBORGS LÄN</t>
        </is>
      </c>
      <c r="G269" t="inlineStr">
        <is>
          <t>OCKELBO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32011-2024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45510</v>
      </c>
      <c r="E270" s="1" t="n">
        <v>46301</v>
      </c>
      <c r="F270" t="inlineStr">
        <is>
          <t>GÄVLEBORGS LÄN</t>
        </is>
      </c>
      <c r="G270" t="inlineStr">
        <is>
          <t>OCKELBO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46077</v>
      </c>
      <c r="E271" s="1" t="n">
        <v>46301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öst AB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45511</v>
      </c>
      <c r="E272" s="1" t="n">
        <v>46301</v>
      </c>
      <c r="F272" t="inlineStr">
        <is>
          <t>GÄVLEBORGS LÄN</t>
        </is>
      </c>
      <c r="G272" t="inlineStr">
        <is>
          <t>OCKELBO</t>
        </is>
      </c>
      <c r="I272" t="n">
        <v>11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46301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46077</v>
      </c>
      <c r="E274" s="1" t="n">
        <v>46301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öst AB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45070</v>
      </c>
      <c r="E275" s="1" t="n">
        <v>46301</v>
      </c>
      <c r="F275" t="inlineStr">
        <is>
          <t>GÄVLEBORGS LÄN</t>
        </is>
      </c>
      <c r="G275" t="inlineStr">
        <is>
          <t>OCKELBO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46301</v>
      </c>
      <c r="F276" t="inlineStr">
        <is>
          <t>GÄVLEBORGS LÄN</t>
        </is>
      </c>
      <c r="G276" t="inlineStr">
        <is>
          <t>OCKELBO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46301</v>
      </c>
      <c r="F277" t="inlineStr">
        <is>
          <t>GÄVLEBORGS LÄN</t>
        </is>
      </c>
      <c r="G277" t="inlineStr">
        <is>
          <t>OCKELBO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46301</v>
      </c>
      <c r="F278" t="inlineStr">
        <is>
          <t>GÄVLEBORGS LÄN</t>
        </is>
      </c>
      <c r="G278" t="inlineStr">
        <is>
          <t>OCKELBO</t>
        </is>
      </c>
      <c r="H278" t="inlineStr">
        <is>
          <t>Kyrkan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46301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öst AB</t>
        </is>
      </c>
      <c r="I279" t="n">
        <v>45.7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46301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46301</v>
      </c>
      <c r="F281" t="inlineStr">
        <is>
          <t>GÄVLEBORGS LÄN</t>
        </is>
      </c>
      <c r="G281" t="inlineStr">
        <is>
          <t>OCKELBO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46078</v>
      </c>
      <c r="E282" s="1" t="n">
        <v>46301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52461-2025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46301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46301</v>
      </c>
      <c r="F284" t="inlineStr">
        <is>
          <t>GÄVLEBORGS LÄN</t>
        </is>
      </c>
      <c r="G284" t="inlineStr">
        <is>
          <t>OCKELBO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46301</v>
      </c>
      <c r="F285" t="inlineStr">
        <is>
          <t>GÄVLEBORGS LÄN</t>
        </is>
      </c>
      <c r="G285" t="inlineStr">
        <is>
          <t>OCKELBO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46301</v>
      </c>
      <c r="F286" t="inlineStr">
        <is>
          <t>GÄVLEBORGS LÄN</t>
        </is>
      </c>
      <c r="G286" t="inlineStr">
        <is>
          <t>OCKELBO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46301</v>
      </c>
      <c r="F287" t="inlineStr">
        <is>
          <t>GÄVLEBORGS LÄN</t>
        </is>
      </c>
      <c r="G287" t="inlineStr">
        <is>
          <t>OCKELBO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46301</v>
      </c>
      <c r="F288" t="inlineStr">
        <is>
          <t>GÄVLEBORGS LÄN</t>
        </is>
      </c>
      <c r="G288" t="inlineStr">
        <is>
          <t>OCKELBO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45699</v>
      </c>
      <c r="E289" s="1" t="n">
        <v>46301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46301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46301</v>
      </c>
      <c r="F291" t="inlineStr">
        <is>
          <t>GÄVLEBORGS LÄN</t>
        </is>
      </c>
      <c r="G291" t="inlineStr">
        <is>
          <t>OCKELBO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46301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öst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46301</v>
      </c>
      <c r="F293" t="inlineStr">
        <is>
          <t>GÄVLEBORGS LÄN</t>
        </is>
      </c>
      <c r="G293" t="inlineStr">
        <is>
          <t>OCKELBO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46083</v>
      </c>
      <c r="E294" s="1" t="n">
        <v>46301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46080</v>
      </c>
      <c r="E295" s="1" t="n">
        <v>46301</v>
      </c>
      <c r="F295" t="inlineStr">
        <is>
          <t>GÄVLEBORGS LÄN</t>
        </is>
      </c>
      <c r="G295" t="inlineStr">
        <is>
          <t>OCKELBO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18326-2026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46126</v>
      </c>
      <c r="E296" s="1" t="n">
        <v>46301</v>
      </c>
      <c r="F296" t="inlineStr">
        <is>
          <t>GÄVLEBORGS LÄN</t>
        </is>
      </c>
      <c r="G296" t="inlineStr">
        <is>
          <t>OCKELBO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46301</v>
      </c>
      <c r="F297" t="inlineStr">
        <is>
          <t>GÄVLEBORGS LÄN</t>
        </is>
      </c>
      <c r="G297" t="inlineStr">
        <is>
          <t>OCKELBO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46301</v>
      </c>
      <c r="F298" t="inlineStr">
        <is>
          <t>GÄVLEBORGS LÄN</t>
        </is>
      </c>
      <c r="G298" t="inlineStr">
        <is>
          <t>OCKELBO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29567-2024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45484</v>
      </c>
      <c r="E299" s="1" t="n">
        <v>46301</v>
      </c>
      <c r="F299" t="inlineStr">
        <is>
          <t>GÄVLEBORGS LÄN</t>
        </is>
      </c>
      <c r="G299" t="inlineStr">
        <is>
          <t>OCKELBO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46089</v>
      </c>
      <c r="E300" s="1" t="n">
        <v>46301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29.9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12716-2026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46301</v>
      </c>
      <c r="F301" t="inlineStr">
        <is>
          <t>GÄVLEBORGS LÄN</t>
        </is>
      </c>
      <c r="G301" t="inlineStr">
        <is>
          <t>OCKELBO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46301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46093</v>
      </c>
      <c r="E303" s="1" t="n">
        <v>46301</v>
      </c>
      <c r="F303" t="inlineStr">
        <is>
          <t>GÄVLEBORGS LÄN</t>
        </is>
      </c>
      <c r="G303" t="inlineStr">
        <is>
          <t>OCKELBO</t>
        </is>
      </c>
      <c r="I303" t="n">
        <v>6.4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46301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46301</v>
      </c>
      <c r="F305" t="inlineStr">
        <is>
          <t>GÄVLEBORGS LÄN</t>
        </is>
      </c>
      <c r="G305" t="inlineStr">
        <is>
          <t>OCKELBO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46301</v>
      </c>
      <c r="F306" t="inlineStr">
        <is>
          <t>GÄVLEBORGS LÄN</t>
        </is>
      </c>
      <c r="G306" t="inlineStr">
        <is>
          <t>OCKELBO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46301</v>
      </c>
      <c r="F307" t="inlineStr">
        <is>
          <t>GÄVLEBORGS LÄN</t>
        </is>
      </c>
      <c r="G307" t="inlineStr">
        <is>
          <t>OCKELBO</t>
        </is>
      </c>
      <c r="H307" t="inlineStr">
        <is>
          <t>Naturvårdsverket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36210-2024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45534</v>
      </c>
      <c r="E308" s="1" t="n">
        <v>46301</v>
      </c>
      <c r="F308" t="inlineStr">
        <is>
          <t>GÄVLEBORGS LÄN</t>
        </is>
      </c>
      <c r="G308" t="inlineStr">
        <is>
          <t>OCKELBO</t>
        </is>
      </c>
      <c r="H308" t="inlineStr">
        <is>
          <t>Kyrkan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46301</v>
      </c>
      <c r="F309" t="inlineStr">
        <is>
          <t>GÄVLEBORGS LÄN</t>
        </is>
      </c>
      <c r="G309" t="inlineStr">
        <is>
          <t>OCKELBO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46301</v>
      </c>
      <c r="F310" t="inlineStr">
        <is>
          <t>GÄVLEBORGS LÄN</t>
        </is>
      </c>
      <c r="G310" t="inlineStr">
        <is>
          <t>OCKELBO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46301</v>
      </c>
      <c r="F311" t="inlineStr">
        <is>
          <t>GÄVLEBORGS LÄN</t>
        </is>
      </c>
      <c r="G311" t="inlineStr">
        <is>
          <t>OCKELBO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46301</v>
      </c>
      <c r="F312" t="inlineStr">
        <is>
          <t>GÄVLEBORGS LÄN</t>
        </is>
      </c>
      <c r="G312" t="inlineStr">
        <is>
          <t>OCKELBO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46098</v>
      </c>
      <c r="E313" s="1" t="n">
        <v>46301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46098</v>
      </c>
      <c r="E314" s="1" t="n">
        <v>46301</v>
      </c>
      <c r="F314" t="inlineStr">
        <is>
          <t>GÄVLEBORGS LÄN</t>
        </is>
      </c>
      <c r="G314" t="inlineStr">
        <is>
          <t>OCKELBO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46301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46301</v>
      </c>
      <c r="F316" t="inlineStr">
        <is>
          <t>GÄVLEBORGS LÄN</t>
        </is>
      </c>
      <c r="G316" t="inlineStr">
        <is>
          <t>OCKELBO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46301</v>
      </c>
      <c r="F317" t="inlineStr">
        <is>
          <t>GÄVLEBORGS LÄN</t>
        </is>
      </c>
      <c r="G317" t="inlineStr">
        <is>
          <t>OCKELBO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46098</v>
      </c>
      <c r="E318" s="1" t="n">
        <v>46301</v>
      </c>
      <c r="F318" t="inlineStr">
        <is>
          <t>GÄVLEBORGS LÄN</t>
        </is>
      </c>
      <c r="G318" t="inlineStr">
        <is>
          <t>OCKELBO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55632-2025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46301</v>
      </c>
      <c r="F319" t="inlineStr">
        <is>
          <t>GÄVLEBORGS LÄN</t>
        </is>
      </c>
      <c r="G319" t="inlineStr">
        <is>
          <t>OCKELBO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46301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36.6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46301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46301</v>
      </c>
      <c r="F322" t="inlineStr">
        <is>
          <t>GÄVLEBORGS LÄN</t>
        </is>
      </c>
      <c r="G322" t="inlineStr">
        <is>
          <t>OCKELBO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46301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46301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46301</v>
      </c>
      <c r="F325" t="inlineStr">
        <is>
          <t>GÄVLEBORGS LÄN</t>
        </is>
      </c>
      <c r="G325" t="inlineStr">
        <is>
          <t>OCKELBO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46301</v>
      </c>
      <c r="F326" t="inlineStr">
        <is>
          <t>GÄVLEBORGS LÄN</t>
        </is>
      </c>
      <c r="G326" t="inlineStr">
        <is>
          <t>OCKELBO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46301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46301</v>
      </c>
      <c r="F328" t="inlineStr">
        <is>
          <t>GÄVLEBORGS LÄN</t>
        </is>
      </c>
      <c r="G328" t="inlineStr">
        <is>
          <t>OCKELBO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46301</v>
      </c>
      <c r="F329" t="inlineStr">
        <is>
          <t>GÄVLEBORGS LÄN</t>
        </is>
      </c>
      <c r="G329" t="inlineStr">
        <is>
          <t>OCKELBO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14441-2026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46100</v>
      </c>
      <c r="E330" s="1" t="n">
        <v>46301</v>
      </c>
      <c r="F330" t="inlineStr">
        <is>
          <t>GÄVLEBORGS LÄN</t>
        </is>
      </c>
      <c r="G330" t="inlineStr">
        <is>
          <t>OCKELBO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46301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46301</v>
      </c>
      <c r="F332" t="inlineStr">
        <is>
          <t>GÄVLEBORGS LÄN</t>
        </is>
      </c>
      <c r="G332" t="inlineStr">
        <is>
          <t>OCKELBO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45973</v>
      </c>
      <c r="E333" s="1" t="n">
        <v>46301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45698</v>
      </c>
      <c r="E334" s="1" t="n">
        <v>46301</v>
      </c>
      <c r="F334" t="inlineStr">
        <is>
          <t>GÄVLEBORGS LÄN</t>
        </is>
      </c>
      <c r="G334" t="inlineStr">
        <is>
          <t>OCKELBO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46101</v>
      </c>
      <c r="E335" s="1" t="n">
        <v>46301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46301</v>
      </c>
      <c r="F336" t="inlineStr">
        <is>
          <t>GÄVLEBORGS LÄN</t>
        </is>
      </c>
      <c r="G336" t="inlineStr">
        <is>
          <t>OCKELBO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46301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46301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öst AB</t>
        </is>
      </c>
      <c r="I338" t="n">
        <v>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46301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46301</v>
      </c>
      <c r="F340" t="inlineStr">
        <is>
          <t>GÄVLEBORGS LÄN</t>
        </is>
      </c>
      <c r="G340" t="inlineStr">
        <is>
          <t>OCKELBO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46301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34.1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46301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46301</v>
      </c>
      <c r="F343" t="inlineStr">
        <is>
          <t>GÄVLEBORGS LÄN</t>
        </is>
      </c>
      <c r="G343" t="inlineStr">
        <is>
          <t>OCKELBO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46301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46301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46301</v>
      </c>
      <c r="F346" t="inlineStr">
        <is>
          <t>GÄVLEBORGS LÄN</t>
        </is>
      </c>
      <c r="G346" t="inlineStr">
        <is>
          <t>OCKELBO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46301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46301</v>
      </c>
      <c r="F348" t="inlineStr">
        <is>
          <t>GÄVLEBORGS LÄN</t>
        </is>
      </c>
      <c r="G348" t="inlineStr">
        <is>
          <t>OCKELBO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46301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46301</v>
      </c>
      <c r="F350" t="inlineStr">
        <is>
          <t>GÄVLEBORGS LÄN</t>
        </is>
      </c>
      <c r="G350" t="inlineStr">
        <is>
          <t>OCKELBO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16296-2026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46301</v>
      </c>
      <c r="F351" t="inlineStr">
        <is>
          <t>GÄVLEBORGS LÄN</t>
        </is>
      </c>
      <c r="G351" t="inlineStr">
        <is>
          <t>OCKELBO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46301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46301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46111</v>
      </c>
      <c r="E354" s="1" t="n">
        <v>46301</v>
      </c>
      <c r="F354" t="inlineStr">
        <is>
          <t>GÄVLEBORGS LÄN</t>
        </is>
      </c>
      <c r="G354" t="inlineStr">
        <is>
          <t>OCKELBO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46301</v>
      </c>
      <c r="F355" t="inlineStr">
        <is>
          <t>GÄVLEBORGS LÄN</t>
        </is>
      </c>
      <c r="G355" t="inlineStr">
        <is>
          <t>OCKELBO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46301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46301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46301</v>
      </c>
      <c r="F358" t="inlineStr">
        <is>
          <t>GÄVLEBORGS LÄN</t>
        </is>
      </c>
      <c r="G358" t="inlineStr">
        <is>
          <t>OCKELBO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46301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46114</v>
      </c>
      <c r="E360" s="1" t="n">
        <v>46301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9.4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46301</v>
      </c>
      <c r="F361" t="inlineStr">
        <is>
          <t>GÄVLEBORGS LÄN</t>
        </is>
      </c>
      <c r="G361" t="inlineStr">
        <is>
          <t>OCKELBO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16989-2026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46114</v>
      </c>
      <c r="E362" s="1" t="n">
        <v>46301</v>
      </c>
      <c r="F362" t="inlineStr">
        <is>
          <t>GÄVLEBORGS LÄN</t>
        </is>
      </c>
      <c r="G362" t="inlineStr">
        <is>
          <t>OCKELBO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46114</v>
      </c>
      <c r="E363" s="1" t="n">
        <v>46301</v>
      </c>
      <c r="F363" t="inlineStr">
        <is>
          <t>GÄVLEBORGS LÄN</t>
        </is>
      </c>
      <c r="G363" t="inlineStr">
        <is>
          <t>OCKELBO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46301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46301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46119</v>
      </c>
      <c r="E366" s="1" t="n">
        <v>46301</v>
      </c>
      <c r="F366" t="inlineStr">
        <is>
          <t>GÄVLEBORGS LÄN</t>
        </is>
      </c>
      <c r="G366" t="inlineStr">
        <is>
          <t>OCKELBO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17241-2026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46119</v>
      </c>
      <c r="E367" s="1" t="n">
        <v>46301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46118</v>
      </c>
      <c r="E368" s="1" t="n">
        <v>46301</v>
      </c>
      <c r="F368" t="inlineStr">
        <is>
          <t>GÄVLEBORGS LÄN</t>
        </is>
      </c>
      <c r="G368" t="inlineStr">
        <is>
          <t>OCKELBO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46301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46301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öst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10457-2026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46077</v>
      </c>
      <c r="E371" s="1" t="n">
        <v>46301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öst AB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46301</v>
      </c>
      <c r="F372" t="inlineStr">
        <is>
          <t>GÄVLEBORGS LÄN</t>
        </is>
      </c>
      <c r="G372" t="inlineStr">
        <is>
          <t>OCKELBO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46301</v>
      </c>
      <c r="F373" t="inlineStr">
        <is>
          <t>GÄVLEBORGS LÄN</t>
        </is>
      </c>
      <c r="G373" t="inlineStr">
        <is>
          <t>OCKELBO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46301</v>
      </c>
      <c r="F374" t="inlineStr">
        <is>
          <t>GÄVLEBORGS LÄN</t>
        </is>
      </c>
      <c r="G374" t="inlineStr">
        <is>
          <t>OCKELBO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46301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7.7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46121</v>
      </c>
      <c r="E376" s="1" t="n">
        <v>46301</v>
      </c>
      <c r="F376" t="inlineStr">
        <is>
          <t>GÄVLEBORGS LÄN</t>
        </is>
      </c>
      <c r="G376" t="inlineStr">
        <is>
          <t>OCKELBO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46301</v>
      </c>
      <c r="F377" t="inlineStr">
        <is>
          <t>GÄVLEBORGS LÄN</t>
        </is>
      </c>
      <c r="G377" t="inlineStr">
        <is>
          <t>OCKELBO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30349-2023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45111</v>
      </c>
      <c r="E378" s="1" t="n">
        <v>46301</v>
      </c>
      <c r="F378" t="inlineStr">
        <is>
          <t>GÄVLEBORGS LÄN</t>
        </is>
      </c>
      <c r="G378" t="inlineStr">
        <is>
          <t>OCKELBO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46301</v>
      </c>
      <c r="F379" t="inlineStr">
        <is>
          <t>GÄVLEBORGS LÄN</t>
        </is>
      </c>
      <c r="G379" t="inlineStr">
        <is>
          <t>OCKELBO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46301</v>
      </c>
      <c r="F380" t="inlineStr">
        <is>
          <t>GÄVLEBORGS LÄN</t>
        </is>
      </c>
      <c r="G380" t="inlineStr">
        <is>
          <t>OCKELBO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46301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46301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46301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öst AB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18248-2026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46126</v>
      </c>
      <c r="E384" s="1" t="n">
        <v>46301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46301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18234-2026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46126</v>
      </c>
      <c r="E386" s="1" t="n">
        <v>46301</v>
      </c>
      <c r="F386" t="inlineStr">
        <is>
          <t>GÄVLEBORGS LÄN</t>
        </is>
      </c>
      <c r="G386" t="inlineStr">
        <is>
          <t>OCKELBO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46301</v>
      </c>
      <c r="F387" t="inlineStr">
        <is>
          <t>GÄVLEBORGS LÄN</t>
        </is>
      </c>
      <c r="G387" t="inlineStr">
        <is>
          <t>OCKELBO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46301</v>
      </c>
      <c r="F388" t="inlineStr">
        <is>
          <t>GÄVLEBORGS LÄN</t>
        </is>
      </c>
      <c r="G388" t="inlineStr">
        <is>
          <t>OCKELBO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46301</v>
      </c>
      <c r="F389" t="inlineStr">
        <is>
          <t>GÄVLEBORGS LÄN</t>
        </is>
      </c>
      <c r="G389" t="inlineStr">
        <is>
          <t>OCKELBO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46301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45022</v>
      </c>
      <c r="E391" s="1" t="n">
        <v>46301</v>
      </c>
      <c r="F391" t="inlineStr">
        <is>
          <t>GÄVLEBORGS LÄN</t>
        </is>
      </c>
      <c r="G391" t="inlineStr">
        <is>
          <t>OCKELBO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56232-2022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44890</v>
      </c>
      <c r="E392" s="1" t="n">
        <v>46301</v>
      </c>
      <c r="F392" t="inlineStr">
        <is>
          <t>GÄVLEBORGS LÄN</t>
        </is>
      </c>
      <c r="G392" t="inlineStr">
        <is>
          <t>OCKELBO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58770-2025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45986</v>
      </c>
      <c r="E393" s="1" t="n">
        <v>46301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46132</v>
      </c>
      <c r="E394" s="1" t="n">
        <v>46301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17.7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44883</v>
      </c>
      <c r="E395" s="1" t="n">
        <v>46301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46301</v>
      </c>
      <c r="F396" t="inlineStr">
        <is>
          <t>GÄVLEBORGS LÄN</t>
        </is>
      </c>
      <c r="G396" t="inlineStr">
        <is>
          <t>OCKELBO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46301</v>
      </c>
      <c r="F397" t="inlineStr">
        <is>
          <t>GÄVLEBORGS LÄN</t>
        </is>
      </c>
      <c r="G397" t="inlineStr">
        <is>
          <t>OCKELBO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46301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19138-2026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46301</v>
      </c>
      <c r="F399" t="inlineStr">
        <is>
          <t>GÄVLEBORGS LÄN</t>
        </is>
      </c>
      <c r="G399" t="inlineStr">
        <is>
          <t>OCKELBO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19213-2026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46301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46301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18705-2026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46128</v>
      </c>
      <c r="E402" s="1" t="n">
        <v>46301</v>
      </c>
      <c r="F402" t="inlineStr">
        <is>
          <t>GÄVLEBORGS LÄN</t>
        </is>
      </c>
      <c r="G402" t="inlineStr">
        <is>
          <t>OCKELBO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22151-2022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44712</v>
      </c>
      <c r="E403" s="1" t="n">
        <v>46301</v>
      </c>
      <c r="F403" t="inlineStr">
        <is>
          <t>GÄVLEBORGS LÄN</t>
        </is>
      </c>
      <c r="G403" t="inlineStr">
        <is>
          <t>OCKELBO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46301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46301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46301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45134</v>
      </c>
      <c r="E407" s="1" t="n">
        <v>46301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19139-2026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46301</v>
      </c>
      <c r="F408" t="inlineStr">
        <is>
          <t>GÄVLEBORGS LÄN</t>
        </is>
      </c>
      <c r="G408" t="inlineStr">
        <is>
          <t>OCKELBO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18669-2026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46128</v>
      </c>
      <c r="E409" s="1" t="n">
        <v>46301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46301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46301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36362-2024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45534</v>
      </c>
      <c r="E412" s="1" t="n">
        <v>46301</v>
      </c>
      <c r="F412" t="inlineStr">
        <is>
          <t>GÄVLEBORGS LÄN</t>
        </is>
      </c>
      <c r="G412" t="inlineStr">
        <is>
          <t>OCKELBO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60183-2025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45994</v>
      </c>
      <c r="E413" s="1" t="n">
        <v>46301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19491-2026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46134</v>
      </c>
      <c r="E414" s="1" t="n">
        <v>46301</v>
      </c>
      <c r="F414" t="inlineStr">
        <is>
          <t>GÄVLEBORGS LÄN</t>
        </is>
      </c>
      <c r="G414" t="inlineStr">
        <is>
          <t>OCKELBO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46134</v>
      </c>
      <c r="E415" s="1" t="n">
        <v>46301</v>
      </c>
      <c r="F415" t="inlineStr">
        <is>
          <t>GÄVLEBORGS LÄN</t>
        </is>
      </c>
      <c r="G415" t="inlineStr">
        <is>
          <t>OCKELBO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60616-2025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45996</v>
      </c>
      <c r="E416" s="1" t="n">
        <v>46301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46134</v>
      </c>
      <c r="E417" s="1" t="n">
        <v>46301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46301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46301</v>
      </c>
      <c r="F419" t="inlineStr">
        <is>
          <t>GÄVLEBORGS LÄN</t>
        </is>
      </c>
      <c r="G419" t="inlineStr">
        <is>
          <t>OCKELBO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46301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19271-2026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46301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46301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46301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19424-2026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46301</v>
      </c>
      <c r="F424" t="inlineStr">
        <is>
          <t>GÄVLEBORGS LÄN</t>
        </is>
      </c>
      <c r="G424" t="inlineStr">
        <is>
          <t>OCKELBO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19924-2026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46136</v>
      </c>
      <c r="E425" s="1" t="n">
        <v>46301</v>
      </c>
      <c r="F425" t="inlineStr">
        <is>
          <t>GÄVLEBORGS LÄN</t>
        </is>
      </c>
      <c r="G425" t="inlineStr">
        <is>
          <t>OCKELBO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16629-2025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45754</v>
      </c>
      <c r="E426" s="1" t="n">
        <v>46301</v>
      </c>
      <c r="F426" t="inlineStr">
        <is>
          <t>GÄVLEBORGS LÄN</t>
        </is>
      </c>
      <c r="G426" t="inlineStr">
        <is>
          <t>OCKELBO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62096-2024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45656</v>
      </c>
      <c r="E427" s="1" t="n">
        <v>46301</v>
      </c>
      <c r="F427" t="inlineStr">
        <is>
          <t>GÄVLEBORGS LÄN</t>
        </is>
      </c>
      <c r="G427" t="inlineStr">
        <is>
          <t>OCKELBO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62196-2025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46006</v>
      </c>
      <c r="E428" s="1" t="n">
        <v>46301</v>
      </c>
      <c r="F428" t="inlineStr">
        <is>
          <t>GÄVLEBORGS LÄN</t>
        </is>
      </c>
      <c r="G428" t="inlineStr">
        <is>
          <t>OCKELBO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45989</v>
      </c>
      <c r="E429" s="1" t="n">
        <v>46301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46301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17730-2025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45758</v>
      </c>
      <c r="E431" s="1" t="n">
        <v>46301</v>
      </c>
      <c r="F431" t="inlineStr">
        <is>
          <t>GÄVLEBORGS LÄN</t>
        </is>
      </c>
      <c r="G431" t="inlineStr">
        <is>
          <t>OCKELBO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46301</v>
      </c>
      <c r="F432" t="inlineStr">
        <is>
          <t>GÄVLEBORGS LÄN</t>
        </is>
      </c>
      <c r="G432" t="inlineStr">
        <is>
          <t>OCKELBO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46301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63616-2025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46014</v>
      </c>
      <c r="E434" s="1" t="n">
        <v>46301</v>
      </c>
      <c r="F434" t="inlineStr">
        <is>
          <t>GÄVLEBORGS LÄN</t>
        </is>
      </c>
      <c r="G434" t="inlineStr">
        <is>
          <t>OCKELBO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63224-2025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46010</v>
      </c>
      <c r="E435" s="1" t="n">
        <v>46301</v>
      </c>
      <c r="F435" t="inlineStr">
        <is>
          <t>GÄVLEBORGS LÄN</t>
        </is>
      </c>
      <c r="G435" t="inlineStr">
        <is>
          <t>OCKELBO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46301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46301</v>
      </c>
      <c r="F437" t="inlineStr">
        <is>
          <t>GÄVLEBORGS LÄN</t>
        </is>
      </c>
      <c r="G437" t="inlineStr">
        <is>
          <t>OCKELBO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63017-2025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46301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46301</v>
      </c>
      <c r="F439" t="inlineStr">
        <is>
          <t>GÄVLEBORGS LÄN</t>
        </is>
      </c>
      <c r="G439" t="inlineStr">
        <is>
          <t>OCKELBO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46114</v>
      </c>
      <c r="E440" s="1" t="n">
        <v>46301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8662-2025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45712</v>
      </c>
      <c r="E441" s="1" t="n">
        <v>46301</v>
      </c>
      <c r="F441" t="inlineStr">
        <is>
          <t>GÄVLEBORGS LÄN</t>
        </is>
      </c>
      <c r="G441" t="inlineStr">
        <is>
          <t>OCKELBO</t>
        </is>
      </c>
      <c r="I441" t="n">
        <v>14.7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64006-2025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46021</v>
      </c>
      <c r="E442" s="1" t="n">
        <v>46301</v>
      </c>
      <c r="F442" t="inlineStr">
        <is>
          <t>GÄVLEBORGS LÄN</t>
        </is>
      </c>
      <c r="G442" t="inlineStr">
        <is>
          <t>OCKELBO</t>
        </is>
      </c>
      <c r="I442" t="n">
        <v>13.6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46024</v>
      </c>
      <c r="E443" s="1" t="n">
        <v>46301</v>
      </c>
      <c r="F443" t="inlineStr">
        <is>
          <t>GÄVLEBORGS LÄN</t>
        </is>
      </c>
      <c r="G443" t="inlineStr">
        <is>
          <t>OCKELBO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20481-2026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46301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46301</v>
      </c>
      <c r="F445" t="inlineStr">
        <is>
          <t>GÄVLEBORGS LÄN</t>
        </is>
      </c>
      <c r="G445" t="inlineStr">
        <is>
          <t>OCKELBO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33079-2025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45840</v>
      </c>
      <c r="E446" s="1" t="n">
        <v>46301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46027</v>
      </c>
      <c r="E447" s="1" t="n">
        <v>46301</v>
      </c>
      <c r="F447" t="inlineStr">
        <is>
          <t>GÄVLEBORGS LÄN</t>
        </is>
      </c>
      <c r="G447" t="inlineStr">
        <is>
          <t>OCKELBO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46027</v>
      </c>
      <c r="E448" s="1" t="n">
        <v>46301</v>
      </c>
      <c r="F448" t="inlineStr">
        <is>
          <t>GÄVLEBORGS LÄN</t>
        </is>
      </c>
      <c r="G448" t="inlineStr">
        <is>
          <t>OCKELBO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46027</v>
      </c>
      <c r="E449" s="1" t="n">
        <v>46301</v>
      </c>
      <c r="F449" t="inlineStr">
        <is>
          <t>GÄVLEBORGS LÄN</t>
        </is>
      </c>
      <c r="G449" t="inlineStr">
        <is>
          <t>OCKELBO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46027</v>
      </c>
      <c r="E450" s="1" t="n">
        <v>46301</v>
      </c>
      <c r="F450" t="inlineStr">
        <is>
          <t>GÄVLEBORGS LÄN</t>
        </is>
      </c>
      <c r="G450" t="inlineStr">
        <is>
          <t>OCKELBO</t>
        </is>
      </c>
      <c r="I450" t="n">
        <v>16.2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46027</v>
      </c>
      <c r="E451" s="1" t="n">
        <v>46301</v>
      </c>
      <c r="F451" t="inlineStr">
        <is>
          <t>GÄVLEBORGS LÄN</t>
        </is>
      </c>
      <c r="G451" t="inlineStr">
        <is>
          <t>OCKELBO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46027</v>
      </c>
      <c r="E452" s="1" t="n">
        <v>46301</v>
      </c>
      <c r="F452" t="inlineStr">
        <is>
          <t>GÄVLEBORGS LÄN</t>
        </is>
      </c>
      <c r="G452" t="inlineStr">
        <is>
          <t>OCKELBO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46301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46029</v>
      </c>
      <c r="E454" s="1" t="n">
        <v>46301</v>
      </c>
      <c r="F454" t="inlineStr">
        <is>
          <t>GÄVLEBORGS LÄN</t>
        </is>
      </c>
      <c r="G454" t="inlineStr">
        <is>
          <t>OCKELBO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46301</v>
      </c>
      <c r="F455" t="inlineStr">
        <is>
          <t>GÄVLEBORGS LÄN</t>
        </is>
      </c>
      <c r="G455" t="inlineStr">
        <is>
          <t>OCKELBO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8343-2026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46301</v>
      </c>
      <c r="F456" t="inlineStr">
        <is>
          <t>GÄVLEBORGS LÄN</t>
        </is>
      </c>
      <c r="G456" t="inlineStr">
        <is>
          <t>OCKELBO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46028</v>
      </c>
      <c r="E457" s="1" t="n">
        <v>46301</v>
      </c>
      <c r="F457" t="inlineStr">
        <is>
          <t>GÄVLEBORGS LÄN</t>
        </is>
      </c>
      <c r="G457" t="inlineStr">
        <is>
          <t>OCKELBO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46301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46301</v>
      </c>
      <c r="F459" t="inlineStr">
        <is>
          <t>GÄVLEBORGS LÄN</t>
        </is>
      </c>
      <c r="G459" t="inlineStr">
        <is>
          <t>OCKELBO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46137</v>
      </c>
      <c r="E460" s="1" t="n">
        <v>46301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46137</v>
      </c>
      <c r="E461" s="1" t="n">
        <v>46301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46028</v>
      </c>
      <c r="E462" s="1" t="n">
        <v>46301</v>
      </c>
      <c r="F462" t="inlineStr">
        <is>
          <t>GÄVLEBORGS LÄN</t>
        </is>
      </c>
      <c r="G462" t="inlineStr">
        <is>
          <t>OCKELBO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46029</v>
      </c>
      <c r="E463" s="1" t="n">
        <v>46301</v>
      </c>
      <c r="F463" t="inlineStr">
        <is>
          <t>GÄVLEBORGS LÄN</t>
        </is>
      </c>
      <c r="G463" t="inlineStr">
        <is>
          <t>OCKELBO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46301</v>
      </c>
      <c r="F464" t="inlineStr">
        <is>
          <t>GÄVLEBORGS LÄN</t>
        </is>
      </c>
      <c r="G464" t="inlineStr">
        <is>
          <t>OCKELBO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46024</v>
      </c>
      <c r="E465" s="1" t="n">
        <v>46301</v>
      </c>
      <c r="F465" t="inlineStr">
        <is>
          <t>GÄVLEBORGS LÄN</t>
        </is>
      </c>
      <c r="G465" t="inlineStr">
        <is>
          <t>OCKELBO</t>
        </is>
      </c>
      <c r="I465" t="n">
        <v>12.9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46301</v>
      </c>
      <c r="F466" t="inlineStr">
        <is>
          <t>GÄVLEBORGS LÄN</t>
        </is>
      </c>
      <c r="G466" t="inlineStr">
        <is>
          <t>OCKELBO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46301</v>
      </c>
      <c r="F467" t="inlineStr">
        <is>
          <t>GÄVLEBORGS LÄN</t>
        </is>
      </c>
      <c r="G467" t="inlineStr">
        <is>
          <t>OCKELBO</t>
        </is>
      </c>
      <c r="I467" t="n">
        <v>9.4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46033</v>
      </c>
      <c r="E468" s="1" t="n">
        <v>46301</v>
      </c>
      <c r="F468" t="inlineStr">
        <is>
          <t>GÄVLEBORGS LÄN</t>
        </is>
      </c>
      <c r="G468" t="inlineStr">
        <is>
          <t>OCKELBO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30422-2023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45111</v>
      </c>
      <c r="E469" s="1" t="n">
        <v>46301</v>
      </c>
      <c r="F469" t="inlineStr">
        <is>
          <t>GÄVLEBORGS LÄN</t>
        </is>
      </c>
      <c r="G469" t="inlineStr">
        <is>
          <t>OCKELBO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46301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46301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46301</v>
      </c>
      <c r="F472" t="inlineStr">
        <is>
          <t>GÄVLEBORGS LÄN</t>
        </is>
      </c>
      <c r="G472" t="inlineStr">
        <is>
          <t>OCKELBO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46301</v>
      </c>
      <c r="F473" t="inlineStr">
        <is>
          <t>GÄVLEBORGS LÄN</t>
        </is>
      </c>
      <c r="G473" t="inlineStr">
        <is>
          <t>OCKELBO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46301</v>
      </c>
      <c r="F474" t="inlineStr">
        <is>
          <t>GÄVLEBORGS LÄN</t>
        </is>
      </c>
      <c r="G474" t="inlineStr">
        <is>
          <t>OCKELBO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46301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46301</v>
      </c>
      <c r="F476" t="inlineStr">
        <is>
          <t>GÄVLEBORGS LÄN</t>
        </is>
      </c>
      <c r="G476" t="inlineStr">
        <is>
          <t>OCKELBO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46301</v>
      </c>
      <c r="F477" t="inlineStr">
        <is>
          <t>GÄVLEBORGS LÄN</t>
        </is>
      </c>
      <c r="G477" t="inlineStr">
        <is>
          <t>OCKELBO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46301</v>
      </c>
      <c r="F478" t="inlineStr">
        <is>
          <t>GÄVLEBORGS LÄN</t>
        </is>
      </c>
      <c r="G478" t="inlineStr">
        <is>
          <t>OCKELBO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46301</v>
      </c>
      <c r="F479" t="inlineStr">
        <is>
          <t>GÄVLEBORGS LÄN</t>
        </is>
      </c>
      <c r="G479" t="inlineStr">
        <is>
          <t>OCKELBO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46301</v>
      </c>
      <c r="F480" t="inlineStr">
        <is>
          <t>GÄVLEBORGS LÄN</t>
        </is>
      </c>
      <c r="G480" t="inlineStr">
        <is>
          <t>OCKELBO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46301</v>
      </c>
      <c r="F481" t="inlineStr">
        <is>
          <t>GÄVLEBORGS LÄN</t>
        </is>
      </c>
      <c r="G481" t="inlineStr">
        <is>
          <t>OCKELBO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46301</v>
      </c>
      <c r="F482" t="inlineStr">
        <is>
          <t>GÄVLEBORGS LÄN</t>
        </is>
      </c>
      <c r="G482" t="inlineStr">
        <is>
          <t>OCKELBO</t>
        </is>
      </c>
      <c r="I482" t="n">
        <v>16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28966-2025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45821</v>
      </c>
      <c r="E483" s="1" t="n">
        <v>46301</v>
      </c>
      <c r="F483" t="inlineStr">
        <is>
          <t>GÄVLEBORGS LÄN</t>
        </is>
      </c>
      <c r="G483" t="inlineStr">
        <is>
          <t>OCKELBO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46301</v>
      </c>
      <c r="F484" t="inlineStr">
        <is>
          <t>GÄVLEBORGS LÄN</t>
        </is>
      </c>
      <c r="G484" t="inlineStr">
        <is>
          <t>OCKELBO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46038</v>
      </c>
      <c r="E485" s="1" t="n">
        <v>46301</v>
      </c>
      <c r="F485" t="inlineStr">
        <is>
          <t>GÄVLEBORGS LÄN</t>
        </is>
      </c>
      <c r="G485" t="inlineStr">
        <is>
          <t>OCKELBO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46037</v>
      </c>
      <c r="E486" s="1" t="n">
        <v>46301</v>
      </c>
      <c r="F486" t="inlineStr">
        <is>
          <t>GÄVLEBORGS LÄN</t>
        </is>
      </c>
      <c r="G486" t="inlineStr">
        <is>
          <t>OCKELBO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37438-2023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45156</v>
      </c>
      <c r="E487" s="1" t="n">
        <v>46301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50742-2025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45946</v>
      </c>
      <c r="E488" s="1" t="n">
        <v>46301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46301</v>
      </c>
      <c r="F489" t="inlineStr">
        <is>
          <t>GÄVLEBORGS LÄN</t>
        </is>
      </c>
      <c r="G489" t="inlineStr">
        <is>
          <t>OCKELBO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46301</v>
      </c>
      <c r="F490" t="inlineStr">
        <is>
          <t>GÄVLEBORGS LÄN</t>
        </is>
      </c>
      <c r="G490" t="inlineStr">
        <is>
          <t>OCKELBO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29953-2024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45488</v>
      </c>
      <c r="E491" s="1" t="n">
        <v>46301</v>
      </c>
      <c r="F491" t="inlineStr">
        <is>
          <t>GÄVLEBORGS LÄN</t>
        </is>
      </c>
      <c r="G491" t="inlineStr">
        <is>
          <t>OCKELBO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46301</v>
      </c>
      <c r="F492" t="inlineStr">
        <is>
          <t>GÄVLEBORGS LÄN</t>
        </is>
      </c>
      <c r="G492" t="inlineStr">
        <is>
          <t>OCKELBO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46301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46301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46301</v>
      </c>
      <c r="F495" t="inlineStr">
        <is>
          <t>GÄVLEBORGS LÄN</t>
        </is>
      </c>
      <c r="G495" t="inlineStr">
        <is>
          <t>OCKELBO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15542-2026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46301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20155-2026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46138</v>
      </c>
      <c r="E497" s="1" t="n">
        <v>46301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46301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46301</v>
      </c>
      <c r="F499" t="inlineStr">
        <is>
          <t>GÄVLEBORGS LÄN</t>
        </is>
      </c>
      <c r="G499" t="inlineStr">
        <is>
          <t>OCKELBO</t>
        </is>
      </c>
      <c r="I499" t="n">
        <v>36.1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45526</v>
      </c>
      <c r="E500" s="1" t="n">
        <v>46301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46098</v>
      </c>
      <c r="E501" s="1" t="n">
        <v>46301</v>
      </c>
      <c r="F501" t="inlineStr">
        <is>
          <t>GÄVLEBORGS LÄN</t>
        </is>
      </c>
      <c r="G501" t="inlineStr">
        <is>
          <t>OCKELBO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46301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46301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20.4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45817</v>
      </c>
      <c r="E504" s="1" t="n">
        <v>46301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45803</v>
      </c>
      <c r="E505" s="1" t="n">
        <v>46301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46301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46021</v>
      </c>
      <c r="E507" s="1" t="n">
        <v>46301</v>
      </c>
      <c r="F507" t="inlineStr">
        <is>
          <t>GÄVLEBORGS LÄN</t>
        </is>
      </c>
      <c r="G507" t="inlineStr">
        <is>
          <t>OCKELBO</t>
        </is>
      </c>
      <c r="I507" t="n">
        <v>18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46301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46301</v>
      </c>
      <c r="F509" t="inlineStr">
        <is>
          <t>GÄVLEBORGS LÄN</t>
        </is>
      </c>
      <c r="G509" t="inlineStr">
        <is>
          <t>OCKELBO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46301</v>
      </c>
      <c r="F510" t="inlineStr">
        <is>
          <t>GÄVLEBORGS LÄN</t>
        </is>
      </c>
      <c r="G510" t="inlineStr">
        <is>
          <t>OCKELBO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36604-2025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45870</v>
      </c>
      <c r="E511" s="1" t="n">
        <v>46301</v>
      </c>
      <c r="F511" t="inlineStr">
        <is>
          <t>GÄVLEBORGS LÄN</t>
        </is>
      </c>
      <c r="G511" t="inlineStr">
        <is>
          <t>OCKELBO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45800</v>
      </c>
      <c r="E512" s="1" t="n">
        <v>46301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46301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46301</v>
      </c>
      <c r="F514" t="inlineStr">
        <is>
          <t>GÄVLEBORGS LÄN</t>
        </is>
      </c>
      <c r="G514" t="inlineStr">
        <is>
          <t>OCKELBO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46301</v>
      </c>
      <c r="F515" t="inlineStr">
        <is>
          <t>GÄVLEBORGS LÄN</t>
        </is>
      </c>
      <c r="G515" t="inlineStr">
        <is>
          <t>OCKELBO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46301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20151-2026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46137</v>
      </c>
      <c r="E517" s="1" t="n">
        <v>46301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48804-2024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45593</v>
      </c>
      <c r="E518" s="1" t="n">
        <v>46301</v>
      </c>
      <c r="F518" t="inlineStr">
        <is>
          <t>GÄVLEBORGS LÄN</t>
        </is>
      </c>
      <c r="G518" t="inlineStr">
        <is>
          <t>OCKELBO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46316-2025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45925</v>
      </c>
      <c r="E519" s="1" t="n">
        <v>46301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45041</v>
      </c>
      <c r="E520" s="1" t="n">
        <v>46301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46034</v>
      </c>
      <c r="E521" s="1" t="n">
        <v>46301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46301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15694-2022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44663</v>
      </c>
      <c r="E523" s="1" t="n">
        <v>46301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8521-2026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46065</v>
      </c>
      <c r="E524" s="1" t="n">
        <v>46301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46301</v>
      </c>
      <c r="F525" t="inlineStr">
        <is>
          <t>GÄVLEBORGS LÄN</t>
        </is>
      </c>
      <c r="G525" t="inlineStr">
        <is>
          <t>OCKELBO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61335-2022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44915</v>
      </c>
      <c r="E526" s="1" t="n">
        <v>46301</v>
      </c>
      <c r="F526" t="inlineStr">
        <is>
          <t>GÄVLEBORGS LÄN</t>
        </is>
      </c>
      <c r="G526" t="inlineStr">
        <is>
          <t>OCKELBO</t>
        </is>
      </c>
      <c r="I526" t="n">
        <v>8.5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46301</v>
      </c>
      <c r="F527" t="inlineStr">
        <is>
          <t>GÄVLEBORGS LÄN</t>
        </is>
      </c>
      <c r="G527" t="inlineStr">
        <is>
          <t>OCKELBO</t>
        </is>
      </c>
      <c r="I527" t="n">
        <v>6.6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46301</v>
      </c>
      <c r="F528" t="inlineStr">
        <is>
          <t>GÄVLEBORGS LÄN</t>
        </is>
      </c>
      <c r="G528" t="inlineStr">
        <is>
          <t>OCKELBO</t>
        </is>
      </c>
      <c r="I528" t="n">
        <v>10.3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46301</v>
      </c>
      <c r="F529" t="inlineStr">
        <is>
          <t>GÄVLEBORGS LÄN</t>
        </is>
      </c>
      <c r="G529" t="inlineStr">
        <is>
          <t>OCKELBO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46301</v>
      </c>
      <c r="F530" t="inlineStr">
        <is>
          <t>GÄVLEBORGS LÄN</t>
        </is>
      </c>
      <c r="G530" t="inlineStr">
        <is>
          <t>OCKELBO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12708-2026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46091</v>
      </c>
      <c r="E531" s="1" t="n">
        <v>46301</v>
      </c>
      <c r="F531" t="inlineStr">
        <is>
          <t>GÄVLEBORGS LÄN</t>
        </is>
      </c>
      <c r="G531" t="inlineStr">
        <is>
          <t>OCKELBO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15484-2026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46301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10489-2026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46301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45111</v>
      </c>
      <c r="E534" s="1" t="n">
        <v>46301</v>
      </c>
      <c r="F534" t="inlineStr">
        <is>
          <t>GÄVLEBORGS LÄN</t>
        </is>
      </c>
      <c r="G534" t="inlineStr">
        <is>
          <t>OCKELBO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53137-2024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45611</v>
      </c>
      <c r="E535" s="1" t="n">
        <v>46301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7955-2026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46301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46301</v>
      </c>
      <c r="F537" t="inlineStr">
        <is>
          <t>GÄVLEBORGS LÄN</t>
        </is>
      </c>
      <c r="G537" t="inlineStr">
        <is>
          <t>OCKELBO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60117-2025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45994</v>
      </c>
      <c r="E538" s="1" t="n">
        <v>46301</v>
      </c>
      <c r="F538" t="inlineStr">
        <is>
          <t>GÄVLEBORGS LÄN</t>
        </is>
      </c>
      <c r="G538" t="inlineStr">
        <is>
          <t>OCKELBO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46301</v>
      </c>
      <c r="F539" t="inlineStr">
        <is>
          <t>GÄVLEBORGS LÄN</t>
        </is>
      </c>
      <c r="G539" t="inlineStr">
        <is>
          <t>OCKELBO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46037</v>
      </c>
      <c r="E540" s="1" t="n">
        <v>46301</v>
      </c>
      <c r="F540" t="inlineStr">
        <is>
          <t>GÄVLEBORGS LÄN</t>
        </is>
      </c>
      <c r="G540" t="inlineStr">
        <is>
          <t>OCKELBO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20641-2026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46141</v>
      </c>
      <c r="E541" s="1" t="n">
        <v>46301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46125</v>
      </c>
      <c r="E542" s="1" t="n">
        <v>46301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46301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46027</v>
      </c>
      <c r="E544" s="1" t="n">
        <v>46301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9401-2026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46071</v>
      </c>
      <c r="E545" s="1" t="n">
        <v>46301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8.300000000000001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46301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46301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14905-2026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46104</v>
      </c>
      <c r="E548" s="1" t="n">
        <v>46301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17951-2026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46122</v>
      </c>
      <c r="E549" s="1" t="n">
        <v>46301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46127</v>
      </c>
      <c r="E550" s="1" t="n">
        <v>46301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18097-2026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46125</v>
      </c>
      <c r="E551" s="1" t="n">
        <v>46301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21468-2026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46301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46301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46134</v>
      </c>
      <c r="E554" s="1" t="n">
        <v>46301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21280-2026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46301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öst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46301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21277-2026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46301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öst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46301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46301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21640-2026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46149</v>
      </c>
      <c r="E560" s="1" t="n">
        <v>46301</v>
      </c>
      <c r="F560" t="inlineStr">
        <is>
          <t>GÄVLEBORGS LÄN</t>
        </is>
      </c>
      <c r="G560" t="inlineStr">
        <is>
          <t>OCKELBO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22057-2026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46301</v>
      </c>
      <c r="F561" t="inlineStr">
        <is>
          <t>GÄVLEBORGS LÄN</t>
        </is>
      </c>
      <c r="G561" t="inlineStr">
        <is>
          <t>OCKELBO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18645-2026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46128</v>
      </c>
      <c r="E562" s="1" t="n">
        <v>46301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13182-2026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46093</v>
      </c>
      <c r="E563" s="1" t="n">
        <v>46301</v>
      </c>
      <c r="F563" t="inlineStr">
        <is>
          <t>GÄVLEBORGS LÄN</t>
        </is>
      </c>
      <c r="G563" t="inlineStr">
        <is>
          <t>OCKELBO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46301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46301</v>
      </c>
      <c r="F565" t="inlineStr">
        <is>
          <t>GÄVLEBORGS LÄN</t>
        </is>
      </c>
      <c r="G565" t="inlineStr">
        <is>
          <t>OCKELBO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46301</v>
      </c>
      <c r="F566" t="inlineStr">
        <is>
          <t>GÄVLEBORGS LÄN</t>
        </is>
      </c>
      <c r="G566" t="inlineStr">
        <is>
          <t>OCKELBO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46088</v>
      </c>
      <c r="E567" s="1" t="n">
        <v>46301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9.199999999999999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46301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45909</v>
      </c>
      <c r="E569" s="1" t="n">
        <v>46301</v>
      </c>
      <c r="F569" t="inlineStr">
        <is>
          <t>GÄVLEBORGS LÄN</t>
        </is>
      </c>
      <c r="G569" t="inlineStr">
        <is>
          <t>OCKELBO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58718-2025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45986</v>
      </c>
      <c r="E570" s="1" t="n">
        <v>46301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46301</v>
      </c>
      <c r="F571" t="inlineStr">
        <is>
          <t>GÄVLEBORGS LÄN</t>
        </is>
      </c>
      <c r="G571" t="inlineStr">
        <is>
          <t>OCKELBO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46301</v>
      </c>
      <c r="F572" t="inlineStr">
        <is>
          <t>GÄVLEBORGS LÄN</t>
        </is>
      </c>
      <c r="G572" t="inlineStr">
        <is>
          <t>OCKELBO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15034-2026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46301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46154</v>
      </c>
      <c r="E574" s="1" t="n">
        <v>46301</v>
      </c>
      <c r="F574" t="inlineStr">
        <is>
          <t>GÄVLEBORGS LÄN</t>
        </is>
      </c>
      <c r="G574" t="inlineStr">
        <is>
          <t>OCKELBO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46301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46049</v>
      </c>
      <c r="E576" s="1" t="n">
        <v>46301</v>
      </c>
      <c r="F576" t="inlineStr">
        <is>
          <t>GÄVLEBORGS LÄN</t>
        </is>
      </c>
      <c r="G576" t="inlineStr">
        <is>
          <t>OCKELBO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6654-2026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46056</v>
      </c>
      <c r="E577" s="1" t="n">
        <v>46301</v>
      </c>
      <c r="F577" t="inlineStr">
        <is>
          <t>GÄVLEBORGS LÄN</t>
        </is>
      </c>
      <c r="G577" t="inlineStr">
        <is>
          <t>OCKELBO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60122-2025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45994</v>
      </c>
      <c r="E578" s="1" t="n">
        <v>46301</v>
      </c>
      <c r="F578" t="inlineStr">
        <is>
          <t>GÄVLEBORGS LÄN</t>
        </is>
      </c>
      <c r="G578" t="inlineStr">
        <is>
          <t>OCKELBO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46301</v>
      </c>
      <c r="F579" t="inlineStr">
        <is>
          <t>GÄVLEBORGS LÄN</t>
        </is>
      </c>
      <c r="G579" t="inlineStr">
        <is>
          <t>OCKELBO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22712-2026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46156</v>
      </c>
      <c r="E580" s="1" t="n">
        <v>46301</v>
      </c>
      <c r="F580" t="inlineStr">
        <is>
          <t>GÄVLEBORGS LÄN</t>
        </is>
      </c>
      <c r="G580" t="inlineStr">
        <is>
          <t>OCKELBO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7276-2023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44970</v>
      </c>
      <c r="E581" s="1" t="n">
        <v>46301</v>
      </c>
      <c r="F581" t="inlineStr">
        <is>
          <t>GÄVLEBORGS LÄN</t>
        </is>
      </c>
      <c r="G581" t="inlineStr">
        <is>
          <t>OCKELBO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61732-2024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45649</v>
      </c>
      <c r="E582" s="1" t="n">
        <v>46301</v>
      </c>
      <c r="F582" t="inlineStr">
        <is>
          <t>GÄVLEBORGS LÄN</t>
        </is>
      </c>
      <c r="G582" t="inlineStr">
        <is>
          <t>OCKELBO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60120-2025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46301</v>
      </c>
      <c r="F583" t="inlineStr">
        <is>
          <t>GÄVLEBORGS LÄN</t>
        </is>
      </c>
      <c r="G583" t="inlineStr">
        <is>
          <t>OCKELBO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46044</v>
      </c>
      <c r="E584" s="1" t="n">
        <v>46301</v>
      </c>
      <c r="F584" t="inlineStr">
        <is>
          <t>GÄVLEBORGS LÄN</t>
        </is>
      </c>
      <c r="G584" t="inlineStr">
        <is>
          <t>OCKELBO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46609-2025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45926</v>
      </c>
      <c r="E585" s="1" t="n">
        <v>46301</v>
      </c>
      <c r="F585" t="inlineStr">
        <is>
          <t>GÄVLEBORGS LÄN</t>
        </is>
      </c>
      <c r="G585" t="inlineStr">
        <is>
          <t>OCKELBO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22460-2026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46155</v>
      </c>
      <c r="E586" s="1" t="n">
        <v>46301</v>
      </c>
      <c r="F586" t="inlineStr">
        <is>
          <t>GÄVLEBORGS LÄN</t>
        </is>
      </c>
      <c r="G586" t="inlineStr">
        <is>
          <t>OCKELBO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46301</v>
      </c>
      <c r="F587" t="inlineStr">
        <is>
          <t>GÄVLEBORGS LÄN</t>
        </is>
      </c>
      <c r="G587" t="inlineStr">
        <is>
          <t>OCKELBO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46301</v>
      </c>
      <c r="F588" t="inlineStr">
        <is>
          <t>GÄVLEBORGS LÄN</t>
        </is>
      </c>
      <c r="G588" t="inlineStr">
        <is>
          <t>OCKELBO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22843-2026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46160</v>
      </c>
      <c r="E589" s="1" t="n">
        <v>46301</v>
      </c>
      <c r="F589" t="inlineStr">
        <is>
          <t>GÄVLEBORGS LÄN</t>
        </is>
      </c>
      <c r="G589" t="inlineStr">
        <is>
          <t>OCKELBO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17862-2026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46122</v>
      </c>
      <c r="E590" s="1" t="n">
        <v>46301</v>
      </c>
      <c r="F590" t="inlineStr">
        <is>
          <t>GÄVLEBORGS LÄN</t>
        </is>
      </c>
      <c r="G590" t="inlineStr">
        <is>
          <t>OCKELBO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22952-2023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45072</v>
      </c>
      <c r="E591" s="1" t="n">
        <v>46301</v>
      </c>
      <c r="F591" t="inlineStr">
        <is>
          <t>GÄVLEBORGS LÄN</t>
        </is>
      </c>
      <c r="G591" t="inlineStr">
        <is>
          <t>OCKELBO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23040-2026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46161</v>
      </c>
      <c r="E592" s="1" t="n">
        <v>46301</v>
      </c>
      <c r="F592" t="inlineStr">
        <is>
          <t>GÄVLEBORGS LÄN</t>
        </is>
      </c>
      <c r="G592" t="inlineStr">
        <is>
          <t>OCKELBO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23149-2026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46161</v>
      </c>
      <c r="E593" s="1" t="n">
        <v>46301</v>
      </c>
      <c r="F593" t="inlineStr">
        <is>
          <t>GÄVLEBORGS LÄN</t>
        </is>
      </c>
      <c r="G593" t="inlineStr">
        <is>
          <t>OCKELBO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54977-2024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45620</v>
      </c>
      <c r="E594" s="1" t="n">
        <v>46301</v>
      </c>
      <c r="F594" t="inlineStr">
        <is>
          <t>GÄVLEBORGS LÄN</t>
        </is>
      </c>
      <c r="G594" t="inlineStr">
        <is>
          <t>OCKELBO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49529-2024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45596</v>
      </c>
      <c r="E595" s="1" t="n">
        <v>46301</v>
      </c>
      <c r="F595" t="inlineStr">
        <is>
          <t>GÄVLEBORGS LÄN</t>
        </is>
      </c>
      <c r="G595" t="inlineStr">
        <is>
          <t>OCKELBO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45341</v>
      </c>
      <c r="E596" s="1" t="n">
        <v>46301</v>
      </c>
      <c r="F596" t="inlineStr">
        <is>
          <t>GÄVLEBORGS LÄN</t>
        </is>
      </c>
      <c r="G596" t="inlineStr">
        <is>
          <t>OCKELBO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9859-2025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45716</v>
      </c>
      <c r="E597" s="1" t="n">
        <v>46301</v>
      </c>
      <c r="F597" t="inlineStr">
        <is>
          <t>GÄVLEBORGS LÄN</t>
        </is>
      </c>
      <c r="G597" t="inlineStr">
        <is>
          <t>OCKELBO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50194-2024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45600</v>
      </c>
      <c r="E598" s="1" t="n">
        <v>46301</v>
      </c>
      <c r="F598" t="inlineStr">
        <is>
          <t>GÄVLEBORGS LÄN</t>
        </is>
      </c>
      <c r="G598" t="inlineStr">
        <is>
          <t>OCKELBO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23513-2026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46301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14.7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23786-2026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46164</v>
      </c>
      <c r="E600" s="1" t="n">
        <v>46301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23663-2026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46164</v>
      </c>
      <c r="E601" s="1" t="n">
        <v>46301</v>
      </c>
      <c r="F601" t="inlineStr">
        <is>
          <t>GÄVLEBORGS LÄN</t>
        </is>
      </c>
      <c r="G601" t="inlineStr">
        <is>
          <t>OCKELBO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24059-2026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46168</v>
      </c>
      <c r="E602" s="1" t="n">
        <v>46301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54309-2024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45617</v>
      </c>
      <c r="E603" s="1" t="n">
        <v>46301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46301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42585-2023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46301</v>
      </c>
      <c r="F605" t="inlineStr">
        <is>
          <t>GÄVLEBORGS LÄN</t>
        </is>
      </c>
      <c r="G605" t="inlineStr">
        <is>
          <t>OCKELBO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46301</v>
      </c>
      <c r="F606" t="inlineStr">
        <is>
          <t>GÄVLEBORGS LÄN</t>
        </is>
      </c>
      <c r="G606" t="inlineStr">
        <is>
          <t>OCKELBO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56352-2024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46301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24063-2026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46168</v>
      </c>
      <c r="E608" s="1" t="n">
        <v>46301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42313-2023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45180</v>
      </c>
      <c r="E609" s="1" t="n">
        <v>46301</v>
      </c>
      <c r="F609" t="inlineStr">
        <is>
          <t>GÄVLEBORGS LÄN</t>
        </is>
      </c>
      <c r="G609" t="inlineStr">
        <is>
          <t>OCKELBO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46169</v>
      </c>
      <c r="E610" s="1" t="n">
        <v>46301</v>
      </c>
      <c r="F610" t="inlineStr">
        <is>
          <t>GÄVLEBORGS LÄN</t>
        </is>
      </c>
      <c r="G610" t="inlineStr">
        <is>
          <t>OCKELBO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24267-2026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46301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24335-2026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46169</v>
      </c>
      <c r="E612" s="1" t="n">
        <v>46301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46169</v>
      </c>
      <c r="E613" s="1" t="n">
        <v>46301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24409-2026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46169</v>
      </c>
      <c r="E614" s="1" t="n">
        <v>46301</v>
      </c>
      <c r="F614" t="inlineStr">
        <is>
          <t>GÄVLEBORGS LÄN</t>
        </is>
      </c>
      <c r="G614" t="inlineStr">
        <is>
          <t>OCKELBO</t>
        </is>
      </c>
      <c r="I614" t="n">
        <v>8.1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46085</v>
      </c>
      <c r="E615" s="1" t="n">
        <v>46301</v>
      </c>
      <c r="F615" t="inlineStr">
        <is>
          <t>GÄVLEBORGS LÄN</t>
        </is>
      </c>
      <c r="G615" t="inlineStr">
        <is>
          <t>OCKELBO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46023</v>
      </c>
      <c r="E616" s="1" t="n">
        <v>46301</v>
      </c>
      <c r="F616" t="inlineStr">
        <is>
          <t>GÄVLEBORGS LÄN</t>
        </is>
      </c>
      <c r="G616" t="inlineStr">
        <is>
          <t>OCKELBO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24567-2026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46170</v>
      </c>
      <c r="E617" s="1" t="n">
        <v>46301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24578-2026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46170</v>
      </c>
      <c r="E618" s="1" t="n">
        <v>46301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54944-2025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45967</v>
      </c>
      <c r="E619" s="1" t="n">
        <v>46301</v>
      </c>
      <c r="F619" t="inlineStr">
        <is>
          <t>GÄVLEBORGS LÄN</t>
        </is>
      </c>
      <c r="G619" t="inlineStr">
        <is>
          <t>OCKELBO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46170</v>
      </c>
      <c r="E620" s="1" t="n">
        <v>46301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24569-2026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46170</v>
      </c>
      <c r="E621" s="1" t="n">
        <v>46301</v>
      </c>
      <c r="F621" t="inlineStr">
        <is>
          <t>GÄVLEBORGS LÄN</t>
        </is>
      </c>
      <c r="G621" t="inlineStr">
        <is>
          <t>OCKELBO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46301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46301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60915-2024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45645</v>
      </c>
      <c r="E624" s="1" t="n">
        <v>46301</v>
      </c>
      <c r="F624" t="inlineStr">
        <is>
          <t>GÄVLEBORGS LÄN</t>
        </is>
      </c>
      <c r="G624" t="inlineStr">
        <is>
          <t>OCKELBO</t>
        </is>
      </c>
      <c r="H624" t="inlineStr">
        <is>
          <t>Kyrkan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24624-2026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46171</v>
      </c>
      <c r="E625" s="1" t="n">
        <v>46301</v>
      </c>
      <c r="F625" t="inlineStr">
        <is>
          <t>GÄVLEBORGS LÄN</t>
        </is>
      </c>
      <c r="G625" t="inlineStr">
        <is>
          <t>OCKELBO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46301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25128-2026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46175</v>
      </c>
      <c r="E627" s="1" t="n">
        <v>46301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46175</v>
      </c>
      <c r="E628" s="1" t="n">
        <v>46301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46174</v>
      </c>
      <c r="E629" s="1" t="n">
        <v>46301</v>
      </c>
      <c r="F629" t="inlineStr">
        <is>
          <t>GÄVLEBORGS LÄN</t>
        </is>
      </c>
      <c r="G629" t="inlineStr">
        <is>
          <t>OCKELBO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36343-2023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45152</v>
      </c>
      <c r="E630" s="1" t="n">
        <v>46301</v>
      </c>
      <c r="F630" t="inlineStr">
        <is>
          <t>GÄVLEBORGS LÄN</t>
        </is>
      </c>
      <c r="G630" t="inlineStr">
        <is>
          <t>OCKELBO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46301</v>
      </c>
      <c r="F631" t="inlineStr">
        <is>
          <t>GÄVLEBORGS LÄN</t>
        </is>
      </c>
      <c r="G631" t="inlineStr">
        <is>
          <t>OCKELBO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19762-2024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45432</v>
      </c>
      <c r="E632" s="1" t="n">
        <v>46301</v>
      </c>
      <c r="F632" t="inlineStr">
        <is>
          <t>GÄVLEBORGS LÄN</t>
        </is>
      </c>
      <c r="G632" t="inlineStr">
        <is>
          <t>OCKELBO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24968-2026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46174</v>
      </c>
      <c r="E633" s="1" t="n">
        <v>46301</v>
      </c>
      <c r="F633" t="inlineStr">
        <is>
          <t>GÄVLEBORGS LÄN</t>
        </is>
      </c>
      <c r="G633" t="inlineStr">
        <is>
          <t>OCKELBO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45441</v>
      </c>
      <c r="E634" s="1" t="n">
        <v>46301</v>
      </c>
      <c r="F634" t="inlineStr">
        <is>
          <t>GÄVLEBORGS LÄN</t>
        </is>
      </c>
      <c r="G634" t="inlineStr">
        <is>
          <t>OCKELBO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50968-2024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45603</v>
      </c>
      <c r="E635" s="1" t="n">
        <v>46301</v>
      </c>
      <c r="F635" t="inlineStr">
        <is>
          <t>GÄVLEBORGS LÄN</t>
        </is>
      </c>
      <c r="G635" t="inlineStr">
        <is>
          <t>OCKELBO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25525-2026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46301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9.4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25599-2026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46301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45671</v>
      </c>
      <c r="E638" s="1" t="n">
        <v>46301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17548-2025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45757</v>
      </c>
      <c r="E639" s="1" t="n">
        <v>46301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46301</v>
      </c>
      <c r="F640" t="inlineStr">
        <is>
          <t>GÄVLEBORGS LÄN</t>
        </is>
      </c>
      <c r="G640" t="inlineStr">
        <is>
          <t>OCKELBO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7478-2025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45705</v>
      </c>
      <c r="E641" s="1" t="n">
        <v>46301</v>
      </c>
      <c r="F641" t="inlineStr">
        <is>
          <t>GÄVLEBORGS LÄN</t>
        </is>
      </c>
      <c r="G641" t="inlineStr">
        <is>
          <t>OCKELBO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12983-2022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44643</v>
      </c>
      <c r="E642" s="1" t="n">
        <v>46301</v>
      </c>
      <c r="F642" t="inlineStr">
        <is>
          <t>GÄVLEBORGS LÄN</t>
        </is>
      </c>
      <c r="G642" t="inlineStr">
        <is>
          <t>OCKELBO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37391-2023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45156</v>
      </c>
      <c r="E643" s="1" t="n">
        <v>46301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56634-2023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45243</v>
      </c>
      <c r="E644" s="1" t="n">
        <v>46301</v>
      </c>
      <c r="F644" t="inlineStr">
        <is>
          <t>GÄVLEBORGS LÄN</t>
        </is>
      </c>
      <c r="G644" t="inlineStr">
        <is>
          <t>OCKELBO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26808-2026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46301</v>
      </c>
      <c r="F645" t="inlineStr">
        <is>
          <t>GÄVLEBORGS LÄN</t>
        </is>
      </c>
      <c r="G645" t="inlineStr">
        <is>
          <t>OCKELBO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59533-2023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45254</v>
      </c>
      <c r="E646" s="1" t="n">
        <v>46301</v>
      </c>
      <c r="F646" t="inlineStr">
        <is>
          <t>GÄVLEBORGS LÄN</t>
        </is>
      </c>
      <c r="G646" t="inlineStr">
        <is>
          <t>OCKELBO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46301</v>
      </c>
      <c r="F647" t="inlineStr">
        <is>
          <t>GÄVLEBORGS LÄN</t>
        </is>
      </c>
      <c r="G647" t="inlineStr">
        <is>
          <t>OCKELBO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36521-2022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44804</v>
      </c>
      <c r="E648" s="1" t="n">
        <v>46301</v>
      </c>
      <c r="F648" t="inlineStr">
        <is>
          <t>GÄVLEBORGS LÄN</t>
        </is>
      </c>
      <c r="G648" t="inlineStr">
        <is>
          <t>OCKELBO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26843-2026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46301</v>
      </c>
      <c r="F649" t="inlineStr">
        <is>
          <t>GÄVLEBORGS LÄN</t>
        </is>
      </c>
      <c r="G649" t="inlineStr">
        <is>
          <t>OCKELBO</t>
        </is>
      </c>
      <c r="I649" t="n">
        <v>14.6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26845-2026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46301</v>
      </c>
      <c r="F650" t="inlineStr">
        <is>
          <t>GÄVLEBORGS LÄN</t>
        </is>
      </c>
      <c r="G650" t="inlineStr">
        <is>
          <t>OCKELBO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24228-2022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44725</v>
      </c>
      <c r="E651" s="1" t="n">
        <v>46301</v>
      </c>
      <c r="F651" t="inlineStr">
        <is>
          <t>GÄVLEBORGS LÄN</t>
        </is>
      </c>
      <c r="G651" t="inlineStr">
        <is>
          <t>OCKELBO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32301-2022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44781</v>
      </c>
      <c r="E652" s="1" t="n">
        <v>46301</v>
      </c>
      <c r="F652" t="inlineStr">
        <is>
          <t>GÄVLEBORGS LÄN</t>
        </is>
      </c>
      <c r="G652" t="inlineStr">
        <is>
          <t>OCKELBO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26924-2026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46301</v>
      </c>
      <c r="F653" t="inlineStr">
        <is>
          <t>GÄVLEBORGS LÄN</t>
        </is>
      </c>
      <c r="G653" t="inlineStr">
        <is>
          <t>OCKELBO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46301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46189</v>
      </c>
      <c r="E655" s="1" t="n">
        <v>46301</v>
      </c>
      <c r="F655" t="inlineStr">
        <is>
          <t>GÄVLEBORGS LÄN</t>
        </is>
      </c>
      <c r="G655" t="inlineStr">
        <is>
          <t>OCKELBO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27383-2026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46189</v>
      </c>
      <c r="E656" s="1" t="n">
        <v>46301</v>
      </c>
      <c r="F656" t="inlineStr">
        <is>
          <t>GÄVLEBORGS LÄN</t>
        </is>
      </c>
      <c r="G656" t="inlineStr">
        <is>
          <t>OCKELBO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47841-2023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45204</v>
      </c>
      <c r="E657" s="1" t="n">
        <v>46301</v>
      </c>
      <c r="F657" t="inlineStr">
        <is>
          <t>GÄVLEBORGS LÄN</t>
        </is>
      </c>
      <c r="G657" t="inlineStr">
        <is>
          <t>OCKELBO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46076</v>
      </c>
      <c r="E658" s="1" t="n">
        <v>46301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33985-2023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45134</v>
      </c>
      <c r="E659" s="1" t="n">
        <v>46301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53702-2024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45615</v>
      </c>
      <c r="E660" s="1" t="n">
        <v>46301</v>
      </c>
      <c r="F660" t="inlineStr">
        <is>
          <t>GÄVLEBORGS LÄN</t>
        </is>
      </c>
      <c r="G660" t="inlineStr">
        <is>
          <t>OCKELBO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27272-2026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46301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27379-2026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46189</v>
      </c>
      <c r="E662" s="1" t="n">
        <v>46301</v>
      </c>
      <c r="F662" t="inlineStr">
        <is>
          <t>GÄVLEBORGS LÄN</t>
        </is>
      </c>
      <c r="G662" t="inlineStr">
        <is>
          <t>OCKELBO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46189</v>
      </c>
      <c r="E663" s="1" t="n">
        <v>46301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57614-2025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45981</v>
      </c>
      <c r="E664" s="1" t="n">
        <v>46301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27231-2026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46301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46301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20660-2022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44700</v>
      </c>
      <c r="E667" s="1" t="n">
        <v>46301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27620-2026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46190</v>
      </c>
      <c r="E668" s="1" t="n">
        <v>46301</v>
      </c>
      <c r="F668" t="inlineStr">
        <is>
          <t>GÄVLEBORGS LÄN</t>
        </is>
      </c>
      <c r="G668" t="inlineStr">
        <is>
          <t>OCKELBO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27623-2026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46301</v>
      </c>
      <c r="F669" t="inlineStr">
        <is>
          <t>GÄVLEBORGS LÄN</t>
        </is>
      </c>
      <c r="G669" t="inlineStr">
        <is>
          <t>OCKELBO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61750-2023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45265</v>
      </c>
      <c r="E670" s="1" t="n">
        <v>46301</v>
      </c>
      <c r="F670" t="inlineStr">
        <is>
          <t>GÄVLEBORGS LÄN</t>
        </is>
      </c>
      <c r="G670" t="inlineStr">
        <is>
          <t>OCKELBO</t>
        </is>
      </c>
      <c r="I670" t="n">
        <v>11.2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27562-2026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46190</v>
      </c>
      <c r="E671" s="1" t="n">
        <v>46301</v>
      </c>
      <c r="F671" t="inlineStr">
        <is>
          <t>GÄVLEBORGS LÄN</t>
        </is>
      </c>
      <c r="G671" t="inlineStr">
        <is>
          <t>OCKELBO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27889-2026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46191</v>
      </c>
      <c r="E672" s="1" t="n">
        <v>46301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15247-2025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45744</v>
      </c>
      <c r="E673" s="1" t="n">
        <v>46301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27995-2026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46301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35054-2022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44797</v>
      </c>
      <c r="E675" s="1" t="n">
        <v>46301</v>
      </c>
      <c r="F675" t="inlineStr">
        <is>
          <t>GÄVLEBORGS LÄN</t>
        </is>
      </c>
      <c r="G675" t="inlineStr">
        <is>
          <t>OCKELBO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28289-2026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46196</v>
      </c>
      <c r="E676" s="1" t="n">
        <v>46301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20059-2025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45772</v>
      </c>
      <c r="E677" s="1" t="n">
        <v>46301</v>
      </c>
      <c r="F677" t="inlineStr">
        <is>
          <t>GÄVLEBORGS LÄN</t>
        </is>
      </c>
      <c r="G677" t="inlineStr">
        <is>
          <t>OCKELBO</t>
        </is>
      </c>
      <c r="I677" t="n">
        <v>14.8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46196</v>
      </c>
      <c r="E678" s="1" t="n">
        <v>46301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55112-2023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45237</v>
      </c>
      <c r="E679" s="1" t="n">
        <v>46301</v>
      </c>
      <c r="F679" t="inlineStr">
        <is>
          <t>GÄVLEBORGS LÄN</t>
        </is>
      </c>
      <c r="G679" t="inlineStr">
        <is>
          <t>OCKELBO</t>
        </is>
      </c>
      <c r="I679" t="n">
        <v>14.6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46301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59978-2023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45254</v>
      </c>
      <c r="E681" s="1" t="n">
        <v>46301</v>
      </c>
      <c r="F681" t="inlineStr">
        <is>
          <t>GÄVLEBORGS LÄN</t>
        </is>
      </c>
      <c r="G681" t="inlineStr">
        <is>
          <t>OCKELBO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28681-2026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46301</v>
      </c>
      <c r="F682" t="inlineStr">
        <is>
          <t>GÄVLEBORGS LÄN</t>
        </is>
      </c>
      <c r="G682" t="inlineStr">
        <is>
          <t>OCKELBO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46301</v>
      </c>
      <c r="F683" t="inlineStr">
        <is>
          <t>GÄVLEBORGS LÄN</t>
        </is>
      </c>
      <c r="G683" t="inlineStr">
        <is>
          <t>OCKELBO</t>
        </is>
      </c>
      <c r="I683" t="n">
        <v>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26481-2026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46301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29078-2026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46199</v>
      </c>
      <c r="E685" s="1" t="n">
        <v>46301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47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28725-2026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46301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53488-2023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45230</v>
      </c>
      <c r="E687" s="1" t="n">
        <v>46301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46301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45240</v>
      </c>
      <c r="E689" s="1" t="n">
        <v>46301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28672-2026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46301</v>
      </c>
      <c r="F690" t="inlineStr">
        <is>
          <t>GÄVLEBORGS LÄN</t>
        </is>
      </c>
      <c r="G690" t="inlineStr">
        <is>
          <t>OCKELBO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29386-2026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46203</v>
      </c>
      <c r="E691" s="1" t="n">
        <v>46301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29437-2026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46301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29415-2026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46203</v>
      </c>
      <c r="E693" s="1" t="n">
        <v>46301</v>
      </c>
      <c r="F693" t="inlineStr">
        <is>
          <t>GÄVLEBORGS LÄN</t>
        </is>
      </c>
      <c r="G693" t="inlineStr">
        <is>
          <t>OCKELBO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29835-2026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46205</v>
      </c>
      <c r="E694" s="1" t="n">
        <v>46301</v>
      </c>
      <c r="F694" t="inlineStr">
        <is>
          <t>GÄVLEBORGS LÄN</t>
        </is>
      </c>
      <c r="G694" t="inlineStr">
        <is>
          <t>OCKELBO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29849-2026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46205</v>
      </c>
      <c r="E695" s="1" t="n">
        <v>46301</v>
      </c>
      <c r="F695" t="inlineStr">
        <is>
          <t>GÄVLEBORGS LÄN</t>
        </is>
      </c>
      <c r="G695" t="inlineStr">
        <is>
          <t>OCKELBO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29611-2026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46204</v>
      </c>
      <c r="E696" s="1" t="n">
        <v>46301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29789-2026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46205</v>
      </c>
      <c r="E697" s="1" t="n">
        <v>46301</v>
      </c>
      <c r="F697" t="inlineStr">
        <is>
          <t>GÄVLEBORGS LÄN</t>
        </is>
      </c>
      <c r="G697" t="inlineStr">
        <is>
          <t>OCKELBO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14827-2026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46104</v>
      </c>
      <c r="E698" s="1" t="n">
        <v>46301</v>
      </c>
      <c r="F698" t="inlineStr">
        <is>
          <t>GÄVLEBORGS LÄN</t>
        </is>
      </c>
      <c r="G698" t="inlineStr">
        <is>
          <t>OCKELBO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921-2024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45301</v>
      </c>
      <c r="E699" s="1" t="n">
        <v>46301</v>
      </c>
      <c r="F699" t="inlineStr">
        <is>
          <t>GÄVLEBORGS LÄN</t>
        </is>
      </c>
      <c r="G699" t="inlineStr">
        <is>
          <t>OCKELBO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30031-2026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46301</v>
      </c>
      <c r="F700" t="inlineStr">
        <is>
          <t>GÄVLEBORGS LÄN</t>
        </is>
      </c>
      <c r="G700" t="inlineStr">
        <is>
          <t>OCKELBO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46258</v>
      </c>
      <c r="E701" s="1" t="n">
        <v>46301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39710-2023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45167</v>
      </c>
      <c r="E702" s="1" t="n">
        <v>46301</v>
      </c>
      <c r="F702" t="inlineStr">
        <is>
          <t>GÄVLEBORGS LÄN</t>
        </is>
      </c>
      <c r="G702" t="inlineStr">
        <is>
          <t>OCKELBO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55906-2024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45623</v>
      </c>
      <c r="E703" s="1" t="n">
        <v>46301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34449-2023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45139</v>
      </c>
      <c r="E704" s="1" t="n">
        <v>46301</v>
      </c>
      <c r="F704" t="inlineStr">
        <is>
          <t>GÄVLEBORGS LÄN</t>
        </is>
      </c>
      <c r="G704" t="inlineStr">
        <is>
          <t>OCKELBO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30990-2026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46213</v>
      </c>
      <c r="E705" s="1" t="n">
        <v>46301</v>
      </c>
      <c r="F705" t="inlineStr">
        <is>
          <t>GÄVLEBORGS LÄN</t>
        </is>
      </c>
      <c r="G705" t="inlineStr">
        <is>
          <t>OCKELBO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35155-2026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46260</v>
      </c>
      <c r="E706" s="1" t="n">
        <v>46301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46216</v>
      </c>
      <c r="E707" s="1" t="n">
        <v>46301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39062-2024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45548</v>
      </c>
      <c r="E708" s="1" t="n">
        <v>46301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31277-2026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46218</v>
      </c>
      <c r="E709" s="1" t="n">
        <v>46301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33617-2023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45132</v>
      </c>
      <c r="E710" s="1" t="n">
        <v>46301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31443-2026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46220</v>
      </c>
      <c r="E711" s="1" t="n">
        <v>46301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45139</v>
      </c>
      <c r="E712" s="1" t="n">
        <v>46301</v>
      </c>
      <c r="F712" t="inlineStr">
        <is>
          <t>GÄVLEBORGS LÄN</t>
        </is>
      </c>
      <c r="G712" t="inlineStr">
        <is>
          <t>OCKELBO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44950</v>
      </c>
      <c r="E713" s="1" t="n">
        <v>46301</v>
      </c>
      <c r="F713" t="inlineStr">
        <is>
          <t>GÄVLEBORGS LÄN</t>
        </is>
      </c>
      <c r="G713" t="inlineStr">
        <is>
          <t>OCKELBO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50197-2024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46301</v>
      </c>
      <c r="F714" t="inlineStr">
        <is>
          <t>GÄVLEBORGS LÄN</t>
        </is>
      </c>
      <c r="G714" t="inlineStr">
        <is>
          <t>OCKELBO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52330-2024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45609</v>
      </c>
      <c r="E715" s="1" t="n">
        <v>46301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58156-2025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45982</v>
      </c>
      <c r="E716" s="1" t="n">
        <v>46301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46301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31530-2026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46223</v>
      </c>
      <c r="E718" s="1" t="n">
        <v>46301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9461-2026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46071</v>
      </c>
      <c r="E719" s="1" t="n">
        <v>46301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31517-2026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46223</v>
      </c>
      <c r="E720" s="1" t="n">
        <v>46301</v>
      </c>
      <c r="F720" t="inlineStr">
        <is>
          <t>GÄVLEBORGS LÄN</t>
        </is>
      </c>
      <c r="G720" t="inlineStr">
        <is>
          <t>OCKELBO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31519-2026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46223</v>
      </c>
      <c r="E721" s="1" t="n">
        <v>46301</v>
      </c>
      <c r="F721" t="inlineStr">
        <is>
          <t>GÄVLEBORGS LÄN</t>
        </is>
      </c>
      <c r="G721" t="inlineStr">
        <is>
          <t>OCKELBO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31571-2026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46224</v>
      </c>
      <c r="E722" s="1" t="n">
        <v>46301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31591-2026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46224</v>
      </c>
      <c r="E723" s="1" t="n">
        <v>46301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36097-2026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46267</v>
      </c>
      <c r="E724" s="1" t="n">
        <v>46301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60148-2023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45258</v>
      </c>
      <c r="E725" s="1" t="n">
        <v>46301</v>
      </c>
      <c r="F725" t="inlineStr">
        <is>
          <t>GÄVLEBORGS LÄN</t>
        </is>
      </c>
      <c r="G725" t="inlineStr">
        <is>
          <t>OCKELBO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36280-2026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46268</v>
      </c>
      <c r="E726" s="1" t="n">
        <v>46301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36380-2026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46268</v>
      </c>
      <c r="E727" s="1" t="n">
        <v>46301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61116-2023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45261</v>
      </c>
      <c r="E728" s="1" t="n">
        <v>46301</v>
      </c>
      <c r="F728" t="inlineStr">
        <is>
          <t>GÄVLEBORGS LÄN</t>
        </is>
      </c>
      <c r="G728" t="inlineStr">
        <is>
          <t>OCKELBO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46301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36562-2026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46269</v>
      </c>
      <c r="E730" s="1" t="n">
        <v>46301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44281-2022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44839</v>
      </c>
      <c r="E731" s="1" t="n">
        <v>46301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15325-2025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45747</v>
      </c>
      <c r="E732" s="1" t="n">
        <v>46301</v>
      </c>
      <c r="F732" t="inlineStr">
        <is>
          <t>GÄVLEBORGS LÄN</t>
        </is>
      </c>
      <c r="G732" t="inlineStr">
        <is>
          <t>OCKELBO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31804-2026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46230</v>
      </c>
      <c r="E733" s="1" t="n">
        <v>46301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37110-2026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46274</v>
      </c>
      <c r="E734" s="1" t="n">
        <v>46301</v>
      </c>
      <c r="F734" t="inlineStr">
        <is>
          <t>GÄVLEBORGS LÄN</t>
        </is>
      </c>
      <c r="G734" t="inlineStr">
        <is>
          <t>OCKELBO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29687-2023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45107</v>
      </c>
      <c r="E735" s="1" t="n">
        <v>46301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37442-2023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45156</v>
      </c>
      <c r="E736" s="1" t="n">
        <v>46301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44950</v>
      </c>
      <c r="E737" s="1" t="n">
        <v>46301</v>
      </c>
      <c r="F737" t="inlineStr">
        <is>
          <t>GÄVLEBORGS LÄN</t>
        </is>
      </c>
      <c r="G737" t="inlineStr">
        <is>
          <t>OCKELBO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37321-2026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46275</v>
      </c>
      <c r="E738" s="1" t="n">
        <v>46301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37487-2026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46275</v>
      </c>
      <c r="E739" s="1" t="n">
        <v>46301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33879-2023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45134</v>
      </c>
      <c r="E740" s="1" t="n">
        <v>46301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46232</v>
      </c>
      <c r="E741" s="1" t="n">
        <v>46301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33987-2023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45134</v>
      </c>
      <c r="E742" s="1" t="n">
        <v>46301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37841-2026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46279</v>
      </c>
      <c r="E743" s="1" t="n">
        <v>46301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20605-2026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46140</v>
      </c>
      <c r="E744" s="1" t="n">
        <v>46301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20408-2026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46140</v>
      </c>
      <c r="E745" s="1" t="n">
        <v>46301</v>
      </c>
      <c r="F745" t="inlineStr">
        <is>
          <t>GÄVLEBORGS LÄN</t>
        </is>
      </c>
      <c r="G745" t="inlineStr">
        <is>
          <t>OCKELBO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29963-2024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45488</v>
      </c>
      <c r="E746" s="1" t="n">
        <v>46301</v>
      </c>
      <c r="F746" t="inlineStr">
        <is>
          <t>GÄVLEBORGS LÄN</t>
        </is>
      </c>
      <c r="G746" t="inlineStr">
        <is>
          <t>OCKELBO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52241-2024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45608</v>
      </c>
      <c r="E747" s="1" t="n">
        <v>46301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7.7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52243-2024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45608</v>
      </c>
      <c r="E748" s="1" t="n">
        <v>46301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34440-2023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45139</v>
      </c>
      <c r="E749" s="1" t="n">
        <v>46301</v>
      </c>
      <c r="F749" t="inlineStr">
        <is>
          <t>GÄVLEBORGS LÄN</t>
        </is>
      </c>
      <c r="G749" t="inlineStr">
        <is>
          <t>OCKELBO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29968-2024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45488</v>
      </c>
      <c r="E750" s="1" t="n">
        <v>46301</v>
      </c>
      <c r="F750" t="inlineStr">
        <is>
          <t>GÄVLEBORGS LÄN</t>
        </is>
      </c>
      <c r="G750" t="inlineStr">
        <is>
          <t>OCKELBO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51989-2023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45223</v>
      </c>
      <c r="E751" s="1" t="n">
        <v>46301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21900-2023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45068</v>
      </c>
      <c r="E752" s="1" t="n">
        <v>46301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38668-2026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46283</v>
      </c>
      <c r="E753" s="1" t="n">
        <v>46301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3034-2025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45678</v>
      </c>
      <c r="E754" s="1" t="n">
        <v>46301</v>
      </c>
      <c r="F754" t="inlineStr">
        <is>
          <t>GÄVLEBORGS LÄN</t>
        </is>
      </c>
      <c r="G754" t="inlineStr">
        <is>
          <t>OCKELBO</t>
        </is>
      </c>
      <c r="I754" t="n">
        <v>8.1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56741-2024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45628</v>
      </c>
      <c r="E755" s="1" t="n">
        <v>46301</v>
      </c>
      <c r="F755" t="inlineStr">
        <is>
          <t>GÄVLEBORGS LÄN</t>
        </is>
      </c>
      <c r="G755" t="inlineStr">
        <is>
          <t>OCKELBO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49448-2023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45211</v>
      </c>
      <c r="E756" s="1" t="n">
        <v>46301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19772-2025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45771</v>
      </c>
      <c r="E757" s="1" t="n">
        <v>46301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19774-2025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45771</v>
      </c>
      <c r="E758" s="1" t="n">
        <v>46301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46074-2024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45581</v>
      </c>
      <c r="E759" s="1" t="n">
        <v>46301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21878-2023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45068</v>
      </c>
      <c r="E760" s="1" t="n">
        <v>46301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38648-2026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46283</v>
      </c>
      <c r="E761" s="1" t="n">
        <v>46301</v>
      </c>
      <c r="F761" t="inlineStr">
        <is>
          <t>GÄVLEBORGS LÄN</t>
        </is>
      </c>
      <c r="G761" t="inlineStr">
        <is>
          <t>OCKELBO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39430-2024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45551</v>
      </c>
      <c r="E762" s="1" t="n">
        <v>46301</v>
      </c>
      <c r="F762" t="inlineStr">
        <is>
          <t>GÄVLEBORGS LÄN</t>
        </is>
      </c>
      <c r="G762" t="inlineStr">
        <is>
          <t>OCKELBO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46301</v>
      </c>
      <c r="F763" t="inlineStr">
        <is>
          <t>GÄVLEBORGS LÄN</t>
        </is>
      </c>
      <c r="G763" t="inlineStr">
        <is>
          <t>OCKELBO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33176-2026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46245</v>
      </c>
      <c r="E764" s="1" t="n">
        <v>46301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55070-2023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45237</v>
      </c>
      <c r="E765" s="1" t="n">
        <v>46301</v>
      </c>
      <c r="F765" t="inlineStr">
        <is>
          <t>GÄVLEBORGS LÄN</t>
        </is>
      </c>
      <c r="G765" t="inlineStr">
        <is>
          <t>OCKELBO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14071-2026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46301</v>
      </c>
      <c r="F766" t="inlineStr">
        <is>
          <t>GÄVLEBORGS LÄN</t>
        </is>
      </c>
      <c r="G766" t="inlineStr">
        <is>
          <t>OCKELBO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40218-2023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45169</v>
      </c>
      <c r="E767" s="1" t="n">
        <v>46301</v>
      </c>
      <c r="F767" t="inlineStr">
        <is>
          <t>GÄVLEBORGS LÄN</t>
        </is>
      </c>
      <c r="G767" t="inlineStr">
        <is>
          <t>OCKELBO</t>
        </is>
      </c>
      <c r="I767" t="n">
        <v>13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19178-2023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45048</v>
      </c>
      <c r="E768" s="1" t="n">
        <v>46301</v>
      </c>
      <c r="F768" t="inlineStr">
        <is>
          <t>GÄVLEBORGS LÄN</t>
        </is>
      </c>
      <c r="G768" t="inlineStr">
        <is>
          <t>OCKELBO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37386-2023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45156</v>
      </c>
      <c r="E769" s="1" t="n">
        <v>46301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39681-2026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46289</v>
      </c>
      <c r="E770" s="1" t="n">
        <v>46301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2556-2025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45674</v>
      </c>
      <c r="E771" s="1" t="n">
        <v>46301</v>
      </c>
      <c r="F771" t="inlineStr">
        <is>
          <t>GÄVLEBORGS LÄN</t>
        </is>
      </c>
      <c r="G771" t="inlineStr">
        <is>
          <t>OCKELBO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59063-2023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45252</v>
      </c>
      <c r="E772" s="1" t="n">
        <v>46301</v>
      </c>
      <c r="F772" t="inlineStr">
        <is>
          <t>GÄVLEBORGS LÄN</t>
        </is>
      </c>
      <c r="G772" t="inlineStr">
        <is>
          <t>OCKELBO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10150-2023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44986</v>
      </c>
      <c r="E773" s="1" t="n">
        <v>46301</v>
      </c>
      <c r="F773" t="inlineStr">
        <is>
          <t>GÄVLEBORGS LÄN</t>
        </is>
      </c>
      <c r="G773" t="inlineStr">
        <is>
          <t>OCKELBO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37845-2024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45544</v>
      </c>
      <c r="E774" s="1" t="n">
        <v>46301</v>
      </c>
      <c r="F774" t="inlineStr">
        <is>
          <t>GÄVLEBORGS LÄN</t>
        </is>
      </c>
      <c r="G774" t="inlineStr">
        <is>
          <t>OCKELBO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17682-2026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46121</v>
      </c>
      <c r="E775" s="1" t="n">
        <v>46301</v>
      </c>
      <c r="F775" t="inlineStr">
        <is>
          <t>GÄVLEBORGS LÄN</t>
        </is>
      </c>
      <c r="G775" t="inlineStr">
        <is>
          <t>OCKELBO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40117-2026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46293</v>
      </c>
      <c r="E776" s="1" t="n">
        <v>46301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46065</v>
      </c>
      <c r="E777" s="1" t="n">
        <v>46301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8683-2026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46066</v>
      </c>
      <c r="E778" s="1" t="n">
        <v>46301</v>
      </c>
      <c r="F778" t="inlineStr">
        <is>
          <t>GÄVLEBORGS LÄN</t>
        </is>
      </c>
      <c r="G778" t="inlineStr">
        <is>
          <t>OCKELBO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40185-2026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46293</v>
      </c>
      <c r="E779" s="1" t="n">
        <v>46301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40104-2026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46293</v>
      </c>
      <c r="E780" s="1" t="n">
        <v>46301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46104</v>
      </c>
      <c r="E781" s="1" t="n">
        <v>46301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9542-2026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46301</v>
      </c>
      <c r="F782" t="inlineStr">
        <is>
          <t>GÄVLEBORGS LÄN</t>
        </is>
      </c>
      <c r="G782" t="inlineStr">
        <is>
          <t>OCKELBO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46301</v>
      </c>
      <c r="F783" t="inlineStr">
        <is>
          <t>GÄVLEBORGS LÄN</t>
        </is>
      </c>
      <c r="G783" t="inlineStr">
        <is>
          <t>OCKELBO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40149-2026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46293</v>
      </c>
      <c r="E784" s="1" t="n">
        <v>46301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20775-2025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45776</v>
      </c>
      <c r="E785" s="1" t="n">
        <v>46301</v>
      </c>
      <c r="F785" t="inlineStr">
        <is>
          <t>GÄVLEBORGS LÄN</t>
        </is>
      </c>
      <c r="G785" t="inlineStr">
        <is>
          <t>OCKELBO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52273-2024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45608</v>
      </c>
      <c r="E786" s="1" t="n">
        <v>46301</v>
      </c>
      <c r="F786" t="inlineStr">
        <is>
          <t>GÄVLEBORGS LÄN</t>
        </is>
      </c>
      <c r="G786" t="inlineStr">
        <is>
          <t>OCKELBO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54323-2024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45617</v>
      </c>
      <c r="E787" s="1" t="n">
        <v>46301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60253-2023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45258</v>
      </c>
      <c r="E788" s="1" t="n">
        <v>46301</v>
      </c>
      <c r="F788" t="inlineStr">
        <is>
          <t>GÄVLEBORGS LÄN</t>
        </is>
      </c>
      <c r="G788" t="inlineStr">
        <is>
          <t>OCKELBO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20984-2026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46142</v>
      </c>
      <c r="E789" s="1" t="n">
        <v>46301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58727-2025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45986</v>
      </c>
      <c r="E790" s="1" t="n">
        <v>46301</v>
      </c>
      <c r="F790" t="inlineStr">
        <is>
          <t>GÄVLEBORGS LÄN</t>
        </is>
      </c>
      <c r="G790" t="inlineStr">
        <is>
          <t>OCKELBO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37848-2024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45544</v>
      </c>
      <c r="E791" s="1" t="n">
        <v>46301</v>
      </c>
      <c r="F791" t="inlineStr">
        <is>
          <t>GÄVLEBORGS LÄN</t>
        </is>
      </c>
      <c r="G791" t="inlineStr">
        <is>
          <t>OCKELBO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17709-2026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46121</v>
      </c>
      <c r="E792" s="1" t="n">
        <v>46301</v>
      </c>
      <c r="F792" t="inlineStr">
        <is>
          <t>GÄVLEBORGS LÄN</t>
        </is>
      </c>
      <c r="G792" t="inlineStr">
        <is>
          <t>OCKELBO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22387-2025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46301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23780-2024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45455</v>
      </c>
      <c r="E794" s="1" t="n">
        <v>46301</v>
      </c>
      <c r="F794" t="inlineStr">
        <is>
          <t>GÄVLEBORGS LÄN</t>
        </is>
      </c>
      <c r="G794" t="inlineStr">
        <is>
          <t>OCKELBO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22385-2025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45786</v>
      </c>
      <c r="E795" s="1" t="n">
        <v>46301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28584-2024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45478</v>
      </c>
      <c r="E796" s="1" t="n">
        <v>46301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40881-2026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46297</v>
      </c>
      <c r="E797" s="1" t="n">
        <v>46301</v>
      </c>
      <c r="F797" t="inlineStr">
        <is>
          <t>GÄVLEBORGS LÄN</t>
        </is>
      </c>
      <c r="G797" t="inlineStr">
        <is>
          <t>OCKELBO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22692-2026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46156</v>
      </c>
      <c r="E798" s="1" t="n">
        <v>46301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41071-2026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46301</v>
      </c>
      <c r="F799" t="inlineStr">
        <is>
          <t>GÄVLEBORGS LÄN</t>
        </is>
      </c>
      <c r="G799" t="inlineStr">
        <is>
          <t>OCKELBO</t>
        </is>
      </c>
      <c r="I799" t="n">
        <v>10.1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28181-2022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44746</v>
      </c>
      <c r="E800" s="1" t="n">
        <v>46301</v>
      </c>
      <c r="F800" t="inlineStr">
        <is>
          <t>GÄVLEBORGS LÄN</t>
        </is>
      </c>
      <c r="G800" t="inlineStr">
        <is>
          <t>OCKELBO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46301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12947-2026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46092</v>
      </c>
      <c r="E802" s="1" t="n">
        <v>46301</v>
      </c>
      <c r="F802" t="inlineStr">
        <is>
          <t>GÄVLEBORGS LÄN</t>
        </is>
      </c>
      <c r="G802" t="inlineStr">
        <is>
          <t>OCKELBO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23004-2025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45790</v>
      </c>
      <c r="E803" s="1" t="n">
        <v>46301</v>
      </c>
      <c r="F803" t="inlineStr">
        <is>
          <t>GÄVLEBORGS LÄN</t>
        </is>
      </c>
      <c r="G803" t="inlineStr">
        <is>
          <t>OCKELBO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48803-2024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45593</v>
      </c>
      <c r="E804" s="1" t="n">
        <v>46301</v>
      </c>
      <c r="F804" t="inlineStr">
        <is>
          <t>GÄVLEBORGS LÄN</t>
        </is>
      </c>
      <c r="G804" t="inlineStr">
        <is>
          <t>OCKELBO</t>
        </is>
      </c>
      <c r="I804" t="n">
        <v>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11116-2026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46301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20689-2025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45776</v>
      </c>
      <c r="E806" s="1" t="n">
        <v>46301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64924-2023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45282</v>
      </c>
      <c r="E807" s="1" t="n">
        <v>46301</v>
      </c>
      <c r="F807" t="inlineStr">
        <is>
          <t>GÄVLEBORGS LÄN</t>
        </is>
      </c>
      <c r="G807" t="inlineStr">
        <is>
          <t>OCKELBO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2919-2026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46038</v>
      </c>
      <c r="E808" s="1" t="n">
        <v>46301</v>
      </c>
      <c r="F808" t="inlineStr">
        <is>
          <t>GÄVLEBORGS LÄN</t>
        </is>
      </c>
      <c r="G808" t="inlineStr">
        <is>
          <t>OCKELBO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20207-2024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45434</v>
      </c>
      <c r="E809" s="1" t="n">
        <v>46301</v>
      </c>
      <c r="F809" t="inlineStr">
        <is>
          <t>GÄVLEBORGS LÄN</t>
        </is>
      </c>
      <c r="G809" t="inlineStr">
        <is>
          <t>OCKELBO</t>
        </is>
      </c>
      <c r="I809" t="n">
        <v>7.6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55011-2024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45621</v>
      </c>
      <c r="E810" s="1" t="n">
        <v>46301</v>
      </c>
      <c r="F810" t="inlineStr">
        <is>
          <t>GÄVLEBORGS LÄN</t>
        </is>
      </c>
      <c r="G810" t="inlineStr">
        <is>
          <t>OCKELBO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14410-2026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46100</v>
      </c>
      <c r="E811" s="1" t="n">
        <v>46301</v>
      </c>
      <c r="F811" t="inlineStr">
        <is>
          <t>GÄVLEBORGS LÄN</t>
        </is>
      </c>
      <c r="G811" t="inlineStr">
        <is>
          <t>OCKELBO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15403-2022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44659</v>
      </c>
      <c r="E812" s="1" t="n">
        <v>46301</v>
      </c>
      <c r="F812" t="inlineStr">
        <is>
          <t>GÄVLEBORGS LÄN</t>
        </is>
      </c>
      <c r="G812" t="inlineStr">
        <is>
          <t>OCKELBO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14756-2026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46301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26085-2024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45468</v>
      </c>
      <c r="E814" s="1" t="n">
        <v>46301</v>
      </c>
      <c r="F814" t="inlineStr">
        <is>
          <t>GÄVLEBORGS LÄN</t>
        </is>
      </c>
      <c r="G814" t="inlineStr">
        <is>
          <t>OCKELBO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16752-2025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45754</v>
      </c>
      <c r="E815" s="1" t="n">
        <v>46301</v>
      </c>
      <c r="F815" t="inlineStr">
        <is>
          <t>GÄVLEBORGS LÄN</t>
        </is>
      </c>
      <c r="G815" t="inlineStr">
        <is>
          <t>OCKELBO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15502-2025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45747</v>
      </c>
      <c r="E816" s="1" t="n">
        <v>46301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5.7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49470-2024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45596</v>
      </c>
      <c r="E817" s="1" t="n">
        <v>46301</v>
      </c>
      <c r="F817" t="inlineStr">
        <is>
          <t>GÄVLEBORGS LÄN</t>
        </is>
      </c>
      <c r="G817" t="inlineStr">
        <is>
          <t>OCKELBO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46036</v>
      </c>
      <c r="E818" s="1" t="n">
        <v>46301</v>
      </c>
      <c r="F818" t="inlineStr">
        <is>
          <t>GÄVLEBORGS LÄN</t>
        </is>
      </c>
      <c r="G818" t="inlineStr">
        <is>
          <t>OCKELBO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46301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25250-2025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45800</v>
      </c>
      <c r="E820" s="1" t="n">
        <v>46301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46301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25191-2025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46301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46301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46301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25640-2025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45803</v>
      </c>
      <c r="E825" s="1" t="n">
        <v>46301</v>
      </c>
      <c r="F825" t="inlineStr">
        <is>
          <t>GÄVLEBORGS LÄN</t>
        </is>
      </c>
      <c r="G825" t="inlineStr">
        <is>
          <t>OCKELBO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46301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46301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46301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46301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46301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46301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46301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46301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46301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46301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2540-2026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46293</v>
      </c>
      <c r="E836" s="1" t="n">
        <v>46301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46301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2602-2026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46300</v>
      </c>
      <c r="E838" s="1" t="n">
        <v>46301</v>
      </c>
      <c r="F838" t="inlineStr">
        <is>
          <t>GÄVLEBORGS LÄN</t>
        </is>
      </c>
      <c r="G838" t="inlineStr">
        <is>
          <t>OCKELBO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2026-10-06T01:53:29Z</dcterms:created>
  <dcterms:modified xmlns:dcterms="http://purl.org/dc/terms/" xmlns:xsi="http://www.w3.org/2001/XMLSchema-instance" xsi:type="dcterms:W3CDTF">2026-10-06T01:53:30Z</dcterms:modified>
</cp:coreProperties>
</file>