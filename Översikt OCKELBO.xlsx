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46305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46305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46305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46305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46305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46305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46305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46305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46305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46305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46305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46305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46305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46305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46305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46305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46305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46305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46305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46305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46305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46305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46305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46305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55778-2025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45972</v>
      </c>
      <c r="E41" s="1" t="n">
        <v>46305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HYPERLINK("https://klasma.github.io/Logging_2101/artfynd/A 55778-2025 artfynd.xlsx", "A 55778-2025")</f>
        <v/>
      </c>
      <c r="X41">
        <f>HYPERLINK("https://klasma.github.io/Logging_2101/kartor/A 55778-2025 karta.png", "A 55778-2025")</f>
        <v/>
      </c>
      <c r="Y41">
        <f>HYPERLINK("https://klasma.github.io/Logging_2101/kartor_geotiff/A 55778-2025 georefererad karta.tif", "A 55778-2025")</f>
        <v/>
      </c>
      <c r="AA41">
        <f>HYPERLINK("https://klasma.github.io/Logging_2101/klagomål/A 55778-2025 FSC-klagomål.docx", "A 55778-2025")</f>
        <v/>
      </c>
      <c r="AB41">
        <f>HYPERLINK("https://klasma.github.io/Logging_2101/klagomålsmail/A 55778-2025 FSC-klagomål mail.docx", "A 55778-2025")</f>
        <v/>
      </c>
      <c r="AC41">
        <f>HYPERLINK("https://klasma.github.io/Logging_2101/tillsyn/A 55778-2025 tillsynsbegäran.docx", "A 55778-2025")</f>
        <v/>
      </c>
      <c r="AD41">
        <f>HYPERLINK("https://klasma.github.io/Logging_2101/tillsynsmail/A 55778-2025 tillsynsbegäran mail.docx", "A 55778-2025")</f>
        <v/>
      </c>
    </row>
    <row r="42" ht="15" customHeight="1">
      <c r="A42" t="inlineStr">
        <is>
          <t>A 16738-2025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46305</v>
      </c>
      <c r="F42" t="inlineStr">
        <is>
          <t>GÄVLEBORGS LÄN</t>
        </is>
      </c>
      <c r="G42" t="inlineStr">
        <is>
          <t>OCKELBO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16738-2025 artfynd.xlsx", "A 16738-2025")</f>
        <v/>
      </c>
      <c r="X42">
        <f>HYPERLINK("https://klasma.github.io/Logging_2101/kartor/A 16738-2025 karta.png", "A 16738-2025")</f>
        <v/>
      </c>
      <c r="Y42">
        <f>HYPERLINK("https://klasma.github.io/Logging_2101/kartor_geotiff/A 16738-2025 georefererad karta.tif", "A 16738-2025")</f>
        <v/>
      </c>
      <c r="AA42">
        <f>HYPERLINK("https://klasma.github.io/Logging_2101/klagomål/A 16738-2025 FSC-klagomål.docx", "A 16738-2025")</f>
        <v/>
      </c>
      <c r="AB42">
        <f>HYPERLINK("https://klasma.github.io/Logging_2101/klagomålsmail/A 16738-2025 FSC-klagomål mail.docx", "A 16738-2025")</f>
        <v/>
      </c>
      <c r="AC42">
        <f>HYPERLINK("https://klasma.github.io/Logging_2101/tillsyn/A 16738-2025 tillsynsbegäran.docx", "A 16738-2025")</f>
        <v/>
      </c>
      <c r="AD42">
        <f>HYPERLINK("https://klasma.github.io/Logging_2101/tillsynsmail/A 16738-2025 tillsynsbegäran mail.docx", "A 16738-2025")</f>
        <v/>
      </c>
    </row>
    <row r="43" ht="15" customHeight="1">
      <c r="A43" t="inlineStr">
        <is>
          <t>A 13640-2026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46305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HYPERLINK("https://klasma.github.io/Logging_2101/artfynd/A 13640-2026 artfynd.xlsx", "A 13640-2026")</f>
        <v/>
      </c>
      <c r="X43">
        <f>HYPERLINK("https://klasma.github.io/Logging_2101/kartor/A 13640-2026 karta.png", "A 13640-2026")</f>
        <v/>
      </c>
      <c r="Y43">
        <f>HYPERLINK("https://klasma.github.io/Logging_2101/kartor_geotiff/A 13640-2026 georefererad karta.tif", "A 13640-2026")</f>
        <v/>
      </c>
      <c r="AA43">
        <f>HYPERLINK("https://klasma.github.io/Logging_2101/klagomål/A 13640-2026 FSC-klagomål.docx", "A 13640-2026")</f>
        <v/>
      </c>
      <c r="AB43">
        <f>HYPERLINK("https://klasma.github.io/Logging_2101/klagomålsmail/A 13640-2026 FSC-klagomål mail.docx", "A 13640-2026")</f>
        <v/>
      </c>
      <c r="AC43">
        <f>HYPERLINK("https://klasma.github.io/Logging_2101/tillsyn/A 13640-2026 tillsynsbegäran.docx", "A 13640-2026")</f>
        <v/>
      </c>
      <c r="AD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46305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46305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46305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46305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46305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46305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4226-2023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46305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Skogsknipprot</t>
        </is>
      </c>
      <c r="W50">
        <f>HYPERLINK("https://klasma.github.io/Logging_2101/artfynd/A 4226-2023 artfynd.xlsx", "A 4226-2023")</f>
        <v/>
      </c>
      <c r="X50">
        <f>HYPERLINK("https://klasma.github.io/Logging_2101/kartor/A 4226-2023 karta.png", "A 4226-2023")</f>
        <v/>
      </c>
      <c r="Y50">
        <f>HYPERLINK("https://klasma.github.io/Logging_2101/kartor_geotiff/A 4226-2023 georefererad karta.tif", "A 4226-2023")</f>
        <v/>
      </c>
      <c r="AA50">
        <f>HYPERLINK("https://klasma.github.io/Logging_2101/klagomål/A 4226-2023 FSC-klagomål.docx", "A 4226-2023")</f>
        <v/>
      </c>
      <c r="AB50">
        <f>HYPERLINK("https://klasma.github.io/Logging_2101/klagomålsmail/A 4226-2023 FSC-klagomål mail.docx", "A 4226-2023")</f>
        <v/>
      </c>
      <c r="AC50">
        <f>HYPERLINK("https://klasma.github.io/Logging_2101/tillsyn/A 4226-2023 tillsynsbegäran.docx", "A 4226-2023")</f>
        <v/>
      </c>
      <c r="AD50">
        <f>HYPERLINK("https://klasma.github.io/Logging_2101/tillsynsmail/A 4226-2023 tillsynsbegäran mail.docx", "A 4226-2023")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46305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46305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46305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46305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46305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2923-2026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46305</v>
      </c>
      <c r="F56" t="inlineStr">
        <is>
          <t>GÄVLEBORGS LÄN</t>
        </is>
      </c>
      <c r="G56" t="inlineStr">
        <is>
          <t>OCKELBO</t>
        </is>
      </c>
      <c r="I56" t="n">
        <v>2.8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HYPERLINK("https://klasma.github.io/Logging_2101/artfynd/A 2923-2026 artfynd.xlsx", "A 2923-2026")</f>
        <v/>
      </c>
      <c r="X56">
        <f>HYPERLINK("https://klasma.github.io/Logging_2101/kartor/A 2923-2026 karta.png", "A 2923-2026")</f>
        <v/>
      </c>
      <c r="Y56">
        <f>HYPERLINK("https://klasma.github.io/Logging_2101/kartor_geotiff/A 2923-2026 georefererad karta.tif", "A 2923-2026")</f>
        <v/>
      </c>
      <c r="Z56">
        <f>HYPERLINK("https://klasma.github.io/Logging_2101/knärot/A 2923-2026 karta knärot.png", "A 2923-2026")</f>
        <v/>
      </c>
      <c r="AA56">
        <f>HYPERLINK("https://klasma.github.io/Logging_2101/klagomål/A 2923-2026 FSC-klagomål.docx", "A 2923-2026")</f>
        <v/>
      </c>
      <c r="AB56">
        <f>HYPERLINK("https://klasma.github.io/Logging_2101/klagomålsmail/A 2923-2026 FSC-klagomål mail.docx", "A 2923-2026")</f>
        <v/>
      </c>
      <c r="AC56">
        <f>HYPERLINK("https://klasma.github.io/Logging_2101/tillsyn/A 2923-2026 tillsynsbegäran.docx", "A 2923-2026")</f>
        <v/>
      </c>
      <c r="AD56">
        <f>HYPERLINK("https://klasma.github.io/Logging_2101/tillsynsmail/A 2923-2026 tillsynsbegäran mail.docx", "A 2923-2026")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46305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46305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6121-2026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46053</v>
      </c>
      <c r="E60" s="1" t="n">
        <v>46305</v>
      </c>
      <c r="F60" t="inlineStr">
        <is>
          <t>GÄVLEBORGS LÄN</t>
        </is>
      </c>
      <c r="G60" t="inlineStr">
        <is>
          <t>OCKELBO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6121-2026 artfynd.xlsx", "A 6121-2026")</f>
        <v/>
      </c>
      <c r="X60">
        <f>HYPERLINK("https://klasma.github.io/Logging_2101/kartor/A 6121-2026 karta.png", "A 6121-2026")</f>
        <v/>
      </c>
      <c r="Y60">
        <f>HYPERLINK("https://klasma.github.io/Logging_2101/kartor_geotiff/A 6121-2026 georefererad karta.tif", "A 6121-2026")</f>
        <v/>
      </c>
      <c r="AA60">
        <f>HYPERLINK("https://klasma.github.io/Logging_2101/klagomål/A 6121-2026 FSC-klagomål.docx", "A 6121-2026")</f>
        <v/>
      </c>
      <c r="AB60">
        <f>HYPERLINK("https://klasma.github.io/Logging_2101/klagomålsmail/A 6121-2026 FSC-klagomål mail.docx", "A 6121-2026")</f>
        <v/>
      </c>
      <c r="AC60">
        <f>HYPERLINK("https://klasma.github.io/Logging_2101/tillsyn/A 6121-2026 tillsynsbegäran.docx", "A 6121-2026")</f>
        <v/>
      </c>
      <c r="AD60">
        <f>HYPERLINK("https://klasma.github.io/Logging_2101/tillsynsmail/A 6121-2026 tillsynsbegäran mail.docx", "A 6121-2026")</f>
        <v/>
      </c>
      <c r="AE60">
        <f>HYPERLINK("https://klasma.github.io/Logging_2101/fåglar/A 6121-2026 prioriterade fågelarter.docx", "A 6121-2026")</f>
        <v/>
      </c>
    </row>
    <row r="61" ht="15" customHeight="1">
      <c r="A61" t="inlineStr">
        <is>
          <t>A 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46056</v>
      </c>
      <c r="E61" s="1" t="n">
        <v>46305</v>
      </c>
      <c r="F61" t="inlineStr">
        <is>
          <t>GÄVLEBORGS LÄN</t>
        </is>
      </c>
      <c r="G61" t="inlineStr">
        <is>
          <t>OCKELBO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HYPERLINK("https://klasma.github.io/Logging_2101/artfynd/A 6586-2026 artfynd.xlsx", "A 6586-2026")</f>
        <v/>
      </c>
      <c r="X61">
        <f>HYPERLINK("https://klasma.github.io/Logging_2101/kartor/A 6586-2026 karta.png", "A 6586-2026")</f>
        <v/>
      </c>
      <c r="Y61">
        <f>HYPERLINK("https://klasma.github.io/Logging_2101/kartor_geotiff/A 6586-2026 georefererad karta.tif", "A 6586-2026")</f>
        <v/>
      </c>
      <c r="AA61">
        <f>HYPERLINK("https://klasma.github.io/Logging_2101/klagomål/A 6586-2026 FSC-klagomål.docx", "A 6586-2026")</f>
        <v/>
      </c>
      <c r="AB61">
        <f>HYPERLINK("https://klasma.github.io/Logging_2101/klagomålsmail/A 6586-2026 FSC-klagomål mail.docx", "A 6586-2026")</f>
        <v/>
      </c>
      <c r="AC61">
        <f>HYPERLINK("https://klasma.github.io/Logging_2101/tillsyn/A 6586-2026 tillsynsbegäran.docx", "A 6586-2026")</f>
        <v/>
      </c>
      <c r="AD61">
        <f>HYPERLINK("https://klasma.github.io/Logging_2101/tillsynsmail/A 6586-2026 tillsynsbegäran mail.docx", "A 6586-2026")</f>
        <v/>
      </c>
    </row>
    <row r="62" ht="15" customHeight="1">
      <c r="A62" t="inlineStr">
        <is>
          <t>A 10484-2026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46305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Ullticka</t>
        </is>
      </c>
      <c r="W62">
        <f>HYPERLINK("https://klasma.github.io/Logging_2101/artfynd/A 10484-2026 artfynd.xlsx", "A 10484-2026")</f>
        <v/>
      </c>
      <c r="X62">
        <f>HYPERLINK("https://klasma.github.io/Logging_2101/kartor/A 10484-2026 karta.png", "A 10484-2026")</f>
        <v/>
      </c>
      <c r="Y62">
        <f>HYPERLINK("https://klasma.github.io/Logging_2101/kartor_geotiff/A 10484-2026 georefererad karta.tif", "A 10484-2026")</f>
        <v/>
      </c>
      <c r="AA62">
        <f>HYPERLINK("https://klasma.github.io/Logging_2101/klagomål/A 10484-2026 FSC-klagomål.docx", "A 10484-2026")</f>
        <v/>
      </c>
      <c r="AB62">
        <f>HYPERLINK("https://klasma.github.io/Logging_2101/klagomålsmail/A 10484-2026 FSC-klagomål mail.docx", "A 10484-2026")</f>
        <v/>
      </c>
      <c r="AC62">
        <f>HYPERLINK("https://klasma.github.io/Logging_2101/tillsyn/A 10484-2026 tillsynsbegäran.docx", "A 10484-2026")</f>
        <v/>
      </c>
      <c r="AD62">
        <f>HYPERLINK("https://klasma.github.io/Logging_2101/tillsynsmail/A 10484-2026 tillsynsbegäran mail.docx", "A 10484-2026")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46305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38583-2026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46283</v>
      </c>
      <c r="E65" s="1" t="n">
        <v>46305</v>
      </c>
      <c r="F65" t="inlineStr">
        <is>
          <t>GÄVLEBORGS LÄN</t>
        </is>
      </c>
      <c r="G65" t="inlineStr">
        <is>
          <t>OCKELBO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Månlåsbräken</t>
        </is>
      </c>
      <c r="W65">
        <f>HYPERLINK("https://klasma.github.io/Logging_2101/artfynd/A 38583-2026 artfynd.xlsx", "A 38583-2026")</f>
        <v/>
      </c>
      <c r="X65">
        <f>HYPERLINK("https://klasma.github.io/Logging_2101/kartor/A 38583-2026 karta.png", "A 38583-2026")</f>
        <v/>
      </c>
      <c r="Y65">
        <f>HYPERLINK("https://klasma.github.io/Logging_2101/kartor_geotiff/A 38583-2026 georefererad karta.tif", "A 38583-2026")</f>
        <v/>
      </c>
      <c r="AA65">
        <f>HYPERLINK("https://klasma.github.io/Logging_2101/klagomål/A 38583-2026 FSC-klagomål.docx", "A 38583-2026")</f>
        <v/>
      </c>
      <c r="AB65">
        <f>HYPERLINK("https://klasma.github.io/Logging_2101/klagomålsmail/A 38583-2026 FSC-klagomål mail.docx", "A 38583-2026")</f>
        <v/>
      </c>
      <c r="AC65">
        <f>HYPERLINK("https://klasma.github.io/Logging_2101/tillsyn/A 38583-2026 tillsynsbegäran.docx", "A 38583-2026")</f>
        <v/>
      </c>
      <c r="AD65">
        <f>HYPERLINK("https://klasma.github.io/Logging_2101/tillsynsmail/A 38583-2026 tillsynsbegäran mail.docx", "A 38583-2026")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46305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46305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46305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46305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46305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46305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46305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46305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46305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46305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46305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46305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46305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46305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46305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46305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12987-2022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46305</v>
      </c>
      <c r="F82" t="inlineStr">
        <is>
          <t>GÄVLEBORGS LÄN</t>
        </is>
      </c>
      <c r="G82" t="inlineStr">
        <is>
          <t>OCKELBO</t>
        </is>
      </c>
      <c r="I82" t="n">
        <v>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46305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46305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46305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46305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46305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34709-2022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44795</v>
      </c>
      <c r="E88" s="1" t="n">
        <v>46305</v>
      </c>
      <c r="F88" t="inlineStr">
        <is>
          <t>GÄVLEBORGS LÄN</t>
        </is>
      </c>
      <c r="G88" t="inlineStr">
        <is>
          <t>OCKELBO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46305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46305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46305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46305</v>
      </c>
      <c r="F92" t="inlineStr">
        <is>
          <t>GÄVLEBORGS LÄN</t>
        </is>
      </c>
      <c r="G92" t="inlineStr">
        <is>
          <t>OCKELBO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46305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46305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46305</v>
      </c>
      <c r="F95" t="inlineStr">
        <is>
          <t>GÄVLEBORGS LÄN</t>
        </is>
      </c>
      <c r="G95" t="inlineStr">
        <is>
          <t>OCKELBO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46305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46305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46305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46305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46305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45139</v>
      </c>
      <c r="E101" s="1" t="n">
        <v>46305</v>
      </c>
      <c r="F101" t="inlineStr">
        <is>
          <t>GÄVLEBORGS LÄN</t>
        </is>
      </c>
      <c r="G101" t="inlineStr">
        <is>
          <t>OCKELBO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46305</v>
      </c>
      <c r="F102" t="inlineStr">
        <is>
          <t>GÄVLEBORGS LÄN</t>
        </is>
      </c>
      <c r="G102" t="inlineStr">
        <is>
          <t>OCKELBO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46305</v>
      </c>
      <c r="F103" t="inlineStr">
        <is>
          <t>GÄVLEBORGS LÄN</t>
        </is>
      </c>
      <c r="G103" t="inlineStr">
        <is>
          <t>OCKELBO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46305</v>
      </c>
      <c r="F104" t="inlineStr">
        <is>
          <t>GÄVLEBORGS LÄN</t>
        </is>
      </c>
      <c r="G104" t="inlineStr">
        <is>
          <t>OCKELBO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46305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46305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46305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46305</v>
      </c>
      <c r="F108" t="inlineStr">
        <is>
          <t>GÄVLEBORGS LÄN</t>
        </is>
      </c>
      <c r="G108" t="inlineStr">
        <is>
          <t>OCKELBO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46305</v>
      </c>
      <c r="F109" t="inlineStr">
        <is>
          <t>GÄVLEBORGS LÄN</t>
        </is>
      </c>
      <c r="G109" t="inlineStr">
        <is>
          <t>OCKELBO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46305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46305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46305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46305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46305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46305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46305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46305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45551</v>
      </c>
      <c r="E118" s="1" t="n">
        <v>46305</v>
      </c>
      <c r="F118" t="inlineStr">
        <is>
          <t>GÄVLEBORGS LÄN</t>
        </is>
      </c>
      <c r="G118" t="inlineStr">
        <is>
          <t>OCKELBO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46305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45334</v>
      </c>
      <c r="E120" s="1" t="n">
        <v>46305</v>
      </c>
      <c r="F120" t="inlineStr">
        <is>
          <t>GÄVLEBORGS LÄN</t>
        </is>
      </c>
      <c r="G120" t="inlineStr">
        <is>
          <t>OCKELBO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46305</v>
      </c>
      <c r="F121" t="inlineStr">
        <is>
          <t>GÄVLEBORGS LÄN</t>
        </is>
      </c>
      <c r="G121" t="inlineStr">
        <is>
          <t>OCKELBO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46305</v>
      </c>
      <c r="F122" t="inlineStr">
        <is>
          <t>GÄVLEBORGS LÄN</t>
        </is>
      </c>
      <c r="G122" t="inlineStr">
        <is>
          <t>OCKELBO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46305</v>
      </c>
      <c r="F123" t="inlineStr">
        <is>
          <t>GÄVLEBORGS LÄN</t>
        </is>
      </c>
      <c r="G123" t="inlineStr">
        <is>
          <t>OCKELBO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45366</v>
      </c>
      <c r="E124" s="1" t="n">
        <v>46305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46305</v>
      </c>
      <c r="F125" t="inlineStr">
        <is>
          <t>GÄVLEBORGS LÄN</t>
        </is>
      </c>
      <c r="G125" t="inlineStr">
        <is>
          <t>OCKELBO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46305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46305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46305</v>
      </c>
      <c r="F128" t="inlineStr">
        <is>
          <t>GÄVLEBORGS LÄN</t>
        </is>
      </c>
      <c r="G128" t="inlineStr">
        <is>
          <t>OCKELBO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46305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45048</v>
      </c>
      <c r="E130" s="1" t="n">
        <v>46305</v>
      </c>
      <c r="F130" t="inlineStr">
        <is>
          <t>GÄVLEBORGS LÄN</t>
        </is>
      </c>
      <c r="G130" t="inlineStr">
        <is>
          <t>OCKELBO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46305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46305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45134</v>
      </c>
      <c r="E133" s="1" t="n">
        <v>46305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46305</v>
      </c>
      <c r="F134" t="inlineStr">
        <is>
          <t>GÄVLEBORGS LÄN</t>
        </is>
      </c>
      <c r="G134" t="inlineStr">
        <is>
          <t>OCKELBO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46305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46305</v>
      </c>
      <c r="F136" t="inlineStr">
        <is>
          <t>GÄVLEBORGS LÄN</t>
        </is>
      </c>
      <c r="G136" t="inlineStr">
        <is>
          <t>OCKELBO</t>
        </is>
      </c>
      <c r="H136" t="inlineStr">
        <is>
          <t>Kyrkan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46305</v>
      </c>
      <c r="F137" t="inlineStr">
        <is>
          <t>GÄVLEBORGS LÄN</t>
        </is>
      </c>
      <c r="G137" t="inlineStr">
        <is>
          <t>OCKELBO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46305</v>
      </c>
      <c r="F138" t="inlineStr">
        <is>
          <t>GÄVLEBORGS LÄN</t>
        </is>
      </c>
      <c r="G138" t="inlineStr">
        <is>
          <t>OCKELBO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46305</v>
      </c>
      <c r="F139" t="inlineStr">
        <is>
          <t>GÄVLEBORGS LÄN</t>
        </is>
      </c>
      <c r="G139" t="inlineStr">
        <is>
          <t>OCKELBO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46305</v>
      </c>
      <c r="F140" t="inlineStr">
        <is>
          <t>GÄVLEBORGS LÄN</t>
        </is>
      </c>
      <c r="G140" t="inlineStr">
        <is>
          <t>OCKELBO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44986</v>
      </c>
      <c r="E141" s="1" t="n">
        <v>46305</v>
      </c>
      <c r="F141" t="inlineStr">
        <is>
          <t>GÄVLEBORGS LÄN</t>
        </is>
      </c>
      <c r="G141" t="inlineStr">
        <is>
          <t>OCKELBO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46305</v>
      </c>
      <c r="F142" t="inlineStr">
        <is>
          <t>GÄVLEBORGS LÄN</t>
        </is>
      </c>
      <c r="G142" t="inlineStr">
        <is>
          <t>OCKELBO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44496</v>
      </c>
      <c r="E143" s="1" t="n">
        <v>46305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46305</v>
      </c>
      <c r="F144" t="inlineStr">
        <is>
          <t>GÄVLEBORGS LÄN</t>
        </is>
      </c>
      <c r="G144" t="inlineStr">
        <is>
          <t>OCKELBO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46305</v>
      </c>
      <c r="F145" t="inlineStr">
        <is>
          <t>GÄVLEBORGS LÄN</t>
        </is>
      </c>
      <c r="G145" t="inlineStr">
        <is>
          <t>OCKELBO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46305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46305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46305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46305</v>
      </c>
      <c r="F149" t="inlineStr">
        <is>
          <t>GÄVLEBORGS LÄN</t>
        </is>
      </c>
      <c r="G149" t="inlineStr">
        <is>
          <t>OCKELBO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46305</v>
      </c>
      <c r="F150" t="inlineStr">
        <is>
          <t>GÄVLEBORGS LÄN</t>
        </is>
      </c>
      <c r="G150" t="inlineStr">
        <is>
          <t>OCKELBO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46305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46305</v>
      </c>
      <c r="F152" t="inlineStr">
        <is>
          <t>GÄVLEBORGS LÄN</t>
        </is>
      </c>
      <c r="G152" t="inlineStr">
        <is>
          <t>OCKELBO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46305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46305</v>
      </c>
      <c r="F154" t="inlineStr">
        <is>
          <t>GÄVLEBORGS LÄN</t>
        </is>
      </c>
      <c r="G154" t="inlineStr">
        <is>
          <t>OCKELBO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46305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46305</v>
      </c>
      <c r="F156" t="inlineStr">
        <is>
          <t>GÄVLEBORGS LÄN</t>
        </is>
      </c>
      <c r="G156" t="inlineStr">
        <is>
          <t>OCKELBO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46305</v>
      </c>
      <c r="F157" t="inlineStr">
        <is>
          <t>GÄVLEBORGS LÄN</t>
        </is>
      </c>
      <c r="G157" t="inlineStr">
        <is>
          <t>OCKELBO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46305</v>
      </c>
      <c r="F158" t="inlineStr">
        <is>
          <t>GÄVLEBORGS LÄN</t>
        </is>
      </c>
      <c r="G158" t="inlineStr">
        <is>
          <t>OCKELBO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45618</v>
      </c>
      <c r="E159" s="1" t="n">
        <v>46305</v>
      </c>
      <c r="F159" t="inlineStr">
        <is>
          <t>GÄVLEBORGS LÄN</t>
        </is>
      </c>
      <c r="G159" t="inlineStr">
        <is>
          <t>OCKELBO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46305</v>
      </c>
      <c r="F160" t="inlineStr">
        <is>
          <t>GÄVLEBORGS LÄN</t>
        </is>
      </c>
      <c r="G160" t="inlineStr">
        <is>
          <t>OCKELBO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45593</v>
      </c>
      <c r="E161" s="1" t="n">
        <v>46305</v>
      </c>
      <c r="F161" t="inlineStr">
        <is>
          <t>GÄVLEBORGS LÄN</t>
        </is>
      </c>
      <c r="G161" t="inlineStr">
        <is>
          <t>OCKELBO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46305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46305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46305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46305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46305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46305</v>
      </c>
      <c r="F167" t="inlineStr">
        <is>
          <t>GÄVLEBORGS LÄN</t>
        </is>
      </c>
      <c r="G167" t="inlineStr">
        <is>
          <t>OCKELBO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46305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46305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46305</v>
      </c>
      <c r="F170" t="inlineStr">
        <is>
          <t>GÄVLEBORGS LÄN</t>
        </is>
      </c>
      <c r="G170" t="inlineStr">
        <is>
          <t>OCKELBO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46305</v>
      </c>
      <c r="F171" t="inlineStr">
        <is>
          <t>GÄVLEBORGS LÄN</t>
        </is>
      </c>
      <c r="G171" t="inlineStr">
        <is>
          <t>OCKELBO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46305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46305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45554</v>
      </c>
      <c r="E174" s="1" t="n">
        <v>46305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46305</v>
      </c>
      <c r="F175" t="inlineStr">
        <is>
          <t>GÄVLEBORGS LÄN</t>
        </is>
      </c>
      <c r="G175" t="inlineStr">
        <is>
          <t>OCKELBO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46305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45455</v>
      </c>
      <c r="E177" s="1" t="n">
        <v>46305</v>
      </c>
      <c r="F177" t="inlineStr">
        <is>
          <t>GÄVLEBORGS LÄN</t>
        </is>
      </c>
      <c r="G177" t="inlineStr">
        <is>
          <t>OCKELBO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46305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46305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46305</v>
      </c>
      <c r="F180" t="inlineStr">
        <is>
          <t>GÄVLEBORGS LÄN</t>
        </is>
      </c>
      <c r="G180" t="inlineStr">
        <is>
          <t>OCKELBO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23004-2025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45790</v>
      </c>
      <c r="E181" s="1" t="n">
        <v>46305</v>
      </c>
      <c r="F181" t="inlineStr">
        <is>
          <t>GÄVLEBORGS LÄN</t>
        </is>
      </c>
      <c r="G181" t="inlineStr">
        <is>
          <t>OCKELBO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46305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46305</v>
      </c>
      <c r="F183" t="inlineStr">
        <is>
          <t>GÄVLEBORGS LÄN</t>
        </is>
      </c>
      <c r="G183" t="inlineStr">
        <is>
          <t>OCKELBO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46305</v>
      </c>
      <c r="F184" t="inlineStr">
        <is>
          <t>GÄVLEBORGS LÄN</t>
        </is>
      </c>
      <c r="G184" t="inlineStr">
        <is>
          <t>OCKELBO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46305</v>
      </c>
      <c r="F185" t="inlineStr">
        <is>
          <t>GÄVLEBORGS LÄN</t>
        </is>
      </c>
      <c r="G185" t="inlineStr">
        <is>
          <t>OCKELBO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44950</v>
      </c>
      <c r="E186" s="1" t="n">
        <v>46305</v>
      </c>
      <c r="F186" t="inlineStr">
        <is>
          <t>GÄVLEBORGS LÄN</t>
        </is>
      </c>
      <c r="G186" t="inlineStr">
        <is>
          <t>OCKELBO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46305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46305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46305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46305</v>
      </c>
      <c r="F190" t="inlineStr">
        <is>
          <t>GÄVLEBORGS LÄN</t>
        </is>
      </c>
      <c r="G190" t="inlineStr">
        <is>
          <t>OCKELBO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44845</v>
      </c>
      <c r="E191" s="1" t="n">
        <v>46305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45590</v>
      </c>
      <c r="E192" s="1" t="n">
        <v>46305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46305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46305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45282</v>
      </c>
      <c r="E195" s="1" t="n">
        <v>46305</v>
      </c>
      <c r="F195" t="inlineStr">
        <is>
          <t>GÄVLEBORGS LÄN</t>
        </is>
      </c>
      <c r="G195" t="inlineStr">
        <is>
          <t>OCKELBO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46305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46305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67768-2021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46305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46305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45497</v>
      </c>
      <c r="E200" s="1" t="n">
        <v>46305</v>
      </c>
      <c r="F200" t="inlineStr">
        <is>
          <t>GÄVLEBORGS LÄN</t>
        </is>
      </c>
      <c r="G200" t="inlineStr">
        <is>
          <t>OCKELBO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45072</v>
      </c>
      <c r="E201" s="1" t="n">
        <v>46305</v>
      </c>
      <c r="F201" t="inlineStr">
        <is>
          <t>GÄVLEBORGS LÄN</t>
        </is>
      </c>
      <c r="G201" t="inlineStr">
        <is>
          <t>OCKELBO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46305</v>
      </c>
      <c r="F202" t="inlineStr">
        <is>
          <t>GÄVLEBORGS LÄN</t>
        </is>
      </c>
      <c r="G202" t="inlineStr">
        <is>
          <t>OCKELBO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46305</v>
      </c>
      <c r="F203" t="inlineStr">
        <is>
          <t>GÄVLEBORGS LÄN</t>
        </is>
      </c>
      <c r="G203" t="inlineStr">
        <is>
          <t>OCKELBO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46305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46305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46305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46305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45027</v>
      </c>
      <c r="E208" s="1" t="n">
        <v>46305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46305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46305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46305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46305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66825-2021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46305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45620</v>
      </c>
      <c r="E214" s="1" t="n">
        <v>46305</v>
      </c>
      <c r="F214" t="inlineStr">
        <is>
          <t>GÄVLEBORGS LÄN</t>
        </is>
      </c>
      <c r="G214" t="inlineStr">
        <is>
          <t>OCKELBO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45434</v>
      </c>
      <c r="E215" s="1" t="n">
        <v>46305</v>
      </c>
      <c r="F215" t="inlineStr">
        <is>
          <t>GÄVLEBORGS LÄN</t>
        </is>
      </c>
      <c r="G215" t="inlineStr">
        <is>
          <t>OCKELBO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46305</v>
      </c>
      <c r="F216" t="inlineStr">
        <is>
          <t>GÄVLEBORGS LÄN</t>
        </is>
      </c>
      <c r="G216" t="inlineStr">
        <is>
          <t>OCKELBO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45341</v>
      </c>
      <c r="E217" s="1" t="n">
        <v>46305</v>
      </c>
      <c r="F217" t="inlineStr">
        <is>
          <t>GÄVLEBORGS LÄN</t>
        </is>
      </c>
      <c r="G217" t="inlineStr">
        <is>
          <t>OCKELBO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46305</v>
      </c>
      <c r="F218" t="inlineStr">
        <is>
          <t>GÄVLEBORGS LÄN</t>
        </is>
      </c>
      <c r="G218" t="inlineStr">
        <is>
          <t>OCKELBO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46305</v>
      </c>
      <c r="F219" t="inlineStr">
        <is>
          <t>GÄVLEBORGS LÄN</t>
        </is>
      </c>
      <c r="G219" t="inlineStr">
        <is>
          <t>OCKELBO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46305</v>
      </c>
      <c r="F220" t="inlineStr">
        <is>
          <t>GÄVLEBORGS LÄN</t>
        </is>
      </c>
      <c r="G220" t="inlineStr">
        <is>
          <t>OCKELBO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45754</v>
      </c>
      <c r="E221" s="1" t="n">
        <v>46305</v>
      </c>
      <c r="F221" t="inlineStr">
        <is>
          <t>GÄVLEBORGS LÄN</t>
        </is>
      </c>
      <c r="G221" t="inlineStr">
        <is>
          <t>OCKELBO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46305</v>
      </c>
      <c r="F222" t="inlineStr">
        <is>
          <t>GÄVLEBORGS LÄN</t>
        </is>
      </c>
      <c r="G222" t="inlineStr">
        <is>
          <t>OCKELBO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46305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45747</v>
      </c>
      <c r="E224" s="1" t="n">
        <v>46305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46305</v>
      </c>
      <c r="F225" t="inlineStr">
        <is>
          <t>GÄVLEBORGS LÄN</t>
        </is>
      </c>
      <c r="G225" t="inlineStr">
        <is>
          <t>OCKELBO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49207-2023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45210</v>
      </c>
      <c r="E226" s="1" t="n">
        <v>46305</v>
      </c>
      <c r="F226" t="inlineStr">
        <is>
          <t>GÄVLEBORGS LÄN</t>
        </is>
      </c>
      <c r="G226" t="inlineStr">
        <is>
          <t>OCKELBO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46305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25250-2025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45800</v>
      </c>
      <c r="E228" s="1" t="n">
        <v>46305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46305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46305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46305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46305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46305</v>
      </c>
      <c r="F233" t="inlineStr">
        <is>
          <t>GÄVLEBORGS LÄN</t>
        </is>
      </c>
      <c r="G233" t="inlineStr">
        <is>
          <t>OCKELBO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46305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46305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46305</v>
      </c>
      <c r="F236" t="inlineStr">
        <is>
          <t>GÄVLEBORGS LÄN</t>
        </is>
      </c>
      <c r="G236" t="inlineStr">
        <is>
          <t>OCKELBO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46305</v>
      </c>
      <c r="F237" t="inlineStr">
        <is>
          <t>GÄVLEBORGS LÄN</t>
        </is>
      </c>
      <c r="G237" t="inlineStr">
        <is>
          <t>OCKELBO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45624</v>
      </c>
      <c r="E238" s="1" t="n">
        <v>46305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46305</v>
      </c>
      <c r="F239" t="inlineStr">
        <is>
          <t>GÄVLEBORGS LÄN</t>
        </is>
      </c>
      <c r="G239" t="inlineStr">
        <is>
          <t>OCKELBO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46305</v>
      </c>
      <c r="F240" t="inlineStr">
        <is>
          <t>GÄVLEBORGS LÄN</t>
        </is>
      </c>
      <c r="G240" t="inlineStr">
        <is>
          <t>OCKELBO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46305</v>
      </c>
      <c r="F241" t="inlineStr">
        <is>
          <t>GÄVLEBORGS LÄN</t>
        </is>
      </c>
      <c r="G241" t="inlineStr">
        <is>
          <t>OCKELBO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45805</v>
      </c>
      <c r="E242" s="1" t="n">
        <v>46305</v>
      </c>
      <c r="F242" t="inlineStr">
        <is>
          <t>GÄVLEBORGS LÄN</t>
        </is>
      </c>
      <c r="G242" t="inlineStr">
        <is>
          <t>OCKELBO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46305</v>
      </c>
      <c r="F243" t="inlineStr">
        <is>
          <t>GÄVLEBORGS LÄN</t>
        </is>
      </c>
      <c r="G243" t="inlineStr">
        <is>
          <t>OCKELBO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46305</v>
      </c>
      <c r="F244" t="inlineStr">
        <is>
          <t>GÄVLEBORGS LÄN</t>
        </is>
      </c>
      <c r="G244" t="inlineStr">
        <is>
          <t>OCKELBO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22824-2024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45448</v>
      </c>
      <c r="E245" s="1" t="n">
        <v>46305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46305</v>
      </c>
      <c r="F246" t="inlineStr">
        <is>
          <t>GÄVLEBORGS LÄN</t>
        </is>
      </c>
      <c r="G246" t="inlineStr">
        <is>
          <t>OCKELBO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46305</v>
      </c>
      <c r="F247" t="inlineStr">
        <is>
          <t>GÄVLEBORGS LÄN</t>
        </is>
      </c>
      <c r="G247" t="inlineStr">
        <is>
          <t>OCKELBO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46305</v>
      </c>
      <c r="F248" t="inlineStr">
        <is>
          <t>GÄVLEBORGS LÄN</t>
        </is>
      </c>
      <c r="G248" t="inlineStr">
        <is>
          <t>OCKELBO</t>
        </is>
      </c>
      <c r="H248" t="inlineStr">
        <is>
          <t>Kyrkan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46305</v>
      </c>
      <c r="F249" t="inlineStr">
        <is>
          <t>GÄVLEBORGS LÄN</t>
        </is>
      </c>
      <c r="G249" t="inlineStr">
        <is>
          <t>OCKELBO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46305</v>
      </c>
      <c r="F250" t="inlineStr">
        <is>
          <t>GÄVLEBORGS LÄN</t>
        </is>
      </c>
      <c r="G250" t="inlineStr">
        <is>
          <t>OCKELBO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64609-2023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46305</v>
      </c>
      <c r="F251" t="inlineStr">
        <is>
          <t>GÄVLEBORGS LÄN</t>
        </is>
      </c>
      <c r="G251" t="inlineStr">
        <is>
          <t>OCKELBO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45432</v>
      </c>
      <c r="E252" s="1" t="n">
        <v>46305</v>
      </c>
      <c r="F252" t="inlineStr">
        <is>
          <t>GÄVLEBORGS LÄN</t>
        </is>
      </c>
      <c r="G252" t="inlineStr">
        <is>
          <t>OCKELBO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46305</v>
      </c>
      <c r="F253" t="inlineStr">
        <is>
          <t>GÄVLEBORGS LÄN</t>
        </is>
      </c>
      <c r="G253" t="inlineStr">
        <is>
          <t>OCKELBO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46305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46305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45291</v>
      </c>
      <c r="E256" s="1" t="n">
        <v>46305</v>
      </c>
      <c r="F256" t="inlineStr">
        <is>
          <t>GÄVLEBORGS LÄN</t>
        </is>
      </c>
      <c r="G256" t="inlineStr">
        <is>
          <t>OCKELBO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46305</v>
      </c>
      <c r="F257" t="inlineStr">
        <is>
          <t>GÄVLEBORGS LÄN</t>
        </is>
      </c>
      <c r="G257" t="inlineStr">
        <is>
          <t>OCKELBO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46305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46305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46305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46305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46305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46305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45705</v>
      </c>
      <c r="E264" s="1" t="n">
        <v>46305</v>
      </c>
      <c r="F264" t="inlineStr">
        <is>
          <t>GÄVLEBORGS LÄN</t>
        </is>
      </c>
      <c r="G264" t="inlineStr">
        <is>
          <t>OCKELBO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45106</v>
      </c>
      <c r="E265" s="1" t="n">
        <v>46305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52335-2024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45609</v>
      </c>
      <c r="E266" s="1" t="n">
        <v>46305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46305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30331-2025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46305</v>
      </c>
      <c r="F268" t="inlineStr">
        <is>
          <t>GÄVLEBORGS LÄN</t>
        </is>
      </c>
      <c r="G268" t="inlineStr">
        <is>
          <t>OCKELBO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46305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46305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46305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44643</v>
      </c>
      <c r="E272" s="1" t="n">
        <v>46305</v>
      </c>
      <c r="F272" t="inlineStr">
        <is>
          <t>GÄVLEBORGS LÄN</t>
        </is>
      </c>
      <c r="G272" t="inlineStr">
        <is>
          <t>OCKELBO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45156</v>
      </c>
      <c r="E273" s="1" t="n">
        <v>46305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46305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46305</v>
      </c>
      <c r="F275" t="inlineStr">
        <is>
          <t>GÄVLEBORGS LÄN</t>
        </is>
      </c>
      <c r="G275" t="inlineStr">
        <is>
          <t>OCKELBO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46305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46305</v>
      </c>
      <c r="F277" t="inlineStr">
        <is>
          <t>GÄVLEBORGS LÄN</t>
        </is>
      </c>
      <c r="G277" t="inlineStr">
        <is>
          <t>OCKELBO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46305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46305</v>
      </c>
      <c r="F279" t="inlineStr">
        <is>
          <t>GÄVLEBORGS LÄN</t>
        </is>
      </c>
      <c r="G279" t="inlineStr">
        <is>
          <t>OCKELBO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46305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46305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46305</v>
      </c>
      <c r="F282" t="inlineStr">
        <is>
          <t>GÄVLEBORGS LÄN</t>
        </is>
      </c>
      <c r="G282" t="inlineStr">
        <is>
          <t>OCKELBO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46305</v>
      </c>
      <c r="F283" t="inlineStr">
        <is>
          <t>GÄVLEBORGS LÄN</t>
        </is>
      </c>
      <c r="G283" t="inlineStr">
        <is>
          <t>OCKELBO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46305</v>
      </c>
      <c r="F284" t="inlineStr">
        <is>
          <t>GÄVLEBORGS LÄN</t>
        </is>
      </c>
      <c r="G284" t="inlineStr">
        <is>
          <t>OCKELBO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36521-2022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46305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44725</v>
      </c>
      <c r="E286" s="1" t="n">
        <v>46305</v>
      </c>
      <c r="F286" t="inlineStr">
        <is>
          <t>GÄVLEBORGS LÄN</t>
        </is>
      </c>
      <c r="G286" t="inlineStr">
        <is>
          <t>OCKELBO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46305</v>
      </c>
      <c r="F287" t="inlineStr">
        <is>
          <t>GÄVLEBORGS LÄN</t>
        </is>
      </c>
      <c r="G287" t="inlineStr">
        <is>
          <t>OCKELBO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45840</v>
      </c>
      <c r="E288" s="1" t="n">
        <v>46305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44781</v>
      </c>
      <c r="E289" s="1" t="n">
        <v>46305</v>
      </c>
      <c r="F289" t="inlineStr">
        <is>
          <t>GÄVLEBORGS LÄN</t>
        </is>
      </c>
      <c r="G289" t="inlineStr">
        <is>
          <t>OCKELBO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46305</v>
      </c>
      <c r="F290" t="inlineStr">
        <is>
          <t>GÄVLEBORGS LÄN</t>
        </is>
      </c>
      <c r="G290" t="inlineStr">
        <is>
          <t>OCKELBO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45840</v>
      </c>
      <c r="E291" s="1" t="n">
        <v>46305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32011-2024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45510</v>
      </c>
      <c r="E292" s="1" t="n">
        <v>46305</v>
      </c>
      <c r="F292" t="inlineStr">
        <is>
          <t>GÄVLEBORGS LÄN</t>
        </is>
      </c>
      <c r="G292" t="inlineStr">
        <is>
          <t>OCKELBO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45511</v>
      </c>
      <c r="E293" s="1" t="n">
        <v>46305</v>
      </c>
      <c r="F293" t="inlineStr">
        <is>
          <t>GÄVLEBORGS LÄN</t>
        </is>
      </c>
      <c r="G293" t="inlineStr">
        <is>
          <t>OCKELBO</t>
        </is>
      </c>
      <c r="I293" t="n">
        <v>11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46305</v>
      </c>
      <c r="F294" t="inlineStr">
        <is>
          <t>GÄVLEBORGS LÄN</t>
        </is>
      </c>
      <c r="G294" t="inlineStr">
        <is>
          <t>OCKELBO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46305</v>
      </c>
      <c r="F295" t="inlineStr">
        <is>
          <t>GÄVLEBORGS LÄN</t>
        </is>
      </c>
      <c r="G295" t="inlineStr">
        <is>
          <t>OCKELBO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46305</v>
      </c>
      <c r="F296" t="inlineStr">
        <is>
          <t>GÄVLEBORGS LÄN</t>
        </is>
      </c>
      <c r="G296" t="inlineStr">
        <is>
          <t>OCKELBO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46305</v>
      </c>
      <c r="F297" t="inlineStr">
        <is>
          <t>GÄVLEBORGS LÄN</t>
        </is>
      </c>
      <c r="G297" t="inlineStr">
        <is>
          <t>OCKELBO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46305</v>
      </c>
      <c r="F298" t="inlineStr">
        <is>
          <t>GÄVLEBORGS LÄN</t>
        </is>
      </c>
      <c r="G298" t="inlineStr">
        <is>
          <t>OCKELBO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45134</v>
      </c>
      <c r="E299" s="1" t="n">
        <v>46305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46305</v>
      </c>
      <c r="F300" t="inlineStr">
        <is>
          <t>GÄVLEBORGS LÄN</t>
        </is>
      </c>
      <c r="G300" t="inlineStr">
        <is>
          <t>OCKELBO</t>
        </is>
      </c>
      <c r="H300" t="inlineStr">
        <is>
          <t>Kyrkan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46305</v>
      </c>
      <c r="F301" t="inlineStr">
        <is>
          <t>GÄVLEBORGS LÄN</t>
        </is>
      </c>
      <c r="G301" t="inlineStr">
        <is>
          <t>OCKELBO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45109</v>
      </c>
      <c r="E302" s="1" t="n">
        <v>46305</v>
      </c>
      <c r="F302" t="inlineStr">
        <is>
          <t>GÄVLEBORGS LÄN</t>
        </is>
      </c>
      <c r="G302" t="inlineStr">
        <is>
          <t>OCKELBO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46305</v>
      </c>
      <c r="F303" t="inlineStr">
        <is>
          <t>GÄVLEBORGS LÄN</t>
        </is>
      </c>
      <c r="G303" t="inlineStr">
        <is>
          <t>OCKELBO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44700</v>
      </c>
      <c r="E304" s="1" t="n">
        <v>46305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46305</v>
      </c>
      <c r="F305" t="inlineStr">
        <is>
          <t>GÄVLEBORGS LÄN</t>
        </is>
      </c>
      <c r="G305" t="inlineStr">
        <is>
          <t>OCKELBO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46305</v>
      </c>
      <c r="F306" t="inlineStr">
        <is>
          <t>GÄVLEBORGS LÄN</t>
        </is>
      </c>
      <c r="G306" t="inlineStr">
        <is>
          <t>OCKELBO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23006-2023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45073</v>
      </c>
      <c r="E307" s="1" t="n">
        <v>46305</v>
      </c>
      <c r="F307" t="inlineStr">
        <is>
          <t>GÄVLEBORGS LÄN</t>
        </is>
      </c>
      <c r="G307" t="inlineStr">
        <is>
          <t>OCKELBO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46305</v>
      </c>
      <c r="F308" t="inlineStr">
        <is>
          <t>GÄVLEBORGS LÄN</t>
        </is>
      </c>
      <c r="G308" t="inlineStr">
        <is>
          <t>OCKELBO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46305</v>
      </c>
      <c r="F309" t="inlineStr">
        <is>
          <t>GÄVLEBORGS LÄN</t>
        </is>
      </c>
      <c r="G309" t="inlineStr">
        <is>
          <t>OCKELBO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46305</v>
      </c>
      <c r="F310" t="inlineStr">
        <is>
          <t>GÄVLEBORGS LÄN</t>
        </is>
      </c>
      <c r="G310" t="inlineStr">
        <is>
          <t>OCKELBO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46305</v>
      </c>
      <c r="F311" t="inlineStr">
        <is>
          <t>GÄVLEBORGS LÄN</t>
        </is>
      </c>
      <c r="G311" t="inlineStr">
        <is>
          <t>OCKELBO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46305</v>
      </c>
      <c r="F312" t="inlineStr">
        <is>
          <t>GÄVLEBORGS LÄN</t>
        </is>
      </c>
      <c r="G312" t="inlineStr">
        <is>
          <t>OCKELBO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46305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45699</v>
      </c>
      <c r="E314" s="1" t="n">
        <v>46305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46305</v>
      </c>
      <c r="F315" t="inlineStr">
        <is>
          <t>GÄVLEBORGS LÄN</t>
        </is>
      </c>
      <c r="G315" t="inlineStr">
        <is>
          <t>OCKELBO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46305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45973</v>
      </c>
      <c r="E317" s="1" t="n">
        <v>46305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46305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35017-2025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45851</v>
      </c>
      <c r="E319" s="1" t="n">
        <v>46305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29567-2024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45484</v>
      </c>
      <c r="E320" s="1" t="n">
        <v>46305</v>
      </c>
      <c r="F320" t="inlineStr">
        <is>
          <t>GÄVLEBORGS LÄN</t>
        </is>
      </c>
      <c r="G320" t="inlineStr">
        <is>
          <t>OCKELBO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35054-2022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44797</v>
      </c>
      <c r="E321" s="1" t="n">
        <v>46305</v>
      </c>
      <c r="F321" t="inlineStr">
        <is>
          <t>GÄVLEBORGS LÄN</t>
        </is>
      </c>
      <c r="G321" t="inlineStr">
        <is>
          <t>OCKELBO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46305</v>
      </c>
      <c r="F322" t="inlineStr">
        <is>
          <t>GÄVLEBORGS LÄN</t>
        </is>
      </c>
      <c r="G322" t="inlineStr">
        <is>
          <t>OCKELBO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46305</v>
      </c>
      <c r="F323" t="inlineStr">
        <is>
          <t>GÄVLEBORGS LÄN</t>
        </is>
      </c>
      <c r="G323" t="inlineStr">
        <is>
          <t>OCKELBO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46305</v>
      </c>
      <c r="F324" t="inlineStr">
        <is>
          <t>GÄVLEBORGS LÄN</t>
        </is>
      </c>
      <c r="G324" t="inlineStr">
        <is>
          <t>OCKELBO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45772</v>
      </c>
      <c r="E325" s="1" t="n">
        <v>46305</v>
      </c>
      <c r="F325" t="inlineStr">
        <is>
          <t>GÄVLEBORGS LÄN</t>
        </is>
      </c>
      <c r="G325" t="inlineStr">
        <is>
          <t>OCKELBO</t>
        </is>
      </c>
      <c r="I325" t="n">
        <v>14.8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46305</v>
      </c>
      <c r="F326" t="inlineStr">
        <is>
          <t>GÄVLEBORGS LÄN</t>
        </is>
      </c>
      <c r="G326" t="inlineStr">
        <is>
          <t>OCKELBO</t>
        </is>
      </c>
      <c r="H326" t="inlineStr">
        <is>
          <t>Kyrkan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46305</v>
      </c>
      <c r="F327" t="inlineStr">
        <is>
          <t>GÄVLEBORGS LÄN</t>
        </is>
      </c>
      <c r="G327" t="inlineStr">
        <is>
          <t>OCKELBO</t>
        </is>
      </c>
      <c r="I327" t="n">
        <v>14.6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46305</v>
      </c>
      <c r="F328" t="inlineStr">
        <is>
          <t>GÄVLEBORGS LÄN</t>
        </is>
      </c>
      <c r="G328" t="inlineStr">
        <is>
          <t>OCKELBO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45254</v>
      </c>
      <c r="E329" s="1" t="n">
        <v>46305</v>
      </c>
      <c r="F329" t="inlineStr">
        <is>
          <t>GÄVLEBORGS LÄN</t>
        </is>
      </c>
      <c r="G329" t="inlineStr">
        <is>
          <t>OCKELBO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46305</v>
      </c>
      <c r="F330" t="inlineStr">
        <is>
          <t>GÄVLEBORGS LÄN</t>
        </is>
      </c>
      <c r="G330" t="inlineStr">
        <is>
          <t>OCKELBO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46305</v>
      </c>
      <c r="F331" t="inlineStr">
        <is>
          <t>GÄVLEBORGS LÄN</t>
        </is>
      </c>
      <c r="G331" t="inlineStr">
        <is>
          <t>OCKELBO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46305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45230</v>
      </c>
      <c r="E333" s="1" t="n">
        <v>46305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46305</v>
      </c>
      <c r="F334" t="inlineStr">
        <is>
          <t>GÄVLEBORGS LÄN</t>
        </is>
      </c>
      <c r="G334" t="inlineStr">
        <is>
          <t>OCKELBO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46305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46305</v>
      </c>
      <c r="F336" t="inlineStr">
        <is>
          <t>GÄVLEBORGS LÄN</t>
        </is>
      </c>
      <c r="G336" t="inlineStr">
        <is>
          <t>OCKELBO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46305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öst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46305</v>
      </c>
      <c r="F338" t="inlineStr">
        <is>
          <t>GÄVLEBORGS LÄN</t>
        </is>
      </c>
      <c r="G338" t="inlineStr">
        <is>
          <t>OCKELBO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46305</v>
      </c>
      <c r="F339" t="inlineStr">
        <is>
          <t>GÄVLEBORGS LÄN</t>
        </is>
      </c>
      <c r="G339" t="inlineStr">
        <is>
          <t>OCKELBO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45551</v>
      </c>
      <c r="E340" s="1" t="n">
        <v>46305</v>
      </c>
      <c r="F340" t="inlineStr">
        <is>
          <t>GÄVLEBORGS LÄN</t>
        </is>
      </c>
      <c r="G340" t="inlineStr">
        <is>
          <t>OCKELBO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46305</v>
      </c>
      <c r="F341" t="inlineStr">
        <is>
          <t>GÄVLEBORGS LÄN</t>
        </is>
      </c>
      <c r="G341" t="inlineStr">
        <is>
          <t>OCKELBO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46305</v>
      </c>
      <c r="F342" t="inlineStr">
        <is>
          <t>GÄVLEBORGS LÄN</t>
        </is>
      </c>
      <c r="G342" t="inlineStr">
        <is>
          <t>OCKELBO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46305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56232-2022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46305</v>
      </c>
      <c r="F344" t="inlineStr">
        <is>
          <t>GÄVLEBORGS LÄN</t>
        </is>
      </c>
      <c r="G344" t="inlineStr">
        <is>
          <t>OCKELBO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46305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46305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46305</v>
      </c>
      <c r="F347" t="inlineStr">
        <is>
          <t>GÄVLEBORGS LÄN</t>
        </is>
      </c>
      <c r="G347" t="inlineStr">
        <is>
          <t>OCKELBO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46305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46305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46305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46305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44883</v>
      </c>
      <c r="E352" s="1" t="n">
        <v>46305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46305</v>
      </c>
      <c r="F353" t="inlineStr">
        <is>
          <t>GÄVLEBORGS LÄN</t>
        </is>
      </c>
      <c r="G353" t="inlineStr">
        <is>
          <t>OCKELBO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46305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46305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45301</v>
      </c>
      <c r="E356" s="1" t="n">
        <v>46305</v>
      </c>
      <c r="F356" t="inlineStr">
        <is>
          <t>GÄVLEBORGS LÄN</t>
        </is>
      </c>
      <c r="G356" t="inlineStr">
        <is>
          <t>OCKELBO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46305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46305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46305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öst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15067-2026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46305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46305</v>
      </c>
      <c r="F361" t="inlineStr">
        <is>
          <t>GÄVLEBORGS LÄN</t>
        </is>
      </c>
      <c r="G361" t="inlineStr">
        <is>
          <t>OCKELBO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46104</v>
      </c>
      <c r="E362" s="1" t="n">
        <v>46305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34.1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46305</v>
      </c>
      <c r="F363" t="inlineStr">
        <is>
          <t>GÄVLEBORGS LÄN</t>
        </is>
      </c>
      <c r="G363" t="inlineStr">
        <is>
          <t>OCKELBO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46305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46305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46305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45134</v>
      </c>
      <c r="E367" s="1" t="n">
        <v>46305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46305</v>
      </c>
      <c r="F368" t="inlineStr">
        <is>
          <t>GÄVLEBORGS LÄN</t>
        </is>
      </c>
      <c r="G368" t="inlineStr">
        <is>
          <t>OCKELBO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46305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46305</v>
      </c>
      <c r="F370" t="inlineStr">
        <is>
          <t>GÄVLEBORGS LÄN</t>
        </is>
      </c>
      <c r="G370" t="inlineStr">
        <is>
          <t>OCKELBO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46305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46305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45534</v>
      </c>
      <c r="E373" s="1" t="n">
        <v>46305</v>
      </c>
      <c r="F373" t="inlineStr">
        <is>
          <t>GÄVLEBORGS LÄN</t>
        </is>
      </c>
      <c r="G373" t="inlineStr">
        <is>
          <t>OCKELBO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46305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46305</v>
      </c>
      <c r="F375" t="inlineStr">
        <is>
          <t>GÄVLEBORGS LÄN</t>
        </is>
      </c>
      <c r="G375" t="inlineStr">
        <is>
          <t>OCKELBO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46305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46305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45167</v>
      </c>
      <c r="E378" s="1" t="n">
        <v>46305</v>
      </c>
      <c r="F378" t="inlineStr">
        <is>
          <t>GÄVLEBORGS LÄN</t>
        </is>
      </c>
      <c r="G378" t="inlineStr">
        <is>
          <t>OCKELBO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46305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46305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46305</v>
      </c>
      <c r="F381" t="inlineStr">
        <is>
          <t>GÄVLEBORGS LÄN</t>
        </is>
      </c>
      <c r="G381" t="inlineStr">
        <is>
          <t>OCKELBO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46305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46305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46305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45139</v>
      </c>
      <c r="E385" s="1" t="n">
        <v>46305</v>
      </c>
      <c r="F385" t="inlineStr">
        <is>
          <t>GÄVLEBORGS LÄN</t>
        </is>
      </c>
      <c r="G385" t="inlineStr">
        <is>
          <t>OCKELBO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46305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46305</v>
      </c>
      <c r="F387" t="inlineStr">
        <is>
          <t>GÄVLEBORGS LÄN</t>
        </is>
      </c>
      <c r="G387" t="inlineStr">
        <is>
          <t>OCKELBO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46305</v>
      </c>
      <c r="F388" t="inlineStr">
        <is>
          <t>GÄVLEBORGS LÄN</t>
        </is>
      </c>
      <c r="G388" t="inlineStr">
        <is>
          <t>OCKELBO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46305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46305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46119</v>
      </c>
      <c r="E391" s="1" t="n">
        <v>46305</v>
      </c>
      <c r="F391" t="inlineStr">
        <is>
          <t>GÄVLEBORGS LÄN</t>
        </is>
      </c>
      <c r="G391" t="inlineStr">
        <is>
          <t>OCKELBO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46305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46118</v>
      </c>
      <c r="E393" s="1" t="n">
        <v>46305</v>
      </c>
      <c r="F393" t="inlineStr">
        <is>
          <t>GÄVLEBORGS LÄN</t>
        </is>
      </c>
      <c r="G393" t="inlineStr">
        <is>
          <t>OCKELBO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45994</v>
      </c>
      <c r="E394" s="1" t="n">
        <v>46305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46305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öst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46305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öst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46305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46305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öst AB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46305</v>
      </c>
      <c r="F399" t="inlineStr">
        <is>
          <t>GÄVLEBORGS LÄN</t>
        </is>
      </c>
      <c r="G399" t="inlineStr">
        <is>
          <t>OCKELBO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46305</v>
      </c>
      <c r="F400" t="inlineStr">
        <is>
          <t>GÄVLEBORGS LÄN</t>
        </is>
      </c>
      <c r="G400" t="inlineStr">
        <is>
          <t>OCKELBO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45548</v>
      </c>
      <c r="E401" s="1" t="n">
        <v>46305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46305</v>
      </c>
      <c r="F402" t="inlineStr">
        <is>
          <t>GÄVLEBORGS LÄN</t>
        </is>
      </c>
      <c r="G402" t="inlineStr">
        <is>
          <t>OCKELBO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46305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öst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45996</v>
      </c>
      <c r="E404" s="1" t="n">
        <v>46305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46305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46305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18133-2026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46305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46305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öst AB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46305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46305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46305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46305</v>
      </c>
      <c r="F412" t="inlineStr">
        <is>
          <t>GÄVLEBORGS LÄN</t>
        </is>
      </c>
      <c r="G412" t="inlineStr">
        <is>
          <t>OCKELBO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46305</v>
      </c>
      <c r="F413" t="inlineStr">
        <is>
          <t>GÄVLEBORGS LÄN</t>
        </is>
      </c>
      <c r="G413" t="inlineStr">
        <is>
          <t>OCKELBO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46305</v>
      </c>
      <c r="F414" t="inlineStr">
        <is>
          <t>GÄVLEBORGS LÄN</t>
        </is>
      </c>
      <c r="G414" t="inlineStr">
        <is>
          <t>OCKELBO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46305</v>
      </c>
      <c r="F415" t="inlineStr">
        <is>
          <t>GÄVLEBORGS LÄN</t>
        </is>
      </c>
      <c r="G415" t="inlineStr">
        <is>
          <t>OCKELBO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46305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46305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17.7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46305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46305</v>
      </c>
      <c r="F419" t="inlineStr">
        <is>
          <t>GÄVLEBORGS LÄN</t>
        </is>
      </c>
      <c r="G419" t="inlineStr">
        <is>
          <t>OCKELBO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19213-2026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46305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46128</v>
      </c>
      <c r="E421" s="1" t="n">
        <v>46305</v>
      </c>
      <c r="F421" t="inlineStr">
        <is>
          <t>GÄVLEBORGS LÄN</t>
        </is>
      </c>
      <c r="G421" t="inlineStr">
        <is>
          <t>OCKELBO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46305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46305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46305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46305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46305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46305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46305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46305</v>
      </c>
      <c r="F429" t="inlineStr">
        <is>
          <t>GÄVLEBORGS LÄN</t>
        </is>
      </c>
      <c r="G429" t="inlineStr">
        <is>
          <t>OCKELBO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46305</v>
      </c>
      <c r="F430" t="inlineStr">
        <is>
          <t>GÄVLEBORGS LÄN</t>
        </is>
      </c>
      <c r="G430" t="inlineStr">
        <is>
          <t>OCKELBO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46305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46133</v>
      </c>
      <c r="E432" s="1" t="n">
        <v>46305</v>
      </c>
      <c r="F432" t="inlineStr">
        <is>
          <t>GÄVLEBORGS LÄN</t>
        </is>
      </c>
      <c r="G432" t="inlineStr">
        <is>
          <t>OCKELBO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46305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46305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62196-2025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46305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46305</v>
      </c>
      <c r="F436" t="inlineStr">
        <is>
          <t>GÄVLEBORGS LÄN</t>
        </is>
      </c>
      <c r="G436" t="inlineStr">
        <is>
          <t>OCKELBO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46305</v>
      </c>
      <c r="F437" t="inlineStr">
        <is>
          <t>GÄVLEBORGS LÄN</t>
        </is>
      </c>
      <c r="G437" t="inlineStr">
        <is>
          <t>OCKELBO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46305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46305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45139</v>
      </c>
      <c r="E440" s="1" t="n">
        <v>46305</v>
      </c>
      <c r="F440" t="inlineStr">
        <is>
          <t>GÄVLEBORGS LÄN</t>
        </is>
      </c>
      <c r="G440" t="inlineStr">
        <is>
          <t>OCKELBO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62096-2024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45656</v>
      </c>
      <c r="E441" s="1" t="n">
        <v>46305</v>
      </c>
      <c r="F441" t="inlineStr">
        <is>
          <t>GÄVLEBORGS LÄN</t>
        </is>
      </c>
      <c r="G441" t="inlineStr">
        <is>
          <t>OCKELBO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44950</v>
      </c>
      <c r="E442" s="1" t="n">
        <v>46305</v>
      </c>
      <c r="F442" t="inlineStr">
        <is>
          <t>GÄVLEBORGS LÄN</t>
        </is>
      </c>
      <c r="G442" t="inlineStr">
        <is>
          <t>OCKELBO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46305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45609</v>
      </c>
      <c r="E444" s="1" t="n">
        <v>46305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46305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46305</v>
      </c>
      <c r="F446" t="inlineStr">
        <is>
          <t>GÄVLEBORGS LÄN</t>
        </is>
      </c>
      <c r="G446" t="inlineStr">
        <is>
          <t>OCKELBO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62914-2025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46305</v>
      </c>
      <c r="F447" t="inlineStr">
        <is>
          <t>GÄVLEBORGS LÄN</t>
        </is>
      </c>
      <c r="G447" t="inlineStr">
        <is>
          <t>OCKELBO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46305</v>
      </c>
      <c r="F448" t="inlineStr">
        <is>
          <t>GÄVLEBORGS LÄN</t>
        </is>
      </c>
      <c r="G448" t="inlineStr">
        <is>
          <t>OCKELBO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46305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46305</v>
      </c>
      <c r="F450" t="inlineStr">
        <is>
          <t>GÄVLEBORGS LÄN</t>
        </is>
      </c>
      <c r="G450" t="inlineStr">
        <is>
          <t>OCKELBO</t>
        </is>
      </c>
      <c r="I450" t="n">
        <v>14.7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46305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46014</v>
      </c>
      <c r="E452" s="1" t="n">
        <v>46305</v>
      </c>
      <c r="F452" t="inlineStr">
        <is>
          <t>GÄVLEBORGS LÄN</t>
        </is>
      </c>
      <c r="G452" t="inlineStr">
        <is>
          <t>OCKELBO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63224-2025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46010</v>
      </c>
      <c r="E453" s="1" t="n">
        <v>46305</v>
      </c>
      <c r="F453" t="inlineStr">
        <is>
          <t>GÄVLEBORGS LÄN</t>
        </is>
      </c>
      <c r="G453" t="inlineStr">
        <is>
          <t>OCKELBO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63464-2025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46013</v>
      </c>
      <c r="E454" s="1" t="n">
        <v>46305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46305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46305</v>
      </c>
      <c r="F456" t="inlineStr">
        <is>
          <t>GÄVLEBORGS LÄN</t>
        </is>
      </c>
      <c r="G456" t="inlineStr">
        <is>
          <t>OCKELBO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46305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46305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64006-2025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46305</v>
      </c>
      <c r="F459" t="inlineStr">
        <is>
          <t>GÄVLEBORGS LÄN</t>
        </is>
      </c>
      <c r="G459" t="inlineStr">
        <is>
          <t>OCKELBO</t>
        </is>
      </c>
      <c r="I459" t="n">
        <v>13.6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46305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46024</v>
      </c>
      <c r="E461" s="1" t="n">
        <v>46305</v>
      </c>
      <c r="F461" t="inlineStr">
        <is>
          <t>GÄVLEBORGS LÄN</t>
        </is>
      </c>
      <c r="G461" t="inlineStr">
        <is>
          <t>OCKELBO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46305</v>
      </c>
      <c r="F462" t="inlineStr">
        <is>
          <t>GÄVLEBORGS LÄN</t>
        </is>
      </c>
      <c r="G462" t="inlineStr">
        <is>
          <t>OCKELBO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46305</v>
      </c>
      <c r="F463" t="inlineStr">
        <is>
          <t>GÄVLEBORGS LÄN</t>
        </is>
      </c>
      <c r="G463" t="inlineStr">
        <is>
          <t>OCKELBO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46305</v>
      </c>
      <c r="F464" t="inlineStr">
        <is>
          <t>GÄVLEBORGS LÄN</t>
        </is>
      </c>
      <c r="G464" t="inlineStr">
        <is>
          <t>OCKELBO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46305</v>
      </c>
      <c r="F465" t="inlineStr">
        <is>
          <t>GÄVLEBORGS LÄN</t>
        </is>
      </c>
      <c r="G465" t="inlineStr">
        <is>
          <t>OCKELBO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46305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46027</v>
      </c>
      <c r="E467" s="1" t="n">
        <v>46305</v>
      </c>
      <c r="F467" t="inlineStr">
        <is>
          <t>GÄVLEBORGS LÄN</t>
        </is>
      </c>
      <c r="G467" t="inlineStr">
        <is>
          <t>OCKELBO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46305</v>
      </c>
      <c r="F468" t="inlineStr">
        <is>
          <t>GÄVLEBORGS LÄN</t>
        </is>
      </c>
      <c r="G468" t="inlineStr">
        <is>
          <t>OCKELBO</t>
        </is>
      </c>
      <c r="I468" t="n">
        <v>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46027</v>
      </c>
      <c r="E469" s="1" t="n">
        <v>46305</v>
      </c>
      <c r="F469" t="inlineStr">
        <is>
          <t>GÄVLEBORGS LÄN</t>
        </is>
      </c>
      <c r="G469" t="inlineStr">
        <is>
          <t>OCKELBO</t>
        </is>
      </c>
      <c r="I469" t="n">
        <v>16.2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46305</v>
      </c>
      <c r="F470" t="inlineStr">
        <is>
          <t>GÄVLEBORGS LÄN</t>
        </is>
      </c>
      <c r="G470" t="inlineStr">
        <is>
          <t>OCKELBO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46027</v>
      </c>
      <c r="E471" s="1" t="n">
        <v>46305</v>
      </c>
      <c r="F471" t="inlineStr">
        <is>
          <t>GÄVLEBORGS LÄN</t>
        </is>
      </c>
      <c r="G471" t="inlineStr">
        <is>
          <t>OCKELBO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46305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46137</v>
      </c>
      <c r="E473" s="1" t="n">
        <v>46305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46305</v>
      </c>
      <c r="F474" t="inlineStr">
        <is>
          <t>GÄVLEBORGS LÄN</t>
        </is>
      </c>
      <c r="G474" t="inlineStr">
        <is>
          <t>OCKELBO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46028</v>
      </c>
      <c r="E475" s="1" t="n">
        <v>46305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46305</v>
      </c>
      <c r="F476" t="inlineStr">
        <is>
          <t>GÄVLEBORGS LÄN</t>
        </is>
      </c>
      <c r="G476" t="inlineStr">
        <is>
          <t>OCKELBO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46305</v>
      </c>
      <c r="F477" t="inlineStr">
        <is>
          <t>GÄVLEBORGS LÄN</t>
        </is>
      </c>
      <c r="G477" t="inlineStr">
        <is>
          <t>OCKELBO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45111</v>
      </c>
      <c r="E478" s="1" t="n">
        <v>46305</v>
      </c>
      <c r="F478" t="inlineStr">
        <is>
          <t>GÄVLEBORGS LÄN</t>
        </is>
      </c>
      <c r="G478" t="inlineStr">
        <is>
          <t>OCKELBO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46305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46028</v>
      </c>
      <c r="E480" s="1" t="n">
        <v>46305</v>
      </c>
      <c r="F480" t="inlineStr">
        <is>
          <t>GÄVLEBORGS LÄN</t>
        </is>
      </c>
      <c r="G480" t="inlineStr">
        <is>
          <t>OCKELBO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46305</v>
      </c>
      <c r="F481" t="inlineStr">
        <is>
          <t>GÄVLEBORGS LÄN</t>
        </is>
      </c>
      <c r="G481" t="inlineStr">
        <is>
          <t>OCKELBO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46305</v>
      </c>
      <c r="F482" t="inlineStr">
        <is>
          <t>GÄVLEBORGS LÄN</t>
        </is>
      </c>
      <c r="G482" t="inlineStr">
        <is>
          <t>OCKELBO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46305</v>
      </c>
      <c r="F483" t="inlineStr">
        <is>
          <t>GÄVLEBORGS LÄN</t>
        </is>
      </c>
      <c r="G483" t="inlineStr">
        <is>
          <t>OCKELBO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46305</v>
      </c>
      <c r="F484" t="inlineStr">
        <is>
          <t>GÄVLEBORGS LÄN</t>
        </is>
      </c>
      <c r="G484" t="inlineStr">
        <is>
          <t>OCKELBO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46305</v>
      </c>
      <c r="F485" t="inlineStr">
        <is>
          <t>GÄVLEBORGS LÄN</t>
        </is>
      </c>
      <c r="G485" t="inlineStr">
        <is>
          <t>OCKELBO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45821</v>
      </c>
      <c r="E486" s="1" t="n">
        <v>46305</v>
      </c>
      <c r="F486" t="inlineStr">
        <is>
          <t>GÄVLEBORGS LÄN</t>
        </is>
      </c>
      <c r="G486" t="inlineStr">
        <is>
          <t>OCKELBO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46305</v>
      </c>
      <c r="F487" t="inlineStr">
        <is>
          <t>GÄVLEBORGS LÄN</t>
        </is>
      </c>
      <c r="G487" t="inlineStr">
        <is>
          <t>OCKELBO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46033</v>
      </c>
      <c r="E488" s="1" t="n">
        <v>46305</v>
      </c>
      <c r="F488" t="inlineStr">
        <is>
          <t>GÄVLEBORGS LÄN</t>
        </is>
      </c>
      <c r="G488" t="inlineStr">
        <is>
          <t>OCKELBO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45946</v>
      </c>
      <c r="E489" s="1" t="n">
        <v>46305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46305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46305</v>
      </c>
      <c r="F491" t="inlineStr">
        <is>
          <t>GÄVLEBORGS LÄN</t>
        </is>
      </c>
      <c r="G491" t="inlineStr">
        <is>
          <t>OCKELBO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46305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46305</v>
      </c>
      <c r="F493" t="inlineStr">
        <is>
          <t>GÄVLEBORGS LÄN</t>
        </is>
      </c>
      <c r="G493" t="inlineStr">
        <is>
          <t>OCKELBO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29953-2024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45488</v>
      </c>
      <c r="E494" s="1" t="n">
        <v>46305</v>
      </c>
      <c r="F494" t="inlineStr">
        <is>
          <t>GÄVLEBORGS LÄN</t>
        </is>
      </c>
      <c r="G494" t="inlineStr">
        <is>
          <t>OCKELBO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46305</v>
      </c>
      <c r="F495" t="inlineStr">
        <is>
          <t>GÄVLEBORGS LÄN</t>
        </is>
      </c>
      <c r="G495" t="inlineStr">
        <is>
          <t>OCKELBO</t>
        </is>
      </c>
      <c r="I495" t="n">
        <v>11.5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46305</v>
      </c>
      <c r="F496" t="inlineStr">
        <is>
          <t>GÄVLEBORGS LÄN</t>
        </is>
      </c>
      <c r="G496" t="inlineStr">
        <is>
          <t>OCKELBO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46305</v>
      </c>
      <c r="F497" t="inlineStr">
        <is>
          <t>GÄVLEBORGS LÄN</t>
        </is>
      </c>
      <c r="G497" t="inlineStr">
        <is>
          <t>OCKELBO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46305</v>
      </c>
      <c r="F498" t="inlineStr">
        <is>
          <t>GÄVLEBORGS LÄN</t>
        </is>
      </c>
      <c r="G498" t="inlineStr">
        <is>
          <t>OCKELBO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46305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46305</v>
      </c>
      <c r="F500" t="inlineStr">
        <is>
          <t>GÄVLEBORGS LÄN</t>
        </is>
      </c>
      <c r="G500" t="inlineStr">
        <is>
          <t>OCKELBO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46305</v>
      </c>
      <c r="F501" t="inlineStr">
        <is>
          <t>GÄVLEBORGS LÄN</t>
        </is>
      </c>
      <c r="G501" t="inlineStr">
        <is>
          <t>OCKELBO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46305</v>
      </c>
      <c r="F502" t="inlineStr">
        <is>
          <t>GÄVLEBORGS LÄN</t>
        </is>
      </c>
      <c r="G502" t="inlineStr">
        <is>
          <t>OCKELBO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46305</v>
      </c>
      <c r="F503" t="inlineStr">
        <is>
          <t>GÄVLEBORGS LÄN</t>
        </is>
      </c>
      <c r="G503" t="inlineStr">
        <is>
          <t>OCKELBO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46305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46305</v>
      </c>
      <c r="F505" t="inlineStr">
        <is>
          <t>GÄVLEBORGS LÄN</t>
        </is>
      </c>
      <c r="G505" t="inlineStr">
        <is>
          <t>OCKELBO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46035</v>
      </c>
      <c r="E506" s="1" t="n">
        <v>46305</v>
      </c>
      <c r="F506" t="inlineStr">
        <is>
          <t>GÄVLEBORGS LÄN</t>
        </is>
      </c>
      <c r="G506" t="inlineStr">
        <is>
          <t>OCKELBO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46305</v>
      </c>
      <c r="F507" t="inlineStr">
        <is>
          <t>GÄVLEBORGS LÄN</t>
        </is>
      </c>
      <c r="G507" t="inlineStr">
        <is>
          <t>OCKELBO</t>
        </is>
      </c>
      <c r="I507" t="n">
        <v>16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44281-2022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46305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46305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46138</v>
      </c>
      <c r="E510" s="1" t="n">
        <v>46305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46052</v>
      </c>
      <c r="E511" s="1" t="n">
        <v>46305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46305</v>
      </c>
      <c r="F512" t="inlineStr">
        <is>
          <t>GÄVLEBORGS LÄN</t>
        </is>
      </c>
      <c r="G512" t="inlineStr">
        <is>
          <t>OCKELBO</t>
        </is>
      </c>
      <c r="I512" t="n">
        <v>36.1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45526</v>
      </c>
      <c r="E513" s="1" t="n">
        <v>46305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46305</v>
      </c>
      <c r="F514" t="inlineStr">
        <is>
          <t>GÄVLEBORGS LÄN</t>
        </is>
      </c>
      <c r="G514" t="inlineStr">
        <is>
          <t>OCKELBO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46305</v>
      </c>
      <c r="F515" t="inlineStr">
        <is>
          <t>GÄVLEBORGS LÄN</t>
        </is>
      </c>
      <c r="G515" t="inlineStr">
        <is>
          <t>OCKELBO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46305</v>
      </c>
      <c r="F516" t="inlineStr">
        <is>
          <t>GÄVLEBORGS LÄN</t>
        </is>
      </c>
      <c r="G516" t="inlineStr">
        <is>
          <t>OCKELBO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46305</v>
      </c>
      <c r="F517" t="inlineStr">
        <is>
          <t>GÄVLEBORGS LÄN</t>
        </is>
      </c>
      <c r="G517" t="inlineStr">
        <is>
          <t>OCKELBO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46305</v>
      </c>
      <c r="F518" t="inlineStr">
        <is>
          <t>GÄVLEBORGS LÄN</t>
        </is>
      </c>
      <c r="G518" t="inlineStr">
        <is>
          <t>OCKELBO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46305</v>
      </c>
      <c r="F519" t="inlineStr">
        <is>
          <t>GÄVLEBORGS LÄN</t>
        </is>
      </c>
      <c r="G519" t="inlineStr">
        <is>
          <t>OCKELBO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46305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46305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46305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46041</v>
      </c>
      <c r="E523" s="1" t="n">
        <v>46305</v>
      </c>
      <c r="F523" t="inlineStr">
        <is>
          <t>GÄVLEBORGS LÄN</t>
        </is>
      </c>
      <c r="G523" t="inlineStr">
        <is>
          <t>OCKELBO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46305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46044</v>
      </c>
      <c r="E525" s="1" t="n">
        <v>46305</v>
      </c>
      <c r="F525" t="inlineStr">
        <is>
          <t>GÄVLEBORGS LÄN</t>
        </is>
      </c>
      <c r="G525" t="inlineStr">
        <is>
          <t>OCKELBO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46305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37442-2023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45156</v>
      </c>
      <c r="E527" s="1" t="n">
        <v>46305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63977-2025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46021</v>
      </c>
      <c r="E528" s="1" t="n">
        <v>46305</v>
      </c>
      <c r="F528" t="inlineStr">
        <is>
          <t>GÄVLEBORGS LÄN</t>
        </is>
      </c>
      <c r="G528" t="inlineStr">
        <is>
          <t>OCKELBO</t>
        </is>
      </c>
      <c r="I528" t="n">
        <v>18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46305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46305</v>
      </c>
      <c r="F530" t="inlineStr">
        <is>
          <t>GÄVLEBORGS LÄN</t>
        </is>
      </c>
      <c r="G530" t="inlineStr">
        <is>
          <t>OCKELBO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44950</v>
      </c>
      <c r="E531" s="1" t="n">
        <v>46305</v>
      </c>
      <c r="F531" t="inlineStr">
        <is>
          <t>GÄVLEBORGS LÄN</t>
        </is>
      </c>
      <c r="G531" t="inlineStr">
        <is>
          <t>OCKELBO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46305</v>
      </c>
      <c r="F532" t="inlineStr">
        <is>
          <t>GÄVLEBORGS LÄN</t>
        </is>
      </c>
      <c r="G532" t="inlineStr">
        <is>
          <t>OCKELBO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46305</v>
      </c>
      <c r="F533" t="inlineStr">
        <is>
          <t>GÄVLEBORGS LÄN</t>
        </is>
      </c>
      <c r="G533" t="inlineStr">
        <is>
          <t>OCKELBO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36604-2025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45870</v>
      </c>
      <c r="E534" s="1" t="n">
        <v>46305</v>
      </c>
      <c r="F534" t="inlineStr">
        <is>
          <t>GÄVLEBORGS LÄN</t>
        </is>
      </c>
      <c r="G534" t="inlineStr">
        <is>
          <t>OCKELBO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45800</v>
      </c>
      <c r="E535" s="1" t="n">
        <v>46305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46043</v>
      </c>
      <c r="E536" s="1" t="n">
        <v>46305</v>
      </c>
      <c r="F536" t="inlineStr">
        <is>
          <t>GÄVLEBORGS LÄN</t>
        </is>
      </c>
      <c r="G536" t="inlineStr">
        <is>
          <t>OCKELBO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46305</v>
      </c>
      <c r="F537" t="inlineStr">
        <is>
          <t>GÄVLEBORGS LÄN</t>
        </is>
      </c>
      <c r="G537" t="inlineStr">
        <is>
          <t>OCKELBO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46305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46305</v>
      </c>
      <c r="F539" t="inlineStr">
        <is>
          <t>GÄVLEBORGS LÄN</t>
        </is>
      </c>
      <c r="G539" t="inlineStr">
        <is>
          <t>OCKELBO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20604-2026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46305</v>
      </c>
      <c r="F540" t="inlineStr">
        <is>
          <t>GÄVLEBORGS LÄN</t>
        </is>
      </c>
      <c r="G540" t="inlineStr">
        <is>
          <t>OCKELBO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46305</v>
      </c>
      <c r="F541" t="inlineStr">
        <is>
          <t>GÄVLEBORGS LÄN</t>
        </is>
      </c>
      <c r="G541" t="inlineStr">
        <is>
          <t>OCKELBO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20571-2026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46305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45134</v>
      </c>
      <c r="E543" s="1" t="n">
        <v>46305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46137</v>
      </c>
      <c r="E544" s="1" t="n">
        <v>46305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45134</v>
      </c>
      <c r="E545" s="1" t="n">
        <v>46305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46305</v>
      </c>
      <c r="F546" t="inlineStr">
        <is>
          <t>GÄVLEBORGS LÄN</t>
        </is>
      </c>
      <c r="G546" t="inlineStr">
        <is>
          <t>OCKELBO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46316-2025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45925</v>
      </c>
      <c r="E547" s="1" t="n">
        <v>46305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46305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46305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44663</v>
      </c>
      <c r="E550" s="1" t="n">
        <v>46305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46305</v>
      </c>
      <c r="F551" t="inlineStr">
        <is>
          <t>GÄVLEBORGS LÄN</t>
        </is>
      </c>
      <c r="G551" t="inlineStr">
        <is>
          <t>OCKELBO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46305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46305</v>
      </c>
      <c r="F553" t="inlineStr">
        <is>
          <t>GÄVLEBORGS LÄN</t>
        </is>
      </c>
      <c r="G553" t="inlineStr">
        <is>
          <t>OCKELBO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46305</v>
      </c>
      <c r="F554" t="inlineStr">
        <is>
          <t>GÄVLEBORGS LÄN</t>
        </is>
      </c>
      <c r="G554" t="inlineStr">
        <is>
          <t>OCKELBO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61335-2022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44915</v>
      </c>
      <c r="E555" s="1" t="n">
        <v>46305</v>
      </c>
      <c r="F555" t="inlineStr">
        <is>
          <t>GÄVLEBORGS LÄN</t>
        </is>
      </c>
      <c r="G555" t="inlineStr">
        <is>
          <t>OCKELBO</t>
        </is>
      </c>
      <c r="I555" t="n">
        <v>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46305</v>
      </c>
      <c r="F556" t="inlineStr">
        <is>
          <t>GÄVLEBORGS LÄN</t>
        </is>
      </c>
      <c r="G556" t="inlineStr">
        <is>
          <t>OCKELBO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46305</v>
      </c>
      <c r="F557" t="inlineStr">
        <is>
          <t>GÄVLEBORGS LÄN</t>
        </is>
      </c>
      <c r="G557" t="inlineStr">
        <is>
          <t>OCKELBO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46044</v>
      </c>
      <c r="E558" s="1" t="n">
        <v>46305</v>
      </c>
      <c r="F558" t="inlineStr">
        <is>
          <t>GÄVLEBORGS LÄN</t>
        </is>
      </c>
      <c r="G558" t="inlineStr">
        <is>
          <t>OCKELBO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46305</v>
      </c>
      <c r="F559" t="inlineStr">
        <is>
          <t>GÄVLEBORGS LÄN</t>
        </is>
      </c>
      <c r="G559" t="inlineStr">
        <is>
          <t>OCKELBO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46305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46049</v>
      </c>
      <c r="E561" s="1" t="n">
        <v>46305</v>
      </c>
      <c r="F561" t="inlineStr">
        <is>
          <t>GÄVLEBORGS LÄN</t>
        </is>
      </c>
      <c r="G561" t="inlineStr">
        <is>
          <t>OCKELBO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46305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46305</v>
      </c>
      <c r="F563" t="inlineStr">
        <is>
          <t>GÄVLEBORGS LÄN</t>
        </is>
      </c>
      <c r="G563" t="inlineStr">
        <is>
          <t>OCKELBO</t>
        </is>
      </c>
      <c r="I563" t="n">
        <v>9.300000000000001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46305</v>
      </c>
      <c r="F564" t="inlineStr">
        <is>
          <t>GÄVLEBORGS LÄN</t>
        </is>
      </c>
      <c r="G564" t="inlineStr">
        <is>
          <t>OCKELBO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46091</v>
      </c>
      <c r="E565" s="1" t="n">
        <v>46305</v>
      </c>
      <c r="F565" t="inlineStr">
        <is>
          <t>GÄVLEBORGS LÄN</t>
        </is>
      </c>
      <c r="G565" t="inlineStr">
        <is>
          <t>OCKELBO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46305</v>
      </c>
      <c r="F566" t="inlineStr">
        <is>
          <t>GÄVLEBORGS LÄN</t>
        </is>
      </c>
      <c r="G566" t="inlineStr">
        <is>
          <t>OCKELBO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46305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46305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45111</v>
      </c>
      <c r="E569" s="1" t="n">
        <v>46305</v>
      </c>
      <c r="F569" t="inlineStr">
        <is>
          <t>GÄVLEBORGS LÄN</t>
        </is>
      </c>
      <c r="G569" t="inlineStr">
        <is>
          <t>OCKELBO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46305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46305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46305</v>
      </c>
      <c r="F572" t="inlineStr">
        <is>
          <t>GÄVLEBORGS LÄN</t>
        </is>
      </c>
      <c r="G572" t="inlineStr">
        <is>
          <t>OCKELBO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46051</v>
      </c>
      <c r="E573" s="1" t="n">
        <v>46305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45994</v>
      </c>
      <c r="E574" s="1" t="n">
        <v>46305</v>
      </c>
      <c r="F574" t="inlineStr">
        <is>
          <t>GÄVLEBORGS LÄN</t>
        </is>
      </c>
      <c r="G574" t="inlineStr">
        <is>
          <t>OCKELBO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8348-2026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46305</v>
      </c>
      <c r="F575" t="inlineStr">
        <is>
          <t>GÄVLEBORGS LÄN</t>
        </is>
      </c>
      <c r="G575" t="inlineStr">
        <is>
          <t>OCKELBO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46305</v>
      </c>
      <c r="F576" t="inlineStr">
        <is>
          <t>GÄVLEBORGS LÄN</t>
        </is>
      </c>
      <c r="G576" t="inlineStr">
        <is>
          <t>OCKELBO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46305</v>
      </c>
      <c r="F577" t="inlineStr">
        <is>
          <t>GÄVLEBORGS LÄN</t>
        </is>
      </c>
      <c r="G577" t="inlineStr">
        <is>
          <t>OCKELBO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46305</v>
      </c>
      <c r="F578" t="inlineStr">
        <is>
          <t>GÄVLEBORGS LÄN</t>
        </is>
      </c>
      <c r="G578" t="inlineStr">
        <is>
          <t>OCKELBO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46037</v>
      </c>
      <c r="E579" s="1" t="n">
        <v>46305</v>
      </c>
      <c r="F579" t="inlineStr">
        <is>
          <t>GÄVLEBORGS LÄN</t>
        </is>
      </c>
      <c r="G579" t="inlineStr">
        <is>
          <t>OCKELBO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46051</v>
      </c>
      <c r="E580" s="1" t="n">
        <v>46305</v>
      </c>
      <c r="F580" t="inlineStr">
        <is>
          <t>GÄVLEBORGS LÄN</t>
        </is>
      </c>
      <c r="G580" t="inlineStr">
        <is>
          <t>OCKELBO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46305</v>
      </c>
      <c r="F581" t="inlineStr">
        <is>
          <t>GÄVLEBORGS LÄN</t>
        </is>
      </c>
      <c r="G581" t="inlineStr">
        <is>
          <t>OCKELBO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46305</v>
      </c>
      <c r="F582" t="inlineStr">
        <is>
          <t>GÄVLEBORGS LÄN</t>
        </is>
      </c>
      <c r="G582" t="inlineStr">
        <is>
          <t>OCKELBO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46053</v>
      </c>
      <c r="E583" s="1" t="n">
        <v>46305</v>
      </c>
      <c r="F583" t="inlineStr">
        <is>
          <t>GÄVLEBORGS LÄN</t>
        </is>
      </c>
      <c r="G583" t="inlineStr">
        <is>
          <t>OCKELBO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46305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46305</v>
      </c>
      <c r="F585" t="inlineStr">
        <is>
          <t>GÄVLEBORGS LÄN</t>
        </is>
      </c>
      <c r="G585" t="inlineStr">
        <is>
          <t>OCKELBO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46305</v>
      </c>
      <c r="F586" t="inlineStr">
        <is>
          <t>GÄVLEBORGS LÄN</t>
        </is>
      </c>
      <c r="G586" t="inlineStr">
        <is>
          <t>OCKELBO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46305</v>
      </c>
      <c r="F587" t="inlineStr">
        <is>
          <t>GÄVLEBORGS LÄN</t>
        </is>
      </c>
      <c r="G587" t="inlineStr">
        <is>
          <t>OCKELBO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46305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46305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46305</v>
      </c>
      <c r="F590" t="inlineStr">
        <is>
          <t>GÄVLEBORGS LÄN</t>
        </is>
      </c>
      <c r="G590" t="inlineStr">
        <is>
          <t>OCKELBO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46305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9.4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46305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46305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46305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7765-2026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46305</v>
      </c>
      <c r="F595" t="inlineStr">
        <is>
          <t>GÄVLEBORGS LÄN</t>
        </is>
      </c>
      <c r="G595" t="inlineStr">
        <is>
          <t>OCKELBO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46027</v>
      </c>
      <c r="E596" s="1" t="n">
        <v>46305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46059</v>
      </c>
      <c r="E597" s="1" t="n">
        <v>46305</v>
      </c>
      <c r="F597" t="inlineStr">
        <is>
          <t>GÄVLEBORGS LÄN</t>
        </is>
      </c>
      <c r="G597" t="inlineStr">
        <is>
          <t>OCKELBO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46305</v>
      </c>
      <c r="F598" t="inlineStr">
        <is>
          <t>GÄVLEBORGS LÄN</t>
        </is>
      </c>
      <c r="G598" t="inlineStr">
        <is>
          <t>OCKELBO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9401-2026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46305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46305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7681-2026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46062</v>
      </c>
      <c r="E601" s="1" t="n">
        <v>46305</v>
      </c>
      <c r="F601" t="inlineStr">
        <is>
          <t>GÄVLEBORGS LÄN</t>
        </is>
      </c>
      <c r="G601" t="inlineStr">
        <is>
          <t>OCKELBO</t>
        </is>
      </c>
      <c r="H601" t="inlineStr">
        <is>
          <t>Kyrkan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7769-2026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46062</v>
      </c>
      <c r="E602" s="1" t="n">
        <v>46305</v>
      </c>
      <c r="F602" t="inlineStr">
        <is>
          <t>GÄVLEBORGS LÄN</t>
        </is>
      </c>
      <c r="G602" t="inlineStr">
        <is>
          <t>OCKELBO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46305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46305</v>
      </c>
      <c r="F604" t="inlineStr">
        <is>
          <t>GÄVLEBORGS LÄN</t>
        </is>
      </c>
      <c r="G604" t="inlineStr">
        <is>
          <t>OCKELBO</t>
        </is>
      </c>
      <c r="I604" t="n">
        <v>17.4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46305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46305</v>
      </c>
      <c r="F606" t="inlineStr">
        <is>
          <t>GÄVLEBORGS LÄN</t>
        </is>
      </c>
      <c r="G606" t="inlineStr">
        <is>
          <t>OCKELBO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8354-2026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46305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17951-2026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46122</v>
      </c>
      <c r="E608" s="1" t="n">
        <v>46305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18549-2026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46127</v>
      </c>
      <c r="E609" s="1" t="n">
        <v>46305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18097-2026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46125</v>
      </c>
      <c r="E610" s="1" t="n">
        <v>46305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46305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8402-2026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46305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46305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46305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8429-2026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46305</v>
      </c>
      <c r="F615" t="inlineStr">
        <is>
          <t>GÄVLEBORGS LÄN</t>
        </is>
      </c>
      <c r="G615" t="inlineStr">
        <is>
          <t>OCKELBO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46305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46305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46305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öst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46305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46305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46305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46305</v>
      </c>
      <c r="F622" t="inlineStr">
        <is>
          <t>GÄVLEBORGS LÄN</t>
        </is>
      </c>
      <c r="G622" t="inlineStr">
        <is>
          <t>OCKELBO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46071</v>
      </c>
      <c r="E623" s="1" t="n">
        <v>46305</v>
      </c>
      <c r="F623" t="inlineStr">
        <is>
          <t>GÄVLEBORGS LÄN</t>
        </is>
      </c>
      <c r="G623" t="inlineStr">
        <is>
          <t>OCKELBO</t>
        </is>
      </c>
      <c r="I623" t="n">
        <v>8.1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46305</v>
      </c>
      <c r="F624" t="inlineStr">
        <is>
          <t>GÄVLEBORGS LÄN</t>
        </is>
      </c>
      <c r="G624" t="inlineStr">
        <is>
          <t>OCKELBO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46305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46305</v>
      </c>
      <c r="F626" t="inlineStr">
        <is>
          <t>GÄVLEBORGS LÄN</t>
        </is>
      </c>
      <c r="G626" t="inlineStr">
        <is>
          <t>OCKELBO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9464-2026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46305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46305</v>
      </c>
      <c r="F628" t="inlineStr">
        <is>
          <t>GÄVLEBORGS LÄN</t>
        </is>
      </c>
      <c r="G628" t="inlineStr">
        <is>
          <t>OCKELBO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46305</v>
      </c>
      <c r="F629" t="inlineStr">
        <is>
          <t>GÄVLEBORGS LÄN</t>
        </is>
      </c>
      <c r="G629" t="inlineStr">
        <is>
          <t>OCKELBO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46072</v>
      </c>
      <c r="E630" s="1" t="n">
        <v>46305</v>
      </c>
      <c r="F630" t="inlineStr">
        <is>
          <t>GÄVLEBORGS LÄN</t>
        </is>
      </c>
      <c r="G630" t="inlineStr">
        <is>
          <t>OCKELBO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46305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46305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9554-2026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46305</v>
      </c>
      <c r="F633" t="inlineStr">
        <is>
          <t>GÄVLEBORGS LÄN</t>
        </is>
      </c>
      <c r="G633" t="inlineStr">
        <is>
          <t>OCKELBO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46305</v>
      </c>
      <c r="F634" t="inlineStr">
        <is>
          <t>GÄVLEBORGS LÄN</t>
        </is>
      </c>
      <c r="G634" t="inlineStr">
        <is>
          <t>OCKELBO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46305</v>
      </c>
      <c r="F635" t="inlineStr">
        <is>
          <t>GÄVLEBORGS LÄN</t>
        </is>
      </c>
      <c r="G635" t="inlineStr">
        <is>
          <t>OCKELBO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46305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46076</v>
      </c>
      <c r="E637" s="1" t="n">
        <v>46305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46305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46305</v>
      </c>
      <c r="F639" t="inlineStr">
        <is>
          <t>GÄVLEBORGS LÄN</t>
        </is>
      </c>
      <c r="G639" t="inlineStr">
        <is>
          <t>OCKELBO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46305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46305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46305</v>
      </c>
      <c r="F642" t="inlineStr">
        <is>
          <t>GÄVLEBORGS LÄN</t>
        </is>
      </c>
      <c r="G642" t="inlineStr">
        <is>
          <t>OCKELBO</t>
        </is>
      </c>
      <c r="I642" t="n">
        <v>8.199999999999999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46305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46305</v>
      </c>
      <c r="F644" t="inlineStr">
        <is>
          <t>GÄVLEBORGS LÄN</t>
        </is>
      </c>
      <c r="G644" t="inlineStr">
        <is>
          <t>OCKELBO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46305</v>
      </c>
      <c r="F645" t="inlineStr">
        <is>
          <t>GÄVLEBORGS LÄN</t>
        </is>
      </c>
      <c r="G645" t="inlineStr">
        <is>
          <t>OCKELBO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46305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öst AB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46305</v>
      </c>
      <c r="F647" t="inlineStr">
        <is>
          <t>GÄVLEBORGS LÄN</t>
        </is>
      </c>
      <c r="G647" t="inlineStr">
        <is>
          <t>OCKELBO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46305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öst AB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46088</v>
      </c>
      <c r="E649" s="1" t="n">
        <v>46305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46305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9.1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46305</v>
      </c>
      <c r="F651" t="inlineStr">
        <is>
          <t>GÄVLEBORGS LÄN</t>
        </is>
      </c>
      <c r="G651" t="inlineStr">
        <is>
          <t>OCKELBO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43071-2025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45909</v>
      </c>
      <c r="E652" s="1" t="n">
        <v>46305</v>
      </c>
      <c r="F652" t="inlineStr">
        <is>
          <t>GÄVLEBORGS LÄN</t>
        </is>
      </c>
      <c r="G652" t="inlineStr">
        <is>
          <t>OCKELBO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58718-2025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45986</v>
      </c>
      <c r="E653" s="1" t="n">
        <v>46305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46077</v>
      </c>
      <c r="E654" s="1" t="n">
        <v>46305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öst AB</t>
        </is>
      </c>
      <c r="I654" t="n">
        <v>45.7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46305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11078-2026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46305</v>
      </c>
      <c r="F656" t="inlineStr">
        <is>
          <t>GÄVLEBORGS LÄN</t>
        </is>
      </c>
      <c r="G656" t="inlineStr">
        <is>
          <t>OCKELBO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46305</v>
      </c>
      <c r="F657" t="inlineStr">
        <is>
          <t>GÄVLEBORGS LÄN</t>
        </is>
      </c>
      <c r="G657" t="inlineStr">
        <is>
          <t>OCKELBO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11234-2026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46080</v>
      </c>
      <c r="E658" s="1" t="n">
        <v>46305</v>
      </c>
      <c r="F658" t="inlineStr">
        <is>
          <t>GÄVLEBORGS LÄN</t>
        </is>
      </c>
      <c r="G658" t="inlineStr">
        <is>
          <t>OCKELBO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22426-2026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46305</v>
      </c>
      <c r="F659" t="inlineStr">
        <is>
          <t>GÄVLEBORGS LÄN</t>
        </is>
      </c>
      <c r="G659" t="inlineStr">
        <is>
          <t>OCKELBO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46305</v>
      </c>
      <c r="F660" t="inlineStr">
        <is>
          <t>GÄVLEBORGS LÄN</t>
        </is>
      </c>
      <c r="G660" t="inlineStr">
        <is>
          <t>OCKELBO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46305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22329-2026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46154</v>
      </c>
      <c r="E662" s="1" t="n">
        <v>46305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46305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11300-2026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46080</v>
      </c>
      <c r="E664" s="1" t="n">
        <v>46305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46305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öst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46083</v>
      </c>
      <c r="E666" s="1" t="n">
        <v>46305</v>
      </c>
      <c r="F666" t="inlineStr">
        <is>
          <t>GÄVLEBORGS LÄN</t>
        </is>
      </c>
      <c r="G666" t="inlineStr">
        <is>
          <t>OCKELBO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11432-2026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46083</v>
      </c>
      <c r="E667" s="1" t="n">
        <v>46305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46305</v>
      </c>
      <c r="F668" t="inlineStr">
        <is>
          <t>GÄVLEBORGS LÄN</t>
        </is>
      </c>
      <c r="G668" t="inlineStr">
        <is>
          <t>OCKELBO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46305</v>
      </c>
      <c r="F669" t="inlineStr">
        <is>
          <t>GÄVLEBORGS LÄN</t>
        </is>
      </c>
      <c r="G669" t="inlineStr">
        <is>
          <t>OCKELBO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46305</v>
      </c>
      <c r="F670" t="inlineStr">
        <is>
          <t>GÄVLEBORGS LÄN</t>
        </is>
      </c>
      <c r="G670" t="inlineStr">
        <is>
          <t>OCKELBO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60122-2025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45994</v>
      </c>
      <c r="E671" s="1" t="n">
        <v>46305</v>
      </c>
      <c r="F671" t="inlineStr">
        <is>
          <t>GÄVLEBORGS LÄN</t>
        </is>
      </c>
      <c r="G671" t="inlineStr">
        <is>
          <t>OCKELBO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46305</v>
      </c>
      <c r="F672" t="inlineStr">
        <is>
          <t>GÄVLEBORGS LÄN</t>
        </is>
      </c>
      <c r="G672" t="inlineStr">
        <is>
          <t>OCKELBO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22712-2026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46156</v>
      </c>
      <c r="E673" s="1" t="n">
        <v>46305</v>
      </c>
      <c r="F673" t="inlineStr">
        <is>
          <t>GÄVLEBORGS LÄN</t>
        </is>
      </c>
      <c r="G673" t="inlineStr">
        <is>
          <t>OCKELBO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60120-2025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45994</v>
      </c>
      <c r="E674" s="1" t="n">
        <v>46305</v>
      </c>
      <c r="F674" t="inlineStr">
        <is>
          <t>GÄVLEBORGS LÄN</t>
        </is>
      </c>
      <c r="G674" t="inlineStr">
        <is>
          <t>OCKELBO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46044</v>
      </c>
      <c r="E675" s="1" t="n">
        <v>46305</v>
      </c>
      <c r="F675" t="inlineStr">
        <is>
          <t>GÄVLEBORGS LÄN</t>
        </is>
      </c>
      <c r="G675" t="inlineStr">
        <is>
          <t>OCKELBO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46609-2025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45926</v>
      </c>
      <c r="E676" s="1" t="n">
        <v>46305</v>
      </c>
      <c r="F676" t="inlineStr">
        <is>
          <t>GÄVLEBORGS LÄN</t>
        </is>
      </c>
      <c r="G676" t="inlineStr">
        <is>
          <t>OCKELBO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11810-2026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46305</v>
      </c>
      <c r="F677" t="inlineStr">
        <is>
          <t>GÄVLEBORGS LÄN</t>
        </is>
      </c>
      <c r="G677" t="inlineStr">
        <is>
          <t>OCKELBO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46305</v>
      </c>
      <c r="F678" t="inlineStr">
        <is>
          <t>GÄVLEBORGS LÄN</t>
        </is>
      </c>
      <c r="G678" t="inlineStr">
        <is>
          <t>OCKELBO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46305</v>
      </c>
      <c r="F679" t="inlineStr">
        <is>
          <t>GÄVLEBORGS LÄN</t>
        </is>
      </c>
      <c r="G679" t="inlineStr">
        <is>
          <t>OCKELBO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12341-2026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46305</v>
      </c>
      <c r="F680" t="inlineStr">
        <is>
          <t>GÄVLEBORGS LÄN</t>
        </is>
      </c>
      <c r="G680" t="inlineStr">
        <is>
          <t>OCKELBO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12370-2026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46089</v>
      </c>
      <c r="E681" s="1" t="n">
        <v>46305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29.9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46305</v>
      </c>
      <c r="F682" t="inlineStr">
        <is>
          <t>GÄVLEBORGS LÄN</t>
        </is>
      </c>
      <c r="G682" t="inlineStr">
        <is>
          <t>OCKELBO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12716-2026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46091</v>
      </c>
      <c r="E683" s="1" t="n">
        <v>46305</v>
      </c>
      <c r="F683" t="inlineStr">
        <is>
          <t>GÄVLEBORGS LÄN</t>
        </is>
      </c>
      <c r="G683" t="inlineStr">
        <is>
          <t>OCKELBO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46305</v>
      </c>
      <c r="F684" t="inlineStr">
        <is>
          <t>GÄVLEBORGS LÄN</t>
        </is>
      </c>
      <c r="G684" t="inlineStr">
        <is>
          <t>OCKELBO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46305</v>
      </c>
      <c r="F685" t="inlineStr">
        <is>
          <t>GÄVLEBORGS LÄN</t>
        </is>
      </c>
      <c r="G685" t="inlineStr">
        <is>
          <t>OCKELBO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46305</v>
      </c>
      <c r="F686" t="inlineStr">
        <is>
          <t>GÄVLEBORGS LÄN</t>
        </is>
      </c>
      <c r="G686" t="inlineStr">
        <is>
          <t>OCKELBO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23040-2026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46161</v>
      </c>
      <c r="E687" s="1" t="n">
        <v>46305</v>
      </c>
      <c r="F687" t="inlineStr">
        <is>
          <t>GÄVLEBORGS LÄN</t>
        </is>
      </c>
      <c r="G687" t="inlineStr">
        <is>
          <t>OCKELBO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13162-2026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46305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12807-2026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46305</v>
      </c>
      <c r="F689" t="inlineStr">
        <is>
          <t>GÄVLEBORGS LÄN</t>
        </is>
      </c>
      <c r="G689" t="inlineStr">
        <is>
          <t>OCKELBO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46161</v>
      </c>
      <c r="E690" s="1" t="n">
        <v>46305</v>
      </c>
      <c r="F690" t="inlineStr">
        <is>
          <t>GÄVLEBORGS LÄN</t>
        </is>
      </c>
      <c r="G690" t="inlineStr">
        <is>
          <t>OCKELBO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46305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46305</v>
      </c>
      <c r="F692" t="inlineStr">
        <is>
          <t>GÄVLEBORGS LÄN</t>
        </is>
      </c>
      <c r="G692" t="inlineStr">
        <is>
          <t>OCKELBO</t>
        </is>
      </c>
      <c r="H692" t="inlineStr">
        <is>
          <t>Naturvårdsverket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13621-2026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46305</v>
      </c>
      <c r="F693" t="inlineStr">
        <is>
          <t>GÄVLEBORGS LÄN</t>
        </is>
      </c>
      <c r="G693" t="inlineStr">
        <is>
          <t>OCKELBO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46305</v>
      </c>
      <c r="F694" t="inlineStr">
        <is>
          <t>GÄVLEBORGS LÄN</t>
        </is>
      </c>
      <c r="G694" t="inlineStr">
        <is>
          <t>OCKELBO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45716</v>
      </c>
      <c r="E695" s="1" t="n">
        <v>46305</v>
      </c>
      <c r="F695" t="inlineStr">
        <is>
          <t>GÄVLEBORGS LÄN</t>
        </is>
      </c>
      <c r="G695" t="inlineStr">
        <is>
          <t>OCKELBO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23513-2026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46305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46164</v>
      </c>
      <c r="E697" s="1" t="n">
        <v>46305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46305</v>
      </c>
      <c r="F698" t="inlineStr">
        <is>
          <t>GÄVLEBORGS LÄN</t>
        </is>
      </c>
      <c r="G698" t="inlineStr">
        <is>
          <t>OCKELBO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46305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46305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46044</v>
      </c>
      <c r="E701" s="1" t="n">
        <v>46305</v>
      </c>
      <c r="F701" t="inlineStr">
        <is>
          <t>GÄVLEBORGS LÄN</t>
        </is>
      </c>
      <c r="G701" t="inlineStr">
        <is>
          <t>OCKELBO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46305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46305</v>
      </c>
      <c r="F703" t="inlineStr">
        <is>
          <t>GÄVLEBORGS LÄN</t>
        </is>
      </c>
      <c r="G703" t="inlineStr">
        <is>
          <t>OCKELBO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24267-2026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46305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46305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46305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46305</v>
      </c>
      <c r="F707" t="inlineStr">
        <is>
          <t>GÄVLEBORGS LÄN</t>
        </is>
      </c>
      <c r="G707" t="inlineStr">
        <is>
          <t>OCKELBO</t>
        </is>
      </c>
      <c r="I707" t="n">
        <v>8.1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46085</v>
      </c>
      <c r="E708" s="1" t="n">
        <v>46305</v>
      </c>
      <c r="F708" t="inlineStr">
        <is>
          <t>GÄVLEBORGS LÄN</t>
        </is>
      </c>
      <c r="G708" t="inlineStr">
        <is>
          <t>OCKELBO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46023</v>
      </c>
      <c r="E709" s="1" t="n">
        <v>46305</v>
      </c>
      <c r="F709" t="inlineStr">
        <is>
          <t>GÄVLEBORGS LÄN</t>
        </is>
      </c>
      <c r="G709" t="inlineStr">
        <is>
          <t>OCKELBO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46305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24578-2026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46305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45967</v>
      </c>
      <c r="E712" s="1" t="n">
        <v>46305</v>
      </c>
      <c r="F712" t="inlineStr">
        <is>
          <t>GÄVLEBORGS LÄN</t>
        </is>
      </c>
      <c r="G712" t="inlineStr">
        <is>
          <t>OCKELBO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24451-2026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46305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46305</v>
      </c>
      <c r="F714" t="inlineStr">
        <is>
          <t>GÄVLEBORGS LÄN</t>
        </is>
      </c>
      <c r="G714" t="inlineStr">
        <is>
          <t>OCKELBO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46305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46305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46171</v>
      </c>
      <c r="E717" s="1" t="n">
        <v>46305</v>
      </c>
      <c r="F717" t="inlineStr">
        <is>
          <t>GÄVLEBORGS LÄN</t>
        </is>
      </c>
      <c r="G717" t="inlineStr">
        <is>
          <t>OCKELBO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24598-2026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46305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25128-2026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46175</v>
      </c>
      <c r="E719" s="1" t="n">
        <v>46305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46175</v>
      </c>
      <c r="E720" s="1" t="n">
        <v>46305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46305</v>
      </c>
      <c r="F721" t="inlineStr">
        <is>
          <t>GÄVLEBORGS LÄN</t>
        </is>
      </c>
      <c r="G721" t="inlineStr">
        <is>
          <t>OCKELBO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46174</v>
      </c>
      <c r="E722" s="1" t="n">
        <v>46305</v>
      </c>
      <c r="F722" t="inlineStr">
        <is>
          <t>GÄVLEBORGS LÄN</t>
        </is>
      </c>
      <c r="G722" t="inlineStr">
        <is>
          <t>OCKELBO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24968-2026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46305</v>
      </c>
      <c r="F723" t="inlineStr">
        <is>
          <t>GÄVLEBORGS LÄN</t>
        </is>
      </c>
      <c r="G723" t="inlineStr">
        <is>
          <t>OCKELBO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50968-2024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45603</v>
      </c>
      <c r="E724" s="1" t="n">
        <v>46305</v>
      </c>
      <c r="F724" t="inlineStr">
        <is>
          <t>GÄVLEBORGS LÄN</t>
        </is>
      </c>
      <c r="G724" t="inlineStr">
        <is>
          <t>OCKELBO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46305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46305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46305</v>
      </c>
      <c r="F727" t="inlineStr">
        <is>
          <t>GÄVLEBORGS LÄN</t>
        </is>
      </c>
      <c r="G727" t="inlineStr">
        <is>
          <t>OCKELBO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46305</v>
      </c>
      <c r="F728" t="inlineStr">
        <is>
          <t>GÄVLEBORGS LÄN</t>
        </is>
      </c>
      <c r="G728" t="inlineStr">
        <is>
          <t>OCKELBO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26861-2026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46305</v>
      </c>
      <c r="F729" t="inlineStr">
        <is>
          <t>GÄVLEBORGS LÄN</t>
        </is>
      </c>
      <c r="G729" t="inlineStr">
        <is>
          <t>OCKELBO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46305</v>
      </c>
      <c r="F730" t="inlineStr">
        <is>
          <t>GÄVLEBORGS LÄN</t>
        </is>
      </c>
      <c r="G730" t="inlineStr">
        <is>
          <t>OCKELBO</t>
        </is>
      </c>
      <c r="I730" t="n">
        <v>14.6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26845-2026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46305</v>
      </c>
      <c r="F731" t="inlineStr">
        <is>
          <t>GÄVLEBORGS LÄN</t>
        </is>
      </c>
      <c r="G731" t="inlineStr">
        <is>
          <t>OCKELBO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46305</v>
      </c>
      <c r="F732" t="inlineStr">
        <is>
          <t>GÄVLEBORGS LÄN</t>
        </is>
      </c>
      <c r="G732" t="inlineStr">
        <is>
          <t>OCKELBO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46305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27381-2026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46305</v>
      </c>
      <c r="F734" t="inlineStr">
        <is>
          <t>GÄVLEBORGS LÄN</t>
        </is>
      </c>
      <c r="G734" t="inlineStr">
        <is>
          <t>OCKELBO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46305</v>
      </c>
      <c r="F735" t="inlineStr">
        <is>
          <t>GÄVLEBORGS LÄN</t>
        </is>
      </c>
      <c r="G735" t="inlineStr">
        <is>
          <t>OCKELBO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46305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53702-2024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45615</v>
      </c>
      <c r="E737" s="1" t="n">
        <v>46305</v>
      </c>
      <c r="F737" t="inlineStr">
        <is>
          <t>GÄVLEBORGS LÄN</t>
        </is>
      </c>
      <c r="G737" t="inlineStr">
        <is>
          <t>OCKELBO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46189</v>
      </c>
      <c r="E738" s="1" t="n">
        <v>46305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46305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45981</v>
      </c>
      <c r="E740" s="1" t="n">
        <v>46305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46305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46305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46190</v>
      </c>
      <c r="E743" s="1" t="n">
        <v>46305</v>
      </c>
      <c r="F743" t="inlineStr">
        <is>
          <t>GÄVLEBORGS LÄN</t>
        </is>
      </c>
      <c r="G743" t="inlineStr">
        <is>
          <t>OCKELBO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46190</v>
      </c>
      <c r="E744" s="1" t="n">
        <v>46305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27562-2026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46305</v>
      </c>
      <c r="F745" t="inlineStr">
        <is>
          <t>GÄVLEBORGS LÄN</t>
        </is>
      </c>
      <c r="G745" t="inlineStr">
        <is>
          <t>OCKELBO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46191</v>
      </c>
      <c r="E746" s="1" t="n">
        <v>46305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46195</v>
      </c>
      <c r="E747" s="1" t="n">
        <v>46305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28289-2026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46305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28318-2026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46196</v>
      </c>
      <c r="E749" s="1" t="n">
        <v>46305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46305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28681-2026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46198</v>
      </c>
      <c r="E751" s="1" t="n">
        <v>46305</v>
      </c>
      <c r="F751" t="inlineStr">
        <is>
          <t>GÄVLEBORGS LÄN</t>
        </is>
      </c>
      <c r="G751" t="inlineStr">
        <is>
          <t>OCKELBO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46305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29078-2026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46305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47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46305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29001-2026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46305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46305</v>
      </c>
      <c r="F756" t="inlineStr">
        <is>
          <t>GÄVLEBORGS LÄN</t>
        </is>
      </c>
      <c r="G756" t="inlineStr">
        <is>
          <t>OCKELBO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46305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29437-2026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46203</v>
      </c>
      <c r="E758" s="1" t="n">
        <v>46305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46305</v>
      </c>
      <c r="F759" t="inlineStr">
        <is>
          <t>GÄVLEBORGS LÄN</t>
        </is>
      </c>
      <c r="G759" t="inlineStr">
        <is>
          <t>OCKELBO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46305</v>
      </c>
      <c r="F760" t="inlineStr">
        <is>
          <t>GÄVLEBORGS LÄN</t>
        </is>
      </c>
      <c r="G760" t="inlineStr">
        <is>
          <t>OCKELBO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29849-2026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46305</v>
      </c>
      <c r="F761" t="inlineStr">
        <is>
          <t>GÄVLEBORGS LÄN</t>
        </is>
      </c>
      <c r="G761" t="inlineStr">
        <is>
          <t>OCKELBO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46305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46205</v>
      </c>
      <c r="E763" s="1" t="n">
        <v>46305</v>
      </c>
      <c r="F763" t="inlineStr">
        <is>
          <t>GÄVLEBORGS LÄN</t>
        </is>
      </c>
      <c r="G763" t="inlineStr">
        <is>
          <t>OCKELBO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14827-2026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46104</v>
      </c>
      <c r="E764" s="1" t="n">
        <v>46305</v>
      </c>
      <c r="F764" t="inlineStr">
        <is>
          <t>GÄVLEBORGS LÄN</t>
        </is>
      </c>
      <c r="G764" t="inlineStr">
        <is>
          <t>OCKELBO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30031-2026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46305</v>
      </c>
      <c r="F765" t="inlineStr">
        <is>
          <t>GÄVLEBORGS LÄN</t>
        </is>
      </c>
      <c r="G765" t="inlineStr">
        <is>
          <t>OCKELBO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31083-2026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46216</v>
      </c>
      <c r="E766" s="1" t="n">
        <v>46305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46218</v>
      </c>
      <c r="E767" s="1" t="n">
        <v>46305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58156-2025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45982</v>
      </c>
      <c r="E768" s="1" t="n">
        <v>46305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46305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9461-2026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46305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46223</v>
      </c>
      <c r="E771" s="1" t="n">
        <v>46305</v>
      </c>
      <c r="F771" t="inlineStr">
        <is>
          <t>GÄVLEBORGS LÄN</t>
        </is>
      </c>
      <c r="G771" t="inlineStr">
        <is>
          <t>OCKELBO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46223</v>
      </c>
      <c r="E772" s="1" t="n">
        <v>46305</v>
      </c>
      <c r="F772" t="inlineStr">
        <is>
          <t>GÄVLEBORGS LÄN</t>
        </is>
      </c>
      <c r="G772" t="inlineStr">
        <is>
          <t>OCKELBO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36097-2026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46305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36280-2026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46268</v>
      </c>
      <c r="E774" s="1" t="n">
        <v>46305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46268</v>
      </c>
      <c r="E775" s="1" t="n">
        <v>46305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46305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36562-2026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46305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31804-2026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46230</v>
      </c>
      <c r="E778" s="1" t="n">
        <v>46305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37110-2026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46274</v>
      </c>
      <c r="E779" s="1" t="n">
        <v>46305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46275</v>
      </c>
      <c r="E780" s="1" t="n">
        <v>46305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46305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46305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20605-2026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46140</v>
      </c>
      <c r="E783" s="1" t="n">
        <v>46305</v>
      </c>
      <c r="F783" t="inlineStr">
        <is>
          <t>GÄVLEBORGS LÄN</t>
        </is>
      </c>
      <c r="G783" t="inlineStr">
        <is>
          <t>OCKELBO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46140</v>
      </c>
      <c r="E784" s="1" t="n">
        <v>46305</v>
      </c>
      <c r="F784" t="inlineStr">
        <is>
          <t>GÄVLEBORGS LÄN</t>
        </is>
      </c>
      <c r="G784" t="inlineStr">
        <is>
          <t>OCKELBO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38668-2026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46283</v>
      </c>
      <c r="E785" s="1" t="n">
        <v>46305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38648-2026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46305</v>
      </c>
      <c r="F786" t="inlineStr">
        <is>
          <t>GÄVLEBORGS LÄN</t>
        </is>
      </c>
      <c r="G786" t="inlineStr">
        <is>
          <t>OCKELBO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46305</v>
      </c>
      <c r="F787" t="inlineStr">
        <is>
          <t>GÄVLEBORGS LÄN</t>
        </is>
      </c>
      <c r="G787" t="inlineStr">
        <is>
          <t>OCKELBO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33176-2026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46245</v>
      </c>
      <c r="E788" s="1" t="n">
        <v>46305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46305</v>
      </c>
      <c r="F789" t="inlineStr">
        <is>
          <t>GÄVLEBORGS LÄN</t>
        </is>
      </c>
      <c r="G789" t="inlineStr">
        <is>
          <t>OCKELBO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46289</v>
      </c>
      <c r="E790" s="1" t="n">
        <v>46305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40117-2026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46305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8408-2026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46065</v>
      </c>
      <c r="E792" s="1" t="n">
        <v>46305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8683-2026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46066</v>
      </c>
      <c r="E793" s="1" t="n">
        <v>46305</v>
      </c>
      <c r="F793" t="inlineStr">
        <is>
          <t>GÄVLEBORGS LÄN</t>
        </is>
      </c>
      <c r="G793" t="inlineStr">
        <is>
          <t>OCKELBO</t>
        </is>
      </c>
      <c r="I793" t="n">
        <v>6.4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46293</v>
      </c>
      <c r="E794" s="1" t="n">
        <v>46305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46305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15042-2026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46305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46305</v>
      </c>
      <c r="F797" t="inlineStr">
        <is>
          <t>GÄVLEBORGS LÄN</t>
        </is>
      </c>
      <c r="G797" t="inlineStr">
        <is>
          <t>OCKELBO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46305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40149-2026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46293</v>
      </c>
      <c r="E799" s="1" t="n">
        <v>46305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20984-2026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46142</v>
      </c>
      <c r="E800" s="1" t="n">
        <v>46305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58727-2025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45986</v>
      </c>
      <c r="E801" s="1" t="n">
        <v>46305</v>
      </c>
      <c r="F801" t="inlineStr">
        <is>
          <t>GÄVLEBORGS LÄN</t>
        </is>
      </c>
      <c r="G801" t="inlineStr">
        <is>
          <t>OCKELBO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17709-2026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46121</v>
      </c>
      <c r="E802" s="1" t="n">
        <v>46305</v>
      </c>
      <c r="F802" t="inlineStr">
        <is>
          <t>GÄVLEBORGS LÄN</t>
        </is>
      </c>
      <c r="G802" t="inlineStr">
        <is>
          <t>OCKELBO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46297</v>
      </c>
      <c r="E803" s="1" t="n">
        <v>46305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22692-2026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46156</v>
      </c>
      <c r="E804" s="1" t="n">
        <v>46305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41071-2026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46300</v>
      </c>
      <c r="E805" s="1" t="n">
        <v>46305</v>
      </c>
      <c r="F805" t="inlineStr">
        <is>
          <t>GÄVLEBORGS LÄN</t>
        </is>
      </c>
      <c r="G805" t="inlineStr">
        <is>
          <t>OCKELBO</t>
        </is>
      </c>
      <c r="I805" t="n">
        <v>10.1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34391-2026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46254</v>
      </c>
      <c r="E806" s="1" t="n">
        <v>46305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46092</v>
      </c>
      <c r="E807" s="1" t="n">
        <v>46305</v>
      </c>
      <c r="F807" t="inlineStr">
        <is>
          <t>GÄVLEBORGS LÄN</t>
        </is>
      </c>
      <c r="G807" t="inlineStr">
        <is>
          <t>OCKELBO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46305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46038</v>
      </c>
      <c r="E809" s="1" t="n">
        <v>46305</v>
      </c>
      <c r="F809" t="inlineStr">
        <is>
          <t>GÄVLEBORGS LÄN</t>
        </is>
      </c>
      <c r="G809" t="inlineStr">
        <is>
          <t>OCKELBO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14410-2026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46305</v>
      </c>
      <c r="F810" t="inlineStr">
        <is>
          <t>GÄVLEBORGS LÄN</t>
        </is>
      </c>
      <c r="G810" t="inlineStr">
        <is>
          <t>OCKELBO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46305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46305</v>
      </c>
      <c r="F812" t="inlineStr">
        <is>
          <t>GÄVLEBORGS LÄN</t>
        </is>
      </c>
      <c r="G812" t="inlineStr">
        <is>
          <t>OCKELBO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27272-2026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46188</v>
      </c>
      <c r="E813" s="1" t="n">
        <v>46305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18326-2026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46126</v>
      </c>
      <c r="E814" s="1" t="n">
        <v>46305</v>
      </c>
      <c r="F814" t="inlineStr">
        <is>
          <t>GÄVLEBORGS LÄN</t>
        </is>
      </c>
      <c r="G814" t="inlineStr">
        <is>
          <t>OCKELBO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46121</v>
      </c>
      <c r="E815" s="1" t="n">
        <v>46305</v>
      </c>
      <c r="F815" t="inlineStr">
        <is>
          <t>GÄVLEBORGS LÄN</t>
        </is>
      </c>
      <c r="G815" t="inlineStr">
        <is>
          <t>OCKELBO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46305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35155-2026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46260</v>
      </c>
      <c r="E817" s="1" t="n">
        <v>46305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4257-2026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46045</v>
      </c>
      <c r="E818" s="1" t="n">
        <v>46305</v>
      </c>
      <c r="F818" t="inlineStr">
        <is>
          <t>GÄVLEBORGS LÄN</t>
        </is>
      </c>
      <c r="G818" t="inlineStr">
        <is>
          <t>OCKELBO</t>
        </is>
      </c>
      <c r="I818" t="n">
        <v>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46224</v>
      </c>
      <c r="E819" s="1" t="n">
        <v>46305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46305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31571-2026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46224</v>
      </c>
      <c r="E821" s="1" t="n">
        <v>46305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34765-2026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46305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31443-2026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46305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31971-2026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46232</v>
      </c>
      <c r="E824" s="1" t="n">
        <v>46305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46305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46305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46305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46305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46305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46305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46305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46305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46305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46305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46305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46305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46305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2026-10-10T02:05:47Z</dcterms:created>
  <dcterms:modified xmlns:dcterms="http://purl.org/dc/terms/" xmlns:xsi="http://www.w3.org/2001/XMLSchema-instance" xsi:type="dcterms:W3CDTF">2026-10-10T02:05:47Z</dcterms:modified>
</cp:coreProperties>
</file>