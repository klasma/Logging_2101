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46317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46317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46317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46317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46317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46317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46317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46317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46317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46317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46317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46317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46317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46317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46317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46317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46317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46317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46317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46317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46317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46317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46317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46317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46317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62989-2025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46317</v>
      </c>
      <c r="F36" t="inlineStr">
        <is>
          <t>GÄVLEBORGS LÄN</t>
        </is>
      </c>
      <c r="G36" t="inlineStr">
        <is>
          <t>OCKELBO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Kortskaftad ärgspik</t>
        </is>
      </c>
      <c r="W36">
        <f>HYPERLINK("https://klasma.github.io/Logging_2101/artfynd/A 62989-2025 artfynd.xlsx", "A 62989-2025")</f>
        <v/>
      </c>
      <c r="X36">
        <f>HYPERLINK("https://klasma.github.io/Logging_2101/kartor/A 62989-2025 karta.png", "A 62989-2025")</f>
        <v/>
      </c>
      <c r="Y36">
        <f>HYPERLINK("https://klasma.github.io/Logging_2101/kartor_geotiff/A 62989-2025 georefererad karta.tif", "A 62989-2025")</f>
        <v/>
      </c>
      <c r="AA36">
        <f>HYPERLINK("https://klasma.github.io/Logging_2101/klagomål/A 62989-2025 FSC-klagomål.docx", "A 62989-2025")</f>
        <v/>
      </c>
      <c r="AB36">
        <f>HYPERLINK("https://klasma.github.io/Logging_2101/klagomålsmail/A 62989-2025 FSC-klagomål mail.docx", "A 62989-2025")</f>
        <v/>
      </c>
      <c r="AC36">
        <f>HYPERLINK("https://klasma.github.io/Logging_2101/tillsyn/A 62989-2025 tillsynsbegäran.docx", "A 62989-2025")</f>
        <v/>
      </c>
      <c r="AD36">
        <f>HYPERLINK("https://klasma.github.io/Logging_2101/tillsynsmail/A 62989-2025 tillsynsbegäran mail.docx", "A 62989-2025")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46317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46317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46317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46317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2923-2026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46317</v>
      </c>
      <c r="F41" t="inlineStr">
        <is>
          <t>GÄVLEBORGS LÄN</t>
        </is>
      </c>
      <c r="G41" t="inlineStr">
        <is>
          <t>OCKELBO</t>
        </is>
      </c>
      <c r="I41" t="n">
        <v>2.8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HYPERLINK("https://klasma.github.io/Logging_2101/artfynd/A 2923-2026 artfynd.xlsx", "A 2923-2026")</f>
        <v/>
      </c>
      <c r="X41">
        <f>HYPERLINK("https://klasma.github.io/Logging_2101/kartor/A 2923-2026 karta.png", "A 2923-2026")</f>
        <v/>
      </c>
      <c r="Y41">
        <f>HYPERLINK("https://klasma.github.io/Logging_2101/kartor_geotiff/A 2923-2026 georefererad karta.tif", "A 2923-2026")</f>
        <v/>
      </c>
      <c r="Z41">
        <f>HYPERLINK("https://klasma.github.io/Logging_2101/knärot/A 2923-2026 karta knärot.png", "A 2923-2026")</f>
        <v/>
      </c>
      <c r="AA41">
        <f>HYPERLINK("https://klasma.github.io/Logging_2101/klagomål/A 2923-2026 FSC-klagomål.docx", "A 2923-2026")</f>
        <v/>
      </c>
      <c r="AB41">
        <f>HYPERLINK("https://klasma.github.io/Logging_2101/klagomålsmail/A 2923-2026 FSC-klagomål mail.docx", "A 2923-2026")</f>
        <v/>
      </c>
      <c r="AC41">
        <f>HYPERLINK("https://klasma.github.io/Logging_2101/tillsyn/A 2923-2026 tillsynsbegäran.docx", "A 2923-2026")</f>
        <v/>
      </c>
      <c r="AD41">
        <f>HYPERLINK("https://klasma.github.io/Logging_2101/tillsynsmail/A 2923-2026 tillsynsbegäran mail.docx", "A 2923-2026")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46317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HYPERLINK("https://klasma.github.io/Logging_2101/artfynd/A 55778-2025 artfynd.xlsx", "A 55778-2025")</f>
        <v/>
      </c>
      <c r="X42">
        <f>HYPERLINK("https://klasma.github.io/Logging_2101/kartor/A 55778-2025 karta.png", "A 55778-2025")</f>
        <v/>
      </c>
      <c r="Y42">
        <f>HYPERLINK("https://klasma.github.io/Logging_2101/kartor_geotiff/A 55778-2025 georefererad karta.tif", "A 55778-2025")</f>
        <v/>
      </c>
      <c r="AA42">
        <f>HYPERLINK("https://klasma.github.io/Logging_2101/klagomål/A 55778-2025 FSC-klagomål.docx", "A 55778-2025")</f>
        <v/>
      </c>
      <c r="AB42">
        <f>HYPERLINK("https://klasma.github.io/Logging_2101/klagomålsmail/A 55778-2025 FSC-klagomål mail.docx", "A 55778-2025")</f>
        <v/>
      </c>
      <c r="AC42">
        <f>HYPERLINK("https://klasma.github.io/Logging_2101/tillsyn/A 55778-2025 tillsynsbegäran.docx", "A 55778-2025")</f>
        <v/>
      </c>
      <c r="AD42">
        <f>HYPERLINK("https://klasma.github.io/Logging_2101/tillsynsmail/A 55778-2025 tillsynsbegäran mail.docx", "A 55778-2025")</f>
        <v/>
      </c>
    </row>
    <row r="43" ht="15" customHeight="1">
      <c r="A43" t="inlineStr">
        <is>
          <t>A 6121-2026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46053</v>
      </c>
      <c r="E43" s="1" t="n">
        <v>46317</v>
      </c>
      <c r="F43" t="inlineStr">
        <is>
          <t>GÄVLEBORGS LÄN</t>
        </is>
      </c>
      <c r="G43" t="inlineStr">
        <is>
          <t>OCKELBO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HYPERLINK("https://klasma.github.io/Logging_2101/artfynd/A 6121-2026 artfynd.xlsx", "A 6121-2026")</f>
        <v/>
      </c>
      <c r="X43">
        <f>HYPERLINK("https://klasma.github.io/Logging_2101/kartor/A 6121-2026 karta.png", "A 6121-2026")</f>
        <v/>
      </c>
      <c r="Y43">
        <f>HYPERLINK("https://klasma.github.io/Logging_2101/kartor_geotiff/A 6121-2026 georefererad karta.tif", "A 6121-2026")</f>
        <v/>
      </c>
      <c r="AA43">
        <f>HYPERLINK("https://klasma.github.io/Logging_2101/klagomål/A 6121-2026 FSC-klagomål.docx", "A 6121-2026")</f>
        <v/>
      </c>
      <c r="AB43">
        <f>HYPERLINK("https://klasma.github.io/Logging_2101/klagomålsmail/A 6121-2026 FSC-klagomål mail.docx", "A 6121-2026")</f>
        <v/>
      </c>
      <c r="AC43">
        <f>HYPERLINK("https://klasma.github.io/Logging_2101/tillsyn/A 6121-2026 tillsynsbegäran.docx", "A 6121-2026")</f>
        <v/>
      </c>
      <c r="AD43">
        <f>HYPERLINK("https://klasma.github.io/Logging_2101/tillsynsmail/A 6121-2026 tillsynsbegäran mail.docx", "A 6121-2026")</f>
        <v/>
      </c>
      <c r="AE43">
        <f>HYPERLINK("https://klasma.github.io/Logging_2101/fåglar/A 6121-2026 prioriterade fågelarter.docx", "A 6121-2026")</f>
        <v/>
      </c>
    </row>
    <row r="44" ht="15" customHeight="1">
      <c r="A44" t="inlineStr">
        <is>
          <t>A 6586-2026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46317</v>
      </c>
      <c r="F44" t="inlineStr">
        <is>
          <t>GÄVLEBORGS LÄN</t>
        </is>
      </c>
      <c r="G44" t="inlineStr">
        <is>
          <t>OCKELBO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6586-2026 artfynd.xlsx", "A 6586-2026")</f>
        <v/>
      </c>
      <c r="X44">
        <f>HYPERLINK("https://klasma.github.io/Logging_2101/kartor/A 6586-2026 karta.png", "A 6586-2026")</f>
        <v/>
      </c>
      <c r="Y44">
        <f>HYPERLINK("https://klasma.github.io/Logging_2101/kartor_geotiff/A 6586-2026 georefererad karta.tif", "A 6586-2026")</f>
        <v/>
      </c>
      <c r="AA44">
        <f>HYPERLINK("https://klasma.github.io/Logging_2101/klagomål/A 6586-2026 FSC-klagomål.docx", "A 6586-2026")</f>
        <v/>
      </c>
      <c r="AB44">
        <f>HYPERLINK("https://klasma.github.io/Logging_2101/klagomålsmail/A 6586-2026 FSC-klagomål mail.docx", "A 6586-2026")</f>
        <v/>
      </c>
      <c r="AC44">
        <f>HYPERLINK("https://klasma.github.io/Logging_2101/tillsyn/A 6586-2026 tillsynsbegäran.docx", "A 6586-2026")</f>
        <v/>
      </c>
      <c r="AD44">
        <f>HYPERLINK("https://klasma.github.io/Logging_2101/tillsynsmail/A 6586-2026 tillsynsbegäran mail.docx", "A 6586-2026")</f>
        <v/>
      </c>
    </row>
    <row r="45" ht="15" customHeight="1">
      <c r="A45" t="inlineStr">
        <is>
          <t>A 10484-2026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46077</v>
      </c>
      <c r="E45" s="1" t="n">
        <v>46317</v>
      </c>
      <c r="F45" t="inlineStr">
        <is>
          <t>GÄVLEBORGS LÄN</t>
        </is>
      </c>
      <c r="G45" t="inlineStr">
        <is>
          <t>OCKELBO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Ullticka</t>
        </is>
      </c>
      <c r="W45">
        <f>HYPERLINK("https://klasma.github.io/Logging_2101/artfynd/A 10484-2026 artfynd.xlsx", "A 10484-2026")</f>
        <v/>
      </c>
      <c r="X45">
        <f>HYPERLINK("https://klasma.github.io/Logging_2101/kartor/A 10484-2026 karta.png", "A 10484-2026")</f>
        <v/>
      </c>
      <c r="Y45">
        <f>HYPERLINK("https://klasma.github.io/Logging_2101/kartor_geotiff/A 10484-2026 georefererad karta.tif", "A 10484-2026")</f>
        <v/>
      </c>
      <c r="AA45">
        <f>HYPERLINK("https://klasma.github.io/Logging_2101/klagomål/A 10484-2026 FSC-klagomål.docx", "A 10484-2026")</f>
        <v/>
      </c>
      <c r="AB45">
        <f>HYPERLINK("https://klasma.github.io/Logging_2101/klagomålsmail/A 10484-2026 FSC-klagomål mail.docx", "A 10484-2026")</f>
        <v/>
      </c>
      <c r="AC45">
        <f>HYPERLINK("https://klasma.github.io/Logging_2101/tillsyn/A 10484-2026 tillsynsbegäran.docx", "A 10484-2026")</f>
        <v/>
      </c>
      <c r="AD45">
        <f>HYPERLINK("https://klasma.github.io/Logging_2101/tillsynsmail/A 10484-2026 tillsynsbegäran mail.docx", "A 10484-2026")</f>
        <v/>
      </c>
    </row>
    <row r="46" ht="15" customHeight="1">
      <c r="A46" t="inlineStr">
        <is>
          <t>A 15841-2023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46317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HYPERLINK("https://klasma.github.io/Logging_2101/artfynd/A 15841-2023 artfynd.xlsx", "A 15841-2023")</f>
        <v/>
      </c>
      <c r="X46">
        <f>HYPERLINK("https://klasma.github.io/Logging_2101/kartor/A 15841-2023 karta.png", "A 15841-2023")</f>
        <v/>
      </c>
      <c r="Y46">
        <f>HYPERLINK("https://klasma.github.io/Logging_2101/kartor_geotiff/A 15841-2023 georefererad karta.tif", "A 15841-2023")</f>
        <v/>
      </c>
      <c r="AA46">
        <f>HYPERLINK("https://klasma.github.io/Logging_2101/klagomål/A 15841-2023 FSC-klagomål.docx", "A 15841-2023")</f>
        <v/>
      </c>
      <c r="AB46">
        <f>HYPERLINK("https://klasma.github.io/Logging_2101/klagomålsmail/A 15841-2023 FSC-klagomål mail.docx", "A 15841-2023")</f>
        <v/>
      </c>
      <c r="AC46">
        <f>HYPERLINK("https://klasma.github.io/Logging_2101/tillsyn/A 15841-2023 tillsynsbegäran.docx", "A 15841-2023")</f>
        <v/>
      </c>
      <c r="AD46">
        <f>HYPERLINK("https://klasma.github.io/Logging_2101/tillsynsmail/A 15841-2023 tillsynsbegäran mail.docx", "A 15841-2023")</f>
        <v/>
      </c>
      <c r="AE46">
        <f>HYPERLINK("https://klasma.github.io/Logging_2101/fåglar/A 15841-2023 prioriterade fågelarter.docx", "A 15841-2023")</f>
        <v/>
      </c>
    </row>
    <row r="47" ht="15" customHeight="1">
      <c r="A47" t="inlineStr">
        <is>
          <t>A 13640-2026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46317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HYPERLINK("https://klasma.github.io/Logging_2101/artfynd/A 13640-2026 artfynd.xlsx", "A 13640-2026")</f>
        <v/>
      </c>
      <c r="X47">
        <f>HYPERLINK("https://klasma.github.io/Logging_2101/kartor/A 13640-2026 karta.png", "A 13640-2026")</f>
        <v/>
      </c>
      <c r="Y47">
        <f>HYPERLINK("https://klasma.github.io/Logging_2101/kartor_geotiff/A 13640-2026 georefererad karta.tif", "A 13640-2026")</f>
        <v/>
      </c>
      <c r="AA47">
        <f>HYPERLINK("https://klasma.github.io/Logging_2101/klagomål/A 13640-2026 FSC-klagomål.docx", "A 13640-2026")</f>
        <v/>
      </c>
      <c r="AB47">
        <f>HYPERLINK("https://klasma.github.io/Logging_2101/klagomålsmail/A 13640-2026 FSC-klagomål mail.docx", "A 13640-2026")</f>
        <v/>
      </c>
      <c r="AC47">
        <f>HYPERLINK("https://klasma.github.io/Logging_2101/tillsyn/A 13640-2026 tillsynsbegäran.docx", "A 13640-2026")</f>
        <v/>
      </c>
      <c r="AD47">
        <f>HYPERLINK("https://klasma.github.io/Logging_2101/tillsynsmail/A 13640-2026 tillsynsbegäran mail.docx", "A 13640-2026")</f>
        <v/>
      </c>
    </row>
    <row r="48" ht="15" customHeight="1">
      <c r="A48" t="inlineStr">
        <is>
          <t>A 14479-2026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46317</v>
      </c>
      <c r="F48" t="inlineStr">
        <is>
          <t>GÄVLEBORGS LÄN</t>
        </is>
      </c>
      <c r="G48" t="inlineStr">
        <is>
          <t>OCKELBO</t>
        </is>
      </c>
      <c r="I48" t="n">
        <v>4.8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14479-2026 artfynd.xlsx", "A 14479-2026")</f>
        <v/>
      </c>
      <c r="X48">
        <f>HYPERLINK("https://klasma.github.io/Logging_2101/kartor/A 14479-2026 karta.png", "A 14479-2026")</f>
        <v/>
      </c>
      <c r="Y48">
        <f>HYPERLINK("https://klasma.github.io/Logging_2101/kartor_geotiff/A 14479-2026 georefererad karta.tif", "A 14479-2026")</f>
        <v/>
      </c>
      <c r="AA48">
        <f>HYPERLINK("https://klasma.github.io/Logging_2101/klagomål/A 14479-2026 FSC-klagomål.docx", "A 14479-2026")</f>
        <v/>
      </c>
      <c r="AB48">
        <f>HYPERLINK("https://klasma.github.io/Logging_2101/klagomålsmail/A 14479-2026 FSC-klagomål mail.docx", "A 14479-2026")</f>
        <v/>
      </c>
      <c r="AC48">
        <f>HYPERLINK("https://klasma.github.io/Logging_2101/tillsyn/A 14479-2026 tillsynsbegäran.docx", "A 14479-2026")</f>
        <v/>
      </c>
      <c r="AD48">
        <f>HYPERLINK("https://klasma.github.io/Logging_2101/tillsynsmail/A 14479-2026 tillsynsbegäran mail.docx", "A 14479-2026")</f>
        <v/>
      </c>
    </row>
    <row r="49" ht="15" customHeight="1">
      <c r="A49" t="inlineStr">
        <is>
          <t>A 14664-2026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46101</v>
      </c>
      <c r="E49" s="1" t="n">
        <v>46317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Tjäder</t>
        </is>
      </c>
      <c r="W49">
        <f>HYPERLINK("https://klasma.github.io/Logging_2101/artfynd/A 14664-2026 artfynd.xlsx", "A 14664-2026")</f>
        <v/>
      </c>
      <c r="X49">
        <f>HYPERLINK("https://klasma.github.io/Logging_2101/kartor/A 14664-2026 karta.png", "A 14664-2026")</f>
        <v/>
      </c>
      <c r="Y49">
        <f>HYPERLINK("https://klasma.github.io/Logging_2101/kartor_geotiff/A 14664-2026 georefererad karta.tif", "A 14664-2026")</f>
        <v/>
      </c>
      <c r="AA49">
        <f>HYPERLINK("https://klasma.github.io/Logging_2101/klagomål/A 14664-2026 FSC-klagomål.docx", "A 14664-2026")</f>
        <v/>
      </c>
      <c r="AB49">
        <f>HYPERLINK("https://klasma.github.io/Logging_2101/klagomålsmail/A 14664-2026 FSC-klagomål mail.docx", "A 14664-2026")</f>
        <v/>
      </c>
      <c r="AC49">
        <f>HYPERLINK("https://klasma.github.io/Logging_2101/tillsyn/A 14664-2026 tillsynsbegäran.docx", "A 14664-2026")</f>
        <v/>
      </c>
      <c r="AD49">
        <f>HYPERLINK("https://klasma.github.io/Logging_2101/tillsynsmail/A 14664-2026 tillsynsbegäran mail.docx", "A 14664-2026")</f>
        <v/>
      </c>
      <c r="AE49">
        <f>HYPERLINK("https://klasma.github.io/Logging_2101/fåglar/A 14664-2026 prioriterade fågelarter.docx", "A 14664-2026")</f>
        <v/>
      </c>
    </row>
    <row r="50" ht="15" customHeight="1">
      <c r="A50" t="inlineStr">
        <is>
          <t>A 18188-2026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46125</v>
      </c>
      <c r="E50" s="1" t="n">
        <v>46317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Järpe</t>
        </is>
      </c>
      <c r="W50">
        <f>HYPERLINK("https://klasma.github.io/Logging_2101/artfynd/A 18188-2026 artfynd.xlsx", "A 18188-2026")</f>
        <v/>
      </c>
      <c r="X50">
        <f>HYPERLINK("https://klasma.github.io/Logging_2101/kartor/A 18188-2026 karta.png", "A 18188-2026")</f>
        <v/>
      </c>
      <c r="Y50">
        <f>HYPERLINK("https://klasma.github.io/Logging_2101/kartor_geotiff/A 18188-2026 georefererad karta.tif", "A 18188-2026")</f>
        <v/>
      </c>
      <c r="AA50">
        <f>HYPERLINK("https://klasma.github.io/Logging_2101/klagomål/A 18188-2026 FSC-klagomål.docx", "A 18188-2026")</f>
        <v/>
      </c>
      <c r="AB50">
        <f>HYPERLINK("https://klasma.github.io/Logging_2101/klagomålsmail/A 18188-2026 FSC-klagomål mail.docx", "A 18188-2026")</f>
        <v/>
      </c>
      <c r="AC50">
        <f>HYPERLINK("https://klasma.github.io/Logging_2101/tillsyn/A 18188-2026 tillsynsbegäran.docx", "A 18188-2026")</f>
        <v/>
      </c>
      <c r="AD50">
        <f>HYPERLINK("https://klasma.github.io/Logging_2101/tillsynsmail/A 18188-2026 tillsynsbegäran mail.docx", "A 18188-2026")</f>
        <v/>
      </c>
      <c r="AE50">
        <f>HYPERLINK("https://klasma.github.io/Logging_2101/fåglar/A 18188-2026 prioriterade fågelarter.docx", "A 18188-2026")</f>
        <v/>
      </c>
    </row>
    <row r="51" ht="15" customHeight="1">
      <c r="A51" t="inlineStr">
        <is>
          <t>A 12777-2026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46091</v>
      </c>
      <c r="E51" s="1" t="n">
        <v>46317</v>
      </c>
      <c r="F51" t="inlineStr">
        <is>
          <t>GÄVLEBORGS LÄN</t>
        </is>
      </c>
      <c r="G51" t="inlineStr">
        <is>
          <t>OCKELBO</t>
        </is>
      </c>
      <c r="I51" t="n">
        <v>4.2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HYPERLINK("https://klasma.github.io/Logging_2101/artfynd/A 12777-2026 artfynd.xlsx", "A 12777-2026")</f>
        <v/>
      </c>
      <c r="X51">
        <f>HYPERLINK("https://klasma.github.io/Logging_2101/kartor/A 12777-2026 karta.png", "A 12777-2026")</f>
        <v/>
      </c>
      <c r="Y51">
        <f>HYPERLINK("https://klasma.github.io/Logging_2101/kartor_geotiff/A 12777-2026 georefererad karta.tif", "A 12777-2026")</f>
        <v/>
      </c>
      <c r="AA51">
        <f>HYPERLINK("https://klasma.github.io/Logging_2101/klagomål/A 12777-2026 FSC-klagomål.docx", "A 12777-2026")</f>
        <v/>
      </c>
      <c r="AB51">
        <f>HYPERLINK("https://klasma.github.io/Logging_2101/klagomålsmail/A 12777-2026 FSC-klagomål mail.docx", "A 12777-2026")</f>
        <v/>
      </c>
      <c r="AC51">
        <f>HYPERLINK("https://klasma.github.io/Logging_2101/tillsyn/A 12777-2026 tillsynsbegäran.docx", "A 12777-2026")</f>
        <v/>
      </c>
      <c r="AD51">
        <f>HYPERLINK("https://klasma.github.io/Logging_2101/tillsynsmail/A 12777-2026 tillsynsbegäran mail.docx", "A 12777-2026")</f>
        <v/>
      </c>
      <c r="AE51">
        <f>HYPERLINK("https://klasma.github.io/Logging_2101/fåglar/A 12777-2026 prioriterade fågelarter.docx", "A 12777-2026")</f>
        <v/>
      </c>
    </row>
    <row r="52" ht="15" customHeight="1">
      <c r="A52" t="inlineStr">
        <is>
          <t>A 10145-2026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46076</v>
      </c>
      <c r="E52" s="1" t="n">
        <v>46317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öst AB</t>
        </is>
      </c>
      <c r="I52" t="n">
        <v>10.5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Fläcknycklar</t>
        </is>
      </c>
      <c r="W52">
        <f>HYPERLINK("https://klasma.github.io/Logging_2101/artfynd/A 10145-2026 artfynd.xlsx", "A 10145-2026")</f>
        <v/>
      </c>
      <c r="X52">
        <f>HYPERLINK("https://klasma.github.io/Logging_2101/kartor/A 10145-2026 karta.png", "A 10145-2026")</f>
        <v/>
      </c>
      <c r="Y52">
        <f>HYPERLINK("https://klasma.github.io/Logging_2101/kartor_geotiff/A 10145-2026 georefererad karta.tif", "A 10145-2026")</f>
        <v/>
      </c>
      <c r="Z52">
        <f>HYPERLINK("https://klasma.github.io/Logging_2101/knärot/A 10145-2026 karta knärot.png", "A 10145-2026")</f>
        <v/>
      </c>
      <c r="AA52">
        <f>HYPERLINK("https://klasma.github.io/Logging_2101/klagomål/A 10145-2026 FSC-klagomål.docx", "A 10145-2026")</f>
        <v/>
      </c>
      <c r="AB52">
        <f>HYPERLINK("https://klasma.github.io/Logging_2101/klagomålsmail/A 10145-2026 FSC-klagomål mail.docx", "A 10145-2026")</f>
        <v/>
      </c>
      <c r="AC52">
        <f>HYPERLINK("https://klasma.github.io/Logging_2101/tillsyn/A 10145-2026 tillsynsbegäran.docx", "A 10145-2026")</f>
        <v/>
      </c>
      <c r="AD52">
        <f>HYPERLINK("https://klasma.github.io/Logging_2101/tillsynsmail/A 10145-2026 tillsynsbegäran mail.docx", "A 10145-2026")</f>
        <v/>
      </c>
    </row>
    <row r="53" ht="15" customHeight="1">
      <c r="A53" t="inlineStr">
        <is>
          <t>A 9155-2026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46317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Kolflarnlav</t>
        </is>
      </c>
      <c r="W53">
        <f>HYPERLINK("https://klasma.github.io/Logging_2101/artfynd/A 9155-2026 artfynd.xlsx", "A 9155-2026")</f>
        <v/>
      </c>
      <c r="X53">
        <f>HYPERLINK("https://klasma.github.io/Logging_2101/kartor/A 9155-2026 karta.png", "A 9155-2026")</f>
        <v/>
      </c>
      <c r="Y53">
        <f>HYPERLINK("https://klasma.github.io/Logging_2101/kartor_geotiff/A 9155-2026 georefererad karta.tif", "A 9155-2026")</f>
        <v/>
      </c>
      <c r="AA53">
        <f>HYPERLINK("https://klasma.github.io/Logging_2101/klagomål/A 9155-2026 FSC-klagomål.docx", "A 9155-2026")</f>
        <v/>
      </c>
      <c r="AB53">
        <f>HYPERLINK("https://klasma.github.io/Logging_2101/klagomålsmail/A 9155-2026 FSC-klagomål mail.docx", "A 9155-2026")</f>
        <v/>
      </c>
      <c r="AC53">
        <f>HYPERLINK("https://klasma.github.io/Logging_2101/tillsyn/A 9155-2026 tillsynsbegäran.docx", "A 9155-2026")</f>
        <v/>
      </c>
      <c r="AD53">
        <f>HYPERLINK("https://klasma.github.io/Logging_2101/tillsynsmail/A 9155-2026 tillsynsbegäran mail.docx", "A 9155-2026")</f>
        <v/>
      </c>
    </row>
    <row r="54" ht="15" customHeight="1">
      <c r="A54" t="inlineStr">
        <is>
          <t>A 20233-2026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46317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17.9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Tibast</t>
        </is>
      </c>
      <c r="W54">
        <f>HYPERLINK("https://klasma.github.io/Logging_2101/artfynd/A 20233-2026 artfynd.xlsx", "A 20233-2026")</f>
        <v/>
      </c>
      <c r="X54">
        <f>HYPERLINK("https://klasma.github.io/Logging_2101/kartor/A 20233-2026 karta.png", "A 20233-2026")</f>
        <v/>
      </c>
      <c r="Y54">
        <f>HYPERLINK("https://klasma.github.io/Logging_2101/kartor_geotiff/A 20233-2026 georefererad karta.tif", "A 20233-2026")</f>
        <v/>
      </c>
      <c r="AA54">
        <f>HYPERLINK("https://klasma.github.io/Logging_2101/klagomål/A 20233-2026 FSC-klagomål.docx", "A 20233-2026")</f>
        <v/>
      </c>
      <c r="AB54">
        <f>HYPERLINK("https://klasma.github.io/Logging_2101/klagomålsmail/A 20233-2026 FSC-klagomål mail.docx", "A 20233-2026")</f>
        <v/>
      </c>
      <c r="AC54">
        <f>HYPERLINK("https://klasma.github.io/Logging_2101/tillsyn/A 20233-2026 tillsynsbegäran.docx", "A 20233-2026")</f>
        <v/>
      </c>
      <c r="AD54">
        <f>HYPERLINK("https://klasma.github.io/Logging_2101/tillsynsmail/A 20233-2026 tillsynsbegäran mail.docx", "A 20233-2026")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46317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46317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46317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46317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46317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16738-2025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46317</v>
      </c>
      <c r="F60" t="inlineStr">
        <is>
          <t>GÄVLEBORGS LÄN</t>
        </is>
      </c>
      <c r="G60" t="inlineStr">
        <is>
          <t>OCKELBO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16738-2025 artfynd.xlsx", "A 16738-2025")</f>
        <v/>
      </c>
      <c r="X60">
        <f>HYPERLINK("https://klasma.github.io/Logging_2101/kartor/A 16738-2025 karta.png", "A 16738-2025")</f>
        <v/>
      </c>
      <c r="Y60">
        <f>HYPERLINK("https://klasma.github.io/Logging_2101/kartor_geotiff/A 16738-2025 georefererad karta.tif", "A 16738-2025")</f>
        <v/>
      </c>
      <c r="AA60">
        <f>HYPERLINK("https://klasma.github.io/Logging_2101/klagomål/A 16738-2025 FSC-klagomål.docx", "A 16738-2025")</f>
        <v/>
      </c>
      <c r="AB60">
        <f>HYPERLINK("https://klasma.github.io/Logging_2101/klagomålsmail/A 16738-2025 FSC-klagomål mail.docx", "A 16738-2025")</f>
        <v/>
      </c>
      <c r="AC60">
        <f>HYPERLINK("https://klasma.github.io/Logging_2101/tillsyn/A 16738-2025 tillsynsbegäran.docx", "A 16738-2025")</f>
        <v/>
      </c>
      <c r="AD60">
        <f>HYPERLINK("https://klasma.github.io/Logging_2101/tillsynsmail/A 16738-2025 tillsynsbegäran mail.docx", "A 16738-2025")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46317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46317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46317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46317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46317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46317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46317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46317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46317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46317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46317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46317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46317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46317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46317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46317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46317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46317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46317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46317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46317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46317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46317</v>
      </c>
      <c r="F83" t="inlineStr">
        <is>
          <t>GÄVLEBORGS LÄN</t>
        </is>
      </c>
      <c r="G83" t="inlineStr">
        <is>
          <t>OCKELBO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46317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46317</v>
      </c>
      <c r="F85" t="inlineStr">
        <is>
          <t>GÄVLEBORGS LÄN</t>
        </is>
      </c>
      <c r="G85" t="inlineStr">
        <is>
          <t>OCKELBO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46317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46317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46317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45184</v>
      </c>
      <c r="E89" s="1" t="n">
        <v>46317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45203</v>
      </c>
      <c r="E90" s="1" t="n">
        <v>46317</v>
      </c>
      <c r="F90" t="inlineStr">
        <is>
          <t>GÄVLEBORGS LÄN</t>
        </is>
      </c>
      <c r="G90" t="inlineStr">
        <is>
          <t>OCKELBO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46317</v>
      </c>
      <c r="F91" t="inlineStr">
        <is>
          <t>GÄVLEBORGS LÄN</t>
        </is>
      </c>
      <c r="G91" t="inlineStr">
        <is>
          <t>OCKELBO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45527</v>
      </c>
      <c r="E92" s="1" t="n">
        <v>46317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12.2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46317</v>
      </c>
      <c r="F93" t="inlineStr">
        <is>
          <t>GÄVLEBORGS LÄN</t>
        </is>
      </c>
      <c r="G93" t="inlineStr">
        <is>
          <t>OCKELBO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46317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46317</v>
      </c>
      <c r="F95" t="inlineStr">
        <is>
          <t>GÄVLEBORGS LÄN</t>
        </is>
      </c>
      <c r="G95" t="inlineStr">
        <is>
          <t>OCKELBO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46317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44887</v>
      </c>
      <c r="E97" s="1" t="n">
        <v>46317</v>
      </c>
      <c r="F97" t="inlineStr">
        <is>
          <t>GÄVLEBORGS LÄN</t>
        </is>
      </c>
      <c r="G97" t="inlineStr">
        <is>
          <t>OCKELBO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46317</v>
      </c>
      <c r="F98" t="inlineStr">
        <is>
          <t>GÄVLEBORGS LÄN</t>
        </is>
      </c>
      <c r="G98" t="inlineStr">
        <is>
          <t>OCKELBO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46317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23072-2024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45450</v>
      </c>
      <c r="E100" s="1" t="n">
        <v>46317</v>
      </c>
      <c r="F100" t="inlineStr">
        <is>
          <t>GÄVLEBORGS LÄN</t>
        </is>
      </c>
      <c r="G100" t="inlineStr">
        <is>
          <t>OCKELBO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46317</v>
      </c>
      <c r="F101" t="inlineStr">
        <is>
          <t>GÄVLEBORGS LÄN</t>
        </is>
      </c>
      <c r="G101" t="inlineStr">
        <is>
          <t>OCKELBO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46317</v>
      </c>
      <c r="F102" t="inlineStr">
        <is>
          <t>GÄVLEBORGS LÄN</t>
        </is>
      </c>
      <c r="G102" t="inlineStr">
        <is>
          <t>OCKELBO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62196-2025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46006</v>
      </c>
      <c r="E103" s="1" t="n">
        <v>46317</v>
      </c>
      <c r="F103" t="inlineStr">
        <is>
          <t>GÄVLEBORGS LÄN</t>
        </is>
      </c>
      <c r="G103" t="inlineStr">
        <is>
          <t>OCKELBO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46317</v>
      </c>
      <c r="F104" t="inlineStr">
        <is>
          <t>GÄVLEBORGS LÄN</t>
        </is>
      </c>
      <c r="G104" t="inlineStr">
        <is>
          <t>OCKELBO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23004-2025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45790</v>
      </c>
      <c r="E105" s="1" t="n">
        <v>46317</v>
      </c>
      <c r="F105" t="inlineStr">
        <is>
          <t>GÄVLEBORGS LÄN</t>
        </is>
      </c>
      <c r="G105" t="inlineStr">
        <is>
          <t>OCKELBO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45989</v>
      </c>
      <c r="E106" s="1" t="n">
        <v>46317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46317</v>
      </c>
      <c r="F107" t="inlineStr">
        <is>
          <t>GÄVLEBORGS LÄN</t>
        </is>
      </c>
      <c r="G107" t="inlineStr">
        <is>
          <t>OCKELBO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45334</v>
      </c>
      <c r="E108" s="1" t="n">
        <v>46317</v>
      </c>
      <c r="F108" t="inlineStr">
        <is>
          <t>GÄVLEBORGS LÄN</t>
        </is>
      </c>
      <c r="G108" t="inlineStr">
        <is>
          <t>OCKELBO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46317</v>
      </c>
      <c r="F109" t="inlineStr">
        <is>
          <t>GÄVLEBORGS LÄN</t>
        </is>
      </c>
      <c r="G109" t="inlineStr">
        <is>
          <t>OCKELBO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45776</v>
      </c>
      <c r="E110" s="1" t="n">
        <v>46317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16.2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45366</v>
      </c>
      <c r="E111" s="1" t="n">
        <v>46317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46317</v>
      </c>
      <c r="F112" t="inlineStr">
        <is>
          <t>GÄVLEBORGS LÄN</t>
        </is>
      </c>
      <c r="G112" t="inlineStr">
        <is>
          <t>OCKELBO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46317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46317</v>
      </c>
      <c r="F114" t="inlineStr">
        <is>
          <t>GÄVLEBORGS LÄN</t>
        </is>
      </c>
      <c r="G114" t="inlineStr">
        <is>
          <t>OCKELBO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45490</v>
      </c>
      <c r="E115" s="1" t="n">
        <v>46317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62914-2025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46317</v>
      </c>
      <c r="F116" t="inlineStr">
        <is>
          <t>GÄVLEBORGS LÄN</t>
        </is>
      </c>
      <c r="G116" t="inlineStr">
        <is>
          <t>OCKELBO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45478</v>
      </c>
      <c r="E117" s="1" t="n">
        <v>46317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46317</v>
      </c>
      <c r="F118" t="inlineStr">
        <is>
          <t>GÄVLEBORGS LÄN</t>
        </is>
      </c>
      <c r="G118" t="inlineStr">
        <is>
          <t>OCKELBO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46317</v>
      </c>
      <c r="F119" t="inlineStr">
        <is>
          <t>GÄVLEBORGS LÄN</t>
        </is>
      </c>
      <c r="G119" t="inlineStr">
        <is>
          <t>OCKELBO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46317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46014</v>
      </c>
      <c r="E121" s="1" t="n">
        <v>46317</v>
      </c>
      <c r="F121" t="inlineStr">
        <is>
          <t>GÄVLEBORGS LÄN</t>
        </is>
      </c>
      <c r="G121" t="inlineStr">
        <is>
          <t>OCKELBO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46317</v>
      </c>
      <c r="F122" t="inlineStr">
        <is>
          <t>GÄVLEBORGS LÄN</t>
        </is>
      </c>
      <c r="G122" t="inlineStr">
        <is>
          <t>OCKELBO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63224-2025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46010</v>
      </c>
      <c r="E123" s="1" t="n">
        <v>46317</v>
      </c>
      <c r="F123" t="inlineStr">
        <is>
          <t>GÄVLEBORGS LÄN</t>
        </is>
      </c>
      <c r="G123" t="inlineStr">
        <is>
          <t>OCKELBO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46317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45468</v>
      </c>
      <c r="E125" s="1" t="n">
        <v>46317</v>
      </c>
      <c r="F125" t="inlineStr">
        <is>
          <t>GÄVLEBORGS LÄN</t>
        </is>
      </c>
      <c r="G125" t="inlineStr">
        <is>
          <t>OCKELBO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46317</v>
      </c>
      <c r="F126" t="inlineStr">
        <is>
          <t>GÄVLEBORGS LÄN</t>
        </is>
      </c>
      <c r="G126" t="inlineStr">
        <is>
          <t>OCKELBO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46317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46317</v>
      </c>
      <c r="F128" t="inlineStr">
        <is>
          <t>GÄVLEBORGS LÄN</t>
        </is>
      </c>
      <c r="G128" t="inlineStr">
        <is>
          <t>OCKELBO</t>
        </is>
      </c>
      <c r="H128" t="inlineStr">
        <is>
          <t>Kyrkan</t>
        </is>
      </c>
      <c r="I128" t="n">
        <v>12.5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63017-2025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46317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46317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45596</v>
      </c>
      <c r="E131" s="1" t="n">
        <v>46317</v>
      </c>
      <c r="F131" t="inlineStr">
        <is>
          <t>GÄVLEBORGS LÄN</t>
        </is>
      </c>
      <c r="G131" t="inlineStr">
        <is>
          <t>OCKELBO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46317</v>
      </c>
      <c r="F132" t="inlineStr">
        <is>
          <t>GÄVLEBORGS LÄN</t>
        </is>
      </c>
      <c r="G132" t="inlineStr">
        <is>
          <t>OCKELBO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45134</v>
      </c>
      <c r="E133" s="1" t="n">
        <v>46317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46317</v>
      </c>
      <c r="F134" t="inlineStr">
        <is>
          <t>GÄVLEBORGS LÄN</t>
        </is>
      </c>
      <c r="G134" t="inlineStr">
        <is>
          <t>OCKELBO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46317</v>
      </c>
      <c r="F135" t="inlineStr">
        <is>
          <t>GÄVLEBORGS LÄN</t>
        </is>
      </c>
      <c r="G135" t="inlineStr">
        <is>
          <t>OCKELBO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46317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46317</v>
      </c>
      <c r="F137" t="inlineStr">
        <is>
          <t>GÄVLEBORGS LÄN</t>
        </is>
      </c>
      <c r="G137" t="inlineStr">
        <is>
          <t>OCKELBO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25246-2025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46317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25250-2025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45800</v>
      </c>
      <c r="E139" s="1" t="n">
        <v>46317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46317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46317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46317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46317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46317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46317</v>
      </c>
      <c r="F145" t="inlineStr">
        <is>
          <t>GÄVLEBORGS LÄN</t>
        </is>
      </c>
      <c r="G145" t="inlineStr">
        <is>
          <t>OCKELBO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45534</v>
      </c>
      <c r="E146" s="1" t="n">
        <v>46317</v>
      </c>
      <c r="F146" t="inlineStr">
        <is>
          <t>GÄVLEBORGS LÄN</t>
        </is>
      </c>
      <c r="G146" t="inlineStr">
        <is>
          <t>OCKELBO</t>
        </is>
      </c>
      <c r="I146" t="n">
        <v>7.9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46317</v>
      </c>
      <c r="F147" t="inlineStr">
        <is>
          <t>GÄVLEBORGS LÄN</t>
        </is>
      </c>
      <c r="G147" t="inlineStr">
        <is>
          <t>OCKELBO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46317</v>
      </c>
      <c r="F148" t="inlineStr">
        <is>
          <t>GÄVLEBORGS LÄN</t>
        </is>
      </c>
      <c r="G148" t="inlineStr">
        <is>
          <t>OCKELBO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46317</v>
      </c>
      <c r="F149" t="inlineStr">
        <is>
          <t>GÄVLEBORGS LÄN</t>
        </is>
      </c>
      <c r="G149" t="inlineStr">
        <is>
          <t>OCKELBO</t>
        </is>
      </c>
      <c r="I149" t="n">
        <v>13.6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46024</v>
      </c>
      <c r="E150" s="1" t="n">
        <v>46317</v>
      </c>
      <c r="F150" t="inlineStr">
        <is>
          <t>GÄVLEBORGS LÄN</t>
        </is>
      </c>
      <c r="G150" t="inlineStr">
        <is>
          <t>OCKELBO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46317</v>
      </c>
      <c r="F151" t="inlineStr">
        <is>
          <t>GÄVLEBORGS LÄN</t>
        </is>
      </c>
      <c r="G151" t="inlineStr">
        <is>
          <t>OCKELBO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60497-2021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44496</v>
      </c>
      <c r="E152" s="1" t="n">
        <v>46317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46317</v>
      </c>
      <c r="F153" t="inlineStr">
        <is>
          <t>GÄVLEBORGS LÄN</t>
        </is>
      </c>
      <c r="G153" t="inlineStr">
        <is>
          <t>OCKELBO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46027</v>
      </c>
      <c r="E154" s="1" t="n">
        <v>46317</v>
      </c>
      <c r="F154" t="inlineStr">
        <is>
          <t>GÄVLEBORGS LÄN</t>
        </is>
      </c>
      <c r="G154" t="inlineStr">
        <is>
          <t>OCKELBO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46317</v>
      </c>
      <c r="F155" t="inlineStr">
        <is>
          <t>GÄVLEBORGS LÄN</t>
        </is>
      </c>
      <c r="G155" t="inlineStr">
        <is>
          <t>OCKELBO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45903</v>
      </c>
      <c r="E156" s="1" t="n">
        <v>46317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46317</v>
      </c>
      <c r="F157" t="inlineStr">
        <is>
          <t>GÄVLEBORGS LÄN</t>
        </is>
      </c>
      <c r="G157" t="inlineStr">
        <is>
          <t>OCKELBO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46027</v>
      </c>
      <c r="E158" s="1" t="n">
        <v>46317</v>
      </c>
      <c r="F158" t="inlineStr">
        <is>
          <t>GÄVLEBORGS LÄN</t>
        </is>
      </c>
      <c r="G158" t="inlineStr">
        <is>
          <t>OCKELBO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46027</v>
      </c>
      <c r="E159" s="1" t="n">
        <v>46317</v>
      </c>
      <c r="F159" t="inlineStr">
        <is>
          <t>GÄVLEBORGS LÄN</t>
        </is>
      </c>
      <c r="G159" t="inlineStr">
        <is>
          <t>OCKELBO</t>
        </is>
      </c>
      <c r="I159" t="n">
        <v>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46317</v>
      </c>
      <c r="F160" t="inlineStr">
        <is>
          <t>GÄVLEBORGS LÄN</t>
        </is>
      </c>
      <c r="G160" t="inlineStr">
        <is>
          <t>OCKELBO</t>
        </is>
      </c>
      <c r="I160" t="n">
        <v>16.2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46317</v>
      </c>
      <c r="F161" t="inlineStr">
        <is>
          <t>GÄVLEBORGS LÄN</t>
        </is>
      </c>
      <c r="G161" t="inlineStr">
        <is>
          <t>OCKELBO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46317</v>
      </c>
      <c r="F162" t="inlineStr">
        <is>
          <t>GÄVLEBORGS LÄN</t>
        </is>
      </c>
      <c r="G162" t="inlineStr">
        <is>
          <t>OCKELBO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46317</v>
      </c>
      <c r="F163" t="inlineStr">
        <is>
          <t>GÄVLEBORGS LÄN</t>
        </is>
      </c>
      <c r="G163" t="inlineStr">
        <is>
          <t>OCKELBO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46317</v>
      </c>
      <c r="F164" t="inlineStr">
        <is>
          <t>GÄVLEBORGS LÄN</t>
        </is>
      </c>
      <c r="G164" t="inlineStr">
        <is>
          <t>OCKELBO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46317</v>
      </c>
      <c r="F165" t="inlineStr">
        <is>
          <t>GÄVLEBORGS LÄN</t>
        </is>
      </c>
      <c r="G165" t="inlineStr">
        <is>
          <t>OCKELBO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45777</v>
      </c>
      <c r="E166" s="1" t="n">
        <v>46317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46317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24.8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45184</v>
      </c>
      <c r="E168" s="1" t="n">
        <v>46317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46317</v>
      </c>
      <c r="F169" t="inlineStr">
        <is>
          <t>GÄVLEBORGS LÄN</t>
        </is>
      </c>
      <c r="G169" t="inlineStr">
        <is>
          <t>OCKELBO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46317</v>
      </c>
      <c r="F170" t="inlineStr">
        <is>
          <t>GÄVLEBORGS LÄN</t>
        </is>
      </c>
      <c r="G170" t="inlineStr">
        <is>
          <t>OCKELBO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46317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46317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46317</v>
      </c>
      <c r="F173" t="inlineStr">
        <is>
          <t>GÄVLEBORGS LÄN</t>
        </is>
      </c>
      <c r="G173" t="inlineStr">
        <is>
          <t>OCKELBO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46317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45817</v>
      </c>
      <c r="E175" s="1" t="n">
        <v>46317</v>
      </c>
      <c r="F175" t="inlineStr">
        <is>
          <t>GÄVLEBORGS LÄN</t>
        </is>
      </c>
      <c r="G175" t="inlineStr">
        <is>
          <t>OCKELBO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46317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44879</v>
      </c>
      <c r="E177" s="1" t="n">
        <v>46317</v>
      </c>
      <c r="F177" t="inlineStr">
        <is>
          <t>GÄVLEBORGS LÄN</t>
        </is>
      </c>
      <c r="G177" t="inlineStr">
        <is>
          <t>OCKELBO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46317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46317</v>
      </c>
      <c r="F179" t="inlineStr">
        <is>
          <t>GÄVLEBORGS LÄN</t>
        </is>
      </c>
      <c r="G179" t="inlineStr">
        <is>
          <t>OCKELBO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44889</v>
      </c>
      <c r="E180" s="1" t="n">
        <v>46317</v>
      </c>
      <c r="F180" t="inlineStr">
        <is>
          <t>GÄVLEBORGS LÄN</t>
        </is>
      </c>
      <c r="G180" t="inlineStr">
        <is>
          <t>OCKELBO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29274-2025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46317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46317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46317</v>
      </c>
      <c r="F183" t="inlineStr">
        <is>
          <t>GÄVLEBORGS LÄN</t>
        </is>
      </c>
      <c r="G183" t="inlineStr">
        <is>
          <t>OCKELBO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46028</v>
      </c>
      <c r="E184" s="1" t="n">
        <v>46317</v>
      </c>
      <c r="F184" t="inlineStr">
        <is>
          <t>GÄVLEBORGS LÄN</t>
        </is>
      </c>
      <c r="G184" t="inlineStr">
        <is>
          <t>OCKELBO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46317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46317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46317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46317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45280</v>
      </c>
      <c r="E189" s="1" t="n">
        <v>46317</v>
      </c>
      <c r="F189" t="inlineStr">
        <is>
          <t>GÄVLEBORGS LÄN</t>
        </is>
      </c>
      <c r="G189" t="inlineStr">
        <is>
          <t>OCKELBO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46317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45107</v>
      </c>
      <c r="E191" s="1" t="n">
        <v>46317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46317</v>
      </c>
      <c r="F192" t="inlineStr">
        <is>
          <t>GÄVLEBORGS LÄN</t>
        </is>
      </c>
      <c r="G192" t="inlineStr">
        <is>
          <t>OCKELBO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44845</v>
      </c>
      <c r="E193" s="1" t="n">
        <v>46317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46317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46317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46317</v>
      </c>
      <c r="F196" t="inlineStr">
        <is>
          <t>GÄVLEBORGS LÄN</t>
        </is>
      </c>
      <c r="G196" t="inlineStr">
        <is>
          <t>OCKELBO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61622-2021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44501</v>
      </c>
      <c r="E197" s="1" t="n">
        <v>46317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46317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46317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67768-2021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46317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46028</v>
      </c>
      <c r="E201" s="1" t="n">
        <v>46317</v>
      </c>
      <c r="F201" t="inlineStr">
        <is>
          <t>GÄVLEBORGS LÄN</t>
        </is>
      </c>
      <c r="G201" t="inlineStr">
        <is>
          <t>OCKELBO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46317</v>
      </c>
      <c r="F202" t="inlineStr">
        <is>
          <t>GÄVLEBORGS LÄN</t>
        </is>
      </c>
      <c r="G202" t="inlineStr">
        <is>
          <t>OCKELBO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46317</v>
      </c>
      <c r="F203" t="inlineStr">
        <is>
          <t>GÄVLEBORGS LÄN</t>
        </is>
      </c>
      <c r="G203" t="inlineStr">
        <is>
          <t>OCKELBO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46317</v>
      </c>
      <c r="F204" t="inlineStr">
        <is>
          <t>GÄVLEBORGS LÄN</t>
        </is>
      </c>
      <c r="G204" t="inlineStr">
        <is>
          <t>OCKELBO</t>
        </is>
      </c>
      <c r="I204" t="n">
        <v>12.9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46485-2024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46317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46317</v>
      </c>
      <c r="F206" t="inlineStr">
        <is>
          <t>GÄVLEBORGS LÄN</t>
        </is>
      </c>
      <c r="G206" t="inlineStr">
        <is>
          <t>OCKELBO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46317</v>
      </c>
      <c r="F207" t="inlineStr">
        <is>
          <t>GÄVLEBORGS LÄN</t>
        </is>
      </c>
      <c r="G207" t="inlineStr">
        <is>
          <t>OCKELBO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46317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45602</v>
      </c>
      <c r="E209" s="1" t="n">
        <v>46317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46317</v>
      </c>
      <c r="F210" t="inlineStr">
        <is>
          <t>GÄVLEBORGS LÄN</t>
        </is>
      </c>
      <c r="G210" t="inlineStr">
        <is>
          <t>OCKELBO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50693-2024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45602</v>
      </c>
      <c r="E211" s="1" t="n">
        <v>46317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44816</v>
      </c>
      <c r="E212" s="1" t="n">
        <v>46317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16141-2023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45027</v>
      </c>
      <c r="E213" s="1" t="n">
        <v>46317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45608</v>
      </c>
      <c r="E214" s="1" t="n">
        <v>46317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45554</v>
      </c>
      <c r="E215" s="1" t="n">
        <v>46317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45644</v>
      </c>
      <c r="E216" s="1" t="n">
        <v>46317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46317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66825-2021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44522</v>
      </c>
      <c r="E218" s="1" t="n">
        <v>46317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46317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40196-2024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45554</v>
      </c>
      <c r="E220" s="1" t="n">
        <v>46317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46317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46031</v>
      </c>
      <c r="E222" s="1" t="n">
        <v>46317</v>
      </c>
      <c r="F222" t="inlineStr">
        <is>
          <t>GÄVLEBORGS LÄN</t>
        </is>
      </c>
      <c r="G222" t="inlineStr">
        <is>
          <t>OCKELBO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46317</v>
      </c>
      <c r="F223" t="inlineStr">
        <is>
          <t>GÄVLEBORGS LÄN</t>
        </is>
      </c>
      <c r="G223" t="inlineStr">
        <is>
          <t>OCKELBO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46317</v>
      </c>
      <c r="F224" t="inlineStr">
        <is>
          <t>GÄVLEBORGS LÄN</t>
        </is>
      </c>
      <c r="G224" t="inlineStr">
        <is>
          <t>OCKELBO</t>
        </is>
      </c>
      <c r="I224" t="n">
        <v>9.4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45109</v>
      </c>
      <c r="E225" s="1" t="n">
        <v>46317</v>
      </c>
      <c r="F225" t="inlineStr">
        <is>
          <t>GÄVLEBORGS LÄN</t>
        </is>
      </c>
      <c r="G225" t="inlineStr">
        <is>
          <t>OCKELBO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46317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46317</v>
      </c>
      <c r="F227" t="inlineStr">
        <is>
          <t>GÄVLEBORGS LÄN</t>
        </is>
      </c>
      <c r="G227" t="inlineStr">
        <is>
          <t>OCKELBO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46317</v>
      </c>
      <c r="F228" t="inlineStr">
        <is>
          <t>GÄVLEBORGS LÄN</t>
        </is>
      </c>
      <c r="G228" t="inlineStr">
        <is>
          <t>OCKELBO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46033</v>
      </c>
      <c r="E229" s="1" t="n">
        <v>46317</v>
      </c>
      <c r="F229" t="inlineStr">
        <is>
          <t>GÄVLEBORGS LÄN</t>
        </is>
      </c>
      <c r="G229" t="inlineStr">
        <is>
          <t>OCKELBO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44950</v>
      </c>
      <c r="E230" s="1" t="n">
        <v>46317</v>
      </c>
      <c r="F230" t="inlineStr">
        <is>
          <t>GÄVLEBORGS LÄN</t>
        </is>
      </c>
      <c r="G230" t="inlineStr">
        <is>
          <t>OCKELBO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46317</v>
      </c>
      <c r="F231" t="inlineStr">
        <is>
          <t>GÄVLEBORGS LÄN</t>
        </is>
      </c>
      <c r="G231" t="inlineStr">
        <is>
          <t>OCKELBO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46317</v>
      </c>
      <c r="F232" t="inlineStr">
        <is>
          <t>GÄVLEBORGS LÄN</t>
        </is>
      </c>
      <c r="G232" t="inlineStr">
        <is>
          <t>OCKELBO</t>
        </is>
      </c>
      <c r="I232" t="n">
        <v>11.1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46317</v>
      </c>
      <c r="F233" t="inlineStr">
        <is>
          <t>GÄVLEBORGS LÄN</t>
        </is>
      </c>
      <c r="G233" t="inlineStr">
        <is>
          <t>OCKELBO</t>
        </is>
      </c>
      <c r="I233" t="n">
        <v>11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46317</v>
      </c>
      <c r="F234" t="inlineStr">
        <is>
          <t>GÄVLEBORGS LÄN</t>
        </is>
      </c>
      <c r="G234" t="inlineStr">
        <is>
          <t>OCKELBO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45073</v>
      </c>
      <c r="E235" s="1" t="n">
        <v>46317</v>
      </c>
      <c r="F235" t="inlineStr">
        <is>
          <t>GÄVLEBORGS LÄN</t>
        </is>
      </c>
      <c r="G235" t="inlineStr">
        <is>
          <t>OCKELBO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46317</v>
      </c>
      <c r="F236" t="inlineStr">
        <is>
          <t>GÄVLEBORGS LÄN</t>
        </is>
      </c>
      <c r="G236" t="inlineStr">
        <is>
          <t>OCKELBO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35017-2025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45851</v>
      </c>
      <c r="E237" s="1" t="n">
        <v>46317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27.8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45497</v>
      </c>
      <c r="E238" s="1" t="n">
        <v>46317</v>
      </c>
      <c r="F238" t="inlineStr">
        <is>
          <t>GÄVLEBORGS LÄN</t>
        </is>
      </c>
      <c r="G238" t="inlineStr">
        <is>
          <t>OCKELBO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46317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46317</v>
      </c>
      <c r="F240" t="inlineStr">
        <is>
          <t>GÄVLEBORGS LÄN</t>
        </is>
      </c>
      <c r="G240" t="inlineStr">
        <is>
          <t>OCKELBO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46317</v>
      </c>
      <c r="F241" t="inlineStr">
        <is>
          <t>GÄVLEBORGS LÄN</t>
        </is>
      </c>
      <c r="G241" t="inlineStr">
        <is>
          <t>OCKELBO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46317</v>
      </c>
      <c r="F242" t="inlineStr">
        <is>
          <t>GÄVLEBORGS LÄN</t>
        </is>
      </c>
      <c r="G242" t="inlineStr">
        <is>
          <t>OCKELBO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46317</v>
      </c>
      <c r="F243" t="inlineStr">
        <is>
          <t>GÄVLEBORGS LÄN</t>
        </is>
      </c>
      <c r="G243" t="inlineStr">
        <is>
          <t>OCKELBO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46317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46317</v>
      </c>
      <c r="F245" t="inlineStr">
        <is>
          <t>GÄVLEBORGS LÄN</t>
        </is>
      </c>
      <c r="G245" t="inlineStr">
        <is>
          <t>OCKELBO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52635-2025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46317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46317</v>
      </c>
      <c r="F247" t="inlineStr">
        <is>
          <t>GÄVLEBORGS LÄN</t>
        </is>
      </c>
      <c r="G247" t="inlineStr">
        <is>
          <t>OCKELBO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46317</v>
      </c>
      <c r="F248" t="inlineStr">
        <is>
          <t>GÄVLEBORGS LÄN</t>
        </is>
      </c>
      <c r="G248" t="inlineStr">
        <is>
          <t>OCKELBO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46317</v>
      </c>
      <c r="F249" t="inlineStr">
        <is>
          <t>GÄVLEBORGS LÄN</t>
        </is>
      </c>
      <c r="G249" t="inlineStr">
        <is>
          <t>OCKELBO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46317</v>
      </c>
      <c r="F250" t="inlineStr">
        <is>
          <t>GÄVLEBORGS LÄN</t>
        </is>
      </c>
      <c r="G250" t="inlineStr">
        <is>
          <t>OCKELBO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49207-2023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45210</v>
      </c>
      <c r="E251" s="1" t="n">
        <v>46317</v>
      </c>
      <c r="F251" t="inlineStr">
        <is>
          <t>GÄVLEBORGS LÄN</t>
        </is>
      </c>
      <c r="G251" t="inlineStr">
        <is>
          <t>OCKELBO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46317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46317</v>
      </c>
      <c r="F253" t="inlineStr">
        <is>
          <t>GÄVLEBORGS LÄN</t>
        </is>
      </c>
      <c r="G253" t="inlineStr">
        <is>
          <t>OCKELBO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46317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46317</v>
      </c>
      <c r="F255" t="inlineStr">
        <is>
          <t>GÄVLEBORGS LÄN</t>
        </is>
      </c>
      <c r="G255" t="inlineStr">
        <is>
          <t>OCKELBO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46317</v>
      </c>
      <c r="F256" t="inlineStr">
        <is>
          <t>GÄVLEBORGS LÄN</t>
        </is>
      </c>
      <c r="G256" t="inlineStr">
        <is>
          <t>OCKELBO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46317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46317</v>
      </c>
      <c r="F258" t="inlineStr">
        <is>
          <t>GÄVLEBORGS LÄN</t>
        </is>
      </c>
      <c r="G258" t="inlineStr">
        <is>
          <t>OCKELBO</t>
        </is>
      </c>
      <c r="I258" t="n">
        <v>16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46317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öst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46317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46317</v>
      </c>
      <c r="F261" t="inlineStr">
        <is>
          <t>GÄVLEBORGS LÄN</t>
        </is>
      </c>
      <c r="G261" t="inlineStr">
        <is>
          <t>OCKELBO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46317</v>
      </c>
      <c r="F262" t="inlineStr">
        <is>
          <t>GÄVLEBORGS LÄN</t>
        </is>
      </c>
      <c r="G262" t="inlineStr">
        <is>
          <t>OCKELBO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46317</v>
      </c>
      <c r="F263" t="inlineStr">
        <is>
          <t>GÄVLEBORGS LÄN</t>
        </is>
      </c>
      <c r="G263" t="inlineStr">
        <is>
          <t>OCKELBO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22824-2024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45448</v>
      </c>
      <c r="E264" s="1" t="n">
        <v>46317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46317</v>
      </c>
      <c r="F265" t="inlineStr">
        <is>
          <t>GÄVLEBORGS LÄN</t>
        </is>
      </c>
      <c r="G265" t="inlineStr">
        <is>
          <t>OCKELBO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46317</v>
      </c>
      <c r="F266" t="inlineStr">
        <is>
          <t>GÄVLEBORGS LÄN</t>
        </is>
      </c>
      <c r="G266" t="inlineStr">
        <is>
          <t>OCKELBO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46317</v>
      </c>
      <c r="F267" t="inlineStr">
        <is>
          <t>GÄVLEBORGS LÄN</t>
        </is>
      </c>
      <c r="G267" t="inlineStr">
        <is>
          <t>OCKELBO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46317</v>
      </c>
      <c r="F268" t="inlineStr">
        <is>
          <t>GÄVLEBORGS LÄN</t>
        </is>
      </c>
      <c r="G268" t="inlineStr">
        <is>
          <t>OCKELBO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46317</v>
      </c>
      <c r="F269" t="inlineStr">
        <is>
          <t>GÄVLEBORGS LÄN</t>
        </is>
      </c>
      <c r="G269" t="inlineStr">
        <is>
          <t>OCKELBO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46041</v>
      </c>
      <c r="E270" s="1" t="n">
        <v>46317</v>
      </c>
      <c r="F270" t="inlineStr">
        <is>
          <t>GÄVLEBORGS LÄN</t>
        </is>
      </c>
      <c r="G270" t="inlineStr">
        <is>
          <t>OCKELBO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46317</v>
      </c>
      <c r="F271" t="inlineStr">
        <is>
          <t>GÄVLEBORGS LÄN</t>
        </is>
      </c>
      <c r="G271" t="inlineStr">
        <is>
          <t>OCKELBO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46317</v>
      </c>
      <c r="F272" t="inlineStr">
        <is>
          <t>GÄVLEBORGS LÄN</t>
        </is>
      </c>
      <c r="G272" t="inlineStr">
        <is>
          <t>OCKELBO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46317</v>
      </c>
      <c r="F273" t="inlineStr">
        <is>
          <t>GÄVLEBORGS LÄN</t>
        </is>
      </c>
      <c r="G273" t="inlineStr">
        <is>
          <t>OCKELBO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46317</v>
      </c>
      <c r="F274" t="inlineStr">
        <is>
          <t>GÄVLEBORGS LÄN</t>
        </is>
      </c>
      <c r="G274" t="inlineStr">
        <is>
          <t>OCKELBO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55920-2025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46317</v>
      </c>
      <c r="F275" t="inlineStr">
        <is>
          <t>GÄVLEBORGS LÄN</t>
        </is>
      </c>
      <c r="G275" t="inlineStr">
        <is>
          <t>OCKELBO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45973</v>
      </c>
      <c r="E276" s="1" t="n">
        <v>46317</v>
      </c>
      <c r="F276" t="inlineStr">
        <is>
          <t>GÄVLEBORGS LÄN</t>
        </is>
      </c>
      <c r="G276" t="inlineStr">
        <is>
          <t>OCKELBO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45973</v>
      </c>
      <c r="E277" s="1" t="n">
        <v>46317</v>
      </c>
      <c r="F277" t="inlineStr">
        <is>
          <t>GÄVLEBORGS LÄN</t>
        </is>
      </c>
      <c r="G277" t="inlineStr">
        <is>
          <t>OCKELBO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45973</v>
      </c>
      <c r="E278" s="1" t="n">
        <v>46317</v>
      </c>
      <c r="F278" t="inlineStr">
        <is>
          <t>GÄVLEBORGS LÄN</t>
        </is>
      </c>
      <c r="G278" t="inlineStr">
        <is>
          <t>OCKELBO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55911-2025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45973</v>
      </c>
      <c r="E279" s="1" t="n">
        <v>46317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46317</v>
      </c>
      <c r="F280" t="inlineStr">
        <is>
          <t>GÄVLEBORGS LÄN</t>
        </is>
      </c>
      <c r="G280" t="inlineStr">
        <is>
          <t>OCKELBO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45973</v>
      </c>
      <c r="E281" s="1" t="n">
        <v>46317</v>
      </c>
      <c r="F281" t="inlineStr">
        <is>
          <t>GÄVLEBORGS LÄN</t>
        </is>
      </c>
      <c r="G281" t="inlineStr">
        <is>
          <t>OCKELBO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64609-2023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46317</v>
      </c>
      <c r="F282" t="inlineStr">
        <is>
          <t>GÄVLEBORGS LÄN</t>
        </is>
      </c>
      <c r="G282" t="inlineStr">
        <is>
          <t>OCKELBO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46317</v>
      </c>
      <c r="F283" t="inlineStr">
        <is>
          <t>GÄVLEBORGS LÄN</t>
        </is>
      </c>
      <c r="G283" t="inlineStr">
        <is>
          <t>OCKELBO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46317</v>
      </c>
      <c r="F284" t="inlineStr">
        <is>
          <t>GÄVLEBORGS LÄN</t>
        </is>
      </c>
      <c r="G284" t="inlineStr">
        <is>
          <t>OCKELBO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46317</v>
      </c>
      <c r="F285" t="inlineStr">
        <is>
          <t>GÄVLEBORGS LÄN</t>
        </is>
      </c>
      <c r="G285" t="inlineStr">
        <is>
          <t>OCKELBO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46317</v>
      </c>
      <c r="F286" t="inlineStr">
        <is>
          <t>GÄVLEBORGS LÄN</t>
        </is>
      </c>
      <c r="G286" t="inlineStr">
        <is>
          <t>OCKELBO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46317</v>
      </c>
      <c r="F287" t="inlineStr">
        <is>
          <t>GÄVLEBORGS LÄN</t>
        </is>
      </c>
      <c r="G287" t="inlineStr">
        <is>
          <t>OCKELBO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65259-2023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45291</v>
      </c>
      <c r="E288" s="1" t="n">
        <v>46317</v>
      </c>
      <c r="F288" t="inlineStr">
        <is>
          <t>GÄVLEBORGS LÄN</t>
        </is>
      </c>
      <c r="G288" t="inlineStr">
        <is>
          <t>OCKELBO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46317</v>
      </c>
      <c r="F289" t="inlineStr">
        <is>
          <t>GÄVLEBORGS LÄN</t>
        </is>
      </c>
      <c r="G289" t="inlineStr">
        <is>
          <t>OCKELBO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46317</v>
      </c>
      <c r="F290" t="inlineStr">
        <is>
          <t>GÄVLEBORGS LÄN</t>
        </is>
      </c>
      <c r="G290" t="inlineStr">
        <is>
          <t>OCKELBO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46317</v>
      </c>
      <c r="F291" t="inlineStr">
        <is>
          <t>GÄVLEBORGS LÄN</t>
        </is>
      </c>
      <c r="G291" t="inlineStr">
        <is>
          <t>OCKELBO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46317</v>
      </c>
      <c r="F292" t="inlineStr">
        <is>
          <t>GÄVLEBORGS LÄN</t>
        </is>
      </c>
      <c r="G292" t="inlineStr">
        <is>
          <t>OCKELBO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46317</v>
      </c>
      <c r="F293" t="inlineStr">
        <is>
          <t>GÄVLEBORGS LÄN</t>
        </is>
      </c>
      <c r="G293" t="inlineStr">
        <is>
          <t>OCKELBO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46317</v>
      </c>
      <c r="F294" t="inlineStr">
        <is>
          <t>GÄVLEBORGS LÄN</t>
        </is>
      </c>
      <c r="G294" t="inlineStr">
        <is>
          <t>OCKELBO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46317</v>
      </c>
      <c r="F295" t="inlineStr">
        <is>
          <t>GÄVLEBORGS LÄN</t>
        </is>
      </c>
      <c r="G295" t="inlineStr">
        <is>
          <t>OCKELBO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45106</v>
      </c>
      <c r="E296" s="1" t="n">
        <v>46317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52335-2024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45609</v>
      </c>
      <c r="E297" s="1" t="n">
        <v>46317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46317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46317</v>
      </c>
      <c r="F299" t="inlineStr">
        <is>
          <t>GÄVLEBORGS LÄN</t>
        </is>
      </c>
      <c r="G299" t="inlineStr">
        <is>
          <t>OCKELBO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46317</v>
      </c>
      <c r="F300" t="inlineStr">
        <is>
          <t>GÄVLEBORGS LÄN</t>
        </is>
      </c>
      <c r="G300" t="inlineStr">
        <is>
          <t>OCKELBO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58295-2025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46317</v>
      </c>
      <c r="F301" t="inlineStr">
        <is>
          <t>GÄVLEBORGS LÄN</t>
        </is>
      </c>
      <c r="G301" t="inlineStr">
        <is>
          <t>OCKELBO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58299-2025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46317</v>
      </c>
      <c r="F302" t="inlineStr">
        <is>
          <t>GÄVLEBORGS LÄN</t>
        </is>
      </c>
      <c r="G302" t="inlineStr">
        <is>
          <t>OCKELBO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46317</v>
      </c>
      <c r="F303" t="inlineStr">
        <is>
          <t>GÄVLEBORGS LÄN</t>
        </is>
      </c>
      <c r="G303" t="inlineStr">
        <is>
          <t>OCKELBO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46317</v>
      </c>
      <c r="F304" t="inlineStr">
        <is>
          <t>GÄVLEBORGS LÄN</t>
        </is>
      </c>
      <c r="G304" t="inlineStr">
        <is>
          <t>OCKELBO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46317</v>
      </c>
      <c r="F305" t="inlineStr">
        <is>
          <t>GÄVLEBORGS LÄN</t>
        </is>
      </c>
      <c r="G305" t="inlineStr">
        <is>
          <t>OCKELBO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46317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53139-2024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46317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46045</v>
      </c>
      <c r="E308" s="1" t="n">
        <v>46317</v>
      </c>
      <c r="F308" t="inlineStr">
        <is>
          <t>GÄVLEBORGS LÄN</t>
        </is>
      </c>
      <c r="G308" t="inlineStr">
        <is>
          <t>OCKELBO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46045</v>
      </c>
      <c r="E309" s="1" t="n">
        <v>46317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45674</v>
      </c>
      <c r="E310" s="1" t="n">
        <v>46317</v>
      </c>
      <c r="F310" t="inlineStr">
        <is>
          <t>GÄVLEBORGS LÄN</t>
        </is>
      </c>
      <c r="G310" t="inlineStr">
        <is>
          <t>OCKELBO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46317</v>
      </c>
      <c r="F311" t="inlineStr">
        <is>
          <t>GÄVLEBORGS LÄN</t>
        </is>
      </c>
      <c r="G311" t="inlineStr">
        <is>
          <t>OCKELBO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46317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46317</v>
      </c>
      <c r="F313" t="inlineStr">
        <is>
          <t>GÄVLEBORGS LÄN</t>
        </is>
      </c>
      <c r="G313" t="inlineStr">
        <is>
          <t>OCKELBO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46317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60183-2025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45994</v>
      </c>
      <c r="E315" s="1" t="n">
        <v>46317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46317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46317</v>
      </c>
      <c r="F317" t="inlineStr">
        <is>
          <t>GÄVLEBORGS LÄN</t>
        </is>
      </c>
      <c r="G317" t="inlineStr">
        <is>
          <t>OCKELBO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46317</v>
      </c>
      <c r="F318" t="inlineStr">
        <is>
          <t>GÄVLEBORGS LÄN</t>
        </is>
      </c>
      <c r="G318" t="inlineStr">
        <is>
          <t>OCKELBO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46317</v>
      </c>
      <c r="F319" t="inlineStr">
        <is>
          <t>GÄVLEBORGS LÄN</t>
        </is>
      </c>
      <c r="G319" t="inlineStr">
        <is>
          <t>OCKELBO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45996</v>
      </c>
      <c r="E320" s="1" t="n">
        <v>46317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60487-2025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45995</v>
      </c>
      <c r="E321" s="1" t="n">
        <v>46317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46051</v>
      </c>
      <c r="E322" s="1" t="n">
        <v>46317</v>
      </c>
      <c r="F322" t="inlineStr">
        <is>
          <t>GÄVLEBORGS LÄN</t>
        </is>
      </c>
      <c r="G322" t="inlineStr">
        <is>
          <t>OCKELBO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60527-2025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46317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45666</v>
      </c>
      <c r="E324" s="1" t="n">
        <v>46317</v>
      </c>
      <c r="F324" t="inlineStr">
        <is>
          <t>GÄVLEBORGS LÄN</t>
        </is>
      </c>
      <c r="G324" t="inlineStr">
        <is>
          <t>OCKELBO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46317</v>
      </c>
      <c r="F325" t="inlineStr">
        <is>
          <t>GÄVLEBORGS LÄN</t>
        </is>
      </c>
      <c r="G325" t="inlineStr">
        <is>
          <t>OCKELBO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6710-2026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46317</v>
      </c>
      <c r="F326" t="inlineStr">
        <is>
          <t>GÄVLEBORGS LÄN</t>
        </is>
      </c>
      <c r="G326" t="inlineStr">
        <is>
          <t>OCKELBO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46053</v>
      </c>
      <c r="E327" s="1" t="n">
        <v>46317</v>
      </c>
      <c r="F327" t="inlineStr">
        <is>
          <t>GÄVLEBORGS LÄN</t>
        </is>
      </c>
      <c r="G327" t="inlineStr">
        <is>
          <t>OCKELBO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32011-2024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45510</v>
      </c>
      <c r="E328" s="1" t="n">
        <v>46317</v>
      </c>
      <c r="F328" t="inlineStr">
        <is>
          <t>GÄVLEBORGS LÄN</t>
        </is>
      </c>
      <c r="G328" t="inlineStr">
        <is>
          <t>OCKELBO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46317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46317</v>
      </c>
      <c r="F330" t="inlineStr">
        <is>
          <t>GÄVLEBORGS LÄN</t>
        </is>
      </c>
      <c r="G330" t="inlineStr">
        <is>
          <t>OCKELBO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46317</v>
      </c>
      <c r="F331" t="inlineStr">
        <is>
          <t>GÄVLEBORGS LÄN</t>
        </is>
      </c>
      <c r="G331" t="inlineStr">
        <is>
          <t>OCKELBO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46317</v>
      </c>
      <c r="F332" t="inlineStr">
        <is>
          <t>GÄVLEBORGS LÄN</t>
        </is>
      </c>
      <c r="G332" t="inlineStr">
        <is>
          <t>OCKELBO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32123-2024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45511</v>
      </c>
      <c r="E333" s="1" t="n">
        <v>46317</v>
      </c>
      <c r="F333" t="inlineStr">
        <is>
          <t>GÄVLEBORGS LÄN</t>
        </is>
      </c>
      <c r="G333" t="inlineStr">
        <is>
          <t>OCKELBO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46317</v>
      </c>
      <c r="F334" t="inlineStr">
        <is>
          <t>GÄVLEBORGS LÄN</t>
        </is>
      </c>
      <c r="G334" t="inlineStr">
        <is>
          <t>OCKELBO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46317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45070</v>
      </c>
      <c r="E336" s="1" t="n">
        <v>46317</v>
      </c>
      <c r="F336" t="inlineStr">
        <is>
          <t>GÄVLEBORGS LÄN</t>
        </is>
      </c>
      <c r="G336" t="inlineStr">
        <is>
          <t>OCKELBO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46317</v>
      </c>
      <c r="F337" t="inlineStr">
        <is>
          <t>GÄVLEBORGS LÄN</t>
        </is>
      </c>
      <c r="G337" t="inlineStr">
        <is>
          <t>OCKELBO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46317</v>
      </c>
      <c r="F338" t="inlineStr">
        <is>
          <t>GÄVLEBORGS LÄN</t>
        </is>
      </c>
      <c r="G338" t="inlineStr">
        <is>
          <t>OCKELBO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46317</v>
      </c>
      <c r="F339" t="inlineStr">
        <is>
          <t>GÄVLEBORGS LÄN</t>
        </is>
      </c>
      <c r="G339" t="inlineStr">
        <is>
          <t>OCKELBO</t>
        </is>
      </c>
      <c r="H339" t="inlineStr">
        <is>
          <t>Kyrkan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46317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46317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45727</v>
      </c>
      <c r="E342" s="1" t="n">
        <v>46317</v>
      </c>
      <c r="F342" t="inlineStr">
        <is>
          <t>GÄVLEBORGS LÄN</t>
        </is>
      </c>
      <c r="G342" t="inlineStr">
        <is>
          <t>OCKELBO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45699</v>
      </c>
      <c r="E343" s="1" t="n">
        <v>46317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46317</v>
      </c>
      <c r="F344" t="inlineStr">
        <is>
          <t>GÄVLEBORGS LÄN</t>
        </is>
      </c>
      <c r="G344" t="inlineStr">
        <is>
          <t>OCKELBO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46317</v>
      </c>
      <c r="F345" t="inlineStr">
        <is>
          <t>GÄVLEBORGS LÄN</t>
        </is>
      </c>
      <c r="G345" t="inlineStr">
        <is>
          <t>OCKELBO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7639-2026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46317</v>
      </c>
      <c r="F346" t="inlineStr">
        <is>
          <t>GÄVLEBORGS LÄN</t>
        </is>
      </c>
      <c r="G346" t="inlineStr">
        <is>
          <t>OCKELBO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46317</v>
      </c>
      <c r="F347" t="inlineStr">
        <is>
          <t>GÄVLEBORGS LÄN</t>
        </is>
      </c>
      <c r="G347" t="inlineStr">
        <is>
          <t>OCKELBO</t>
        </is>
      </c>
      <c r="H347" t="inlineStr">
        <is>
          <t>Kyrkan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7769-2026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46317</v>
      </c>
      <c r="F348" t="inlineStr">
        <is>
          <t>GÄVLEBORGS LÄN</t>
        </is>
      </c>
      <c r="G348" t="inlineStr">
        <is>
          <t>OCKELBO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29567-2024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45484</v>
      </c>
      <c r="E349" s="1" t="n">
        <v>46317</v>
      </c>
      <c r="F349" t="inlineStr">
        <is>
          <t>GÄVLEBORGS LÄN</t>
        </is>
      </c>
      <c r="G349" t="inlineStr">
        <is>
          <t>OCKELBO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46317</v>
      </c>
      <c r="F350" t="inlineStr">
        <is>
          <t>GÄVLEBORGS LÄN</t>
        </is>
      </c>
      <c r="G350" t="inlineStr">
        <is>
          <t>OCKELBO</t>
        </is>
      </c>
      <c r="I350" t="n">
        <v>17.4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46317</v>
      </c>
      <c r="F351" t="inlineStr">
        <is>
          <t>GÄVLEBORGS LÄN</t>
        </is>
      </c>
      <c r="G351" t="inlineStr">
        <is>
          <t>OCKELBO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46317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8402-2026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46317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46317</v>
      </c>
      <c r="F354" t="inlineStr">
        <is>
          <t>GÄVLEBORGS LÄN</t>
        </is>
      </c>
      <c r="G354" t="inlineStr">
        <is>
          <t>OCKELBO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36210-2024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45534</v>
      </c>
      <c r="E355" s="1" t="n">
        <v>46317</v>
      </c>
      <c r="F355" t="inlineStr">
        <is>
          <t>GÄVLEBORGS LÄN</t>
        </is>
      </c>
      <c r="G355" t="inlineStr">
        <is>
          <t>OCKELBO</t>
        </is>
      </c>
      <c r="H355" t="inlineStr">
        <is>
          <t>Kyrkan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46317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9505-2026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46071</v>
      </c>
      <c r="E357" s="1" t="n">
        <v>46317</v>
      </c>
      <c r="F357" t="inlineStr">
        <is>
          <t>GÄVLEBORGS LÄN</t>
        </is>
      </c>
      <c r="G357" t="inlineStr">
        <is>
          <t>OCKELBO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46317</v>
      </c>
      <c r="F358" t="inlineStr">
        <is>
          <t>GÄVLEBORGS LÄN</t>
        </is>
      </c>
      <c r="G358" t="inlineStr">
        <is>
          <t>OCKELBO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46317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46317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46317</v>
      </c>
      <c r="F361" t="inlineStr">
        <is>
          <t>GÄVLEBORGS LÄN</t>
        </is>
      </c>
      <c r="G361" t="inlineStr">
        <is>
          <t>OCKELBO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9675-2026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46072</v>
      </c>
      <c r="E362" s="1" t="n">
        <v>46317</v>
      </c>
      <c r="F362" t="inlineStr">
        <is>
          <t>GÄVLEBORGS LÄN</t>
        </is>
      </c>
      <c r="G362" t="inlineStr">
        <is>
          <t>OCKELBO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46072</v>
      </c>
      <c r="E363" s="1" t="n">
        <v>46317</v>
      </c>
      <c r="F363" t="inlineStr">
        <is>
          <t>GÄVLEBORGS LÄN</t>
        </is>
      </c>
      <c r="G363" t="inlineStr">
        <is>
          <t>OCKELBO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46317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9732-2026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46317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46317</v>
      </c>
      <c r="F366" t="inlineStr">
        <is>
          <t>GÄVLEBORGS LÄN</t>
        </is>
      </c>
      <c r="G366" t="inlineStr">
        <is>
          <t>OCKELBO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46317</v>
      </c>
      <c r="F367" t="inlineStr">
        <is>
          <t>GÄVLEBORGS LÄN</t>
        </is>
      </c>
      <c r="G367" t="inlineStr">
        <is>
          <t>OCKELBO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46317</v>
      </c>
      <c r="F368" t="inlineStr">
        <is>
          <t>GÄVLEBORGS LÄN</t>
        </is>
      </c>
      <c r="G368" t="inlineStr">
        <is>
          <t>OCKELBO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46317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46317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46077</v>
      </c>
      <c r="E371" s="1" t="n">
        <v>46317</v>
      </c>
      <c r="F371" t="inlineStr">
        <is>
          <t>GÄVLEBORGS LÄN</t>
        </is>
      </c>
      <c r="G371" t="inlineStr">
        <is>
          <t>OCKELBO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46077</v>
      </c>
      <c r="E372" s="1" t="n">
        <v>46317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46077</v>
      </c>
      <c r="E373" s="1" t="n">
        <v>46317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10.1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9997-2026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46317</v>
      </c>
      <c r="F374" t="inlineStr">
        <is>
          <t>GÄVLEBORGS LÄN</t>
        </is>
      </c>
      <c r="G374" t="inlineStr">
        <is>
          <t>OCKELBO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46077</v>
      </c>
      <c r="E375" s="1" t="n">
        <v>46317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46077</v>
      </c>
      <c r="E376" s="1" t="n">
        <v>46317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öst AB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46031</v>
      </c>
      <c r="E377" s="1" t="n">
        <v>46317</v>
      </c>
      <c r="F377" t="inlineStr">
        <is>
          <t>GÄVLEBORGS LÄN</t>
        </is>
      </c>
      <c r="G377" t="inlineStr">
        <is>
          <t>OCKELBO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10456-2026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46077</v>
      </c>
      <c r="E378" s="1" t="n">
        <v>46317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öst AB</t>
        </is>
      </c>
      <c r="I378" t="n">
        <v>45.7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46317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46317</v>
      </c>
      <c r="F380" t="inlineStr">
        <is>
          <t>GÄVLEBORGS LÄN</t>
        </is>
      </c>
      <c r="G380" t="inlineStr">
        <is>
          <t>OCKELBO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46317</v>
      </c>
      <c r="F381" t="inlineStr">
        <is>
          <t>GÄVLEBORGS LÄN</t>
        </is>
      </c>
      <c r="G381" t="inlineStr">
        <is>
          <t>OCKELBO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11027-2026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46317</v>
      </c>
      <c r="F382" t="inlineStr">
        <is>
          <t>GÄVLEBORGS LÄN</t>
        </is>
      </c>
      <c r="G382" t="inlineStr">
        <is>
          <t>OCKELBO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11234-2026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46080</v>
      </c>
      <c r="E383" s="1" t="n">
        <v>46317</v>
      </c>
      <c r="F383" t="inlineStr">
        <is>
          <t>GÄVLEBORGS LÄN</t>
        </is>
      </c>
      <c r="G383" t="inlineStr">
        <is>
          <t>OCKELBO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46317</v>
      </c>
      <c r="F384" t="inlineStr">
        <is>
          <t>GÄVLEBORGS LÄN</t>
        </is>
      </c>
      <c r="G384" t="inlineStr">
        <is>
          <t>OCKELBO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46083</v>
      </c>
      <c r="E385" s="1" t="n">
        <v>46317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öst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11496-2026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46083</v>
      </c>
      <c r="E386" s="1" t="n">
        <v>46317</v>
      </c>
      <c r="F386" t="inlineStr">
        <is>
          <t>GÄVLEBORGS LÄN</t>
        </is>
      </c>
      <c r="G386" t="inlineStr">
        <is>
          <t>OCKELBO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11432-2026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46083</v>
      </c>
      <c r="E387" s="1" t="n">
        <v>46317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46080</v>
      </c>
      <c r="E388" s="1" t="n">
        <v>46317</v>
      </c>
      <c r="F388" t="inlineStr">
        <is>
          <t>GÄVLEBORGS LÄN</t>
        </is>
      </c>
      <c r="G388" t="inlineStr">
        <is>
          <t>OCKELBO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30349-2023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46317</v>
      </c>
      <c r="F389" t="inlineStr">
        <is>
          <t>GÄVLEBORGS LÄN</t>
        </is>
      </c>
      <c r="G389" t="inlineStr">
        <is>
          <t>OCKELBO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46317</v>
      </c>
      <c r="F390" t="inlineStr">
        <is>
          <t>GÄVLEBORGS LÄN</t>
        </is>
      </c>
      <c r="G390" t="inlineStr">
        <is>
          <t>OCKELBO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45022</v>
      </c>
      <c r="E391" s="1" t="n">
        <v>46317</v>
      </c>
      <c r="F391" t="inlineStr">
        <is>
          <t>GÄVLEBORGS LÄN</t>
        </is>
      </c>
      <c r="G391" t="inlineStr">
        <is>
          <t>OCKELBO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56232-2022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44890</v>
      </c>
      <c r="E392" s="1" t="n">
        <v>46317</v>
      </c>
      <c r="F392" t="inlineStr">
        <is>
          <t>GÄVLEBORGS LÄN</t>
        </is>
      </c>
      <c r="G392" t="inlineStr">
        <is>
          <t>OCKELBO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46087</v>
      </c>
      <c r="E393" s="1" t="n">
        <v>46317</v>
      </c>
      <c r="F393" t="inlineStr">
        <is>
          <t>GÄVLEBORGS LÄN</t>
        </is>
      </c>
      <c r="G393" t="inlineStr">
        <is>
          <t>OCKELBO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46089</v>
      </c>
      <c r="E394" s="1" t="n">
        <v>46317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29.9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44883</v>
      </c>
      <c r="E395" s="1" t="n">
        <v>46317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12716-2026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46091</v>
      </c>
      <c r="E396" s="1" t="n">
        <v>46317</v>
      </c>
      <c r="F396" t="inlineStr">
        <is>
          <t>GÄVLEBORGS LÄN</t>
        </is>
      </c>
      <c r="G396" t="inlineStr">
        <is>
          <t>OCKELBO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22151-2022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44712</v>
      </c>
      <c r="E397" s="1" t="n">
        <v>46317</v>
      </c>
      <c r="F397" t="inlineStr">
        <is>
          <t>GÄVLEBORGS LÄN</t>
        </is>
      </c>
      <c r="G397" t="inlineStr">
        <is>
          <t>OCKELBO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46317</v>
      </c>
      <c r="F398" t="inlineStr">
        <is>
          <t>GÄVLEBORGS LÄN</t>
        </is>
      </c>
      <c r="G398" t="inlineStr">
        <is>
          <t>OCKELBO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13162-2026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46317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12807-2026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46317</v>
      </c>
      <c r="F400" t="inlineStr">
        <is>
          <t>GÄVLEBORGS LÄN</t>
        </is>
      </c>
      <c r="G400" t="inlineStr">
        <is>
          <t>OCKELBO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45134</v>
      </c>
      <c r="E401" s="1" t="n">
        <v>46317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46317</v>
      </c>
      <c r="F402" t="inlineStr">
        <is>
          <t>GÄVLEBORGS LÄN</t>
        </is>
      </c>
      <c r="G402" t="inlineStr">
        <is>
          <t>OCKELBO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46317</v>
      </c>
      <c r="F403" t="inlineStr">
        <is>
          <t>GÄVLEBORGS LÄN</t>
        </is>
      </c>
      <c r="G403" t="inlineStr">
        <is>
          <t>OCKELBO</t>
        </is>
      </c>
      <c r="H403" t="inlineStr">
        <is>
          <t>Naturvårdsverket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36362-2024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45534</v>
      </c>
      <c r="E404" s="1" t="n">
        <v>46317</v>
      </c>
      <c r="F404" t="inlineStr">
        <is>
          <t>GÄVLEBORGS LÄN</t>
        </is>
      </c>
      <c r="G404" t="inlineStr">
        <is>
          <t>OCKELBO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46317</v>
      </c>
      <c r="F405" t="inlineStr">
        <is>
          <t>GÄVLEBORGS LÄN</t>
        </is>
      </c>
      <c r="G405" t="inlineStr">
        <is>
          <t>OCKELBO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46317</v>
      </c>
      <c r="F406" t="inlineStr">
        <is>
          <t>GÄVLEBORGS LÄN</t>
        </is>
      </c>
      <c r="G406" t="inlineStr">
        <is>
          <t>OCKELBO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46094</v>
      </c>
      <c r="E407" s="1" t="n">
        <v>46317</v>
      </c>
      <c r="F407" t="inlineStr">
        <is>
          <t>GÄVLEBORGS LÄN</t>
        </is>
      </c>
      <c r="G407" t="inlineStr">
        <is>
          <t>OCKELBO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46098</v>
      </c>
      <c r="E408" s="1" t="n">
        <v>46317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46317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46317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46317</v>
      </c>
      <c r="F411" t="inlineStr">
        <is>
          <t>GÄVLEBORGS LÄN</t>
        </is>
      </c>
      <c r="G411" t="inlineStr">
        <is>
          <t>OCKELBO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13825-2026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46098</v>
      </c>
      <c r="E412" s="1" t="n">
        <v>46317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36.6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46098</v>
      </c>
      <c r="E413" s="1" t="n">
        <v>46317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46317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46317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14439-2026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46317</v>
      </c>
      <c r="F416" t="inlineStr">
        <is>
          <t>GÄVLEBORGS LÄN</t>
        </is>
      </c>
      <c r="G416" t="inlineStr">
        <is>
          <t>OCKELBO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46100</v>
      </c>
      <c r="E417" s="1" t="n">
        <v>46317</v>
      </c>
      <c r="F417" t="inlineStr">
        <is>
          <t>GÄVLEBORGS LÄN</t>
        </is>
      </c>
      <c r="G417" t="inlineStr">
        <is>
          <t>OCKELBO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46101</v>
      </c>
      <c r="E418" s="1" t="n">
        <v>46317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15018-2026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46317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46317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öst AB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46317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46317</v>
      </c>
      <c r="F422" t="inlineStr">
        <is>
          <t>GÄVLEBORGS LÄN</t>
        </is>
      </c>
      <c r="G422" t="inlineStr">
        <is>
          <t>OCKELBO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46317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34.1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46317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46317</v>
      </c>
      <c r="F425" t="inlineStr">
        <is>
          <t>GÄVLEBORGS LÄN</t>
        </is>
      </c>
      <c r="G425" t="inlineStr">
        <is>
          <t>OCKELBO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46317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15572-2026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46317</v>
      </c>
      <c r="F427" t="inlineStr">
        <is>
          <t>GÄVLEBORGS LÄN</t>
        </is>
      </c>
      <c r="G427" t="inlineStr">
        <is>
          <t>OCKELBO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46317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46317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45754</v>
      </c>
      <c r="E430" s="1" t="n">
        <v>46317</v>
      </c>
      <c r="F430" t="inlineStr">
        <is>
          <t>GÄVLEBORGS LÄN</t>
        </is>
      </c>
      <c r="G430" t="inlineStr">
        <is>
          <t>OCKELBO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46317</v>
      </c>
      <c r="F431" t="inlineStr">
        <is>
          <t>GÄVLEBORGS LÄN</t>
        </is>
      </c>
      <c r="G431" t="inlineStr">
        <is>
          <t>OCKELBO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46111</v>
      </c>
      <c r="E432" s="1" t="n">
        <v>46317</v>
      </c>
      <c r="F432" t="inlineStr">
        <is>
          <t>GÄVLEBORGS LÄN</t>
        </is>
      </c>
      <c r="G432" t="inlineStr">
        <is>
          <t>OCKELBO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46317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16006-2026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46108</v>
      </c>
      <c r="E434" s="1" t="n">
        <v>46317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9.699999999999999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46111</v>
      </c>
      <c r="E435" s="1" t="n">
        <v>46317</v>
      </c>
      <c r="F435" t="inlineStr">
        <is>
          <t>GÄVLEBORGS LÄN</t>
        </is>
      </c>
      <c r="G435" t="inlineStr">
        <is>
          <t>OCKELBO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46317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46317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46317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46317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16989-2026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46114</v>
      </c>
      <c r="E440" s="1" t="n">
        <v>46317</v>
      </c>
      <c r="F440" t="inlineStr">
        <is>
          <t>GÄVLEBORGS LÄN</t>
        </is>
      </c>
      <c r="G440" t="inlineStr">
        <is>
          <t>OCKELBO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46317</v>
      </c>
      <c r="F441" t="inlineStr">
        <is>
          <t>GÄVLEBORGS LÄN</t>
        </is>
      </c>
      <c r="G441" t="inlineStr">
        <is>
          <t>OCKELBO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45758</v>
      </c>
      <c r="E442" s="1" t="n">
        <v>46317</v>
      </c>
      <c r="F442" t="inlineStr">
        <is>
          <t>GÄVLEBORGS LÄN</t>
        </is>
      </c>
      <c r="G442" t="inlineStr">
        <is>
          <t>OCKELBO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17115-2026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46114</v>
      </c>
      <c r="E443" s="1" t="n">
        <v>46317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46119</v>
      </c>
      <c r="E444" s="1" t="n">
        <v>46317</v>
      </c>
      <c r="F444" t="inlineStr">
        <is>
          <t>GÄVLEBORGS LÄN</t>
        </is>
      </c>
      <c r="G444" t="inlineStr">
        <is>
          <t>OCKELBO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46119</v>
      </c>
      <c r="E445" s="1" t="n">
        <v>46317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46118</v>
      </c>
      <c r="E446" s="1" t="n">
        <v>46317</v>
      </c>
      <c r="F446" t="inlineStr">
        <is>
          <t>GÄVLEBORGS LÄN</t>
        </is>
      </c>
      <c r="G446" t="inlineStr">
        <is>
          <t>OCKELBO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46317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öst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10326-2026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46317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öst AB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46317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öst AB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46317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öst AB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46121</v>
      </c>
      <c r="E451" s="1" t="n">
        <v>46317</v>
      </c>
      <c r="F451" t="inlineStr">
        <is>
          <t>GÄVLEBORGS LÄN</t>
        </is>
      </c>
      <c r="G451" t="inlineStr">
        <is>
          <t>OCKELBO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46121</v>
      </c>
      <c r="E452" s="1" t="n">
        <v>46317</v>
      </c>
      <c r="F452" t="inlineStr">
        <is>
          <t>GÄVLEBORGS LÄN</t>
        </is>
      </c>
      <c r="G452" t="inlineStr">
        <is>
          <t>OCKELBO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46317</v>
      </c>
      <c r="F453" t="inlineStr">
        <is>
          <t>GÄVLEBORGS LÄN</t>
        </is>
      </c>
      <c r="G453" t="inlineStr">
        <is>
          <t>OCKELBO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46076</v>
      </c>
      <c r="E454" s="1" t="n">
        <v>46317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öst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18133-2026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46125</v>
      </c>
      <c r="E455" s="1" t="n">
        <v>46317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15581-2026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46317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öst AB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18248-2026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46317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15255-2026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46317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18234-2026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46126</v>
      </c>
      <c r="E459" s="1" t="n">
        <v>46317</v>
      </c>
      <c r="F459" t="inlineStr">
        <is>
          <t>GÄVLEBORGS LÄN</t>
        </is>
      </c>
      <c r="G459" t="inlineStr">
        <is>
          <t>OCKELBO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46317</v>
      </c>
      <c r="F460" t="inlineStr">
        <is>
          <t>GÄVLEBORGS LÄN</t>
        </is>
      </c>
      <c r="G460" t="inlineStr">
        <is>
          <t>OCKELBO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46317</v>
      </c>
      <c r="F461" t="inlineStr">
        <is>
          <t>GÄVLEBORGS LÄN</t>
        </is>
      </c>
      <c r="G461" t="inlineStr">
        <is>
          <t>OCKELBO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46317</v>
      </c>
      <c r="F462" t="inlineStr">
        <is>
          <t>GÄVLEBORGS LÄN</t>
        </is>
      </c>
      <c r="G462" t="inlineStr">
        <is>
          <t>OCKELBO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46317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19038-2026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46317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46317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46317</v>
      </c>
      <c r="F466" t="inlineStr">
        <is>
          <t>GÄVLEBORGS LÄN</t>
        </is>
      </c>
      <c r="G466" t="inlineStr">
        <is>
          <t>OCKELBO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46132</v>
      </c>
      <c r="E467" s="1" t="n">
        <v>46317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46317</v>
      </c>
      <c r="F468" t="inlineStr">
        <is>
          <t>GÄVLEBORGS LÄN</t>
        </is>
      </c>
      <c r="G468" t="inlineStr">
        <is>
          <t>OCKELBO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16572-2026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46112</v>
      </c>
      <c r="E469" s="1" t="n">
        <v>46317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16530-2026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46317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46317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46132</v>
      </c>
      <c r="E472" s="1" t="n">
        <v>46317</v>
      </c>
      <c r="F472" t="inlineStr">
        <is>
          <t>GÄVLEBORGS LÄN</t>
        </is>
      </c>
      <c r="G472" t="inlineStr">
        <is>
          <t>OCKELBO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46128</v>
      </c>
      <c r="E473" s="1" t="n">
        <v>46317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46317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46317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46317</v>
      </c>
      <c r="F476" t="inlineStr">
        <is>
          <t>GÄVLEBORGS LÄN</t>
        </is>
      </c>
      <c r="G476" t="inlineStr">
        <is>
          <t>OCKELBO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19603-2026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46134</v>
      </c>
      <c r="E477" s="1" t="n">
        <v>46317</v>
      </c>
      <c r="F477" t="inlineStr">
        <is>
          <t>GÄVLEBORGS LÄN</t>
        </is>
      </c>
      <c r="G477" t="inlineStr">
        <is>
          <t>OCKELBO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46317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19431-2026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46317</v>
      </c>
      <c r="F479" t="inlineStr">
        <is>
          <t>GÄVLEBORGS LÄN</t>
        </is>
      </c>
      <c r="G479" t="inlineStr">
        <is>
          <t>OCKELBO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46317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19277-2026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46133</v>
      </c>
      <c r="E481" s="1" t="n">
        <v>46317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46133</v>
      </c>
      <c r="E482" s="1" t="n">
        <v>46317</v>
      </c>
      <c r="F482" t="inlineStr">
        <is>
          <t>GÄVLEBORGS LÄN</t>
        </is>
      </c>
      <c r="G482" t="inlineStr">
        <is>
          <t>OCKELBO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46317</v>
      </c>
      <c r="F483" t="inlineStr">
        <is>
          <t>GÄVLEBORGS LÄN</t>
        </is>
      </c>
      <c r="G483" t="inlineStr">
        <is>
          <t>OCKELBO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45656</v>
      </c>
      <c r="E484" s="1" t="n">
        <v>46317</v>
      </c>
      <c r="F484" t="inlineStr">
        <is>
          <t>GÄVLEBORGS LÄN</t>
        </is>
      </c>
      <c r="G484" t="inlineStr">
        <is>
          <t>OCKELBO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45156</v>
      </c>
      <c r="E485" s="1" t="n">
        <v>46317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19945-2026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46136</v>
      </c>
      <c r="E486" s="1" t="n">
        <v>46317</v>
      </c>
      <c r="F486" t="inlineStr">
        <is>
          <t>GÄVLEBORGS LÄN</t>
        </is>
      </c>
      <c r="G486" t="inlineStr">
        <is>
          <t>OCKELBO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46119</v>
      </c>
      <c r="E487" s="1" t="n">
        <v>46317</v>
      </c>
      <c r="F487" t="inlineStr">
        <is>
          <t>GÄVLEBORGS LÄN</t>
        </is>
      </c>
      <c r="G487" t="inlineStr">
        <is>
          <t>OCKELBO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46317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45712</v>
      </c>
      <c r="E489" s="1" t="n">
        <v>46317</v>
      </c>
      <c r="F489" t="inlineStr">
        <is>
          <t>GÄVLEBORGS LÄN</t>
        </is>
      </c>
      <c r="G489" t="inlineStr">
        <is>
          <t>OCKELBO</t>
        </is>
      </c>
      <c r="I489" t="n">
        <v>14.7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20481-2026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46140</v>
      </c>
      <c r="E490" s="1" t="n">
        <v>46317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46317</v>
      </c>
      <c r="F491" t="inlineStr">
        <is>
          <t>GÄVLEBORGS LÄN</t>
        </is>
      </c>
      <c r="G491" t="inlineStr">
        <is>
          <t>OCKELBO</t>
        </is>
      </c>
      <c r="I491" t="n">
        <v>11.9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45840</v>
      </c>
      <c r="E492" s="1" t="n">
        <v>46317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46317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46042</v>
      </c>
      <c r="E494" s="1" t="n">
        <v>46317</v>
      </c>
      <c r="F494" t="inlineStr">
        <is>
          <t>GÄVLEBORGS LÄN</t>
        </is>
      </c>
      <c r="G494" t="inlineStr">
        <is>
          <t>OCKELBO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46317</v>
      </c>
      <c r="F495" t="inlineStr">
        <is>
          <t>GÄVLEBORGS LÄN</t>
        </is>
      </c>
      <c r="G495" t="inlineStr">
        <is>
          <t>OCKELBO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46140</v>
      </c>
      <c r="E496" s="1" t="n">
        <v>46317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20149-2026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46137</v>
      </c>
      <c r="E497" s="1" t="n">
        <v>46317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20150-2026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46137</v>
      </c>
      <c r="E498" s="1" t="n">
        <v>46317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48804-2024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45593</v>
      </c>
      <c r="E499" s="1" t="n">
        <v>46317</v>
      </c>
      <c r="F499" t="inlineStr">
        <is>
          <t>GÄVLEBORGS LÄN</t>
        </is>
      </c>
      <c r="G499" t="inlineStr">
        <is>
          <t>OCKELBO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45111</v>
      </c>
      <c r="E500" s="1" t="n">
        <v>46317</v>
      </c>
      <c r="F500" t="inlineStr">
        <is>
          <t>GÄVLEBORGS LÄN</t>
        </is>
      </c>
      <c r="G500" t="inlineStr">
        <is>
          <t>OCKELBO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20251-2026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46139</v>
      </c>
      <c r="E501" s="1" t="n">
        <v>46317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45041</v>
      </c>
      <c r="E502" s="1" t="n">
        <v>46317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46317</v>
      </c>
      <c r="F503" t="inlineStr">
        <is>
          <t>GÄVLEBORGS LÄN</t>
        </is>
      </c>
      <c r="G503" t="inlineStr">
        <is>
          <t>OCKELBO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45821</v>
      </c>
      <c r="E504" s="1" t="n">
        <v>46317</v>
      </c>
      <c r="F504" t="inlineStr">
        <is>
          <t>GÄVLEBORGS LÄN</t>
        </is>
      </c>
      <c r="G504" t="inlineStr">
        <is>
          <t>OCKELBO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50742-2025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45946</v>
      </c>
      <c r="E505" s="1" t="n">
        <v>46317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46317</v>
      </c>
      <c r="F506" t="inlineStr">
        <is>
          <t>GÄVLEBORGS LÄN</t>
        </is>
      </c>
      <c r="G506" t="inlineStr">
        <is>
          <t>OCKELBO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46317</v>
      </c>
      <c r="F507" t="inlineStr">
        <is>
          <t>GÄVLEBORGS LÄN</t>
        </is>
      </c>
      <c r="G507" t="inlineStr">
        <is>
          <t>OCKELBO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29953-2024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45488</v>
      </c>
      <c r="E508" s="1" t="n">
        <v>46317</v>
      </c>
      <c r="F508" t="inlineStr">
        <is>
          <t>GÄVLEBORGS LÄN</t>
        </is>
      </c>
      <c r="G508" t="inlineStr">
        <is>
          <t>OCKELBO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46317</v>
      </c>
      <c r="F509" t="inlineStr">
        <is>
          <t>GÄVLEBORGS LÄN</t>
        </is>
      </c>
      <c r="G509" t="inlineStr">
        <is>
          <t>OCKELBO</t>
        </is>
      </c>
      <c r="I509" t="n">
        <v>11.5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46317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53137-2024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45611</v>
      </c>
      <c r="E511" s="1" t="n">
        <v>46317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46317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46317</v>
      </c>
      <c r="F513" t="inlineStr">
        <is>
          <t>GÄVLEBORGS LÄN</t>
        </is>
      </c>
      <c r="G513" t="inlineStr">
        <is>
          <t>OCKELBO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46317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46138</v>
      </c>
      <c r="E515" s="1" t="n">
        <v>46317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46317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46317</v>
      </c>
      <c r="F517" t="inlineStr">
        <is>
          <t>GÄVLEBORGS LÄN</t>
        </is>
      </c>
      <c r="G517" t="inlineStr">
        <is>
          <t>OCKELBO</t>
        </is>
      </c>
      <c r="I517" t="n">
        <v>36.1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45526</v>
      </c>
      <c r="E518" s="1" t="n">
        <v>46317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46098</v>
      </c>
      <c r="E519" s="1" t="n">
        <v>46317</v>
      </c>
      <c r="F519" t="inlineStr">
        <is>
          <t>GÄVLEBORGS LÄN</t>
        </is>
      </c>
      <c r="G519" t="inlineStr">
        <is>
          <t>OCKELBO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46317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46317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46317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46050</v>
      </c>
      <c r="E523" s="1" t="n">
        <v>46317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63977-2025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46021</v>
      </c>
      <c r="E524" s="1" t="n">
        <v>46317</v>
      </c>
      <c r="F524" t="inlineStr">
        <is>
          <t>GÄVLEBORGS LÄN</t>
        </is>
      </c>
      <c r="G524" t="inlineStr">
        <is>
          <t>OCKELBO</t>
        </is>
      </c>
      <c r="I524" t="n">
        <v>18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46317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46317</v>
      </c>
      <c r="F526" t="inlineStr">
        <is>
          <t>GÄVLEBORGS LÄN</t>
        </is>
      </c>
      <c r="G526" t="inlineStr">
        <is>
          <t>OCKELBO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46317</v>
      </c>
      <c r="F527" t="inlineStr">
        <is>
          <t>GÄVLEBORGS LÄN</t>
        </is>
      </c>
      <c r="G527" t="inlineStr">
        <is>
          <t>OCKELBO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36604-2025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45870</v>
      </c>
      <c r="E528" s="1" t="n">
        <v>46317</v>
      </c>
      <c r="F528" t="inlineStr">
        <is>
          <t>GÄVLEBORGS LÄN</t>
        </is>
      </c>
      <c r="G528" t="inlineStr">
        <is>
          <t>OCKELBO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45800</v>
      </c>
      <c r="E529" s="1" t="n">
        <v>46317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46317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45800</v>
      </c>
      <c r="E531" s="1" t="n">
        <v>46317</v>
      </c>
      <c r="F531" t="inlineStr">
        <is>
          <t>GÄVLEBORGS LÄN</t>
        </is>
      </c>
      <c r="G531" t="inlineStr">
        <is>
          <t>OCKELBO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46317</v>
      </c>
      <c r="F532" t="inlineStr">
        <is>
          <t>GÄVLEBORGS LÄN</t>
        </is>
      </c>
      <c r="G532" t="inlineStr">
        <is>
          <t>OCKELBO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46317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20151-2026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46137</v>
      </c>
      <c r="E534" s="1" t="n">
        <v>46317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46316-2025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45925</v>
      </c>
      <c r="E535" s="1" t="n">
        <v>46317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46317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46064</v>
      </c>
      <c r="E537" s="1" t="n">
        <v>46317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15694-2022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44663</v>
      </c>
      <c r="E538" s="1" t="n">
        <v>46317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8521-2026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46317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46317</v>
      </c>
      <c r="F540" t="inlineStr">
        <is>
          <t>GÄVLEBORGS LÄN</t>
        </is>
      </c>
      <c r="G540" t="inlineStr">
        <is>
          <t>OCKELBO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61335-2022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44915</v>
      </c>
      <c r="E541" s="1" t="n">
        <v>46317</v>
      </c>
      <c r="F541" t="inlineStr">
        <is>
          <t>GÄVLEBORGS LÄN</t>
        </is>
      </c>
      <c r="G541" t="inlineStr">
        <is>
          <t>OCKELBO</t>
        </is>
      </c>
      <c r="I541" t="n">
        <v>8.5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46317</v>
      </c>
      <c r="F542" t="inlineStr">
        <is>
          <t>GÄVLEBORGS LÄN</t>
        </is>
      </c>
      <c r="G542" t="inlineStr">
        <is>
          <t>OCKELBO</t>
        </is>
      </c>
      <c r="I542" t="n">
        <v>6.6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46317</v>
      </c>
      <c r="F543" t="inlineStr">
        <is>
          <t>GÄVLEBORGS LÄN</t>
        </is>
      </c>
      <c r="G543" t="inlineStr">
        <is>
          <t>OCKELBO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44970</v>
      </c>
      <c r="E544" s="1" t="n">
        <v>46317</v>
      </c>
      <c r="F544" t="inlineStr">
        <is>
          <t>GÄVLEBORGS LÄN</t>
        </is>
      </c>
      <c r="G544" t="inlineStr">
        <is>
          <t>OCKELBO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61732-2024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45649</v>
      </c>
      <c r="E545" s="1" t="n">
        <v>46317</v>
      </c>
      <c r="F545" t="inlineStr">
        <is>
          <t>GÄVLEBORGS LÄN</t>
        </is>
      </c>
      <c r="G545" t="inlineStr">
        <is>
          <t>OCKELBO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46317</v>
      </c>
      <c r="F546" t="inlineStr">
        <is>
          <t>GÄVLEBORGS LÄN</t>
        </is>
      </c>
      <c r="G546" t="inlineStr">
        <is>
          <t>OCKELBO</t>
        </is>
      </c>
      <c r="I546" t="n">
        <v>9.300000000000001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46317</v>
      </c>
      <c r="F547" t="inlineStr">
        <is>
          <t>GÄVLEBORGS LÄN</t>
        </is>
      </c>
      <c r="G547" t="inlineStr">
        <is>
          <t>OCKELBO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12708-2026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46091</v>
      </c>
      <c r="E548" s="1" t="n">
        <v>46317</v>
      </c>
      <c r="F548" t="inlineStr">
        <is>
          <t>GÄVLEBORGS LÄN</t>
        </is>
      </c>
      <c r="G548" t="inlineStr">
        <is>
          <t>OCKELBO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46317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10489-2026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46317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45111</v>
      </c>
      <c r="E551" s="1" t="n">
        <v>46317</v>
      </c>
      <c r="F551" t="inlineStr">
        <is>
          <t>GÄVLEBORGS LÄN</t>
        </is>
      </c>
      <c r="G551" t="inlineStr">
        <is>
          <t>OCKELBO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46317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23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46317</v>
      </c>
      <c r="F553" t="inlineStr">
        <is>
          <t>GÄVLEBORGS LÄN</t>
        </is>
      </c>
      <c r="G553" t="inlineStr">
        <is>
          <t>OCKELBO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60117-2025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45994</v>
      </c>
      <c r="E554" s="1" t="n">
        <v>46317</v>
      </c>
      <c r="F554" t="inlineStr">
        <is>
          <t>GÄVLEBORGS LÄN</t>
        </is>
      </c>
      <c r="G554" t="inlineStr">
        <is>
          <t>OCKELBO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46317</v>
      </c>
      <c r="F555" t="inlineStr">
        <is>
          <t>GÄVLEBORGS LÄN</t>
        </is>
      </c>
      <c r="G555" t="inlineStr">
        <is>
          <t>OCKELBO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46037</v>
      </c>
      <c r="E556" s="1" t="n">
        <v>46317</v>
      </c>
      <c r="F556" t="inlineStr">
        <is>
          <t>GÄVLEBORGS LÄN</t>
        </is>
      </c>
      <c r="G556" t="inlineStr">
        <is>
          <t>OCKELBO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20641-2026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46317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18191-2026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46125</v>
      </c>
      <c r="E558" s="1" t="n">
        <v>46317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46317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22952-2023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45072</v>
      </c>
      <c r="E560" s="1" t="n">
        <v>46317</v>
      </c>
      <c r="F560" t="inlineStr">
        <is>
          <t>GÄVLEBORGS LÄN</t>
        </is>
      </c>
      <c r="G560" t="inlineStr">
        <is>
          <t>OCKELBO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46027</v>
      </c>
      <c r="E561" s="1" t="n">
        <v>46317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54977-2024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45620</v>
      </c>
      <c r="E562" s="1" t="n">
        <v>46317</v>
      </c>
      <c r="F562" t="inlineStr">
        <is>
          <t>GÄVLEBORGS LÄN</t>
        </is>
      </c>
      <c r="G562" t="inlineStr">
        <is>
          <t>OCKELBO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46071</v>
      </c>
      <c r="E563" s="1" t="n">
        <v>46317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46073</v>
      </c>
      <c r="E564" s="1" t="n">
        <v>46317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49529-2024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46317</v>
      </c>
      <c r="F565" t="inlineStr">
        <is>
          <t>GÄVLEBORGS LÄN</t>
        </is>
      </c>
      <c r="G565" t="inlineStr">
        <is>
          <t>OCKELBO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45341</v>
      </c>
      <c r="E566" s="1" t="n">
        <v>46317</v>
      </c>
      <c r="F566" t="inlineStr">
        <is>
          <t>GÄVLEBORGS LÄN</t>
        </is>
      </c>
      <c r="G566" t="inlineStr">
        <is>
          <t>OCKELBO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46317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50194-2024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45600</v>
      </c>
      <c r="E568" s="1" t="n">
        <v>46317</v>
      </c>
      <c r="F568" t="inlineStr">
        <is>
          <t>GÄVLEBORGS LÄN</t>
        </is>
      </c>
      <c r="G568" t="inlineStr">
        <is>
          <t>OCKELBO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14905-2026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46104</v>
      </c>
      <c r="E569" s="1" t="n">
        <v>46317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17951-2026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46122</v>
      </c>
      <c r="E570" s="1" t="n">
        <v>46317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46127</v>
      </c>
      <c r="E571" s="1" t="n">
        <v>46317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18097-2026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46125</v>
      </c>
      <c r="E572" s="1" t="n">
        <v>46317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46317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21500-2026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46317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19537-2026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46317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46317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öst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17233-2026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46119</v>
      </c>
      <c r="E577" s="1" t="n">
        <v>46317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46317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21461-2026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46148</v>
      </c>
      <c r="E579" s="1" t="n">
        <v>46317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46317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46317</v>
      </c>
      <c r="F581" t="inlineStr">
        <is>
          <t>GÄVLEBORGS LÄN</t>
        </is>
      </c>
      <c r="G581" t="inlineStr">
        <is>
          <t>OCKELBO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54309-2024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45617</v>
      </c>
      <c r="E582" s="1" t="n">
        <v>46317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22057-2026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46153</v>
      </c>
      <c r="E583" s="1" t="n">
        <v>46317</v>
      </c>
      <c r="F583" t="inlineStr">
        <is>
          <t>GÄVLEBORGS LÄN</t>
        </is>
      </c>
      <c r="G583" t="inlineStr">
        <is>
          <t>OCKELBO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42585-2023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46317</v>
      </c>
      <c r="F584" t="inlineStr">
        <is>
          <t>GÄVLEBORGS LÄN</t>
        </is>
      </c>
      <c r="G584" t="inlineStr">
        <is>
          <t>OCKELBO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56352-2024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45624</v>
      </c>
      <c r="E585" s="1" t="n">
        <v>46317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18645-2026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46128</v>
      </c>
      <c r="E586" s="1" t="n">
        <v>46317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13182-2026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46317</v>
      </c>
      <c r="F587" t="inlineStr">
        <is>
          <t>GÄVLEBORGS LÄN</t>
        </is>
      </c>
      <c r="G587" t="inlineStr">
        <is>
          <t>OCKELBO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13233-2026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46317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42313-2023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45180</v>
      </c>
      <c r="E589" s="1" t="n">
        <v>46317</v>
      </c>
      <c r="F589" t="inlineStr">
        <is>
          <t>GÄVLEBORGS LÄN</t>
        </is>
      </c>
      <c r="G589" t="inlineStr">
        <is>
          <t>OCKELBO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46119</v>
      </c>
      <c r="E590" s="1" t="n">
        <v>46317</v>
      </c>
      <c r="F590" t="inlineStr">
        <is>
          <t>GÄVLEBORGS LÄN</t>
        </is>
      </c>
      <c r="G590" t="inlineStr">
        <is>
          <t>OCKELBO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13210-2026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46317</v>
      </c>
      <c r="F591" t="inlineStr">
        <is>
          <t>GÄVLEBORGS LÄN</t>
        </is>
      </c>
      <c r="G591" t="inlineStr">
        <is>
          <t>OCKELBO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12352-2026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46088</v>
      </c>
      <c r="E592" s="1" t="n">
        <v>46317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9.199999999999999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9413-2026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46071</v>
      </c>
      <c r="E593" s="1" t="n">
        <v>46317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9.1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43071-2025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45909</v>
      </c>
      <c r="E594" s="1" t="n">
        <v>46317</v>
      </c>
      <c r="F594" t="inlineStr">
        <is>
          <t>GÄVLEBORGS LÄN</t>
        </is>
      </c>
      <c r="G594" t="inlineStr">
        <is>
          <t>OCKELBO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58718-2025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45986</v>
      </c>
      <c r="E595" s="1" t="n">
        <v>46317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46317</v>
      </c>
      <c r="F596" t="inlineStr">
        <is>
          <t>GÄVLEBORGS LÄN</t>
        </is>
      </c>
      <c r="G596" t="inlineStr">
        <is>
          <t>OCKELBO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46317</v>
      </c>
      <c r="F597" t="inlineStr">
        <is>
          <t>GÄVLEBORGS LÄN</t>
        </is>
      </c>
      <c r="G597" t="inlineStr">
        <is>
          <t>OCKELBO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46317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46317</v>
      </c>
      <c r="F599" t="inlineStr">
        <is>
          <t>GÄVLEBORGS LÄN</t>
        </is>
      </c>
      <c r="G599" t="inlineStr">
        <is>
          <t>OCKELBO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46066</v>
      </c>
      <c r="E600" s="1" t="n">
        <v>46317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5164-2026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46049</v>
      </c>
      <c r="E601" s="1" t="n">
        <v>46317</v>
      </c>
      <c r="F601" t="inlineStr">
        <is>
          <t>GÄVLEBORGS LÄN</t>
        </is>
      </c>
      <c r="G601" t="inlineStr">
        <is>
          <t>OCKELBO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60915-2024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45645</v>
      </c>
      <c r="E602" s="1" t="n">
        <v>46317</v>
      </c>
      <c r="F602" t="inlineStr">
        <is>
          <t>GÄVLEBORGS LÄN</t>
        </is>
      </c>
      <c r="G602" t="inlineStr">
        <is>
          <t>OCKELBO</t>
        </is>
      </c>
      <c r="H602" t="inlineStr">
        <is>
          <t>Kyrkan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6654-2026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46317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60122-2025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45994</v>
      </c>
      <c r="E604" s="1" t="n">
        <v>46317</v>
      </c>
      <c r="F604" t="inlineStr">
        <is>
          <t>GÄVLEBORGS LÄN</t>
        </is>
      </c>
      <c r="G604" t="inlineStr">
        <is>
          <t>OCKELBO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22569-2026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46317</v>
      </c>
      <c r="F605" t="inlineStr">
        <is>
          <t>GÄVLEBORGS LÄN</t>
        </is>
      </c>
      <c r="G605" t="inlineStr">
        <is>
          <t>OCKELBO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22712-2026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46156</v>
      </c>
      <c r="E606" s="1" t="n">
        <v>46317</v>
      </c>
      <c r="F606" t="inlineStr">
        <is>
          <t>GÄVLEBORGS LÄN</t>
        </is>
      </c>
      <c r="G606" t="inlineStr">
        <is>
          <t>OCKELBO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60120-2025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45994</v>
      </c>
      <c r="E607" s="1" t="n">
        <v>46317</v>
      </c>
      <c r="F607" t="inlineStr">
        <is>
          <t>GÄVLEBORGS LÄN</t>
        </is>
      </c>
      <c r="G607" t="inlineStr">
        <is>
          <t>OCKELBO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46044</v>
      </c>
      <c r="E608" s="1" t="n">
        <v>46317</v>
      </c>
      <c r="F608" t="inlineStr">
        <is>
          <t>GÄVLEBORGS LÄN</t>
        </is>
      </c>
      <c r="G608" t="inlineStr">
        <is>
          <t>OCKELBO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46609-2025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45926</v>
      </c>
      <c r="E609" s="1" t="n">
        <v>46317</v>
      </c>
      <c r="F609" t="inlineStr">
        <is>
          <t>GÄVLEBORGS LÄN</t>
        </is>
      </c>
      <c r="G609" t="inlineStr">
        <is>
          <t>OCKELBO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22460-2026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46317</v>
      </c>
      <c r="F610" t="inlineStr">
        <is>
          <t>GÄVLEBORGS LÄN</t>
        </is>
      </c>
      <c r="G610" t="inlineStr">
        <is>
          <t>OCKELBO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46317</v>
      </c>
      <c r="F611" t="inlineStr">
        <is>
          <t>GÄVLEBORGS LÄN</t>
        </is>
      </c>
      <c r="G611" t="inlineStr">
        <is>
          <t>OCKELBO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14474-2026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46317</v>
      </c>
      <c r="F612" t="inlineStr">
        <is>
          <t>GÄVLEBORGS LÄN</t>
        </is>
      </c>
      <c r="G612" t="inlineStr">
        <is>
          <t>OCKELBO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45152</v>
      </c>
      <c r="E613" s="1" t="n">
        <v>46317</v>
      </c>
      <c r="F613" t="inlineStr">
        <is>
          <t>GÄVLEBORGS LÄN</t>
        </is>
      </c>
      <c r="G613" t="inlineStr">
        <is>
          <t>OCKELBO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45432</v>
      </c>
      <c r="E614" s="1" t="n">
        <v>46317</v>
      </c>
      <c r="F614" t="inlineStr">
        <is>
          <t>GÄVLEBORGS LÄN</t>
        </is>
      </c>
      <c r="G614" t="inlineStr">
        <is>
          <t>OCKELBO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46317</v>
      </c>
      <c r="F615" t="inlineStr">
        <is>
          <t>GÄVLEBORGS LÄN</t>
        </is>
      </c>
      <c r="G615" t="inlineStr">
        <is>
          <t>OCKELBO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17862-2026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46122</v>
      </c>
      <c r="E616" s="1" t="n">
        <v>46317</v>
      </c>
      <c r="F616" t="inlineStr">
        <is>
          <t>GÄVLEBORGS LÄN</t>
        </is>
      </c>
      <c r="G616" t="inlineStr">
        <is>
          <t>OCKELBO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21582-2024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45441</v>
      </c>
      <c r="E617" s="1" t="n">
        <v>46317</v>
      </c>
      <c r="F617" t="inlineStr">
        <is>
          <t>GÄVLEBORGS LÄN</t>
        </is>
      </c>
      <c r="G617" t="inlineStr">
        <is>
          <t>OCKELBO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23040-2026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46161</v>
      </c>
      <c r="E618" s="1" t="n">
        <v>46317</v>
      </c>
      <c r="F618" t="inlineStr">
        <is>
          <t>GÄVLEBORGS LÄN</t>
        </is>
      </c>
      <c r="G618" t="inlineStr">
        <is>
          <t>OCKELBO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46317</v>
      </c>
      <c r="F619" t="inlineStr">
        <is>
          <t>GÄVLEBORGS LÄN</t>
        </is>
      </c>
      <c r="G619" t="inlineStr">
        <is>
          <t>OCKELBO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9859-2025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45716</v>
      </c>
      <c r="E620" s="1" t="n">
        <v>46317</v>
      </c>
      <c r="F620" t="inlineStr">
        <is>
          <t>GÄVLEBORGS LÄN</t>
        </is>
      </c>
      <c r="G620" t="inlineStr">
        <is>
          <t>OCKELBO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1716-2025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45671</v>
      </c>
      <c r="E621" s="1" t="n">
        <v>46317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17548-2025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45757</v>
      </c>
      <c r="E622" s="1" t="n">
        <v>46317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46163</v>
      </c>
      <c r="E623" s="1" t="n">
        <v>46317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7478-2025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45705</v>
      </c>
      <c r="E624" s="1" t="n">
        <v>46317</v>
      </c>
      <c r="F624" t="inlineStr">
        <is>
          <t>GÄVLEBORGS LÄN</t>
        </is>
      </c>
      <c r="G624" t="inlineStr">
        <is>
          <t>OCKELBO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23786-2026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46317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46317</v>
      </c>
      <c r="F626" t="inlineStr">
        <is>
          <t>GÄVLEBORGS LÄN</t>
        </is>
      </c>
      <c r="G626" t="inlineStr">
        <is>
          <t>OCKELBO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12983-2022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44643</v>
      </c>
      <c r="E627" s="1" t="n">
        <v>46317</v>
      </c>
      <c r="F627" t="inlineStr">
        <is>
          <t>GÄVLEBORGS LÄN</t>
        </is>
      </c>
      <c r="G627" t="inlineStr">
        <is>
          <t>OCKELBO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24059-2026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46317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37391-2023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45156</v>
      </c>
      <c r="E629" s="1" t="n">
        <v>46317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56634-2023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45243</v>
      </c>
      <c r="E630" s="1" t="n">
        <v>46317</v>
      </c>
      <c r="F630" t="inlineStr">
        <is>
          <t>GÄVLEBORGS LÄN</t>
        </is>
      </c>
      <c r="G630" t="inlineStr">
        <is>
          <t>OCKELBO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24185-2026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46317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46044</v>
      </c>
      <c r="E632" s="1" t="n">
        <v>46317</v>
      </c>
      <c r="F632" t="inlineStr">
        <is>
          <t>GÄVLEBORGS LÄN</t>
        </is>
      </c>
      <c r="G632" t="inlineStr">
        <is>
          <t>OCKELBO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59533-2023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45254</v>
      </c>
      <c r="E633" s="1" t="n">
        <v>46317</v>
      </c>
      <c r="F633" t="inlineStr">
        <is>
          <t>GÄVLEBORGS LÄN</t>
        </is>
      </c>
      <c r="G633" t="inlineStr">
        <is>
          <t>OCKELBO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24063-2026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46317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24408-2026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46317</v>
      </c>
      <c r="F635" t="inlineStr">
        <is>
          <t>GÄVLEBORGS LÄN</t>
        </is>
      </c>
      <c r="G635" t="inlineStr">
        <is>
          <t>OCKELBO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24267-2026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46317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24335-2026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46169</v>
      </c>
      <c r="E637" s="1" t="n">
        <v>46317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36521-2022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44804</v>
      </c>
      <c r="E638" s="1" t="n">
        <v>46317</v>
      </c>
      <c r="F638" t="inlineStr">
        <is>
          <t>GÄVLEBORGS LÄN</t>
        </is>
      </c>
      <c r="G638" t="inlineStr">
        <is>
          <t>OCKELBO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24333-2026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46169</v>
      </c>
      <c r="E639" s="1" t="n">
        <v>46317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46317</v>
      </c>
      <c r="F640" t="inlineStr">
        <is>
          <t>GÄVLEBORGS LÄN</t>
        </is>
      </c>
      <c r="G640" t="inlineStr">
        <is>
          <t>OCKELBO</t>
        </is>
      </c>
      <c r="I640" t="n">
        <v>8.1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24228-2022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44725</v>
      </c>
      <c r="E641" s="1" t="n">
        <v>46317</v>
      </c>
      <c r="F641" t="inlineStr">
        <is>
          <t>GÄVLEBORGS LÄN</t>
        </is>
      </c>
      <c r="G641" t="inlineStr">
        <is>
          <t>OCKELBO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46085</v>
      </c>
      <c r="E642" s="1" t="n">
        <v>46317</v>
      </c>
      <c r="F642" t="inlineStr">
        <is>
          <t>GÄVLEBORGS LÄN</t>
        </is>
      </c>
      <c r="G642" t="inlineStr">
        <is>
          <t>OCKELBO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46023</v>
      </c>
      <c r="E643" s="1" t="n">
        <v>46317</v>
      </c>
      <c r="F643" t="inlineStr">
        <is>
          <t>GÄVLEBORGS LÄN</t>
        </is>
      </c>
      <c r="G643" t="inlineStr">
        <is>
          <t>OCKELBO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46317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46317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54944-2025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45967</v>
      </c>
      <c r="E646" s="1" t="n">
        <v>46317</v>
      </c>
      <c r="F646" t="inlineStr">
        <is>
          <t>GÄVLEBORGS LÄN</t>
        </is>
      </c>
      <c r="G646" t="inlineStr">
        <is>
          <t>OCKELBO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32301-2022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44781</v>
      </c>
      <c r="E647" s="1" t="n">
        <v>46317</v>
      </c>
      <c r="F647" t="inlineStr">
        <is>
          <t>GÄVLEBORGS LÄN</t>
        </is>
      </c>
      <c r="G647" t="inlineStr">
        <is>
          <t>OCKELBO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46317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24569-2026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46170</v>
      </c>
      <c r="E649" s="1" t="n">
        <v>46317</v>
      </c>
      <c r="F649" t="inlineStr">
        <is>
          <t>GÄVLEBORGS LÄN</t>
        </is>
      </c>
      <c r="G649" t="inlineStr">
        <is>
          <t>OCKELBO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46170</v>
      </c>
      <c r="E650" s="1" t="n">
        <v>46317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46317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24624-2026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46171</v>
      </c>
      <c r="E652" s="1" t="n">
        <v>46317</v>
      </c>
      <c r="F652" t="inlineStr">
        <is>
          <t>GÄVLEBORGS LÄN</t>
        </is>
      </c>
      <c r="G652" t="inlineStr">
        <is>
          <t>OCKELBO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46317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47841-2023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46317</v>
      </c>
      <c r="F654" t="inlineStr">
        <is>
          <t>GÄVLEBORGS LÄN</t>
        </is>
      </c>
      <c r="G654" t="inlineStr">
        <is>
          <t>OCKELBO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46175</v>
      </c>
      <c r="E655" s="1" t="n">
        <v>46317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25133-2026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46175</v>
      </c>
      <c r="E656" s="1" t="n">
        <v>46317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33985-2023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45134</v>
      </c>
      <c r="E657" s="1" t="n">
        <v>46317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46174</v>
      </c>
      <c r="E658" s="1" t="n">
        <v>46317</v>
      </c>
      <c r="F658" t="inlineStr">
        <is>
          <t>GÄVLEBORGS LÄN</t>
        </is>
      </c>
      <c r="G658" t="inlineStr">
        <is>
          <t>OCKELBO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46317</v>
      </c>
      <c r="F659" t="inlineStr">
        <is>
          <t>GÄVLEBORGS LÄN</t>
        </is>
      </c>
      <c r="G659" t="inlineStr">
        <is>
          <t>OCKELBO</t>
        </is>
      </c>
      <c r="I659" t="n">
        <v>7.9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24968-2026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46317</v>
      </c>
      <c r="F660" t="inlineStr">
        <is>
          <t>GÄVLEBORGS LÄN</t>
        </is>
      </c>
      <c r="G660" t="inlineStr">
        <is>
          <t>OCKELBO</t>
        </is>
      </c>
      <c r="I660" t="n">
        <v>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20660-2022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44700</v>
      </c>
      <c r="E661" s="1" t="n">
        <v>46317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50968-2024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45603</v>
      </c>
      <c r="E662" s="1" t="n">
        <v>46317</v>
      </c>
      <c r="F662" t="inlineStr">
        <is>
          <t>GÄVLEBORGS LÄN</t>
        </is>
      </c>
      <c r="G662" t="inlineStr">
        <is>
          <t>OCKELBO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25525-2026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46177</v>
      </c>
      <c r="E663" s="1" t="n">
        <v>46317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9.4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61750-2023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45265</v>
      </c>
      <c r="E664" s="1" t="n">
        <v>46317</v>
      </c>
      <c r="F664" t="inlineStr">
        <is>
          <t>GÄVLEBORGS LÄN</t>
        </is>
      </c>
      <c r="G664" t="inlineStr">
        <is>
          <t>OCKELBO</t>
        </is>
      </c>
      <c r="I664" t="n">
        <v>11.2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25599-2026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46177</v>
      </c>
      <c r="E665" s="1" t="n">
        <v>46317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15247-2025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45744</v>
      </c>
      <c r="E666" s="1" t="n">
        <v>46317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26131-2026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46317</v>
      </c>
      <c r="F667" t="inlineStr">
        <is>
          <t>GÄVLEBORGS LÄN</t>
        </is>
      </c>
      <c r="G667" t="inlineStr">
        <is>
          <t>OCKELBO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35054-2022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44797</v>
      </c>
      <c r="E668" s="1" t="n">
        <v>46317</v>
      </c>
      <c r="F668" t="inlineStr">
        <is>
          <t>GÄVLEBORGS LÄN</t>
        </is>
      </c>
      <c r="G668" t="inlineStr">
        <is>
          <t>OCKELBO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20059-2025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45772</v>
      </c>
      <c r="E669" s="1" t="n">
        <v>46317</v>
      </c>
      <c r="F669" t="inlineStr">
        <is>
          <t>GÄVLEBORGS LÄN</t>
        </is>
      </c>
      <c r="G669" t="inlineStr">
        <is>
          <t>OCKELBO</t>
        </is>
      </c>
      <c r="I669" t="n">
        <v>14.8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55112-2023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45237</v>
      </c>
      <c r="E670" s="1" t="n">
        <v>46317</v>
      </c>
      <c r="F670" t="inlineStr">
        <is>
          <t>GÄVLEBORGS LÄN</t>
        </is>
      </c>
      <c r="G670" t="inlineStr">
        <is>
          <t>OCKELBO</t>
        </is>
      </c>
      <c r="I670" t="n">
        <v>14.6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59978-2023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45254</v>
      </c>
      <c r="E671" s="1" t="n">
        <v>46317</v>
      </c>
      <c r="F671" t="inlineStr">
        <is>
          <t>GÄVLEBORGS LÄN</t>
        </is>
      </c>
      <c r="G671" t="inlineStr">
        <is>
          <t>OCKELBO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53488-2023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45230</v>
      </c>
      <c r="E672" s="1" t="n">
        <v>46317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26808-2026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46317</v>
      </c>
      <c r="F673" t="inlineStr">
        <is>
          <t>GÄVLEBORGS LÄN</t>
        </is>
      </c>
      <c r="G673" t="inlineStr">
        <is>
          <t>OCKELBO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46317</v>
      </c>
      <c r="F674" t="inlineStr">
        <is>
          <t>GÄVLEBORGS LÄN</t>
        </is>
      </c>
      <c r="G674" t="inlineStr">
        <is>
          <t>OCKELBO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56034-2023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45240</v>
      </c>
      <c r="E675" s="1" t="n">
        <v>46317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46317</v>
      </c>
      <c r="F676" t="inlineStr">
        <is>
          <t>GÄVLEBORGS LÄN</t>
        </is>
      </c>
      <c r="G676" t="inlineStr">
        <is>
          <t>OCKELBO</t>
        </is>
      </c>
      <c r="I676" t="n">
        <v>14.6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26845-2026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46317</v>
      </c>
      <c r="F677" t="inlineStr">
        <is>
          <t>GÄVLEBORGS LÄN</t>
        </is>
      </c>
      <c r="G677" t="inlineStr">
        <is>
          <t>OCKELBO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26924-2026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46317</v>
      </c>
      <c r="F678" t="inlineStr">
        <is>
          <t>GÄVLEBORGS LÄN</t>
        </is>
      </c>
      <c r="G678" t="inlineStr">
        <is>
          <t>OCKELBO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27416-2026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46189</v>
      </c>
      <c r="E679" s="1" t="n">
        <v>46317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46189</v>
      </c>
      <c r="E680" s="1" t="n">
        <v>46317</v>
      </c>
      <c r="F680" t="inlineStr">
        <is>
          <t>GÄVLEBORGS LÄN</t>
        </is>
      </c>
      <c r="G680" t="inlineStr">
        <is>
          <t>OCKELBO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27383-2026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46189</v>
      </c>
      <c r="E681" s="1" t="n">
        <v>46317</v>
      </c>
      <c r="F681" t="inlineStr">
        <is>
          <t>GÄVLEBORGS LÄN</t>
        </is>
      </c>
      <c r="G681" t="inlineStr">
        <is>
          <t>OCKELBO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10184-2026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46076</v>
      </c>
      <c r="E682" s="1" t="n">
        <v>46317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53702-2024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45615</v>
      </c>
      <c r="E683" s="1" t="n">
        <v>46317</v>
      </c>
      <c r="F683" t="inlineStr">
        <is>
          <t>GÄVLEBORGS LÄN</t>
        </is>
      </c>
      <c r="G683" t="inlineStr">
        <is>
          <t>OCKELBO</t>
        </is>
      </c>
      <c r="I683" t="n">
        <v>5.8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27379-2026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46189</v>
      </c>
      <c r="E684" s="1" t="n">
        <v>46317</v>
      </c>
      <c r="F684" t="inlineStr">
        <is>
          <t>GÄVLEBORGS LÄN</t>
        </is>
      </c>
      <c r="G684" t="inlineStr">
        <is>
          <t>OCKELBO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46317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57614-2025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45981</v>
      </c>
      <c r="E686" s="1" t="n">
        <v>46317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27231-2026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46317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46055</v>
      </c>
      <c r="E688" s="1" t="n">
        <v>46317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27620-2026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46190</v>
      </c>
      <c r="E689" s="1" t="n">
        <v>46317</v>
      </c>
      <c r="F689" t="inlineStr">
        <is>
          <t>GÄVLEBORGS LÄN</t>
        </is>
      </c>
      <c r="G689" t="inlineStr">
        <is>
          <t>OCKELBO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27623-2026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46317</v>
      </c>
      <c r="F690" t="inlineStr">
        <is>
          <t>GÄVLEBORGS LÄN</t>
        </is>
      </c>
      <c r="G690" t="inlineStr">
        <is>
          <t>OCKELBO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27562-2026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46190</v>
      </c>
      <c r="E691" s="1" t="n">
        <v>46317</v>
      </c>
      <c r="F691" t="inlineStr">
        <is>
          <t>GÄVLEBORGS LÄN</t>
        </is>
      </c>
      <c r="G691" t="inlineStr">
        <is>
          <t>OCKELBO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27889-2026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46317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921-2024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45301</v>
      </c>
      <c r="E693" s="1" t="n">
        <v>46317</v>
      </c>
      <c r="F693" t="inlineStr">
        <is>
          <t>GÄVLEBORGS LÄN</t>
        </is>
      </c>
      <c r="G693" t="inlineStr">
        <is>
          <t>OCKELBO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27995-2026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46195</v>
      </c>
      <c r="E694" s="1" t="n">
        <v>46317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39710-2023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45167</v>
      </c>
      <c r="E695" s="1" t="n">
        <v>46317</v>
      </c>
      <c r="F695" t="inlineStr">
        <is>
          <t>GÄVLEBORGS LÄN</t>
        </is>
      </c>
      <c r="G695" t="inlineStr">
        <is>
          <t>OCKELBO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55906-2024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45623</v>
      </c>
      <c r="E696" s="1" t="n">
        <v>46317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28289-2026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46196</v>
      </c>
      <c r="E697" s="1" t="n">
        <v>46317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28318-2026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46317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28317-2026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46317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45139</v>
      </c>
      <c r="E700" s="1" t="n">
        <v>46317</v>
      </c>
      <c r="F700" t="inlineStr">
        <is>
          <t>GÄVLEBORGS LÄN</t>
        </is>
      </c>
      <c r="G700" t="inlineStr">
        <is>
          <t>OCKELBO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46317</v>
      </c>
      <c r="F701" t="inlineStr">
        <is>
          <t>GÄVLEBORGS LÄN</t>
        </is>
      </c>
      <c r="G701" t="inlineStr">
        <is>
          <t>OCKELBO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26481-2026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46183</v>
      </c>
      <c r="E702" s="1" t="n">
        <v>46317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29078-2026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46199</v>
      </c>
      <c r="E703" s="1" t="n">
        <v>46317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28725-2026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46198</v>
      </c>
      <c r="E704" s="1" t="n">
        <v>46317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46199</v>
      </c>
      <c r="E705" s="1" t="n">
        <v>46317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10.2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28672-2026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46317</v>
      </c>
      <c r="F706" t="inlineStr">
        <is>
          <t>GÄVLEBORGS LÄN</t>
        </is>
      </c>
      <c r="G706" t="inlineStr">
        <is>
          <t>OCKELBO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39062-2024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45548</v>
      </c>
      <c r="E707" s="1" t="n">
        <v>46317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10.1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29386-2026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46317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46317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46317</v>
      </c>
      <c r="F710" t="inlineStr">
        <is>
          <t>GÄVLEBORGS LÄN</t>
        </is>
      </c>
      <c r="G710" t="inlineStr">
        <is>
          <t>OCKELBO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29835-2026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46317</v>
      </c>
      <c r="F711" t="inlineStr">
        <is>
          <t>GÄVLEBORGS LÄN</t>
        </is>
      </c>
      <c r="G711" t="inlineStr">
        <is>
          <t>OCKELBO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29849-2026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46205</v>
      </c>
      <c r="E712" s="1" t="n">
        <v>46317</v>
      </c>
      <c r="F712" t="inlineStr">
        <is>
          <t>GÄVLEBORGS LÄN</t>
        </is>
      </c>
      <c r="G712" t="inlineStr">
        <is>
          <t>OCKELBO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29611-2026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46204</v>
      </c>
      <c r="E713" s="1" t="n">
        <v>46317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29789-2026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46317</v>
      </c>
      <c r="F714" t="inlineStr">
        <is>
          <t>GÄVLEBORGS LÄN</t>
        </is>
      </c>
      <c r="G714" t="inlineStr">
        <is>
          <t>OCKELBO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14827-2026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46317</v>
      </c>
      <c r="F715" t="inlineStr">
        <is>
          <t>GÄVLEBORGS LÄN</t>
        </is>
      </c>
      <c r="G715" t="inlineStr">
        <is>
          <t>OCKELBO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45132</v>
      </c>
      <c r="E716" s="1" t="n">
        <v>46317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34444-2023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45139</v>
      </c>
      <c r="E717" s="1" t="n">
        <v>46317</v>
      </c>
      <c r="F717" t="inlineStr">
        <is>
          <t>GÄVLEBORGS LÄN</t>
        </is>
      </c>
      <c r="G717" t="inlineStr">
        <is>
          <t>OCKELBO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3626-2023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44950</v>
      </c>
      <c r="E718" s="1" t="n">
        <v>46317</v>
      </c>
      <c r="F718" t="inlineStr">
        <is>
          <t>GÄVLEBORGS LÄN</t>
        </is>
      </c>
      <c r="G718" t="inlineStr">
        <is>
          <t>OCKELBO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46317</v>
      </c>
      <c r="F719" t="inlineStr">
        <is>
          <t>GÄVLEBORGS LÄN</t>
        </is>
      </c>
      <c r="G719" t="inlineStr">
        <is>
          <t>OCKELBO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50197-2024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45600</v>
      </c>
      <c r="E720" s="1" t="n">
        <v>46317</v>
      </c>
      <c r="F720" t="inlineStr">
        <is>
          <t>GÄVLEBORGS LÄN</t>
        </is>
      </c>
      <c r="G720" t="inlineStr">
        <is>
          <t>OCKELBO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52330-2024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45609</v>
      </c>
      <c r="E721" s="1" t="n">
        <v>46317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60148-2023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45258</v>
      </c>
      <c r="E722" s="1" t="n">
        <v>46317</v>
      </c>
      <c r="F722" t="inlineStr">
        <is>
          <t>GÄVLEBORGS LÄN</t>
        </is>
      </c>
      <c r="G722" t="inlineStr">
        <is>
          <t>OCKELBO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46216</v>
      </c>
      <c r="E723" s="1" t="n">
        <v>46317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61116-2023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45261</v>
      </c>
      <c r="E724" s="1" t="n">
        <v>46317</v>
      </c>
      <c r="F724" t="inlineStr">
        <is>
          <t>GÄVLEBORGS LÄN</t>
        </is>
      </c>
      <c r="G724" t="inlineStr">
        <is>
          <t>OCKELBO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46218</v>
      </c>
      <c r="E725" s="1" t="n">
        <v>46317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58156-2025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45982</v>
      </c>
      <c r="E726" s="1" t="n">
        <v>46317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46317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9461-2026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46071</v>
      </c>
      <c r="E728" s="1" t="n">
        <v>46317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44281-2022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44839</v>
      </c>
      <c r="E729" s="1" t="n">
        <v>46317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15325-2025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45747</v>
      </c>
      <c r="E730" s="1" t="n">
        <v>46317</v>
      </c>
      <c r="F730" t="inlineStr">
        <is>
          <t>GÄVLEBORGS LÄN</t>
        </is>
      </c>
      <c r="G730" t="inlineStr">
        <is>
          <t>OCKELBO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29687-2023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45107</v>
      </c>
      <c r="E731" s="1" t="n">
        <v>46317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31804-2026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46230</v>
      </c>
      <c r="E732" s="1" t="n">
        <v>46317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37442-2023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45156</v>
      </c>
      <c r="E733" s="1" t="n">
        <v>46317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44950</v>
      </c>
      <c r="E734" s="1" t="n">
        <v>46317</v>
      </c>
      <c r="F734" t="inlineStr">
        <is>
          <t>GÄVLEBORGS LÄN</t>
        </is>
      </c>
      <c r="G734" t="inlineStr">
        <is>
          <t>OCKELBO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37321-2026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46275</v>
      </c>
      <c r="E735" s="1" t="n">
        <v>46317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37487-2026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46275</v>
      </c>
      <c r="E736" s="1" t="n">
        <v>46317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33879-2023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45134</v>
      </c>
      <c r="E737" s="1" t="n">
        <v>46317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33987-2023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45134</v>
      </c>
      <c r="E738" s="1" t="n">
        <v>46317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37841-2026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46279</v>
      </c>
      <c r="E739" s="1" t="n">
        <v>46317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46140</v>
      </c>
      <c r="E740" s="1" t="n">
        <v>46317</v>
      </c>
      <c r="F740" t="inlineStr">
        <is>
          <t>GÄVLEBORGS LÄN</t>
        </is>
      </c>
      <c r="G740" t="inlineStr">
        <is>
          <t>OCKELBO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20408-2026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46140</v>
      </c>
      <c r="E741" s="1" t="n">
        <v>46317</v>
      </c>
      <c r="F741" t="inlineStr">
        <is>
          <t>GÄVLEBORGS LÄN</t>
        </is>
      </c>
      <c r="G741" t="inlineStr">
        <is>
          <t>OCKELBO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29963-2024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45488</v>
      </c>
      <c r="E742" s="1" t="n">
        <v>46317</v>
      </c>
      <c r="F742" t="inlineStr">
        <is>
          <t>GÄVLEBORGS LÄN</t>
        </is>
      </c>
      <c r="G742" t="inlineStr">
        <is>
          <t>OCKELBO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52241-2024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45608</v>
      </c>
      <c r="E743" s="1" t="n">
        <v>46317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7.7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52243-2024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45608</v>
      </c>
      <c r="E744" s="1" t="n">
        <v>46317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34440-2023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45139</v>
      </c>
      <c r="E745" s="1" t="n">
        <v>46317</v>
      </c>
      <c r="F745" t="inlineStr">
        <is>
          <t>GÄVLEBORGS LÄN</t>
        </is>
      </c>
      <c r="G745" t="inlineStr">
        <is>
          <t>OCKELBO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45488</v>
      </c>
      <c r="E746" s="1" t="n">
        <v>46317</v>
      </c>
      <c r="F746" t="inlineStr">
        <is>
          <t>GÄVLEBORGS LÄN</t>
        </is>
      </c>
      <c r="G746" t="inlineStr">
        <is>
          <t>OCKELBO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51989-2023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45223</v>
      </c>
      <c r="E747" s="1" t="n">
        <v>46317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21900-2023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45068</v>
      </c>
      <c r="E748" s="1" t="n">
        <v>46317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38668-2026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46283</v>
      </c>
      <c r="E749" s="1" t="n">
        <v>46317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3034-2025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45678</v>
      </c>
      <c r="E750" s="1" t="n">
        <v>46317</v>
      </c>
      <c r="F750" t="inlineStr">
        <is>
          <t>GÄVLEBORGS LÄN</t>
        </is>
      </c>
      <c r="G750" t="inlineStr">
        <is>
          <t>OCKELBO</t>
        </is>
      </c>
      <c r="I750" t="n">
        <v>8.1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56741-2024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45628</v>
      </c>
      <c r="E751" s="1" t="n">
        <v>46317</v>
      </c>
      <c r="F751" t="inlineStr">
        <is>
          <t>GÄVLEBORGS LÄN</t>
        </is>
      </c>
      <c r="G751" t="inlineStr">
        <is>
          <t>OCKELBO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49448-2023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45211</v>
      </c>
      <c r="E752" s="1" t="n">
        <v>46317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38648-2026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46283</v>
      </c>
      <c r="E753" s="1" t="n">
        <v>46317</v>
      </c>
      <c r="F753" t="inlineStr">
        <is>
          <t>GÄVLEBORGS LÄN</t>
        </is>
      </c>
      <c r="G753" t="inlineStr">
        <is>
          <t>OCKELBO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19772-2025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45771</v>
      </c>
      <c r="E754" s="1" t="n">
        <v>46317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19774-2025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45771</v>
      </c>
      <c r="E755" s="1" t="n">
        <v>46317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46074-2024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45581</v>
      </c>
      <c r="E756" s="1" t="n">
        <v>46317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21878-2023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45068</v>
      </c>
      <c r="E757" s="1" t="n">
        <v>46317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46052</v>
      </c>
      <c r="E758" s="1" t="n">
        <v>46317</v>
      </c>
      <c r="F758" t="inlineStr">
        <is>
          <t>GÄVLEBORGS LÄN</t>
        </is>
      </c>
      <c r="G758" t="inlineStr">
        <is>
          <t>OCKELBO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33176-2026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46245</v>
      </c>
      <c r="E759" s="1" t="n">
        <v>46317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39430-2024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45551</v>
      </c>
      <c r="E760" s="1" t="n">
        <v>46317</v>
      </c>
      <c r="F760" t="inlineStr">
        <is>
          <t>GÄVLEBORGS LÄN</t>
        </is>
      </c>
      <c r="G760" t="inlineStr">
        <is>
          <t>OCKELBO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46099</v>
      </c>
      <c r="E761" s="1" t="n">
        <v>46317</v>
      </c>
      <c r="F761" t="inlineStr">
        <is>
          <t>GÄVLEBORGS LÄN</t>
        </is>
      </c>
      <c r="G761" t="inlineStr">
        <is>
          <t>OCKELBO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55070-2023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45237</v>
      </c>
      <c r="E762" s="1" t="n">
        <v>46317</v>
      </c>
      <c r="F762" t="inlineStr">
        <is>
          <t>GÄVLEBORGS LÄN</t>
        </is>
      </c>
      <c r="G762" t="inlineStr">
        <is>
          <t>OCKELBO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40218-2023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45169</v>
      </c>
      <c r="E763" s="1" t="n">
        <v>46317</v>
      </c>
      <c r="F763" t="inlineStr">
        <is>
          <t>GÄVLEBORGS LÄN</t>
        </is>
      </c>
      <c r="G763" t="inlineStr">
        <is>
          <t>OCKELBO</t>
        </is>
      </c>
      <c r="I763" t="n">
        <v>13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19178-2023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45048</v>
      </c>
      <c r="E764" s="1" t="n">
        <v>46317</v>
      </c>
      <c r="F764" t="inlineStr">
        <is>
          <t>GÄVLEBORGS LÄN</t>
        </is>
      </c>
      <c r="G764" t="inlineStr">
        <is>
          <t>OCKELBO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39681-2026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46289</v>
      </c>
      <c r="E765" s="1" t="n">
        <v>46317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46293</v>
      </c>
      <c r="E766" s="1" t="n">
        <v>46317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8408-2026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46065</v>
      </c>
      <c r="E767" s="1" t="n">
        <v>46317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8683-2026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46066</v>
      </c>
      <c r="E768" s="1" t="n">
        <v>46317</v>
      </c>
      <c r="F768" t="inlineStr">
        <is>
          <t>GÄVLEBORGS LÄN</t>
        </is>
      </c>
      <c r="G768" t="inlineStr">
        <is>
          <t>OCKELBO</t>
        </is>
      </c>
      <c r="I768" t="n">
        <v>6.4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37386-2023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45156</v>
      </c>
      <c r="E769" s="1" t="n">
        <v>46317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40185-2026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46293</v>
      </c>
      <c r="E770" s="1" t="n">
        <v>46317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40104-2026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46293</v>
      </c>
      <c r="E771" s="1" t="n">
        <v>46317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15042-2026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46104</v>
      </c>
      <c r="E772" s="1" t="n">
        <v>46317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45674</v>
      </c>
      <c r="E773" s="1" t="n">
        <v>46317</v>
      </c>
      <c r="F773" t="inlineStr">
        <is>
          <t>GÄVLEBORGS LÄN</t>
        </is>
      </c>
      <c r="G773" t="inlineStr">
        <is>
          <t>OCKELBO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9542-2026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46071</v>
      </c>
      <c r="E774" s="1" t="n">
        <v>46317</v>
      </c>
      <c r="F774" t="inlineStr">
        <is>
          <t>GÄVLEBORGS LÄN</t>
        </is>
      </c>
      <c r="G774" t="inlineStr">
        <is>
          <t>OCKELBO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59063-2023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45252</v>
      </c>
      <c r="E775" s="1" t="n">
        <v>46317</v>
      </c>
      <c r="F775" t="inlineStr">
        <is>
          <t>GÄVLEBORGS LÄN</t>
        </is>
      </c>
      <c r="G775" t="inlineStr">
        <is>
          <t>OCKELBO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5898-2026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46052</v>
      </c>
      <c r="E776" s="1" t="n">
        <v>46317</v>
      </c>
      <c r="F776" t="inlineStr">
        <is>
          <t>GÄVLEBORGS LÄN</t>
        </is>
      </c>
      <c r="G776" t="inlineStr">
        <is>
          <t>OCKELBO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40149-2026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46293</v>
      </c>
      <c r="E777" s="1" t="n">
        <v>46317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10150-2023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44986</v>
      </c>
      <c r="E778" s="1" t="n">
        <v>46317</v>
      </c>
      <c r="F778" t="inlineStr">
        <is>
          <t>GÄVLEBORGS LÄN</t>
        </is>
      </c>
      <c r="G778" t="inlineStr">
        <is>
          <t>OCKELBO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37845-2024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45544</v>
      </c>
      <c r="E779" s="1" t="n">
        <v>46317</v>
      </c>
      <c r="F779" t="inlineStr">
        <is>
          <t>GÄVLEBORGS LÄN</t>
        </is>
      </c>
      <c r="G779" t="inlineStr">
        <is>
          <t>OCKELBO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20984-2026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46142</v>
      </c>
      <c r="E780" s="1" t="n">
        <v>46317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58727-2025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45986</v>
      </c>
      <c r="E781" s="1" t="n">
        <v>46317</v>
      </c>
      <c r="F781" t="inlineStr">
        <is>
          <t>GÄVLEBORGS LÄN</t>
        </is>
      </c>
      <c r="G781" t="inlineStr">
        <is>
          <t>OCKELBO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17709-2026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46121</v>
      </c>
      <c r="E782" s="1" t="n">
        <v>46317</v>
      </c>
      <c r="F782" t="inlineStr">
        <is>
          <t>GÄVLEBORGS LÄN</t>
        </is>
      </c>
      <c r="G782" t="inlineStr">
        <is>
          <t>OCKELBO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20775-2025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45776</v>
      </c>
      <c r="E783" s="1" t="n">
        <v>46317</v>
      </c>
      <c r="F783" t="inlineStr">
        <is>
          <t>GÄVLEBORGS LÄN</t>
        </is>
      </c>
      <c r="G783" t="inlineStr">
        <is>
          <t>OCKELBO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40881-2026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46297</v>
      </c>
      <c r="E784" s="1" t="n">
        <v>46317</v>
      </c>
      <c r="F784" t="inlineStr">
        <is>
          <t>GÄVLEBORGS LÄN</t>
        </is>
      </c>
      <c r="G784" t="inlineStr">
        <is>
          <t>OCKELBO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22692-2026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46156</v>
      </c>
      <c r="E785" s="1" t="n">
        <v>46317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41071-2026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46300</v>
      </c>
      <c r="E786" s="1" t="n">
        <v>46317</v>
      </c>
      <c r="F786" t="inlineStr">
        <is>
          <t>GÄVLEBORGS LÄN</t>
        </is>
      </c>
      <c r="G786" t="inlineStr">
        <is>
          <t>OCKELBO</t>
        </is>
      </c>
      <c r="I786" t="n">
        <v>10.1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34391-2026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46254</v>
      </c>
      <c r="E787" s="1" t="n">
        <v>46317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12947-2026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46092</v>
      </c>
      <c r="E788" s="1" t="n">
        <v>46317</v>
      </c>
      <c r="F788" t="inlineStr">
        <is>
          <t>GÄVLEBORGS LÄN</t>
        </is>
      </c>
      <c r="G788" t="inlineStr">
        <is>
          <t>OCKELBO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11116-2026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46079</v>
      </c>
      <c r="E789" s="1" t="n">
        <v>46317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52273-2024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45608</v>
      </c>
      <c r="E790" s="1" t="n">
        <v>46317</v>
      </c>
      <c r="F790" t="inlineStr">
        <is>
          <t>GÄVLEBORGS LÄN</t>
        </is>
      </c>
      <c r="G790" t="inlineStr">
        <is>
          <t>OCKELBO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46317</v>
      </c>
      <c r="F791" t="inlineStr">
        <is>
          <t>GÄVLEBORGS LÄN</t>
        </is>
      </c>
      <c r="G791" t="inlineStr">
        <is>
          <t>OCKELBO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54323-2024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45617</v>
      </c>
      <c r="E792" s="1" t="n">
        <v>46317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14410-2026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46100</v>
      </c>
      <c r="E793" s="1" t="n">
        <v>46317</v>
      </c>
      <c r="F793" t="inlineStr">
        <is>
          <t>GÄVLEBORGS LÄN</t>
        </is>
      </c>
      <c r="G793" t="inlineStr">
        <is>
          <t>OCKELBO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14756-2026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46101</v>
      </c>
      <c r="E794" s="1" t="n">
        <v>46317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60253-2023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45258</v>
      </c>
      <c r="E795" s="1" t="n">
        <v>46317</v>
      </c>
      <c r="F795" t="inlineStr">
        <is>
          <t>GÄVLEBORGS LÄN</t>
        </is>
      </c>
      <c r="G795" t="inlineStr">
        <is>
          <t>OCKELBO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37848-2024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45544</v>
      </c>
      <c r="E796" s="1" t="n">
        <v>46317</v>
      </c>
      <c r="F796" t="inlineStr">
        <is>
          <t>GÄVLEBORGS LÄN</t>
        </is>
      </c>
      <c r="G796" t="inlineStr">
        <is>
          <t>OCKELBO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22387-2025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46317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23780-2024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45455</v>
      </c>
      <c r="E798" s="1" t="n">
        <v>46317</v>
      </c>
      <c r="F798" t="inlineStr">
        <is>
          <t>GÄVLEBORGS LÄN</t>
        </is>
      </c>
      <c r="G798" t="inlineStr">
        <is>
          <t>OCKELBO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22385-2025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45786</v>
      </c>
      <c r="E799" s="1" t="n">
        <v>46317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28584-2024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45478</v>
      </c>
      <c r="E800" s="1" t="n">
        <v>46317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46036</v>
      </c>
      <c r="E801" s="1" t="n">
        <v>46317</v>
      </c>
      <c r="F801" t="inlineStr">
        <is>
          <t>GÄVLEBORGS LÄN</t>
        </is>
      </c>
      <c r="G801" t="inlineStr">
        <is>
          <t>OCKELBO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27272-2026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46188</v>
      </c>
      <c r="E802" s="1" t="n">
        <v>46317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18326-2026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46126</v>
      </c>
      <c r="E803" s="1" t="n">
        <v>46317</v>
      </c>
      <c r="F803" t="inlineStr">
        <is>
          <t>GÄVLEBORGS LÄN</t>
        </is>
      </c>
      <c r="G803" t="inlineStr">
        <is>
          <t>OCKELBO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17682-2026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46121</v>
      </c>
      <c r="E804" s="1" t="n">
        <v>46317</v>
      </c>
      <c r="F804" t="inlineStr">
        <is>
          <t>GÄVLEBORGS LÄN</t>
        </is>
      </c>
      <c r="G804" t="inlineStr">
        <is>
          <t>OCKELBO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30990-2026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46213</v>
      </c>
      <c r="E805" s="1" t="n">
        <v>46317</v>
      </c>
      <c r="F805" t="inlineStr">
        <is>
          <t>GÄVLEBORGS LÄN</t>
        </is>
      </c>
      <c r="G805" t="inlineStr">
        <is>
          <t>OCKELBO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35155-2026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46260</v>
      </c>
      <c r="E806" s="1" t="n">
        <v>46317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46317</v>
      </c>
      <c r="F807" t="inlineStr">
        <is>
          <t>GÄVLEBORGS LÄN</t>
        </is>
      </c>
      <c r="G807" t="inlineStr">
        <is>
          <t>OCKELBO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31530-2026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46223</v>
      </c>
      <c r="E808" s="1" t="n">
        <v>46317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31571-2026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46224</v>
      </c>
      <c r="E809" s="1" t="n">
        <v>46317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34765-2026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46258</v>
      </c>
      <c r="E810" s="1" t="n">
        <v>46317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31443-2026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46220</v>
      </c>
      <c r="E811" s="1" t="n">
        <v>46317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31971-2026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46232</v>
      </c>
      <c r="E812" s="1" t="n">
        <v>46317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36097-2026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46267</v>
      </c>
      <c r="E813" s="1" t="n">
        <v>46317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36467-2026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46269</v>
      </c>
      <c r="E814" s="1" t="n">
        <v>46317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13428-2026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46317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31517-2026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46223</v>
      </c>
      <c r="E816" s="1" t="n">
        <v>46317</v>
      </c>
      <c r="F816" t="inlineStr">
        <is>
          <t>GÄVLEBORGS LÄN</t>
        </is>
      </c>
      <c r="G816" t="inlineStr">
        <is>
          <t>OCKELBO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46223</v>
      </c>
      <c r="E817" s="1" t="n">
        <v>46317</v>
      </c>
      <c r="F817" t="inlineStr">
        <is>
          <t>GÄVLEBORGS LÄN</t>
        </is>
      </c>
      <c r="G817" t="inlineStr">
        <is>
          <t>OCKELBO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36562-2026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46269</v>
      </c>
      <c r="E818" s="1" t="n">
        <v>46317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46224</v>
      </c>
      <c r="E819" s="1" t="n">
        <v>46317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36280-2026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46268</v>
      </c>
      <c r="E820" s="1" t="n">
        <v>46317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36380-2026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46268</v>
      </c>
      <c r="E821" s="1" t="n">
        <v>46317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43135-2026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46311</v>
      </c>
      <c r="E822" s="1" t="n">
        <v>46317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43604-2026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46315</v>
      </c>
      <c r="E823" s="1" t="n">
        <v>46317</v>
      </c>
      <c r="F823" t="inlineStr">
        <is>
          <t>GÄVLEBORGS LÄN</t>
        </is>
      </c>
      <c r="G823" t="inlineStr">
        <is>
          <t>OCKELBO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43758-2026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46316</v>
      </c>
      <c r="E824" s="1" t="n">
        <v>46317</v>
      </c>
      <c r="F824" t="inlineStr">
        <is>
          <t>GÄVLEBORGS LÄN</t>
        </is>
      </c>
      <c r="G824" t="inlineStr">
        <is>
          <t>OCKELBO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46317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46317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46317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46317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46317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46317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46317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46317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46317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46317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46317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46317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46317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2657-2026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46307</v>
      </c>
      <c r="E838" s="1" t="n">
        <v>46317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2026-10-22T01:52:55Z</dcterms:created>
  <dcterms:modified xmlns:dcterms="http://purl.org/dc/terms/" xmlns:xsi="http://www.w3.org/2001/XMLSchema-instance" xsi:type="dcterms:W3CDTF">2026-10-22T01:52:56Z</dcterms:modified>
</cp:coreProperties>
</file>