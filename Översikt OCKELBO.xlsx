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46280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46280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46280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46280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46280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46280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46280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46280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46280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46280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46280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46280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46280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46280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46280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46280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46280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46280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46280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46280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46280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46280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46280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46280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46280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46280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46280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62989-2025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46280</v>
      </c>
      <c r="F39" t="inlineStr">
        <is>
          <t>GÄVLEBORGS LÄN</t>
        </is>
      </c>
      <c r="G39" t="inlineStr">
        <is>
          <t>OCKELBO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HYPERLINK("https://klasma.github.io/Logging_2101/artfynd/A 62989-2025 artfynd.xlsx", "A 62989-2025")</f>
        <v/>
      </c>
      <c r="X39">
        <f>HYPERLINK("https://klasma.github.io/Logging_2101/kartor/A 62989-2025 karta.png", "A 62989-2025")</f>
        <v/>
      </c>
      <c r="Y39">
        <f>HYPERLINK("https://klasma.github.io/Logging_2101/kartor_geotiff/A 62989-2025 georefererad karta.tif", "A 62989-2025")</f>
        <v/>
      </c>
      <c r="AA39">
        <f>HYPERLINK("https://klasma.github.io/Logging_2101/klagomål/A 62989-2025 FSC-klagomål.docx", "A 62989-2025")</f>
        <v/>
      </c>
      <c r="AB39">
        <f>HYPERLINK("https://klasma.github.io/Logging_2101/klagomålsmail/A 62989-2025 FSC-klagomål mail.docx", "A 62989-2025")</f>
        <v/>
      </c>
      <c r="AC39">
        <f>HYPERLINK("https://klasma.github.io/Logging_2101/tillsyn/A 62989-2025 tillsynsbegäran.docx", "A 62989-2025")</f>
        <v/>
      </c>
      <c r="AD39">
        <f>HYPERLINK("https://klasma.github.io/Logging_2101/tillsynsmail/A 62989-2025 tillsynsbegäran mail.docx", "A 62989-2025")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46280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2923-2026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46280</v>
      </c>
      <c r="F41" t="inlineStr">
        <is>
          <t>GÄVLEBORGS LÄN</t>
        </is>
      </c>
      <c r="G41" t="inlineStr">
        <is>
          <t>OCKELBO</t>
        </is>
      </c>
      <c r="I41" t="n">
        <v>2.8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HYPERLINK("https://klasma.github.io/Logging_2101/artfynd/A 2923-2026 artfynd.xlsx", "A 2923-2026")</f>
        <v/>
      </c>
      <c r="X41">
        <f>HYPERLINK("https://klasma.github.io/Logging_2101/kartor/A 2923-2026 karta.png", "A 2923-2026")</f>
        <v/>
      </c>
      <c r="Y41">
        <f>HYPERLINK("https://klasma.github.io/Logging_2101/kartor_geotiff/A 2923-2026 georefererad karta.tif", "A 2923-2026")</f>
        <v/>
      </c>
      <c r="Z41">
        <f>HYPERLINK("https://klasma.github.io/Logging_2101/knärot/A 2923-2026 karta knärot.png", "A 2923-2026")</f>
        <v/>
      </c>
      <c r="AA41">
        <f>HYPERLINK("https://klasma.github.io/Logging_2101/klagomål/A 2923-2026 FSC-klagomål.docx", "A 2923-2026")</f>
        <v/>
      </c>
      <c r="AB41">
        <f>HYPERLINK("https://klasma.github.io/Logging_2101/klagomålsmail/A 2923-2026 FSC-klagomål mail.docx", "A 2923-2026")</f>
        <v/>
      </c>
      <c r="AC41">
        <f>HYPERLINK("https://klasma.github.io/Logging_2101/tillsyn/A 2923-2026 tillsynsbegäran.docx", "A 2923-2026")</f>
        <v/>
      </c>
      <c r="AD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46280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6121-2026 artfynd.xlsx", "A 6121-2026")</f>
        <v/>
      </c>
      <c r="X42">
        <f>HYPERLINK("https://klasma.github.io/Logging_2101/kartor/A 6121-2026 karta.png", "A 6121-2026")</f>
        <v/>
      </c>
      <c r="Y42">
        <f>HYPERLINK("https://klasma.github.io/Logging_2101/kartor_geotiff/A 6121-2026 georefererad karta.tif", "A 6121-2026")</f>
        <v/>
      </c>
      <c r="AA42">
        <f>HYPERLINK("https://klasma.github.io/Logging_2101/klagomål/A 6121-2026 FSC-klagomål.docx", "A 6121-2026")</f>
        <v/>
      </c>
      <c r="AB42">
        <f>HYPERLINK("https://klasma.github.io/Logging_2101/klagomålsmail/A 6121-2026 FSC-klagomål mail.docx", "A 6121-2026")</f>
        <v/>
      </c>
      <c r="AC42">
        <f>HYPERLINK("https://klasma.github.io/Logging_2101/tillsyn/A 6121-2026 tillsynsbegäran.docx", "A 6121-2026")</f>
        <v/>
      </c>
      <c r="AD42">
        <f>HYPERLINK("https://klasma.github.io/Logging_2101/tillsynsmail/A 6121-2026 tillsynsbegäran mail.docx", "A 6121-2026")</f>
        <v/>
      </c>
      <c r="AE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46280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6586-2026 artfynd.xlsx", "A 6586-2026")</f>
        <v/>
      </c>
      <c r="X43">
        <f>HYPERLINK("https://klasma.github.io/Logging_2101/kartor/A 6586-2026 karta.png", "A 6586-2026")</f>
        <v/>
      </c>
      <c r="Y43">
        <f>HYPERLINK("https://klasma.github.io/Logging_2101/kartor_geotiff/A 6586-2026 georefererad karta.tif", "A 6586-2026")</f>
        <v/>
      </c>
      <c r="AA43">
        <f>HYPERLINK("https://klasma.github.io/Logging_2101/klagomål/A 6586-2026 FSC-klagomål.docx", "A 6586-2026")</f>
        <v/>
      </c>
      <c r="AB43">
        <f>HYPERLINK("https://klasma.github.io/Logging_2101/klagomålsmail/A 6586-2026 FSC-klagomål mail.docx", "A 6586-2026")</f>
        <v/>
      </c>
      <c r="AC43">
        <f>HYPERLINK("https://klasma.github.io/Logging_2101/tillsyn/A 6586-2026 tillsynsbegäran.docx", "A 6586-2026")</f>
        <v/>
      </c>
      <c r="AD43">
        <f>HYPERLINK("https://klasma.github.io/Logging_2101/tillsynsmail/A 6586-2026 tillsynsbegäran mail.docx", "A 6586-2026")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46280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57946-2023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46280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HYPERLINK("https://klasma.github.io/Logging_2101/artfynd/A 57946-2023 artfynd.xlsx", "A 57946-2023")</f>
        <v/>
      </c>
      <c r="X45">
        <f>HYPERLINK("https://klasma.github.io/Logging_2101/kartor/A 57946-2023 karta.png", "A 57946-2023")</f>
        <v/>
      </c>
      <c r="Y45">
        <f>HYPERLINK("https://klasma.github.io/Logging_2101/kartor_geotiff/A 57946-2023 georefererad karta.tif", "A 57946-2023")</f>
        <v/>
      </c>
      <c r="AA45">
        <f>HYPERLINK("https://klasma.github.io/Logging_2101/klagomål/A 57946-2023 FSC-klagomål.docx", "A 57946-2023")</f>
        <v/>
      </c>
      <c r="AB45">
        <f>HYPERLINK("https://klasma.github.io/Logging_2101/klagomålsmail/A 57946-2023 FSC-klagomål mail.docx", "A 57946-2023")</f>
        <v/>
      </c>
      <c r="AC45">
        <f>HYPERLINK("https://klasma.github.io/Logging_2101/tillsyn/A 57946-2023 tillsynsbegäran.docx", "A 57946-2023")</f>
        <v/>
      </c>
      <c r="AD45">
        <f>HYPERLINK("https://klasma.github.io/Logging_2101/tillsynsmail/A 57946-2023 tillsynsbegäran mail.docx", "A 57946-2023")</f>
        <v/>
      </c>
    </row>
    <row r="46" ht="15" customHeight="1">
      <c r="A46" t="inlineStr">
        <is>
          <t>A 46481-2024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46280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HYPERLINK("https://klasma.github.io/Logging_2101/artfynd/A 46481-2024 artfynd.xlsx", "A 46481-2024")</f>
        <v/>
      </c>
      <c r="X46">
        <f>HYPERLINK("https://klasma.github.io/Logging_2101/kartor/A 46481-2024 karta.png", "A 46481-2024")</f>
        <v/>
      </c>
      <c r="Y46">
        <f>HYPERLINK("https://klasma.github.io/Logging_2101/kartor_geotiff/A 46481-2024 georefererad karta.tif", "A 46481-2024")</f>
        <v/>
      </c>
      <c r="AA46">
        <f>HYPERLINK("https://klasma.github.io/Logging_2101/klagomål/A 46481-2024 FSC-klagomål.docx", "A 46481-2024")</f>
        <v/>
      </c>
      <c r="AB46">
        <f>HYPERLINK("https://klasma.github.io/Logging_2101/klagomålsmail/A 46481-2024 FSC-klagomål mail.docx", "A 46481-2024")</f>
        <v/>
      </c>
      <c r="AC46">
        <f>HYPERLINK("https://klasma.github.io/Logging_2101/tillsyn/A 46481-2024 tillsynsbegäran.docx", "A 46481-2024")</f>
        <v/>
      </c>
      <c r="AD46">
        <f>HYPERLINK("https://klasma.github.io/Logging_2101/tillsynsmail/A 46481-2024 tillsynsbegäran mail.docx", "A 46481-2024")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46280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46280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46280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46280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46280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46280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46280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55778-2025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46280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12.3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HYPERLINK("https://klasma.github.io/Logging_2101/artfynd/A 55778-2025 artfynd.xlsx", "A 55778-2025")</f>
        <v/>
      </c>
      <c r="X54">
        <f>HYPERLINK("https://klasma.github.io/Logging_2101/kartor/A 55778-2025 karta.png", "A 55778-2025")</f>
        <v/>
      </c>
      <c r="Y54">
        <f>HYPERLINK("https://klasma.github.io/Logging_2101/kartor_geotiff/A 55778-2025 georefererad karta.tif", "A 55778-2025")</f>
        <v/>
      </c>
      <c r="AA54">
        <f>HYPERLINK("https://klasma.github.io/Logging_2101/klagomål/A 55778-2025 FSC-klagomål.docx", "A 55778-2025")</f>
        <v/>
      </c>
      <c r="AB54">
        <f>HYPERLINK("https://klasma.github.io/Logging_2101/klagomålsmail/A 55778-2025 FSC-klagomål mail.docx", "A 55778-2025")</f>
        <v/>
      </c>
      <c r="AC54">
        <f>HYPERLINK("https://klasma.github.io/Logging_2101/tillsyn/A 55778-2025 tillsynsbegäran.docx", "A 55778-2025")</f>
        <v/>
      </c>
      <c r="AD54">
        <f>HYPERLINK("https://klasma.github.io/Logging_2101/tillsynsmail/A 55778-2025 tillsynsbegäran mail.docx", "A 55778-2025")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46280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46280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46280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46280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46280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46280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46280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46280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46280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46280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46280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46280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46280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46280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46280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46280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46280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46280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46280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46280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46280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46280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46280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46280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46280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46280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46280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46280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46280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46280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46280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46280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46280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46280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46280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46280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46280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46280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46280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46280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46280</v>
      </c>
      <c r="F96" t="inlineStr">
        <is>
          <t>GÄVLEBORGS LÄN</t>
        </is>
      </c>
      <c r="G96" t="inlineStr">
        <is>
          <t>OCKELBO</t>
        </is>
      </c>
      <c r="H96" t="inlineStr">
        <is>
          <t>Kyrkan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42313-2023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46280</v>
      </c>
      <c r="F97" t="inlineStr">
        <is>
          <t>GÄVLEBORGS LÄN</t>
        </is>
      </c>
      <c r="G97" t="inlineStr">
        <is>
          <t>OCKELBO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37386-2023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45156</v>
      </c>
      <c r="E98" s="1" t="n">
        <v>46280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46280</v>
      </c>
      <c r="F99" t="inlineStr">
        <is>
          <t>GÄVLEBORGS LÄN</t>
        </is>
      </c>
      <c r="G99" t="inlineStr">
        <is>
          <t>OCKELBO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45611</v>
      </c>
      <c r="E100" s="1" t="n">
        <v>46280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46280</v>
      </c>
      <c r="F101" t="inlineStr">
        <is>
          <t>GÄVLEBORGS LÄN</t>
        </is>
      </c>
      <c r="G101" t="inlineStr">
        <is>
          <t>OCKELBO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46280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46280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46280</v>
      </c>
      <c r="F104" t="inlineStr">
        <is>
          <t>GÄVLEBORGS LÄN</t>
        </is>
      </c>
      <c r="G104" t="inlineStr">
        <is>
          <t>OCKELBO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46280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59063-2023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45252</v>
      </c>
      <c r="E106" s="1" t="n">
        <v>46280</v>
      </c>
      <c r="F106" t="inlineStr">
        <is>
          <t>GÄVLEBORGS LÄN</t>
        </is>
      </c>
      <c r="G106" t="inlineStr">
        <is>
          <t>OCKELBO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46280</v>
      </c>
      <c r="F107" t="inlineStr">
        <is>
          <t>GÄVLEBORGS LÄN</t>
        </is>
      </c>
      <c r="G107" t="inlineStr">
        <is>
          <t>OCKELBO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54309-2024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45617</v>
      </c>
      <c r="E108" s="1" t="n">
        <v>46280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23004-2025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45790</v>
      </c>
      <c r="E109" s="1" t="n">
        <v>46280</v>
      </c>
      <c r="F109" t="inlineStr">
        <is>
          <t>GÄVLEBORGS LÄN</t>
        </is>
      </c>
      <c r="G109" t="inlineStr">
        <is>
          <t>OCKELBO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45621</v>
      </c>
      <c r="E110" s="1" t="n">
        <v>46280</v>
      </c>
      <c r="F110" t="inlineStr">
        <is>
          <t>GÄVLEBORGS LÄN</t>
        </is>
      </c>
      <c r="G110" t="inlineStr">
        <is>
          <t>OCKELBO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45645</v>
      </c>
      <c r="E111" s="1" t="n">
        <v>46280</v>
      </c>
      <c r="F111" t="inlineStr">
        <is>
          <t>GÄVLEBORGS LÄN</t>
        </is>
      </c>
      <c r="G111" t="inlineStr">
        <is>
          <t>OCKELBO</t>
        </is>
      </c>
      <c r="H111" t="inlineStr">
        <is>
          <t>Kyrkan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46280</v>
      </c>
      <c r="F112" t="inlineStr">
        <is>
          <t>GÄVLEBORGS LÄN</t>
        </is>
      </c>
      <c r="G112" t="inlineStr">
        <is>
          <t>OCKELBO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46280</v>
      </c>
      <c r="F113" t="inlineStr">
        <is>
          <t>GÄVLEBORGS LÄN</t>
        </is>
      </c>
      <c r="G113" t="inlineStr">
        <is>
          <t>OCKELBO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46280</v>
      </c>
      <c r="F114" t="inlineStr">
        <is>
          <t>GÄVLEBORGS LÄN</t>
        </is>
      </c>
      <c r="G114" t="inlineStr">
        <is>
          <t>OCKELBO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44659</v>
      </c>
      <c r="E115" s="1" t="n">
        <v>46280</v>
      </c>
      <c r="F115" t="inlineStr">
        <is>
          <t>GÄVLEBORGS LÄN</t>
        </is>
      </c>
      <c r="G115" t="inlineStr">
        <is>
          <t>OCKELBO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64924-2023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46280</v>
      </c>
      <c r="F116" t="inlineStr">
        <is>
          <t>GÄVLEBORGS LÄN</t>
        </is>
      </c>
      <c r="G116" t="inlineStr">
        <is>
          <t>OCKELBO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62196-2025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46006</v>
      </c>
      <c r="E117" s="1" t="n">
        <v>46280</v>
      </c>
      <c r="F117" t="inlineStr">
        <is>
          <t>GÄVLEBORGS LÄN</t>
        </is>
      </c>
      <c r="G117" t="inlineStr">
        <is>
          <t>OCKELBO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46280</v>
      </c>
      <c r="F118" t="inlineStr">
        <is>
          <t>GÄVLEBORGS LÄN</t>
        </is>
      </c>
      <c r="G118" t="inlineStr">
        <is>
          <t>OCKELBO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45989</v>
      </c>
      <c r="E119" s="1" t="n">
        <v>46280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46280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45596</v>
      </c>
      <c r="E121" s="1" t="n">
        <v>46280</v>
      </c>
      <c r="F121" t="inlineStr">
        <is>
          <t>GÄVLEBORGS LÄN</t>
        </is>
      </c>
      <c r="G121" t="inlineStr">
        <is>
          <t>OCKELBO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46280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25640-2025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45803</v>
      </c>
      <c r="E123" s="1" t="n">
        <v>46280</v>
      </c>
      <c r="F123" t="inlineStr">
        <is>
          <t>GÄVLEBORGS LÄN</t>
        </is>
      </c>
      <c r="G123" t="inlineStr">
        <is>
          <t>OCKELBO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45800</v>
      </c>
      <c r="E124" s="1" t="n">
        <v>46280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46280</v>
      </c>
      <c r="F125" t="inlineStr">
        <is>
          <t>GÄVLEBORGS LÄN</t>
        </is>
      </c>
      <c r="G125" t="inlineStr">
        <is>
          <t>OCKELBO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46280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46280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46280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45800</v>
      </c>
      <c r="E129" s="1" t="n">
        <v>46280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46280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25250-2025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45800</v>
      </c>
      <c r="E131" s="1" t="n">
        <v>46280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46280</v>
      </c>
      <c r="F132" t="inlineStr">
        <is>
          <t>GÄVLEBORGS LÄN</t>
        </is>
      </c>
      <c r="G132" t="inlineStr">
        <is>
          <t>OCKELBO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46280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46280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63224-2025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46010</v>
      </c>
      <c r="E135" s="1" t="n">
        <v>46280</v>
      </c>
      <c r="F135" t="inlineStr">
        <is>
          <t>GÄVLEBORGS LÄN</t>
        </is>
      </c>
      <c r="G135" t="inlineStr">
        <is>
          <t>OCKELBO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46280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46014</v>
      </c>
      <c r="E137" s="1" t="n">
        <v>46280</v>
      </c>
      <c r="F137" t="inlineStr">
        <is>
          <t>GÄVLEBORGS LÄN</t>
        </is>
      </c>
      <c r="G137" t="inlineStr">
        <is>
          <t>OCKELBO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44950</v>
      </c>
      <c r="E138" s="1" t="n">
        <v>46280</v>
      </c>
      <c r="F138" t="inlineStr">
        <is>
          <t>GÄVLEBORGS LÄN</t>
        </is>
      </c>
      <c r="G138" t="inlineStr">
        <is>
          <t>OCKELBO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46280</v>
      </c>
      <c r="F139" t="inlineStr">
        <is>
          <t>GÄVLEBORGS LÄN</t>
        </is>
      </c>
      <c r="G139" t="inlineStr">
        <is>
          <t>OCKELBO</t>
        </is>
      </c>
      <c r="I139" t="n">
        <v>14.8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46280</v>
      </c>
      <c r="F140" t="inlineStr">
        <is>
          <t>GÄVLEBORGS LÄN</t>
        </is>
      </c>
      <c r="G140" t="inlineStr">
        <is>
          <t>OCKELBO</t>
        </is>
      </c>
      <c r="I140" t="n">
        <v>13.6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46280</v>
      </c>
      <c r="F141" t="inlineStr">
        <is>
          <t>GÄVLEBORGS LÄN</t>
        </is>
      </c>
      <c r="G141" t="inlineStr">
        <is>
          <t>OCKELBO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46027</v>
      </c>
      <c r="E142" s="1" t="n">
        <v>46280</v>
      </c>
      <c r="F142" t="inlineStr">
        <is>
          <t>GÄVLEBORGS LÄN</t>
        </is>
      </c>
      <c r="G142" t="inlineStr">
        <is>
          <t>OCKELBO</t>
        </is>
      </c>
      <c r="I142" t="n">
        <v>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46027</v>
      </c>
      <c r="E143" s="1" t="n">
        <v>46280</v>
      </c>
      <c r="F143" t="inlineStr">
        <is>
          <t>GÄVLEBORGS LÄN</t>
        </is>
      </c>
      <c r="G143" t="inlineStr">
        <is>
          <t>OCKELBO</t>
        </is>
      </c>
      <c r="I143" t="n">
        <v>16.2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46027</v>
      </c>
      <c r="E144" s="1" t="n">
        <v>46280</v>
      </c>
      <c r="F144" t="inlineStr">
        <is>
          <t>GÄVLEBORGS LÄN</t>
        </is>
      </c>
      <c r="G144" t="inlineStr">
        <is>
          <t>OCKELBO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46027</v>
      </c>
      <c r="E145" s="1" t="n">
        <v>46280</v>
      </c>
      <c r="F145" t="inlineStr">
        <is>
          <t>GÄVLEBORGS LÄN</t>
        </is>
      </c>
      <c r="G145" t="inlineStr">
        <is>
          <t>OCKELBO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46280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46027</v>
      </c>
      <c r="E147" s="1" t="n">
        <v>46280</v>
      </c>
      <c r="F147" t="inlineStr">
        <is>
          <t>GÄVLEBORGS LÄN</t>
        </is>
      </c>
      <c r="G147" t="inlineStr">
        <is>
          <t>OCKELBO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46024</v>
      </c>
      <c r="E148" s="1" t="n">
        <v>46280</v>
      </c>
      <c r="F148" t="inlineStr">
        <is>
          <t>GÄVLEBORGS LÄN</t>
        </is>
      </c>
      <c r="G148" t="inlineStr">
        <is>
          <t>OCKELBO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46280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46280</v>
      </c>
      <c r="F150" t="inlineStr">
        <is>
          <t>GÄVLEBORGS LÄN</t>
        </is>
      </c>
      <c r="G150" t="inlineStr">
        <is>
          <t>OCKELBO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46280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46280</v>
      </c>
      <c r="F152" t="inlineStr">
        <is>
          <t>GÄVLEBORGS LÄN</t>
        </is>
      </c>
      <c r="G152" t="inlineStr">
        <is>
          <t>OCKELBO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46280</v>
      </c>
      <c r="F153" t="inlineStr">
        <is>
          <t>GÄVLEBORGS LÄN</t>
        </is>
      </c>
      <c r="G153" t="inlineStr">
        <is>
          <t>OCKELBO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46280</v>
      </c>
      <c r="F154" t="inlineStr">
        <is>
          <t>GÄVLEBORGS LÄN</t>
        </is>
      </c>
      <c r="G154" t="inlineStr">
        <is>
          <t>OCKELBO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46280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46028</v>
      </c>
      <c r="E156" s="1" t="n">
        <v>46280</v>
      </c>
      <c r="F156" t="inlineStr">
        <is>
          <t>GÄVLEBORGS LÄN</t>
        </is>
      </c>
      <c r="G156" t="inlineStr">
        <is>
          <t>OCKELBO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46028</v>
      </c>
      <c r="E157" s="1" t="n">
        <v>46280</v>
      </c>
      <c r="F157" t="inlineStr">
        <is>
          <t>GÄVLEBORGS LÄN</t>
        </is>
      </c>
      <c r="G157" t="inlineStr">
        <is>
          <t>OCKELBO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46280</v>
      </c>
      <c r="F158" t="inlineStr">
        <is>
          <t>GÄVLEBORGS LÄN</t>
        </is>
      </c>
      <c r="G158" t="inlineStr">
        <is>
          <t>OCKELBO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46024</v>
      </c>
      <c r="E159" s="1" t="n">
        <v>46280</v>
      </c>
      <c r="F159" t="inlineStr">
        <is>
          <t>GÄVLEBORGS LÄN</t>
        </is>
      </c>
      <c r="G159" t="inlineStr">
        <is>
          <t>OCKELBO</t>
        </is>
      </c>
      <c r="I159" t="n">
        <v>12.9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46280</v>
      </c>
      <c r="F160" t="inlineStr">
        <is>
          <t>GÄVLEBORGS LÄN</t>
        </is>
      </c>
      <c r="G160" t="inlineStr">
        <is>
          <t>OCKELBO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46280</v>
      </c>
      <c r="F161" t="inlineStr">
        <is>
          <t>GÄVLEBORGS LÄN</t>
        </is>
      </c>
      <c r="G161" t="inlineStr">
        <is>
          <t>OCKELBO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45744</v>
      </c>
      <c r="E162" s="1" t="n">
        <v>46280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46280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46280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46280</v>
      </c>
      <c r="F165" t="inlineStr">
        <is>
          <t>GÄVLEBORGS LÄN</t>
        </is>
      </c>
      <c r="G165" t="inlineStr">
        <is>
          <t>OCKELBO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46280</v>
      </c>
      <c r="F166" t="inlineStr">
        <is>
          <t>GÄVLEBORGS LÄN</t>
        </is>
      </c>
      <c r="G166" t="inlineStr">
        <is>
          <t>OCKELBO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46280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40148-2025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46280</v>
      </c>
      <c r="F168" t="inlineStr">
        <is>
          <t>GÄVLEBORGS LÄN</t>
        </is>
      </c>
      <c r="G168" t="inlineStr">
        <is>
          <t>OCKELBO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46280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46280</v>
      </c>
      <c r="F170" t="inlineStr">
        <is>
          <t>GÄVLEBORGS LÄN</t>
        </is>
      </c>
      <c r="G170" t="inlineStr">
        <is>
          <t>OCKELBO</t>
        </is>
      </c>
      <c r="I170" t="n">
        <v>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46033</v>
      </c>
      <c r="E171" s="1" t="n">
        <v>46280</v>
      </c>
      <c r="F171" t="inlineStr">
        <is>
          <t>GÄVLEBORGS LÄN</t>
        </is>
      </c>
      <c r="G171" t="inlineStr">
        <is>
          <t>OCKELBO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46035</v>
      </c>
      <c r="E172" s="1" t="n">
        <v>46280</v>
      </c>
      <c r="F172" t="inlineStr">
        <is>
          <t>GÄVLEBORGS LÄN</t>
        </is>
      </c>
      <c r="G172" t="inlineStr">
        <is>
          <t>OCKELBO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46280</v>
      </c>
      <c r="F173" t="inlineStr">
        <is>
          <t>GÄVLEBORGS LÄN</t>
        </is>
      </c>
      <c r="G173" t="inlineStr">
        <is>
          <t>OCKELBO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46280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46280</v>
      </c>
      <c r="F175" t="inlineStr">
        <is>
          <t>GÄVLEBORGS LÄN</t>
        </is>
      </c>
      <c r="G175" t="inlineStr">
        <is>
          <t>OCKELBO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46280</v>
      </c>
      <c r="F176" t="inlineStr">
        <is>
          <t>GÄVLEBORGS LÄN</t>
        </is>
      </c>
      <c r="G176" t="inlineStr">
        <is>
          <t>OCKELBO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46280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46280</v>
      </c>
      <c r="F178" t="inlineStr">
        <is>
          <t>GÄVLEBORGS LÄN</t>
        </is>
      </c>
      <c r="G178" t="inlineStr">
        <is>
          <t>OCKELBO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46280</v>
      </c>
      <c r="F179" t="inlineStr">
        <is>
          <t>GÄVLEBORGS LÄN</t>
        </is>
      </c>
      <c r="G179" t="inlineStr">
        <is>
          <t>OCKELBO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46280</v>
      </c>
      <c r="F180" t="inlineStr">
        <is>
          <t>GÄVLEBORGS LÄN</t>
        </is>
      </c>
      <c r="G180" t="inlineStr">
        <is>
          <t>OCKELBO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46280</v>
      </c>
      <c r="F181" t="inlineStr">
        <is>
          <t>GÄVLEBORGS LÄN</t>
        </is>
      </c>
      <c r="G181" t="inlineStr">
        <is>
          <t>OCKELBO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46280</v>
      </c>
      <c r="F182" t="inlineStr">
        <is>
          <t>GÄVLEBORGS LÄN</t>
        </is>
      </c>
      <c r="G182" t="inlineStr">
        <is>
          <t>OCKELBO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46280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46280</v>
      </c>
      <c r="F184" t="inlineStr">
        <is>
          <t>GÄVLEBORGS LÄN</t>
        </is>
      </c>
      <c r="G184" t="inlineStr">
        <is>
          <t>OCKELBO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46280</v>
      </c>
      <c r="F185" t="inlineStr">
        <is>
          <t>GÄVLEBORGS LÄN</t>
        </is>
      </c>
      <c r="G185" t="inlineStr">
        <is>
          <t>OCKELBO</t>
        </is>
      </c>
      <c r="I185" t="n">
        <v>16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46041</v>
      </c>
      <c r="E186" s="1" t="n">
        <v>46280</v>
      </c>
      <c r="F186" t="inlineStr">
        <is>
          <t>GÄVLEBORGS LÄN</t>
        </is>
      </c>
      <c r="G186" t="inlineStr">
        <is>
          <t>OCKELBO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46280</v>
      </c>
      <c r="F187" t="inlineStr">
        <is>
          <t>GÄVLEBORGS LÄN</t>
        </is>
      </c>
      <c r="G187" t="inlineStr">
        <is>
          <t>OCKELBO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46280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46280</v>
      </c>
      <c r="F189" t="inlineStr">
        <is>
          <t>GÄVLEBORGS LÄN</t>
        </is>
      </c>
      <c r="G189" t="inlineStr">
        <is>
          <t>OCKELBO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46280</v>
      </c>
      <c r="F190" t="inlineStr">
        <is>
          <t>GÄVLEBORGS LÄN</t>
        </is>
      </c>
      <c r="G190" t="inlineStr">
        <is>
          <t>OCKELBO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46280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20231-2024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45434</v>
      </c>
      <c r="E192" s="1" t="n">
        <v>46280</v>
      </c>
      <c r="F192" t="inlineStr">
        <is>
          <t>GÄVLEBORGS LÄN</t>
        </is>
      </c>
      <c r="G192" t="inlineStr">
        <is>
          <t>OCKELBO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46280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46280</v>
      </c>
      <c r="F194" t="inlineStr">
        <is>
          <t>GÄVLEBORGS LÄN</t>
        </is>
      </c>
      <c r="G194" t="inlineStr">
        <is>
          <t>OCKELBO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46280</v>
      </c>
      <c r="F195" t="inlineStr">
        <is>
          <t>GÄVLEBORGS LÄN</t>
        </is>
      </c>
      <c r="G195" t="inlineStr">
        <is>
          <t>OCKELBO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46280</v>
      </c>
      <c r="F196" t="inlineStr">
        <is>
          <t>GÄVLEBORGS LÄN</t>
        </is>
      </c>
      <c r="G196" t="inlineStr">
        <is>
          <t>OCKELBO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44797</v>
      </c>
      <c r="E197" s="1" t="n">
        <v>46280</v>
      </c>
      <c r="F197" t="inlineStr">
        <is>
          <t>GÄVLEBORGS LÄN</t>
        </is>
      </c>
      <c r="G197" t="inlineStr">
        <is>
          <t>OCKELBO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46280</v>
      </c>
      <c r="F198" t="inlineStr">
        <is>
          <t>GÄVLEBORGS LÄN</t>
        </is>
      </c>
      <c r="G198" t="inlineStr">
        <is>
          <t>OCKELBO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46280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46280</v>
      </c>
      <c r="F200" t="inlineStr">
        <is>
          <t>GÄVLEBORGS LÄN</t>
        </is>
      </c>
      <c r="G200" t="inlineStr">
        <is>
          <t>OCKELBO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46043</v>
      </c>
      <c r="E201" s="1" t="n">
        <v>46280</v>
      </c>
      <c r="F201" t="inlineStr">
        <is>
          <t>GÄVLEBORGS LÄN</t>
        </is>
      </c>
      <c r="G201" t="inlineStr">
        <is>
          <t>OCKELBO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46280</v>
      </c>
      <c r="F202" t="inlineStr">
        <is>
          <t>GÄVLEBORGS LÄN</t>
        </is>
      </c>
      <c r="G202" t="inlineStr">
        <is>
          <t>OCKELBO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45827</v>
      </c>
      <c r="E203" s="1" t="n">
        <v>46280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46280</v>
      </c>
      <c r="F204" t="inlineStr">
        <is>
          <t>GÄVLEBORGS LÄN</t>
        </is>
      </c>
      <c r="G204" t="inlineStr">
        <is>
          <t>OCKELBO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46280</v>
      </c>
      <c r="F205" t="inlineStr">
        <is>
          <t>GÄVLEBORGS LÄN</t>
        </is>
      </c>
      <c r="G205" t="inlineStr">
        <is>
          <t>OCKELBO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46280</v>
      </c>
      <c r="F206" t="inlineStr">
        <is>
          <t>GÄVLEBORGS LÄN</t>
        </is>
      </c>
      <c r="G206" t="inlineStr">
        <is>
          <t>OCKELBO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46045</v>
      </c>
      <c r="E207" s="1" t="n">
        <v>46280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46280</v>
      </c>
      <c r="F208" t="inlineStr">
        <is>
          <t>GÄVLEBORGS LÄN</t>
        </is>
      </c>
      <c r="G208" t="inlineStr">
        <is>
          <t>OCKELBO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46280</v>
      </c>
      <c r="F209" t="inlineStr">
        <is>
          <t>GÄVLEBORGS LÄN</t>
        </is>
      </c>
      <c r="G209" t="inlineStr">
        <is>
          <t>OCKELBO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46280</v>
      </c>
      <c r="F210" t="inlineStr">
        <is>
          <t>GÄVLEBORGS LÄN</t>
        </is>
      </c>
      <c r="G210" t="inlineStr">
        <is>
          <t>OCKELBO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46280</v>
      </c>
      <c r="F211" t="inlineStr">
        <is>
          <t>GÄVLEBORGS LÄN</t>
        </is>
      </c>
      <c r="G211" t="inlineStr">
        <is>
          <t>OCKELBO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46280</v>
      </c>
      <c r="F212" t="inlineStr">
        <is>
          <t>GÄVLEBORGS LÄN</t>
        </is>
      </c>
      <c r="G212" t="inlineStr">
        <is>
          <t>OCKELBO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46280</v>
      </c>
      <c r="F213" t="inlineStr">
        <is>
          <t>GÄVLEBORGS LÄN</t>
        </is>
      </c>
      <c r="G213" t="inlineStr">
        <is>
          <t>OCKELBO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46280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46280</v>
      </c>
      <c r="F215" t="inlineStr">
        <is>
          <t>GÄVLEBORGS LÄN</t>
        </is>
      </c>
      <c r="G215" t="inlineStr">
        <is>
          <t>OCKELBO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46038</v>
      </c>
      <c r="E216" s="1" t="n">
        <v>46280</v>
      </c>
      <c r="F216" t="inlineStr">
        <is>
          <t>GÄVLEBORGS LÄN</t>
        </is>
      </c>
      <c r="G216" t="inlineStr">
        <is>
          <t>OCKELBO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46280</v>
      </c>
      <c r="F217" t="inlineStr">
        <is>
          <t>GÄVLEBORGS LÄN</t>
        </is>
      </c>
      <c r="G217" t="inlineStr">
        <is>
          <t>OCKELBO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45618</v>
      </c>
      <c r="E218" s="1" t="n">
        <v>46280</v>
      </c>
      <c r="F218" t="inlineStr">
        <is>
          <t>GÄVLEBORGS LÄN</t>
        </is>
      </c>
      <c r="G218" t="inlineStr">
        <is>
          <t>OCKELBO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46280</v>
      </c>
      <c r="F219" t="inlineStr">
        <is>
          <t>GÄVLEBORGS LÄN</t>
        </is>
      </c>
      <c r="G219" t="inlineStr">
        <is>
          <t>OCKELBO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46280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46280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46280</v>
      </c>
      <c r="F222" t="inlineStr">
        <is>
          <t>GÄVLEBORGS LÄN</t>
        </is>
      </c>
      <c r="G222" t="inlineStr">
        <is>
          <t>OCKELBO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46048</v>
      </c>
      <c r="E223" s="1" t="n">
        <v>46280</v>
      </c>
      <c r="F223" t="inlineStr">
        <is>
          <t>GÄVLEBORGS LÄN</t>
        </is>
      </c>
      <c r="G223" t="inlineStr">
        <is>
          <t>OCKELBO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46050</v>
      </c>
      <c r="E224" s="1" t="n">
        <v>46280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5596-2026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46280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46280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46280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46280</v>
      </c>
      <c r="F228" t="inlineStr">
        <is>
          <t>GÄVLEBORGS LÄN</t>
        </is>
      </c>
      <c r="G228" t="inlineStr">
        <is>
          <t>OCKELBO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46280</v>
      </c>
      <c r="F229" t="inlineStr">
        <is>
          <t>GÄVLEBORGS LÄN</t>
        </is>
      </c>
      <c r="G229" t="inlineStr">
        <is>
          <t>OCKELBO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45132</v>
      </c>
      <c r="E230" s="1" t="n">
        <v>46280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46053</v>
      </c>
      <c r="E231" s="1" t="n">
        <v>46280</v>
      </c>
      <c r="F231" t="inlineStr">
        <is>
          <t>GÄVLEBORGS LÄN</t>
        </is>
      </c>
      <c r="G231" t="inlineStr">
        <is>
          <t>OCKELBO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46052</v>
      </c>
      <c r="E232" s="1" t="n">
        <v>46280</v>
      </c>
      <c r="F232" t="inlineStr">
        <is>
          <t>GÄVLEBORGS LÄN</t>
        </is>
      </c>
      <c r="G232" t="inlineStr">
        <is>
          <t>OCKELBO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6531-2026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46280</v>
      </c>
      <c r="F233" t="inlineStr">
        <is>
          <t>GÄVLEBORGS LÄN</t>
        </is>
      </c>
      <c r="G233" t="inlineStr">
        <is>
          <t>OCKELBO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46055</v>
      </c>
      <c r="E234" s="1" t="n">
        <v>46280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46280</v>
      </c>
      <c r="F235" t="inlineStr">
        <is>
          <t>GÄVLEBORGS LÄN</t>
        </is>
      </c>
      <c r="G235" t="inlineStr">
        <is>
          <t>OCKELBO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46280</v>
      </c>
      <c r="F236" t="inlineStr">
        <is>
          <t>GÄVLEBORGS LÄN</t>
        </is>
      </c>
      <c r="G236" t="inlineStr">
        <is>
          <t>OCKELBO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33231-2025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46280</v>
      </c>
      <c r="F237" t="inlineStr">
        <is>
          <t>GÄVLEBORGS LÄN</t>
        </is>
      </c>
      <c r="G237" t="inlineStr">
        <is>
          <t>OCKELBO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45840</v>
      </c>
      <c r="E238" s="1" t="n">
        <v>46280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45109</v>
      </c>
      <c r="E239" s="1" t="n">
        <v>46280</v>
      </c>
      <c r="F239" t="inlineStr">
        <is>
          <t>GÄVLEBORGS LÄN</t>
        </is>
      </c>
      <c r="G239" t="inlineStr">
        <is>
          <t>OCKELBO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46280</v>
      </c>
      <c r="F240" t="inlineStr">
        <is>
          <t>GÄVLEBORGS LÄN</t>
        </is>
      </c>
      <c r="G240" t="inlineStr">
        <is>
          <t>OCKELBO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46056</v>
      </c>
      <c r="E241" s="1" t="n">
        <v>46280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9.4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45073</v>
      </c>
      <c r="E242" s="1" t="n">
        <v>46280</v>
      </c>
      <c r="F242" t="inlineStr">
        <is>
          <t>GÄVLEBORGS LÄN</t>
        </is>
      </c>
      <c r="G242" t="inlineStr">
        <is>
          <t>OCKELBO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46056</v>
      </c>
      <c r="E243" s="1" t="n">
        <v>46280</v>
      </c>
      <c r="F243" t="inlineStr">
        <is>
          <t>GÄVLEBORGS LÄN</t>
        </is>
      </c>
      <c r="G243" t="inlineStr">
        <is>
          <t>OCKELBO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46280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46056</v>
      </c>
      <c r="E245" s="1" t="n">
        <v>46280</v>
      </c>
      <c r="F245" t="inlineStr">
        <is>
          <t>GÄVLEBORGS LÄN</t>
        </is>
      </c>
      <c r="G245" t="inlineStr">
        <is>
          <t>OCKELBO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46056</v>
      </c>
      <c r="E246" s="1" t="n">
        <v>46280</v>
      </c>
      <c r="F246" t="inlineStr">
        <is>
          <t>GÄVLEBORGS LÄN</t>
        </is>
      </c>
      <c r="G246" t="inlineStr">
        <is>
          <t>OCKELBO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46280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46280</v>
      </c>
      <c r="F248" t="inlineStr">
        <is>
          <t>GÄVLEBORGS LÄN</t>
        </is>
      </c>
      <c r="G248" t="inlineStr">
        <is>
          <t>OCKELBO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46056</v>
      </c>
      <c r="E249" s="1" t="n">
        <v>46280</v>
      </c>
      <c r="F249" t="inlineStr">
        <is>
          <t>GÄVLEBORGS LÄN</t>
        </is>
      </c>
      <c r="G249" t="inlineStr">
        <is>
          <t>OCKELBO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46280</v>
      </c>
      <c r="F250" t="inlineStr">
        <is>
          <t>GÄVLEBORGS LÄN</t>
        </is>
      </c>
      <c r="G250" t="inlineStr">
        <is>
          <t>OCKELBO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6598-2026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46056</v>
      </c>
      <c r="E251" s="1" t="n">
        <v>46280</v>
      </c>
      <c r="F251" t="inlineStr">
        <is>
          <t>GÄVLEBORGS LÄN</t>
        </is>
      </c>
      <c r="G251" t="inlineStr">
        <is>
          <t>OCKELBO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45644</v>
      </c>
      <c r="E252" s="1" t="n">
        <v>46280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50693-2024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45602</v>
      </c>
      <c r="E253" s="1" t="n">
        <v>46280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45027</v>
      </c>
      <c r="E254" s="1" t="n">
        <v>46280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46059</v>
      </c>
      <c r="E255" s="1" t="n">
        <v>46280</v>
      </c>
      <c r="F255" t="inlineStr">
        <is>
          <t>GÄVLEBORGS LÄN</t>
        </is>
      </c>
      <c r="G255" t="inlineStr">
        <is>
          <t>OCKELBO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45602</v>
      </c>
      <c r="E256" s="1" t="n">
        <v>46280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46280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46280</v>
      </c>
      <c r="F258" t="inlineStr">
        <is>
          <t>GÄVLEBORGS LÄN</t>
        </is>
      </c>
      <c r="G258" t="inlineStr">
        <is>
          <t>OCKELBO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45608</v>
      </c>
      <c r="E259" s="1" t="n">
        <v>46280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46280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66825-2021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44522</v>
      </c>
      <c r="E261" s="1" t="n">
        <v>46280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34291-2025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46280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40283-2024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46280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45216</v>
      </c>
      <c r="E264" s="1" t="n">
        <v>46280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40281-2024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45554</v>
      </c>
      <c r="E265" s="1" t="n">
        <v>46280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44816</v>
      </c>
      <c r="E266" s="1" t="n">
        <v>46280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45590</v>
      </c>
      <c r="E267" s="1" t="n">
        <v>46280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46280</v>
      </c>
      <c r="F268" t="inlineStr">
        <is>
          <t>GÄVLEBORGS LÄN</t>
        </is>
      </c>
      <c r="G268" t="inlineStr">
        <is>
          <t>OCKELBO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46280</v>
      </c>
      <c r="F269" t="inlineStr">
        <is>
          <t>GÄVLEBORGS LÄN</t>
        </is>
      </c>
      <c r="G269" t="inlineStr">
        <is>
          <t>OCKELBO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44501</v>
      </c>
      <c r="E270" s="1" t="n">
        <v>46280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45617</v>
      </c>
      <c r="E271" s="1" t="n">
        <v>46280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45519-2022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44845</v>
      </c>
      <c r="E272" s="1" t="n">
        <v>46280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67768-2021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46280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46485-2024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46280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46280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46280</v>
      </c>
      <c r="F276" t="inlineStr">
        <is>
          <t>GÄVLEBORGS LÄN</t>
        </is>
      </c>
      <c r="G276" t="inlineStr">
        <is>
          <t>OCKELBO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47267-2025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46280</v>
      </c>
      <c r="F277" t="inlineStr">
        <is>
          <t>GÄVLEBORGS LÄN</t>
        </is>
      </c>
      <c r="G277" t="inlineStr">
        <is>
          <t>OCKELBO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46280</v>
      </c>
      <c r="F278" t="inlineStr">
        <is>
          <t>GÄVLEBORGS LÄN</t>
        </is>
      </c>
      <c r="G278" t="inlineStr">
        <is>
          <t>OCKELBO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35017-2025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45851</v>
      </c>
      <c r="E279" s="1" t="n">
        <v>46280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27.8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46280</v>
      </c>
      <c r="F280" t="inlineStr">
        <is>
          <t>GÄVLEBORGS LÄN</t>
        </is>
      </c>
      <c r="G280" t="inlineStr">
        <is>
          <t>OCKELBO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46280</v>
      </c>
      <c r="F281" t="inlineStr">
        <is>
          <t>GÄVLEBORGS LÄN</t>
        </is>
      </c>
      <c r="G281" t="inlineStr">
        <is>
          <t>OCKELBO</t>
        </is>
      </c>
      <c r="H281" t="inlineStr">
        <is>
          <t>Kyrkan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8402-2026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46280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46280</v>
      </c>
      <c r="F283" t="inlineStr">
        <is>
          <t>GÄVLEBORGS LÄN</t>
        </is>
      </c>
      <c r="G283" t="inlineStr">
        <is>
          <t>OCKELBO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46064</v>
      </c>
      <c r="E284" s="1" t="n">
        <v>46280</v>
      </c>
      <c r="F284" t="inlineStr">
        <is>
          <t>GÄVLEBORGS LÄN</t>
        </is>
      </c>
      <c r="G284" t="inlineStr">
        <is>
          <t>OCKELBO</t>
        </is>
      </c>
      <c r="I284" t="n">
        <v>17.4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46280</v>
      </c>
      <c r="F285" t="inlineStr">
        <is>
          <t>GÄVLEBORGS LÄN</t>
        </is>
      </c>
      <c r="G285" t="inlineStr">
        <is>
          <t>OCKELBO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46064</v>
      </c>
      <c r="E286" s="1" t="n">
        <v>46280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46280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46069</v>
      </c>
      <c r="E288" s="1" t="n">
        <v>46280</v>
      </c>
      <c r="F288" t="inlineStr">
        <is>
          <t>GÄVLEBORGS LÄN</t>
        </is>
      </c>
      <c r="G288" t="inlineStr">
        <is>
          <t>OCKELBO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46280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46280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46280</v>
      </c>
      <c r="F291" t="inlineStr">
        <is>
          <t>GÄVLEBORGS LÄN</t>
        </is>
      </c>
      <c r="G291" t="inlineStr">
        <is>
          <t>OCKELBO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46071</v>
      </c>
      <c r="E292" s="1" t="n">
        <v>46280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46280</v>
      </c>
      <c r="F293" t="inlineStr">
        <is>
          <t>GÄVLEBORGS LÄN</t>
        </is>
      </c>
      <c r="G293" t="inlineStr">
        <is>
          <t>OCKELBO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46280</v>
      </c>
      <c r="F294" t="inlineStr">
        <is>
          <t>GÄVLEBORGS LÄN</t>
        </is>
      </c>
      <c r="G294" t="inlineStr">
        <is>
          <t>OCKELBO</t>
        </is>
      </c>
      <c r="I294" t="n">
        <v>10.4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46280</v>
      </c>
      <c r="F295" t="inlineStr">
        <is>
          <t>GÄVLEBORGS LÄN</t>
        </is>
      </c>
      <c r="G295" t="inlineStr">
        <is>
          <t>OCKELBO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9505-2026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46280</v>
      </c>
      <c r="F296" t="inlineStr">
        <is>
          <t>GÄVLEBORGS LÄN</t>
        </is>
      </c>
      <c r="G296" t="inlineStr">
        <is>
          <t>OCKELBO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46280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46280</v>
      </c>
      <c r="F298" t="inlineStr">
        <is>
          <t>GÄVLEBORGS LÄN</t>
        </is>
      </c>
      <c r="G298" t="inlineStr">
        <is>
          <t>OCKELBO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49027-2025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46280</v>
      </c>
      <c r="F299" t="inlineStr">
        <is>
          <t>GÄVLEBORGS LÄN</t>
        </is>
      </c>
      <c r="G299" t="inlineStr">
        <is>
          <t>OCKELBO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46280</v>
      </c>
      <c r="F300" t="inlineStr">
        <is>
          <t>GÄVLEBORGS LÄN</t>
        </is>
      </c>
      <c r="G300" t="inlineStr">
        <is>
          <t>OCKELBO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46280</v>
      </c>
      <c r="F301" t="inlineStr">
        <is>
          <t>GÄVLEBORGS LÄN</t>
        </is>
      </c>
      <c r="G301" t="inlineStr">
        <is>
          <t>OCKELBO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46280</v>
      </c>
      <c r="F302" t="inlineStr">
        <is>
          <t>GÄVLEBORGS LÄN</t>
        </is>
      </c>
      <c r="G302" t="inlineStr">
        <is>
          <t>OCKELBO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9681-2026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46280</v>
      </c>
      <c r="F303" t="inlineStr">
        <is>
          <t>GÄVLEBORGS LÄN</t>
        </is>
      </c>
      <c r="G303" t="inlineStr">
        <is>
          <t>OCKELBO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46280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46280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9997-2026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46280</v>
      </c>
      <c r="F306" t="inlineStr">
        <is>
          <t>GÄVLEBORGS LÄN</t>
        </is>
      </c>
      <c r="G306" t="inlineStr">
        <is>
          <t>OCKELBO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46077</v>
      </c>
      <c r="E307" s="1" t="n">
        <v>46280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48996-2025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46280</v>
      </c>
      <c r="F308" t="inlineStr">
        <is>
          <t>GÄVLEBORGS LÄN</t>
        </is>
      </c>
      <c r="G308" t="inlineStr">
        <is>
          <t>OCKELBO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45432</v>
      </c>
      <c r="E309" s="1" t="n">
        <v>46280</v>
      </c>
      <c r="F309" t="inlineStr">
        <is>
          <t>GÄVLEBORGS LÄN</t>
        </is>
      </c>
      <c r="G309" t="inlineStr">
        <is>
          <t>OCKELBO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48855-2025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46280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10682-2026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46078</v>
      </c>
      <c r="E311" s="1" t="n">
        <v>46280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46280</v>
      </c>
      <c r="F312" t="inlineStr">
        <is>
          <t>GÄVLEBORGS LÄN</t>
        </is>
      </c>
      <c r="G312" t="inlineStr">
        <is>
          <t>OCKELBO</t>
        </is>
      </c>
      <c r="I312" t="n">
        <v>11.1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46280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öst AB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10437-2026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46077</v>
      </c>
      <c r="E314" s="1" t="n">
        <v>46280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46077</v>
      </c>
      <c r="E315" s="1" t="n">
        <v>46280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46077</v>
      </c>
      <c r="E316" s="1" t="n">
        <v>46280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öst AB</t>
        </is>
      </c>
      <c r="I316" t="n">
        <v>45.7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46280</v>
      </c>
      <c r="F317" t="inlineStr">
        <is>
          <t>GÄVLEBORGS LÄN</t>
        </is>
      </c>
      <c r="G317" t="inlineStr">
        <is>
          <t>OCKELBO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46280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12.1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46077</v>
      </c>
      <c r="E319" s="1" t="n">
        <v>46280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öst AB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46280</v>
      </c>
      <c r="F320" t="inlineStr">
        <is>
          <t>GÄVLEBORGS LÄN</t>
        </is>
      </c>
      <c r="G320" t="inlineStr">
        <is>
          <t>OCKELBO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11078-2026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46280</v>
      </c>
      <c r="F321" t="inlineStr">
        <is>
          <t>GÄVLEBORGS LÄN</t>
        </is>
      </c>
      <c r="G321" t="inlineStr">
        <is>
          <t>OCKELBO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11237-2026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46280</v>
      </c>
      <c r="F322" t="inlineStr">
        <is>
          <t>GÄVLEBORGS LÄN</t>
        </is>
      </c>
      <c r="G322" t="inlineStr">
        <is>
          <t>OCKELBO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46280</v>
      </c>
      <c r="F323" t="inlineStr">
        <is>
          <t>GÄVLEBORGS LÄN</t>
        </is>
      </c>
      <c r="G323" t="inlineStr">
        <is>
          <t>OCKELBO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31822-2025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46280</v>
      </c>
      <c r="F324" t="inlineStr">
        <is>
          <t>GÄVLEBORGS LÄN</t>
        </is>
      </c>
      <c r="G324" t="inlineStr">
        <is>
          <t>OCKELBO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46280</v>
      </c>
      <c r="F325" t="inlineStr">
        <is>
          <t>GÄVLEBORGS LÄN</t>
        </is>
      </c>
      <c r="G325" t="inlineStr">
        <is>
          <t>OCKELBO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11300-2026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46280</v>
      </c>
      <c r="F326" t="inlineStr">
        <is>
          <t>GÄVLEBORGS LÄN</t>
        </is>
      </c>
      <c r="G326" t="inlineStr">
        <is>
          <t>OCKELBO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11027-2026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46280</v>
      </c>
      <c r="F327" t="inlineStr">
        <is>
          <t>GÄVLEBORGS LÄN</t>
        </is>
      </c>
      <c r="G327" t="inlineStr">
        <is>
          <t>OCKELBO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46280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öst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45551</v>
      </c>
      <c r="E329" s="1" t="n">
        <v>46280</v>
      </c>
      <c r="F329" t="inlineStr">
        <is>
          <t>GÄVLEBORGS LÄN</t>
        </is>
      </c>
      <c r="G329" t="inlineStr">
        <is>
          <t>OCKELBO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46280</v>
      </c>
      <c r="F330" t="inlineStr">
        <is>
          <t>GÄVLEBORGS LÄN</t>
        </is>
      </c>
      <c r="G330" t="inlineStr">
        <is>
          <t>OCKELBO</t>
        </is>
      </c>
      <c r="I330" t="n">
        <v>13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18326-2026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46126</v>
      </c>
      <c r="E331" s="1" t="n">
        <v>46280</v>
      </c>
      <c r="F331" t="inlineStr">
        <is>
          <t>GÄVLEBORGS LÄN</t>
        </is>
      </c>
      <c r="G331" t="inlineStr">
        <is>
          <t>OCKELBO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46083</v>
      </c>
      <c r="E332" s="1" t="n">
        <v>46280</v>
      </c>
      <c r="F332" t="inlineStr">
        <is>
          <t>GÄVLEBORGS LÄN</t>
        </is>
      </c>
      <c r="G332" t="inlineStr">
        <is>
          <t>OCKELBO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46083</v>
      </c>
      <c r="E333" s="1" t="n">
        <v>46280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47100-2024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46280</v>
      </c>
      <c r="F334" t="inlineStr">
        <is>
          <t>GÄVLEBORGS LÄN</t>
        </is>
      </c>
      <c r="G334" t="inlineStr">
        <is>
          <t>OCKELBO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46280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öst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11810-2026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46280</v>
      </c>
      <c r="F336" t="inlineStr">
        <is>
          <t>GÄVLEBORGS LÄN</t>
        </is>
      </c>
      <c r="G336" t="inlineStr">
        <is>
          <t>OCKELBO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46087</v>
      </c>
      <c r="E337" s="1" t="n">
        <v>46280</v>
      </c>
      <c r="F337" t="inlineStr">
        <is>
          <t>GÄVLEBORGS LÄN</t>
        </is>
      </c>
      <c r="G337" t="inlineStr">
        <is>
          <t>OCKELBO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46089</v>
      </c>
      <c r="E338" s="1" t="n">
        <v>46280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29.9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55422-2022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44887</v>
      </c>
      <c r="E339" s="1" t="n">
        <v>46280</v>
      </c>
      <c r="F339" t="inlineStr">
        <is>
          <t>GÄVLEBORGS LÄN</t>
        </is>
      </c>
      <c r="G339" t="inlineStr">
        <is>
          <t>OCKELBO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45757</v>
      </c>
      <c r="E340" s="1" t="n">
        <v>46280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45884</v>
      </c>
      <c r="E341" s="1" t="n">
        <v>46280</v>
      </c>
      <c r="F341" t="inlineStr">
        <is>
          <t>GÄVLEBORGS LÄN</t>
        </is>
      </c>
      <c r="G341" t="inlineStr">
        <is>
          <t>OCKELBO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45048</v>
      </c>
      <c r="E342" s="1" t="n">
        <v>46280</v>
      </c>
      <c r="F342" t="inlineStr">
        <is>
          <t>GÄVLEBORGS LÄN</t>
        </is>
      </c>
      <c r="G342" t="inlineStr">
        <is>
          <t>OCKELBO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45488</v>
      </c>
      <c r="E343" s="1" t="n">
        <v>46280</v>
      </c>
      <c r="F343" t="inlineStr">
        <is>
          <t>GÄVLEBORGS LÄN</t>
        </is>
      </c>
      <c r="G343" t="inlineStr">
        <is>
          <t>OCKELBO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46074-2024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45581</v>
      </c>
      <c r="E344" s="1" t="n">
        <v>46280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18291-2023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45041</v>
      </c>
      <c r="E345" s="1" t="n">
        <v>46280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32011-2024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45510</v>
      </c>
      <c r="E346" s="1" t="n">
        <v>46280</v>
      </c>
      <c r="F346" t="inlineStr">
        <is>
          <t>GÄVLEBORGS LÄN</t>
        </is>
      </c>
      <c r="G346" t="inlineStr">
        <is>
          <t>OCKELBO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46280</v>
      </c>
      <c r="F347" t="inlineStr">
        <is>
          <t>GÄVLEBORGS LÄN</t>
        </is>
      </c>
      <c r="G347" t="inlineStr">
        <is>
          <t>OCKELBO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46280</v>
      </c>
      <c r="F348" t="inlineStr">
        <is>
          <t>GÄVLEBORGS LÄN</t>
        </is>
      </c>
      <c r="G348" t="inlineStr">
        <is>
          <t>OCKELBO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12716-2026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46091</v>
      </c>
      <c r="E349" s="1" t="n">
        <v>46280</v>
      </c>
      <c r="F349" t="inlineStr">
        <is>
          <t>GÄVLEBORGS LÄN</t>
        </is>
      </c>
      <c r="G349" t="inlineStr">
        <is>
          <t>OCKELBO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46280</v>
      </c>
      <c r="F350" t="inlineStr">
        <is>
          <t>GÄVLEBORGS LÄN</t>
        </is>
      </c>
      <c r="G350" t="inlineStr">
        <is>
          <t>OCKELBO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46280</v>
      </c>
      <c r="F351" t="inlineStr">
        <is>
          <t>GÄVLEBORGS LÄN</t>
        </is>
      </c>
      <c r="G351" t="inlineStr">
        <is>
          <t>OCKELBO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46280</v>
      </c>
      <c r="F352" t="inlineStr">
        <is>
          <t>GÄVLEBORGS LÄN</t>
        </is>
      </c>
      <c r="G352" t="inlineStr">
        <is>
          <t>OCKELBO</t>
        </is>
      </c>
      <c r="H352" t="inlineStr">
        <is>
          <t>Naturvårdsverket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46280</v>
      </c>
      <c r="F353" t="inlineStr">
        <is>
          <t>GÄVLEBORGS LÄN</t>
        </is>
      </c>
      <c r="G353" t="inlineStr">
        <is>
          <t>OCKELBO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46093</v>
      </c>
      <c r="E354" s="1" t="n">
        <v>46280</v>
      </c>
      <c r="F354" t="inlineStr">
        <is>
          <t>GÄVLEBORGS LÄN</t>
        </is>
      </c>
      <c r="G354" t="inlineStr">
        <is>
          <t>OCKELBO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46280</v>
      </c>
      <c r="F355" t="inlineStr">
        <is>
          <t>GÄVLEBORGS LÄN</t>
        </is>
      </c>
      <c r="G355" t="inlineStr">
        <is>
          <t>OCKELBO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13162-2026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46280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46098</v>
      </c>
      <c r="E357" s="1" t="n">
        <v>46280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13825-2026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46280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36.6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46280</v>
      </c>
      <c r="F359" t="inlineStr">
        <is>
          <t>GÄVLEBORGS LÄN</t>
        </is>
      </c>
      <c r="G359" t="inlineStr">
        <is>
          <t>OCKELBO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46280</v>
      </c>
      <c r="F360" t="inlineStr">
        <is>
          <t>GÄVLEBORGS LÄN</t>
        </is>
      </c>
      <c r="G360" t="inlineStr">
        <is>
          <t>OCKELBO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46098</v>
      </c>
      <c r="E361" s="1" t="n">
        <v>46280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46097</v>
      </c>
      <c r="E362" s="1" t="n">
        <v>46280</v>
      </c>
      <c r="F362" t="inlineStr">
        <is>
          <t>GÄVLEBORGS LÄN</t>
        </is>
      </c>
      <c r="G362" t="inlineStr">
        <is>
          <t>OCKELBO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46098</v>
      </c>
      <c r="E363" s="1" t="n">
        <v>46280</v>
      </c>
      <c r="F363" t="inlineStr">
        <is>
          <t>GÄVLEBORGS LÄN</t>
        </is>
      </c>
      <c r="G363" t="inlineStr">
        <is>
          <t>OCKELBO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46280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46098</v>
      </c>
      <c r="E365" s="1" t="n">
        <v>46280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46280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46280</v>
      </c>
      <c r="F367" t="inlineStr">
        <is>
          <t>GÄVLEBORGS LÄN</t>
        </is>
      </c>
      <c r="G367" t="inlineStr">
        <is>
          <t>OCKELBO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46100</v>
      </c>
      <c r="E368" s="1" t="n">
        <v>46280</v>
      </c>
      <c r="F368" t="inlineStr">
        <is>
          <t>GÄVLEBORGS LÄN</t>
        </is>
      </c>
      <c r="G368" t="inlineStr">
        <is>
          <t>OCKELBO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46280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46280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45952</v>
      </c>
      <c r="E371" s="1" t="n">
        <v>46280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52241-2025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45953</v>
      </c>
      <c r="E372" s="1" t="n">
        <v>46280</v>
      </c>
      <c r="F372" t="inlineStr">
        <is>
          <t>GÄVLEBORGS LÄN</t>
        </is>
      </c>
      <c r="G372" t="inlineStr">
        <is>
          <t>OCKELBO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14973-2026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46280</v>
      </c>
      <c r="F373" t="inlineStr">
        <is>
          <t>GÄVLEBORGS LÄN</t>
        </is>
      </c>
      <c r="G373" t="inlineStr">
        <is>
          <t>OCKELBO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46280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46280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46280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46104</v>
      </c>
      <c r="E377" s="1" t="n">
        <v>46280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34.1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46280</v>
      </c>
      <c r="F378" t="inlineStr">
        <is>
          <t>GÄVLEBORGS LÄN</t>
        </is>
      </c>
      <c r="G378" t="inlineStr">
        <is>
          <t>OCKELBO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46280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46101</v>
      </c>
      <c r="E380" s="1" t="n">
        <v>46280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52880-2025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45957</v>
      </c>
      <c r="E381" s="1" t="n">
        <v>46280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46280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46280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52461-2025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45954</v>
      </c>
      <c r="E384" s="1" t="n">
        <v>46280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46280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46280</v>
      </c>
      <c r="F386" t="inlineStr">
        <is>
          <t>GÄVLEBORGS LÄN</t>
        </is>
      </c>
      <c r="G386" t="inlineStr">
        <is>
          <t>OCKELBO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46280</v>
      </c>
      <c r="F387" t="inlineStr">
        <is>
          <t>GÄVLEBORGS LÄN</t>
        </is>
      </c>
      <c r="G387" t="inlineStr">
        <is>
          <t>OCKELBO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46280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46280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46105</v>
      </c>
      <c r="E390" s="1" t="n">
        <v>46280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öst AB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53391-2025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45959</v>
      </c>
      <c r="E391" s="1" t="n">
        <v>46280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46280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15.4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15679-2026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46280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46280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16054-2026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46108</v>
      </c>
      <c r="E395" s="1" t="n">
        <v>46280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46111</v>
      </c>
      <c r="E396" s="1" t="n">
        <v>46280</v>
      </c>
      <c r="F396" t="inlineStr">
        <is>
          <t>GÄVLEBORGS LÄN</t>
        </is>
      </c>
      <c r="G396" t="inlineStr">
        <is>
          <t>OCKELBO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46280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14.3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46280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46280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16388-2026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46280</v>
      </c>
      <c r="F400" t="inlineStr">
        <is>
          <t>GÄVLEBORGS LÄN</t>
        </is>
      </c>
      <c r="G400" t="inlineStr">
        <is>
          <t>OCKELBO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51989-2023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45223</v>
      </c>
      <c r="E401" s="1" t="n">
        <v>46280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46114</v>
      </c>
      <c r="E402" s="1" t="n">
        <v>46280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9.4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46280</v>
      </c>
      <c r="F403" t="inlineStr">
        <is>
          <t>GÄVLEBORGS LÄN</t>
        </is>
      </c>
      <c r="G403" t="inlineStr">
        <is>
          <t>OCKELBO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46280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46114</v>
      </c>
      <c r="E405" s="1" t="n">
        <v>46280</v>
      </c>
      <c r="F405" t="inlineStr">
        <is>
          <t>GÄVLEBORGS LÄN</t>
        </is>
      </c>
      <c r="G405" t="inlineStr">
        <is>
          <t>OCKELBO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46280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10268-2026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46280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öst AB</t>
        </is>
      </c>
      <c r="I407" t="n">
        <v>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46280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46077</v>
      </c>
      <c r="E409" s="1" t="n">
        <v>46280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öst AB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17224-2026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46119</v>
      </c>
      <c r="E410" s="1" t="n">
        <v>46280</v>
      </c>
      <c r="F410" t="inlineStr">
        <is>
          <t>GÄVLEBORGS LÄN</t>
        </is>
      </c>
      <c r="G410" t="inlineStr">
        <is>
          <t>OCKELBO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46280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öst AB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46280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46118</v>
      </c>
      <c r="E413" s="1" t="n">
        <v>46280</v>
      </c>
      <c r="F413" t="inlineStr">
        <is>
          <t>GÄVLEBORGS LÄN</t>
        </is>
      </c>
      <c r="G413" t="inlineStr">
        <is>
          <t>OCKELBO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10309-2026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46280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17709-2026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46280</v>
      </c>
      <c r="F415" t="inlineStr">
        <is>
          <t>GÄVLEBORGS LÄN</t>
        </is>
      </c>
      <c r="G415" t="inlineStr">
        <is>
          <t>OCKELBO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45966</v>
      </c>
      <c r="E416" s="1" t="n">
        <v>46280</v>
      </c>
      <c r="F416" t="inlineStr">
        <is>
          <t>GÄVLEBORGS LÄN</t>
        </is>
      </c>
      <c r="G416" t="inlineStr">
        <is>
          <t>OCKELBO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46280</v>
      </c>
      <c r="F417" t="inlineStr">
        <is>
          <t>GÄVLEBORGS LÄN</t>
        </is>
      </c>
      <c r="G417" t="inlineStr">
        <is>
          <t>OCKELBO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46280</v>
      </c>
      <c r="F418" t="inlineStr">
        <is>
          <t>GÄVLEBORGS LÄN</t>
        </is>
      </c>
      <c r="G418" t="inlineStr">
        <is>
          <t>OCKELBO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54879-2025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45967</v>
      </c>
      <c r="E419" s="1" t="n">
        <v>46280</v>
      </c>
      <c r="F419" t="inlineStr">
        <is>
          <t>GÄVLEBORGS LÄN</t>
        </is>
      </c>
      <c r="G419" t="inlineStr">
        <is>
          <t>OCKELBO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54880-2025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46280</v>
      </c>
      <c r="F420" t="inlineStr">
        <is>
          <t>GÄVLEBORGS LÄN</t>
        </is>
      </c>
      <c r="G420" t="inlineStr">
        <is>
          <t>OCKELBO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46049</v>
      </c>
      <c r="E421" s="1" t="n">
        <v>46280</v>
      </c>
      <c r="F421" t="inlineStr">
        <is>
          <t>GÄVLEBORGS LÄN</t>
        </is>
      </c>
      <c r="G421" t="inlineStr">
        <is>
          <t>OCKELBO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46280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46126</v>
      </c>
      <c r="E423" s="1" t="n">
        <v>46280</v>
      </c>
      <c r="F423" t="inlineStr">
        <is>
          <t>GÄVLEBORGS LÄN</t>
        </is>
      </c>
      <c r="G423" t="inlineStr">
        <is>
          <t>OCKELBO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46280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46280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18426-2026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46127</v>
      </c>
      <c r="E426" s="1" t="n">
        <v>46280</v>
      </c>
      <c r="F426" t="inlineStr">
        <is>
          <t>GÄVLEBORGS LÄN</t>
        </is>
      </c>
      <c r="G426" t="inlineStr">
        <is>
          <t>OCKELBO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15255-2026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46280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18513-2026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46280</v>
      </c>
      <c r="F428" t="inlineStr">
        <is>
          <t>GÄVLEBORGS LÄN</t>
        </is>
      </c>
      <c r="G428" t="inlineStr">
        <is>
          <t>OCKELBO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16572-2026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46280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18705-2026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46128</v>
      </c>
      <c r="E430" s="1" t="n">
        <v>46280</v>
      </c>
      <c r="F430" t="inlineStr">
        <is>
          <t>GÄVLEBORGS LÄN</t>
        </is>
      </c>
      <c r="G430" t="inlineStr">
        <is>
          <t>OCKELBO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46280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46128</v>
      </c>
      <c r="E432" s="1" t="n">
        <v>46280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46280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öst AB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46280</v>
      </c>
      <c r="F434" t="inlineStr">
        <is>
          <t>GÄVLEBORGS LÄN</t>
        </is>
      </c>
      <c r="G434" t="inlineStr">
        <is>
          <t>OCKELBO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45972</v>
      </c>
      <c r="E435" s="1" t="n">
        <v>46280</v>
      </c>
      <c r="F435" t="inlineStr">
        <is>
          <t>GÄVLEBORGS LÄN</t>
        </is>
      </c>
      <c r="G435" t="inlineStr">
        <is>
          <t>OCKELBO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19213-2026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46280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19271-2026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46280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46132</v>
      </c>
      <c r="E438" s="1" t="n">
        <v>46280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46280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46280</v>
      </c>
      <c r="F440" t="inlineStr">
        <is>
          <t>GÄVLEBORGS LÄN</t>
        </is>
      </c>
      <c r="G440" t="inlineStr">
        <is>
          <t>OCKELBO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46280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46280</v>
      </c>
      <c r="F442" t="inlineStr">
        <is>
          <t>GÄVLEBORGS LÄN</t>
        </is>
      </c>
      <c r="G442" t="inlineStr">
        <is>
          <t>OCKELBO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19424-2026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46280</v>
      </c>
      <c r="F443" t="inlineStr">
        <is>
          <t>GÄVLEBORGS LÄN</t>
        </is>
      </c>
      <c r="G443" t="inlineStr">
        <is>
          <t>OCKELBO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46280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17.7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46280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46280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55859-2025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45973</v>
      </c>
      <c r="E447" s="1" t="n">
        <v>46280</v>
      </c>
      <c r="F447" t="inlineStr">
        <is>
          <t>GÄVLEBORGS LÄN</t>
        </is>
      </c>
      <c r="G447" t="inlineStr">
        <is>
          <t>OCKELBO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46280</v>
      </c>
      <c r="F448" t="inlineStr">
        <is>
          <t>GÄVLEBORGS LÄN</t>
        </is>
      </c>
      <c r="G448" t="inlineStr">
        <is>
          <t>OCKELBO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55632-2025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45972</v>
      </c>
      <c r="E449" s="1" t="n">
        <v>46280</v>
      </c>
      <c r="F449" t="inlineStr">
        <is>
          <t>GÄVLEBORGS LÄN</t>
        </is>
      </c>
      <c r="G449" t="inlineStr">
        <is>
          <t>OCKELBO</t>
        </is>
      </c>
      <c r="I449" t="n">
        <v>7.8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45973</v>
      </c>
      <c r="E450" s="1" t="n">
        <v>46280</v>
      </c>
      <c r="F450" t="inlineStr">
        <is>
          <t>GÄVLEBORGS LÄN</t>
        </is>
      </c>
      <c r="G450" t="inlineStr">
        <is>
          <t>OCKELBO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46280</v>
      </c>
      <c r="F451" t="inlineStr">
        <is>
          <t>GÄVLEBORGS LÄN</t>
        </is>
      </c>
      <c r="G451" t="inlineStr">
        <is>
          <t>OCKELBO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46280</v>
      </c>
      <c r="F452" t="inlineStr">
        <is>
          <t>GÄVLEBORGS LÄN</t>
        </is>
      </c>
      <c r="G452" t="inlineStr">
        <is>
          <t>OCKELBO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45972</v>
      </c>
      <c r="E453" s="1" t="n">
        <v>46280</v>
      </c>
      <c r="F453" t="inlineStr">
        <is>
          <t>GÄVLEBORGS LÄN</t>
        </is>
      </c>
      <c r="G453" t="inlineStr">
        <is>
          <t>OCKELBO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46280</v>
      </c>
      <c r="F454" t="inlineStr">
        <is>
          <t>GÄVLEBORGS LÄN</t>
        </is>
      </c>
      <c r="G454" t="inlineStr">
        <is>
          <t>OCKELBO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55911-2025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45973</v>
      </c>
      <c r="E455" s="1" t="n">
        <v>46280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45973</v>
      </c>
      <c r="E456" s="1" t="n">
        <v>46280</v>
      </c>
      <c r="F456" t="inlineStr">
        <is>
          <t>GÄVLEBORGS LÄN</t>
        </is>
      </c>
      <c r="G456" t="inlineStr">
        <is>
          <t>OCKELBO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19603-2026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46280</v>
      </c>
      <c r="F457" t="inlineStr">
        <is>
          <t>GÄVLEBORGS LÄN</t>
        </is>
      </c>
      <c r="G457" t="inlineStr">
        <is>
          <t>OCKELBO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45975</v>
      </c>
      <c r="E458" s="1" t="n">
        <v>46280</v>
      </c>
      <c r="F458" t="inlineStr">
        <is>
          <t>GÄVLEBORGS LÄN</t>
        </is>
      </c>
      <c r="G458" t="inlineStr">
        <is>
          <t>OCKELBO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17117-2026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46280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46119</v>
      </c>
      <c r="E460" s="1" t="n">
        <v>46280</v>
      </c>
      <c r="F460" t="inlineStr">
        <is>
          <t>GÄVLEBORGS LÄN</t>
        </is>
      </c>
      <c r="G460" t="inlineStr">
        <is>
          <t>OCKELBO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46280</v>
      </c>
      <c r="F461" t="inlineStr">
        <is>
          <t>GÄVLEBORGS LÄN</t>
        </is>
      </c>
      <c r="G461" t="inlineStr">
        <is>
          <t>OCKELBO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19531-2026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46134</v>
      </c>
      <c r="E462" s="1" t="n">
        <v>46280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46280</v>
      </c>
      <c r="F463" t="inlineStr">
        <is>
          <t>GÄVLEBORGS LÄN</t>
        </is>
      </c>
      <c r="G463" t="inlineStr">
        <is>
          <t>OCKELBO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56877-2025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46280</v>
      </c>
      <c r="F464" t="inlineStr">
        <is>
          <t>GÄVLEBORGS LÄN</t>
        </is>
      </c>
      <c r="G464" t="inlineStr">
        <is>
          <t>OCKELBO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56888-2025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46280</v>
      </c>
      <c r="F465" t="inlineStr">
        <is>
          <t>GÄVLEBORGS LÄN</t>
        </is>
      </c>
      <c r="G465" t="inlineStr">
        <is>
          <t>OCKELBO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46280</v>
      </c>
      <c r="F466" t="inlineStr">
        <is>
          <t>GÄVLEBORGS LÄN</t>
        </is>
      </c>
      <c r="G466" t="inlineStr">
        <is>
          <t>OCKELBO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56921-2025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45978</v>
      </c>
      <c r="E467" s="1" t="n">
        <v>46280</v>
      </c>
      <c r="F467" t="inlineStr">
        <is>
          <t>GÄVLEBORGS LÄN</t>
        </is>
      </c>
      <c r="G467" t="inlineStr">
        <is>
          <t>OCKELBO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45978</v>
      </c>
      <c r="E468" s="1" t="n">
        <v>46280</v>
      </c>
      <c r="F468" t="inlineStr">
        <is>
          <t>GÄVLEBORGS LÄN</t>
        </is>
      </c>
      <c r="G468" t="inlineStr">
        <is>
          <t>OCKELBO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56876-2025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46280</v>
      </c>
      <c r="F469" t="inlineStr">
        <is>
          <t>GÄVLEBORGS LÄN</t>
        </is>
      </c>
      <c r="G469" t="inlineStr">
        <is>
          <t>OCKELBO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46280</v>
      </c>
      <c r="F470" t="inlineStr">
        <is>
          <t>GÄVLEBORGS LÄN</t>
        </is>
      </c>
      <c r="G470" t="inlineStr">
        <is>
          <t>OCKELBO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46043</v>
      </c>
      <c r="E471" s="1" t="n">
        <v>46280</v>
      </c>
      <c r="F471" t="inlineStr">
        <is>
          <t>GÄVLEBORGS LÄN</t>
        </is>
      </c>
      <c r="G471" t="inlineStr">
        <is>
          <t>OCKELBO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43538-2023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45184</v>
      </c>
      <c r="E472" s="1" t="n">
        <v>46280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8343-2026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46064</v>
      </c>
      <c r="E473" s="1" t="n">
        <v>46280</v>
      </c>
      <c r="F473" t="inlineStr">
        <is>
          <t>GÄVLEBORGS LÄN</t>
        </is>
      </c>
      <c r="G473" t="inlineStr">
        <is>
          <t>OCKELBO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46137</v>
      </c>
      <c r="E474" s="1" t="n">
        <v>46280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25404-2025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45800</v>
      </c>
      <c r="E475" s="1" t="n">
        <v>46280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46280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46280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50742-2025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45946</v>
      </c>
      <c r="E478" s="1" t="n">
        <v>46280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58295-2025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46280</v>
      </c>
      <c r="F479" t="inlineStr">
        <is>
          <t>GÄVLEBORGS LÄN</t>
        </is>
      </c>
      <c r="G479" t="inlineStr">
        <is>
          <t>OCKELBO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15694-2022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44663</v>
      </c>
      <c r="E480" s="1" t="n">
        <v>46280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30242-2024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45490</v>
      </c>
      <c r="E481" s="1" t="n">
        <v>46280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46316-2025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45925</v>
      </c>
      <c r="E482" s="1" t="n">
        <v>46280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46280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46280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46029</v>
      </c>
      <c r="E485" s="1" t="n">
        <v>46280</v>
      </c>
      <c r="F485" t="inlineStr">
        <is>
          <t>GÄVLEBORGS LÄN</t>
        </is>
      </c>
      <c r="G485" t="inlineStr">
        <is>
          <t>OCKELBO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58299-2025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45985</v>
      </c>
      <c r="E486" s="1" t="n">
        <v>46280</v>
      </c>
      <c r="F486" t="inlineStr">
        <is>
          <t>GÄVLEBORGS LÄN</t>
        </is>
      </c>
      <c r="G486" t="inlineStr">
        <is>
          <t>OCKELBO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36604-2025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45870</v>
      </c>
      <c r="E487" s="1" t="n">
        <v>46280</v>
      </c>
      <c r="F487" t="inlineStr">
        <is>
          <t>GÄVLEBORGS LÄN</t>
        </is>
      </c>
      <c r="G487" t="inlineStr">
        <is>
          <t>OCKELBO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45139</v>
      </c>
      <c r="E488" s="1" t="n">
        <v>46280</v>
      </c>
      <c r="F488" t="inlineStr">
        <is>
          <t>GÄVLEBORGS LÄN</t>
        </is>
      </c>
      <c r="G488" t="inlineStr">
        <is>
          <t>OCKELBO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58770-2025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46280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46280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5.5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58727-2025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46280</v>
      </c>
      <c r="F491" t="inlineStr">
        <is>
          <t>GÄVLEBORGS LÄN</t>
        </is>
      </c>
      <c r="G491" t="inlineStr">
        <is>
          <t>OCKELBO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46280</v>
      </c>
      <c r="F492" t="inlineStr">
        <is>
          <t>GÄVLEBORGS LÄN</t>
        </is>
      </c>
      <c r="G492" t="inlineStr">
        <is>
          <t>OCKELBO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62096-2024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45656</v>
      </c>
      <c r="E493" s="1" t="n">
        <v>46280</v>
      </c>
      <c r="F493" t="inlineStr">
        <is>
          <t>GÄVLEBORGS LÄN</t>
        </is>
      </c>
      <c r="G493" t="inlineStr">
        <is>
          <t>OCKELBO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20149-2026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46137</v>
      </c>
      <c r="E494" s="1" t="n">
        <v>46280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20150-2026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46137</v>
      </c>
      <c r="E495" s="1" t="n">
        <v>46280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59086-2025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46280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46280</v>
      </c>
      <c r="F497" t="inlineStr">
        <is>
          <t>GÄVLEBORGS LÄN</t>
        </is>
      </c>
      <c r="G497" t="inlineStr">
        <is>
          <t>OCKELBO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45803</v>
      </c>
      <c r="E498" s="1" t="n">
        <v>46280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42585-2023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45181</v>
      </c>
      <c r="E499" s="1" t="n">
        <v>46280</v>
      </c>
      <c r="F499" t="inlineStr">
        <is>
          <t>GÄVLEBORGS LÄN</t>
        </is>
      </c>
      <c r="G499" t="inlineStr">
        <is>
          <t>OCKELBO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45800</v>
      </c>
      <c r="E500" s="1" t="n">
        <v>46280</v>
      </c>
      <c r="F500" t="inlineStr">
        <is>
          <t>GÄVLEBORGS LÄN</t>
        </is>
      </c>
      <c r="G500" t="inlineStr">
        <is>
          <t>OCKELBO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52241-2024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45608</v>
      </c>
      <c r="E501" s="1" t="n">
        <v>46280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45608</v>
      </c>
      <c r="E502" s="1" t="n">
        <v>46280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46280</v>
      </c>
      <c r="F503" t="inlineStr">
        <is>
          <t>GÄVLEBORGS LÄN</t>
        </is>
      </c>
      <c r="G503" t="inlineStr">
        <is>
          <t>OCKELBO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46280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44700</v>
      </c>
      <c r="E505" s="1" t="n">
        <v>46280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61335-2022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44915</v>
      </c>
      <c r="E506" s="1" t="n">
        <v>46280</v>
      </c>
      <c r="F506" t="inlineStr">
        <is>
          <t>GÄVLEBORGS LÄN</t>
        </is>
      </c>
      <c r="G506" t="inlineStr">
        <is>
          <t>OCKELBO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28966-2025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45821</v>
      </c>
      <c r="E507" s="1" t="n">
        <v>46280</v>
      </c>
      <c r="F507" t="inlineStr">
        <is>
          <t>GÄVLEBORGS LÄN</t>
        </is>
      </c>
      <c r="G507" t="inlineStr">
        <is>
          <t>OCKELBO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60527-2025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45995</v>
      </c>
      <c r="E508" s="1" t="n">
        <v>46280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46280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60183-2025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45994</v>
      </c>
      <c r="E510" s="1" t="n">
        <v>46280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46280</v>
      </c>
      <c r="F511" t="inlineStr">
        <is>
          <t>GÄVLEBORGS LÄN</t>
        </is>
      </c>
      <c r="G511" t="inlineStr">
        <is>
          <t>OCKELBO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47841-2023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45204</v>
      </c>
      <c r="E512" s="1" t="n">
        <v>46280</v>
      </c>
      <c r="F512" t="inlineStr">
        <is>
          <t>GÄVLEBORGS LÄN</t>
        </is>
      </c>
      <c r="G512" t="inlineStr">
        <is>
          <t>OCKELBO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60616-2025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45996</v>
      </c>
      <c r="E513" s="1" t="n">
        <v>46280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46021</v>
      </c>
      <c r="E514" s="1" t="n">
        <v>46280</v>
      </c>
      <c r="F514" t="inlineStr">
        <is>
          <t>GÄVLEBORGS LÄN</t>
        </is>
      </c>
      <c r="G514" t="inlineStr">
        <is>
          <t>OCKELBO</t>
        </is>
      </c>
      <c r="I514" t="n">
        <v>18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20251-2026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46139</v>
      </c>
      <c r="E515" s="1" t="n">
        <v>46280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46280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20.4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61148-2025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46000</v>
      </c>
      <c r="E517" s="1" t="n">
        <v>46280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19924-2026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46136</v>
      </c>
      <c r="E518" s="1" t="n">
        <v>46280</v>
      </c>
      <c r="F518" t="inlineStr">
        <is>
          <t>GÄVLEBORGS LÄN</t>
        </is>
      </c>
      <c r="G518" t="inlineStr">
        <is>
          <t>OCKELBO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19945-2026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46136</v>
      </c>
      <c r="E519" s="1" t="n">
        <v>46280</v>
      </c>
      <c r="F519" t="inlineStr">
        <is>
          <t>GÄVLEBORGS LÄN</t>
        </is>
      </c>
      <c r="G519" t="inlineStr">
        <is>
          <t>OCKELBO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5571-2024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45334</v>
      </c>
      <c r="E520" s="1" t="n">
        <v>46280</v>
      </c>
      <c r="F520" t="inlineStr">
        <is>
          <t>GÄVLEBORGS LÄN</t>
        </is>
      </c>
      <c r="G520" t="inlineStr">
        <is>
          <t>OCKELBO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8253-2026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46280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60915-2024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46280</v>
      </c>
      <c r="F522" t="inlineStr">
        <is>
          <t>GÄVLEBORGS LÄN</t>
        </is>
      </c>
      <c r="G522" t="inlineStr">
        <is>
          <t>OCKELBO</t>
        </is>
      </c>
      <c r="H522" t="inlineStr">
        <is>
          <t>Kyrkan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46138</v>
      </c>
      <c r="E523" s="1" t="n">
        <v>46280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46280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8521-2026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46280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28586-2024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45478</v>
      </c>
      <c r="E526" s="1" t="n">
        <v>46280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46280</v>
      </c>
      <c r="F527" t="inlineStr">
        <is>
          <t>GÄVLEBORGS LÄN</t>
        </is>
      </c>
      <c r="G527" t="inlineStr">
        <is>
          <t>OCKELBO</t>
        </is>
      </c>
      <c r="I527" t="n">
        <v>14.7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45441</v>
      </c>
      <c r="E528" s="1" t="n">
        <v>46280</v>
      </c>
      <c r="F528" t="inlineStr">
        <is>
          <t>GÄVLEBORGS LÄN</t>
        </is>
      </c>
      <c r="G528" t="inlineStr">
        <is>
          <t>OCKELBO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59978-2023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46280</v>
      </c>
      <c r="F529" t="inlineStr">
        <is>
          <t>GÄVLEBORGS LÄN</t>
        </is>
      </c>
      <c r="G529" t="inlineStr">
        <is>
          <t>OCKELBO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46034</v>
      </c>
      <c r="E530" s="1" t="n">
        <v>46280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33079-2025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46280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46280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45817</v>
      </c>
      <c r="E533" s="1" t="n">
        <v>46280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23072-2024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45450</v>
      </c>
      <c r="E534" s="1" t="n">
        <v>46280</v>
      </c>
      <c r="F534" t="inlineStr">
        <is>
          <t>GÄVLEBORGS LÄN</t>
        </is>
      </c>
      <c r="G534" t="inlineStr">
        <is>
          <t>OCKELBO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10445-2024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45366</v>
      </c>
      <c r="E535" s="1" t="n">
        <v>46280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46280</v>
      </c>
      <c r="F536" t="inlineStr">
        <is>
          <t>GÄVLEBORGS LÄN</t>
        </is>
      </c>
      <c r="G536" t="inlineStr">
        <is>
          <t>OCKELBO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15484-2026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46280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46066</v>
      </c>
      <c r="E538" s="1" t="n">
        <v>46280</v>
      </c>
      <c r="F538" t="inlineStr">
        <is>
          <t>GÄVLEBORGS LÄN</t>
        </is>
      </c>
      <c r="G538" t="inlineStr">
        <is>
          <t>OCKELBO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46280</v>
      </c>
      <c r="F539" t="inlineStr">
        <is>
          <t>GÄVLEBORGS LÄN</t>
        </is>
      </c>
      <c r="G539" t="inlineStr">
        <is>
          <t>OCKELBO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46280</v>
      </c>
      <c r="F540" t="inlineStr">
        <is>
          <t>GÄVLEBORGS LÄN</t>
        </is>
      </c>
      <c r="G540" t="inlineStr">
        <is>
          <t>OCKELBO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46280</v>
      </c>
      <c r="F541" t="inlineStr">
        <is>
          <t>GÄVLEBORGS LÄN</t>
        </is>
      </c>
      <c r="G541" t="inlineStr">
        <is>
          <t>OCKELBO</t>
        </is>
      </c>
      <c r="I541" t="n">
        <v>11.9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46280</v>
      </c>
      <c r="F542" t="inlineStr">
        <is>
          <t>GÄVLEBORGS LÄN</t>
        </is>
      </c>
      <c r="G542" t="inlineStr">
        <is>
          <t>OCKELBO</t>
        </is>
      </c>
      <c r="I542" t="n">
        <v>36.1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20467-2026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46140</v>
      </c>
      <c r="E543" s="1" t="n">
        <v>46280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46280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30418-2023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45111</v>
      </c>
      <c r="E545" s="1" t="n">
        <v>46280</v>
      </c>
      <c r="F545" t="inlineStr">
        <is>
          <t>GÄVLEBORGS LÄN</t>
        </is>
      </c>
      <c r="G545" t="inlineStr">
        <is>
          <t>OCKELBO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30422-2023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45111</v>
      </c>
      <c r="E546" s="1" t="n">
        <v>46280</v>
      </c>
      <c r="F546" t="inlineStr">
        <is>
          <t>GÄVLEBORGS LÄN</t>
        </is>
      </c>
      <c r="G546" t="inlineStr">
        <is>
          <t>OCKELBO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46027</v>
      </c>
      <c r="E547" s="1" t="n">
        <v>46280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46056</v>
      </c>
      <c r="E548" s="1" t="n">
        <v>46280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29963-2024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45488</v>
      </c>
      <c r="E549" s="1" t="n">
        <v>46280</v>
      </c>
      <c r="F549" t="inlineStr">
        <is>
          <t>GÄVLEBORGS LÄN</t>
        </is>
      </c>
      <c r="G549" t="inlineStr">
        <is>
          <t>OCKELBO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46280</v>
      </c>
      <c r="F550" t="inlineStr">
        <is>
          <t>GÄVLEBORGS LÄN</t>
        </is>
      </c>
      <c r="G550" t="inlineStr">
        <is>
          <t>OCKELBO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22151-2022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44712</v>
      </c>
      <c r="E551" s="1" t="n">
        <v>46280</v>
      </c>
      <c r="F551" t="inlineStr">
        <is>
          <t>GÄVLEBORGS LÄN</t>
        </is>
      </c>
      <c r="G551" t="inlineStr">
        <is>
          <t>OCKELBO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7907-2026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46280</v>
      </c>
      <c r="F552" t="inlineStr">
        <is>
          <t>GÄVLEBORGS LÄN</t>
        </is>
      </c>
      <c r="G552" t="inlineStr">
        <is>
          <t>OCKELBO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20502-2026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46140</v>
      </c>
      <c r="E553" s="1" t="n">
        <v>46280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45301</v>
      </c>
      <c r="E554" s="1" t="n">
        <v>46280</v>
      </c>
      <c r="F554" t="inlineStr">
        <is>
          <t>GÄVLEBORGS LÄN</t>
        </is>
      </c>
      <c r="G554" t="inlineStr">
        <is>
          <t>OCKELBO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20641-2026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46141</v>
      </c>
      <c r="E555" s="1" t="n">
        <v>46280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55112-2023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45237</v>
      </c>
      <c r="E556" s="1" t="n">
        <v>46280</v>
      </c>
      <c r="F556" t="inlineStr">
        <is>
          <t>GÄVLEBORGS LÄN</t>
        </is>
      </c>
      <c r="G556" t="inlineStr">
        <is>
          <t>OCKELBO</t>
        </is>
      </c>
      <c r="I556" t="n">
        <v>14.6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9401-2026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46280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29953-2024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45488</v>
      </c>
      <c r="E558" s="1" t="n">
        <v>46280</v>
      </c>
      <c r="F558" t="inlineStr">
        <is>
          <t>GÄVLEBORGS LÄN</t>
        </is>
      </c>
      <c r="G558" t="inlineStr">
        <is>
          <t>OCKELBO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13857-2026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46280</v>
      </c>
      <c r="F559" t="inlineStr">
        <is>
          <t>GÄVLEBORGS LÄN</t>
        </is>
      </c>
      <c r="G559" t="inlineStr">
        <is>
          <t>OCKELBO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34792-2024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46280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20469-2026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46280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46280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15325-2025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46280</v>
      </c>
      <c r="F563" t="inlineStr">
        <is>
          <t>GÄVLEBORGS LÄN</t>
        </is>
      </c>
      <c r="G563" t="inlineStr">
        <is>
          <t>OCKELBO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46280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46091</v>
      </c>
      <c r="E565" s="1" t="n">
        <v>46280</v>
      </c>
      <c r="F565" t="inlineStr">
        <is>
          <t>GÄVLEBORGS LÄN</t>
        </is>
      </c>
      <c r="G565" t="inlineStr">
        <is>
          <t>OCKELBO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46280</v>
      </c>
      <c r="F566" t="inlineStr">
        <is>
          <t>GÄVLEBORGS LÄN</t>
        </is>
      </c>
      <c r="G566" t="inlineStr">
        <is>
          <t>OCKELBO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46280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23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46280</v>
      </c>
      <c r="F568" t="inlineStr">
        <is>
          <t>GÄVLEBORGS LÄN</t>
        </is>
      </c>
      <c r="G568" t="inlineStr">
        <is>
          <t>OCKELBO</t>
        </is>
      </c>
      <c r="I568" t="n">
        <v>10.3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46280</v>
      </c>
      <c r="F569" t="inlineStr">
        <is>
          <t>GÄVLEBORGS LÄN</t>
        </is>
      </c>
      <c r="G569" t="inlineStr">
        <is>
          <t>OCKELBO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10083-2026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46280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46280</v>
      </c>
      <c r="F571" t="inlineStr">
        <is>
          <t>GÄVLEBORGS LÄN</t>
        </is>
      </c>
      <c r="G571" t="inlineStr">
        <is>
          <t>OCKELBO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46280</v>
      </c>
      <c r="F572" t="inlineStr">
        <is>
          <t>GÄVLEBORGS LÄN</t>
        </is>
      </c>
      <c r="G572" t="inlineStr">
        <is>
          <t>OCKELBO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46034</v>
      </c>
      <c r="E573" s="1" t="n">
        <v>46280</v>
      </c>
      <c r="F573" t="inlineStr">
        <is>
          <t>GÄVLEBORGS LÄN</t>
        </is>
      </c>
      <c r="G573" t="inlineStr">
        <is>
          <t>OCKELBO</t>
        </is>
      </c>
      <c r="I573" t="n">
        <v>9.300000000000001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10489-2026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46077</v>
      </c>
      <c r="E574" s="1" t="n">
        <v>46280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29968-2024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45488</v>
      </c>
      <c r="E575" s="1" t="n">
        <v>46280</v>
      </c>
      <c r="F575" t="inlineStr">
        <is>
          <t>GÄVLEBORGS LÄN</t>
        </is>
      </c>
      <c r="G575" t="inlineStr">
        <is>
          <t>OCKELBO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20481-2026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46140</v>
      </c>
      <c r="E576" s="1" t="n">
        <v>46280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46063</v>
      </c>
      <c r="E577" s="1" t="n">
        <v>46280</v>
      </c>
      <c r="F577" t="inlineStr">
        <is>
          <t>GÄVLEBORGS LÄN</t>
        </is>
      </c>
      <c r="G577" t="inlineStr">
        <is>
          <t>OCKELBO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46142</v>
      </c>
      <c r="E578" s="1" t="n">
        <v>46280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46280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60117-2025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45994</v>
      </c>
      <c r="E580" s="1" t="n">
        <v>46280</v>
      </c>
      <c r="F580" t="inlineStr">
        <is>
          <t>GÄVLEBORGS LÄN</t>
        </is>
      </c>
      <c r="G580" t="inlineStr">
        <is>
          <t>OCKELBO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46146</v>
      </c>
      <c r="E581" s="1" t="n">
        <v>46280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46280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17951-2026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46122</v>
      </c>
      <c r="E583" s="1" t="n">
        <v>46280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6617-2025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45700</v>
      </c>
      <c r="E584" s="1" t="n">
        <v>46280</v>
      </c>
      <c r="F584" t="inlineStr">
        <is>
          <t>GÄVLEBORGS LÄN</t>
        </is>
      </c>
      <c r="G584" t="inlineStr">
        <is>
          <t>OCKELBO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18097-2026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46125</v>
      </c>
      <c r="E585" s="1" t="n">
        <v>46280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46280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öst AB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46280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öst AB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15908-2026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46107</v>
      </c>
      <c r="E588" s="1" t="n">
        <v>46280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öst AB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21461-2026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46148</v>
      </c>
      <c r="E589" s="1" t="n">
        <v>46280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21500-2026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46148</v>
      </c>
      <c r="E590" s="1" t="n">
        <v>46280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6742-2024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45342</v>
      </c>
      <c r="E591" s="1" t="n">
        <v>46280</v>
      </c>
      <c r="F591" t="inlineStr">
        <is>
          <t>GÄVLEBORGS LÄN</t>
        </is>
      </c>
      <c r="G591" t="inlineStr">
        <is>
          <t>OCKELBO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46280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21640-2026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46280</v>
      </c>
      <c r="F593" t="inlineStr">
        <is>
          <t>GÄVLEBORGS LÄN</t>
        </is>
      </c>
      <c r="G593" t="inlineStr">
        <is>
          <t>OCKELBO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46148</v>
      </c>
      <c r="E594" s="1" t="n">
        <v>46280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46280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21577-2026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46280</v>
      </c>
      <c r="F596" t="inlineStr">
        <is>
          <t>GÄVLEBORGS LÄN</t>
        </is>
      </c>
      <c r="G596" t="inlineStr">
        <is>
          <t>OCKELBO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46100</v>
      </c>
      <c r="E597" s="1" t="n">
        <v>46280</v>
      </c>
      <c r="F597" t="inlineStr">
        <is>
          <t>GÄVLEBORGS LÄN</t>
        </is>
      </c>
      <c r="G597" t="inlineStr">
        <is>
          <t>OCKELBO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7276-2023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44970</v>
      </c>
      <c r="E598" s="1" t="n">
        <v>46280</v>
      </c>
      <c r="F598" t="inlineStr">
        <is>
          <t>GÄVLEBORGS LÄN</t>
        </is>
      </c>
      <c r="G598" t="inlineStr">
        <is>
          <t>OCKELBO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46280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8865-2026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46066</v>
      </c>
      <c r="E600" s="1" t="n">
        <v>46280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46153</v>
      </c>
      <c r="E601" s="1" t="n">
        <v>46280</v>
      </c>
      <c r="F601" t="inlineStr">
        <is>
          <t>GÄVLEBORGS LÄN</t>
        </is>
      </c>
      <c r="G601" t="inlineStr">
        <is>
          <t>OCKELBO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46071</v>
      </c>
      <c r="E602" s="1" t="n">
        <v>46280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9.1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18645-2026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46280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22057-2026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46280</v>
      </c>
      <c r="F604" t="inlineStr">
        <is>
          <t>GÄVLEBORGS LÄN</t>
        </is>
      </c>
      <c r="G604" t="inlineStr">
        <is>
          <t>OCKELBO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16629-2025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45754</v>
      </c>
      <c r="E605" s="1" t="n">
        <v>46280</v>
      </c>
      <c r="F605" t="inlineStr">
        <is>
          <t>GÄVLEBORGS LÄN</t>
        </is>
      </c>
      <c r="G605" t="inlineStr">
        <is>
          <t>OCKELBO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46071</v>
      </c>
      <c r="E606" s="1" t="n">
        <v>46280</v>
      </c>
      <c r="F606" t="inlineStr">
        <is>
          <t>GÄVLEBORGS LÄN</t>
        </is>
      </c>
      <c r="G606" t="inlineStr">
        <is>
          <t>OCKELBO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5131-2024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45330</v>
      </c>
      <c r="E607" s="1" t="n">
        <v>46280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8408-2026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46280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58718-2025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45986</v>
      </c>
      <c r="E609" s="1" t="n">
        <v>46280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46280</v>
      </c>
      <c r="F610" t="inlineStr">
        <is>
          <t>GÄVLEBORGS LÄN</t>
        </is>
      </c>
      <c r="G610" t="inlineStr">
        <is>
          <t>OCKELBO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46609-2025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45926</v>
      </c>
      <c r="E611" s="1" t="n">
        <v>46280</v>
      </c>
      <c r="F611" t="inlineStr">
        <is>
          <t>GÄVLEBORGS LÄN</t>
        </is>
      </c>
      <c r="G611" t="inlineStr">
        <is>
          <t>OCKELBO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46280</v>
      </c>
      <c r="F612" t="inlineStr">
        <is>
          <t>GÄVLEBORGS LÄN</t>
        </is>
      </c>
      <c r="G612" t="inlineStr">
        <is>
          <t>OCKELBO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46280</v>
      </c>
      <c r="F613" t="inlineStr">
        <is>
          <t>GÄVLEBORGS LÄN</t>
        </is>
      </c>
      <c r="G613" t="inlineStr">
        <is>
          <t>OCKELBO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22460-2026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46155</v>
      </c>
      <c r="E614" s="1" t="n">
        <v>46280</v>
      </c>
      <c r="F614" t="inlineStr">
        <is>
          <t>GÄVLEBORGS LÄN</t>
        </is>
      </c>
      <c r="G614" t="inlineStr">
        <is>
          <t>OCKELBO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13210-2026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46093</v>
      </c>
      <c r="E615" s="1" t="n">
        <v>46280</v>
      </c>
      <c r="F615" t="inlineStr">
        <is>
          <t>GÄVLEBORGS LÄN</t>
        </is>
      </c>
      <c r="G615" t="inlineStr">
        <is>
          <t>OCKELBO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46280</v>
      </c>
      <c r="F616" t="inlineStr">
        <is>
          <t>GÄVLEBORGS LÄN</t>
        </is>
      </c>
      <c r="G616" t="inlineStr">
        <is>
          <t>OCKELBO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46280</v>
      </c>
      <c r="F617" t="inlineStr">
        <is>
          <t>GÄVLEBORGS LÄN</t>
        </is>
      </c>
      <c r="G617" t="inlineStr">
        <is>
          <t>OCKELBO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43071-2025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45909</v>
      </c>
      <c r="E618" s="1" t="n">
        <v>46280</v>
      </c>
      <c r="F618" t="inlineStr">
        <is>
          <t>GÄVLEBORGS LÄN</t>
        </is>
      </c>
      <c r="G618" t="inlineStr">
        <is>
          <t>OCKELBO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46280</v>
      </c>
      <c r="F619" t="inlineStr">
        <is>
          <t>GÄVLEBORGS LÄN</t>
        </is>
      </c>
      <c r="G619" t="inlineStr">
        <is>
          <t>OCKELBO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15034-2026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46104</v>
      </c>
      <c r="E620" s="1" t="n">
        <v>46280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12352-2026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46088</v>
      </c>
      <c r="E621" s="1" t="n">
        <v>46280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9.199999999999999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46044</v>
      </c>
      <c r="E622" s="1" t="n">
        <v>46280</v>
      </c>
      <c r="F622" t="inlineStr">
        <is>
          <t>GÄVLEBORGS LÄN</t>
        </is>
      </c>
      <c r="G622" t="inlineStr">
        <is>
          <t>OCKELBO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46280</v>
      </c>
      <c r="F623" t="inlineStr">
        <is>
          <t>GÄVLEBORGS LÄN</t>
        </is>
      </c>
      <c r="G623" t="inlineStr">
        <is>
          <t>OCKELBO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46280</v>
      </c>
      <c r="F624" t="inlineStr">
        <is>
          <t>GÄVLEBORGS LÄN</t>
        </is>
      </c>
      <c r="G624" t="inlineStr">
        <is>
          <t>OCKELBO</t>
        </is>
      </c>
      <c r="I624" t="n">
        <v>8.199999999999999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13233-2026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46280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60122-2025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45994</v>
      </c>
      <c r="E626" s="1" t="n">
        <v>46280</v>
      </c>
      <c r="F626" t="inlineStr">
        <is>
          <t>GÄVLEBORGS LÄN</t>
        </is>
      </c>
      <c r="G626" t="inlineStr">
        <is>
          <t>OCKELBO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60120-2025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45994</v>
      </c>
      <c r="E627" s="1" t="n">
        <v>46280</v>
      </c>
      <c r="F627" t="inlineStr">
        <is>
          <t>GÄVLEBORGS LÄN</t>
        </is>
      </c>
      <c r="G627" t="inlineStr">
        <is>
          <t>OCKELBO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22712-2026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46156</v>
      </c>
      <c r="E628" s="1" t="n">
        <v>46280</v>
      </c>
      <c r="F628" t="inlineStr">
        <is>
          <t>GÄVLEBORGS LÄN</t>
        </is>
      </c>
      <c r="G628" t="inlineStr">
        <is>
          <t>OCKELBO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29534-2023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46280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17862-2026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46122</v>
      </c>
      <c r="E630" s="1" t="n">
        <v>46280</v>
      </c>
      <c r="F630" t="inlineStr">
        <is>
          <t>GÄVLEBORGS LÄN</t>
        </is>
      </c>
      <c r="G630" t="inlineStr">
        <is>
          <t>OCKELBO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14474-2026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46100</v>
      </c>
      <c r="E631" s="1" t="n">
        <v>46280</v>
      </c>
      <c r="F631" t="inlineStr">
        <is>
          <t>GÄVLEBORGS LÄN</t>
        </is>
      </c>
      <c r="G631" t="inlineStr">
        <is>
          <t>OCKELBO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23040-2026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46161</v>
      </c>
      <c r="E632" s="1" t="n">
        <v>46280</v>
      </c>
      <c r="F632" t="inlineStr">
        <is>
          <t>GÄVLEBORGS LÄN</t>
        </is>
      </c>
      <c r="G632" t="inlineStr">
        <is>
          <t>OCKELBO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23060-2026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46280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46280</v>
      </c>
      <c r="F634" t="inlineStr">
        <is>
          <t>GÄVLEBORGS LÄN</t>
        </is>
      </c>
      <c r="G634" t="inlineStr">
        <is>
          <t>OCKELBO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22843-2026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46160</v>
      </c>
      <c r="E635" s="1" t="n">
        <v>46280</v>
      </c>
      <c r="F635" t="inlineStr">
        <is>
          <t>GÄVLEBORGS LÄN</t>
        </is>
      </c>
      <c r="G635" t="inlineStr">
        <is>
          <t>OCKELBO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46280</v>
      </c>
      <c r="F636" t="inlineStr">
        <is>
          <t>GÄVLEBORGS LÄN</t>
        </is>
      </c>
      <c r="G636" t="inlineStr">
        <is>
          <t>OCKELBO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23513-2026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46163</v>
      </c>
      <c r="E637" s="1" t="n">
        <v>46280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45716</v>
      </c>
      <c r="E638" s="1" t="n">
        <v>46280</v>
      </c>
      <c r="F638" t="inlineStr">
        <is>
          <t>GÄVLEBORGS LÄN</t>
        </is>
      </c>
      <c r="G638" t="inlineStr">
        <is>
          <t>OCKELBO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23663-2026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46164</v>
      </c>
      <c r="E639" s="1" t="n">
        <v>46280</v>
      </c>
      <c r="F639" t="inlineStr">
        <is>
          <t>GÄVLEBORGS LÄN</t>
        </is>
      </c>
      <c r="G639" t="inlineStr">
        <is>
          <t>OCKELBO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23786-2026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46164</v>
      </c>
      <c r="E640" s="1" t="n">
        <v>46280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46044</v>
      </c>
      <c r="E641" s="1" t="n">
        <v>46280</v>
      </c>
      <c r="F641" t="inlineStr">
        <is>
          <t>GÄVLEBORGS LÄN</t>
        </is>
      </c>
      <c r="G641" t="inlineStr">
        <is>
          <t>OCKELBO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24409-2026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46280</v>
      </c>
      <c r="F642" t="inlineStr">
        <is>
          <t>GÄVLEBORGS LÄN</t>
        </is>
      </c>
      <c r="G642" t="inlineStr">
        <is>
          <t>OCKELBO</t>
        </is>
      </c>
      <c r="I642" t="n">
        <v>8.1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46280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46280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24063-2026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46280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24335-2026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46169</v>
      </c>
      <c r="E646" s="1" t="n">
        <v>46280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24185-2026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46280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24408-2026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46280</v>
      </c>
      <c r="F648" t="inlineStr">
        <is>
          <t>GÄVLEBORGS LÄN</t>
        </is>
      </c>
      <c r="G648" t="inlineStr">
        <is>
          <t>OCKELBO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24059-2026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46280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24569-2026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46170</v>
      </c>
      <c r="E650" s="1" t="n">
        <v>46280</v>
      </c>
      <c r="F650" t="inlineStr">
        <is>
          <t>GÄVLEBORGS LÄN</t>
        </is>
      </c>
      <c r="G650" t="inlineStr">
        <is>
          <t>OCKELBO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24449-2026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46170</v>
      </c>
      <c r="E651" s="1" t="n">
        <v>46280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46280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24451-2026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46280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24598-2026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46280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24578-2026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46170</v>
      </c>
      <c r="E655" s="1" t="n">
        <v>46280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46280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11974-2026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46085</v>
      </c>
      <c r="E657" s="1" t="n">
        <v>46280</v>
      </c>
      <c r="F657" t="inlineStr">
        <is>
          <t>GÄVLEBORGS LÄN</t>
        </is>
      </c>
      <c r="G657" t="inlineStr">
        <is>
          <t>OCKELBO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46023</v>
      </c>
      <c r="E658" s="1" t="n">
        <v>46280</v>
      </c>
      <c r="F658" t="inlineStr">
        <is>
          <t>GÄVLEBORGS LÄN</t>
        </is>
      </c>
      <c r="G658" t="inlineStr">
        <is>
          <t>OCKELBO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46280</v>
      </c>
      <c r="F659" t="inlineStr">
        <is>
          <t>GÄVLEBORGS LÄN</t>
        </is>
      </c>
      <c r="G659" t="inlineStr">
        <is>
          <t>OCKELBO</t>
        </is>
      </c>
      <c r="I659" t="n">
        <v>6.2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45967</v>
      </c>
      <c r="E660" s="1" t="n">
        <v>46280</v>
      </c>
      <c r="F660" t="inlineStr">
        <is>
          <t>GÄVLEBORGS LÄN</t>
        </is>
      </c>
      <c r="G660" t="inlineStr">
        <is>
          <t>OCKELBO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24952-2026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46174</v>
      </c>
      <c r="E661" s="1" t="n">
        <v>46280</v>
      </c>
      <c r="F661" t="inlineStr">
        <is>
          <t>GÄVLEBORGS LÄN</t>
        </is>
      </c>
      <c r="G661" t="inlineStr">
        <is>
          <t>OCKELBO</t>
        </is>
      </c>
      <c r="I661" t="n">
        <v>7.9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24974-2026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46280</v>
      </c>
      <c r="F662" t="inlineStr">
        <is>
          <t>GÄVLEBORGS LÄN</t>
        </is>
      </c>
      <c r="G662" t="inlineStr">
        <is>
          <t>OCKELBO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24624-2026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46171</v>
      </c>
      <c r="E663" s="1" t="n">
        <v>46280</v>
      </c>
      <c r="F663" t="inlineStr">
        <is>
          <t>GÄVLEBORGS LÄN</t>
        </is>
      </c>
      <c r="G663" t="inlineStr">
        <is>
          <t>OCKELBO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25128-2026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46175</v>
      </c>
      <c r="E664" s="1" t="n">
        <v>46280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25133-2026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46280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50968-2024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45603</v>
      </c>
      <c r="E666" s="1" t="n">
        <v>46280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46177</v>
      </c>
      <c r="E667" s="1" t="n">
        <v>46280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9.4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46177</v>
      </c>
      <c r="E668" s="1" t="n">
        <v>46280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22692-2026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46156</v>
      </c>
      <c r="E669" s="1" t="n">
        <v>46280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26131-2026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46280</v>
      </c>
      <c r="F670" t="inlineStr">
        <is>
          <t>GÄVLEBORGS LÄN</t>
        </is>
      </c>
      <c r="G670" t="inlineStr">
        <is>
          <t>OCKELBO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26808-2026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46280</v>
      </c>
      <c r="F671" t="inlineStr">
        <is>
          <t>GÄVLEBORGS LÄN</t>
        </is>
      </c>
      <c r="G671" t="inlineStr">
        <is>
          <t>OCKELBO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46280</v>
      </c>
      <c r="F672" t="inlineStr">
        <is>
          <t>GÄVLEBORGS LÄN</t>
        </is>
      </c>
      <c r="G672" t="inlineStr">
        <is>
          <t>OCKELBO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27231-2026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46188</v>
      </c>
      <c r="E673" s="1" t="n">
        <v>46280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27272-2026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46188</v>
      </c>
      <c r="E674" s="1" t="n">
        <v>46280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26924-2026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46280</v>
      </c>
      <c r="F675" t="inlineStr">
        <is>
          <t>GÄVLEBORGS LÄN</t>
        </is>
      </c>
      <c r="G675" t="inlineStr">
        <is>
          <t>OCKELBO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26843-2026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46280</v>
      </c>
      <c r="F676" t="inlineStr">
        <is>
          <t>GÄVLEBORGS LÄN</t>
        </is>
      </c>
      <c r="G676" t="inlineStr">
        <is>
          <t>OCKELBO</t>
        </is>
      </c>
      <c r="I676" t="n">
        <v>14.6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26845-2026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46280</v>
      </c>
      <c r="F677" t="inlineStr">
        <is>
          <t>GÄVLEBORGS LÄN</t>
        </is>
      </c>
      <c r="G677" t="inlineStr">
        <is>
          <t>OCKELBO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27562-2026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46190</v>
      </c>
      <c r="E678" s="1" t="n">
        <v>46280</v>
      </c>
      <c r="F678" t="inlineStr">
        <is>
          <t>GÄVLEBORGS LÄN</t>
        </is>
      </c>
      <c r="G678" t="inlineStr">
        <is>
          <t>OCKELBO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57614-2025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45981</v>
      </c>
      <c r="E679" s="1" t="n">
        <v>46280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10184-2026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46076</v>
      </c>
      <c r="E680" s="1" t="n">
        <v>46280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46190</v>
      </c>
      <c r="E681" s="1" t="n">
        <v>46280</v>
      </c>
      <c r="F681" t="inlineStr">
        <is>
          <t>GÄVLEBORGS LÄN</t>
        </is>
      </c>
      <c r="G681" t="inlineStr">
        <is>
          <t>OCKELBO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27623-2026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46280</v>
      </c>
      <c r="F682" t="inlineStr">
        <is>
          <t>GÄVLEBORGS LÄN</t>
        </is>
      </c>
      <c r="G682" t="inlineStr">
        <is>
          <t>OCKELBO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27630-2026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46190</v>
      </c>
      <c r="E683" s="1" t="n">
        <v>46280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53702-2024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45615</v>
      </c>
      <c r="E684" s="1" t="n">
        <v>46280</v>
      </c>
      <c r="F684" t="inlineStr">
        <is>
          <t>GÄVLEBORGS LÄN</t>
        </is>
      </c>
      <c r="G684" t="inlineStr">
        <is>
          <t>OCKELBO</t>
        </is>
      </c>
      <c r="I684" t="n">
        <v>5.8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46280</v>
      </c>
      <c r="F685" t="inlineStr">
        <is>
          <t>GÄVLEBORGS LÄN</t>
        </is>
      </c>
      <c r="G685" t="inlineStr">
        <is>
          <t>OCKELBO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27383-2026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46189</v>
      </c>
      <c r="E686" s="1" t="n">
        <v>46280</v>
      </c>
      <c r="F686" t="inlineStr">
        <is>
          <t>GÄVLEBORGS LÄN</t>
        </is>
      </c>
      <c r="G686" t="inlineStr">
        <is>
          <t>OCKELBO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27416-2026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46189</v>
      </c>
      <c r="E687" s="1" t="n">
        <v>46280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27379-2026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46189</v>
      </c>
      <c r="E688" s="1" t="n">
        <v>46280</v>
      </c>
      <c r="F688" t="inlineStr">
        <is>
          <t>GÄVLEBORGS LÄN</t>
        </is>
      </c>
      <c r="G688" t="inlineStr">
        <is>
          <t>OCKELBO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27382-2026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46189</v>
      </c>
      <c r="E689" s="1" t="n">
        <v>46280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27889-2026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46191</v>
      </c>
      <c r="E690" s="1" t="n">
        <v>46280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46055</v>
      </c>
      <c r="E691" s="1" t="n">
        <v>46280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28318-2026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46280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28289-2026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46196</v>
      </c>
      <c r="E693" s="1" t="n">
        <v>46280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28317-2026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46196</v>
      </c>
      <c r="E694" s="1" t="n">
        <v>46280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27995-2026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46195</v>
      </c>
      <c r="E695" s="1" t="n">
        <v>46280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45674</v>
      </c>
      <c r="E696" s="1" t="n">
        <v>46280</v>
      </c>
      <c r="F696" t="inlineStr">
        <is>
          <t>GÄVLEBORGS LÄN</t>
        </is>
      </c>
      <c r="G696" t="inlineStr">
        <is>
          <t>OCKELBO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60148-2023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45258</v>
      </c>
      <c r="E697" s="1" t="n">
        <v>46280</v>
      </c>
      <c r="F697" t="inlineStr">
        <is>
          <t>GÄVLEBORGS LÄN</t>
        </is>
      </c>
      <c r="G697" t="inlineStr">
        <is>
          <t>OCKELBO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28672-2026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46280</v>
      </c>
      <c r="F698" t="inlineStr">
        <is>
          <t>GÄVLEBORGS LÄN</t>
        </is>
      </c>
      <c r="G698" t="inlineStr">
        <is>
          <t>OCKELBO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28725-2026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46280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28681-2026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46280</v>
      </c>
      <c r="F700" t="inlineStr">
        <is>
          <t>GÄVLEBORGS LÄN</t>
        </is>
      </c>
      <c r="G700" t="inlineStr">
        <is>
          <t>OCKELBO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29078-2026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46199</v>
      </c>
      <c r="E701" s="1" t="n">
        <v>46280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47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65259-2023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45291</v>
      </c>
      <c r="E702" s="1" t="n">
        <v>46280</v>
      </c>
      <c r="F702" t="inlineStr">
        <is>
          <t>GÄVLEBORGS LÄN</t>
        </is>
      </c>
      <c r="G702" t="inlineStr">
        <is>
          <t>OCKELBO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56352-2024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46280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29001-2026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46199</v>
      </c>
      <c r="E704" s="1" t="n">
        <v>46280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4257-2026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46045</v>
      </c>
      <c r="E705" s="1" t="n">
        <v>46280</v>
      </c>
      <c r="F705" t="inlineStr">
        <is>
          <t>GÄVLEBORGS LÄN</t>
        </is>
      </c>
      <c r="G705" t="inlineStr">
        <is>
          <t>OCKELBO</t>
        </is>
      </c>
      <c r="I705" t="n">
        <v>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33176-2026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46245</v>
      </c>
      <c r="E706" s="1" t="n">
        <v>46280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26481-2026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46183</v>
      </c>
      <c r="E707" s="1" t="n">
        <v>46280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14827-2026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46104</v>
      </c>
      <c r="E708" s="1" t="n">
        <v>46280</v>
      </c>
      <c r="F708" t="inlineStr">
        <is>
          <t>GÄVLEBORGS LÄN</t>
        </is>
      </c>
      <c r="G708" t="inlineStr">
        <is>
          <t>OCKELBO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29611-2026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46280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29437-2026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46280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29386-2026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46203</v>
      </c>
      <c r="E711" s="1" t="n">
        <v>46280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29415-2026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46203</v>
      </c>
      <c r="E712" s="1" t="n">
        <v>46280</v>
      </c>
      <c r="F712" t="inlineStr">
        <is>
          <t>GÄVLEBORGS LÄN</t>
        </is>
      </c>
      <c r="G712" t="inlineStr">
        <is>
          <t>OCKELBO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46280</v>
      </c>
      <c r="F713" t="inlineStr">
        <is>
          <t>GÄVLEBORGS LÄN</t>
        </is>
      </c>
      <c r="G713" t="inlineStr">
        <is>
          <t>OCKELBO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30031-2026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46206</v>
      </c>
      <c r="E714" s="1" t="n">
        <v>46280</v>
      </c>
      <c r="F714" t="inlineStr">
        <is>
          <t>GÄVLEBORGS LÄN</t>
        </is>
      </c>
      <c r="G714" t="inlineStr">
        <is>
          <t>OCKELBO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29789-2026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46280</v>
      </c>
      <c r="F715" t="inlineStr">
        <is>
          <t>GÄVLEBORGS LÄN</t>
        </is>
      </c>
      <c r="G715" t="inlineStr">
        <is>
          <t>OCKELBO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29835-2026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46280</v>
      </c>
      <c r="F716" t="inlineStr">
        <is>
          <t>GÄVLEBORGS LÄN</t>
        </is>
      </c>
      <c r="G716" t="inlineStr">
        <is>
          <t>OCKELBO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39430-2024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45551</v>
      </c>
      <c r="E717" s="1" t="n">
        <v>46280</v>
      </c>
      <c r="F717" t="inlineStr">
        <is>
          <t>GÄVLEBORGS LÄN</t>
        </is>
      </c>
      <c r="G717" t="inlineStr">
        <is>
          <t>OCKELBO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34391-2026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46254</v>
      </c>
      <c r="E718" s="1" t="n">
        <v>46280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6.5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31083-2026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46216</v>
      </c>
      <c r="E719" s="1" t="n">
        <v>46280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46258</v>
      </c>
      <c r="E720" s="1" t="n">
        <v>46280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46052</v>
      </c>
      <c r="E721" s="1" t="n">
        <v>46280</v>
      </c>
      <c r="F721" t="inlineStr">
        <is>
          <t>GÄVLEBORGS LÄN</t>
        </is>
      </c>
      <c r="G721" t="inlineStr">
        <is>
          <t>OCKELBO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30990-2026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46280</v>
      </c>
      <c r="F722" t="inlineStr">
        <is>
          <t>GÄVLEBORGS LÄN</t>
        </is>
      </c>
      <c r="G722" t="inlineStr">
        <is>
          <t>OCKELBO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46260</v>
      </c>
      <c r="E723" s="1" t="n">
        <v>46280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46218</v>
      </c>
      <c r="E724" s="1" t="n">
        <v>46280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61732-2024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45649</v>
      </c>
      <c r="E725" s="1" t="n">
        <v>46280</v>
      </c>
      <c r="F725" t="inlineStr">
        <is>
          <t>GÄVLEBORGS LÄN</t>
        </is>
      </c>
      <c r="G725" t="inlineStr">
        <is>
          <t>OCKELBO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9461-2026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46071</v>
      </c>
      <c r="E726" s="1" t="n">
        <v>46280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31443-2026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46220</v>
      </c>
      <c r="E727" s="1" t="n">
        <v>46280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46098</v>
      </c>
      <c r="E728" s="1" t="n">
        <v>46280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58156-2025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45982</v>
      </c>
      <c r="E729" s="1" t="n">
        <v>46280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50197-2024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45600</v>
      </c>
      <c r="E730" s="1" t="n">
        <v>46280</v>
      </c>
      <c r="F730" t="inlineStr">
        <is>
          <t>GÄVLEBORGS LÄN</t>
        </is>
      </c>
      <c r="G730" t="inlineStr">
        <is>
          <t>OCKELBO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36097-2026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46267</v>
      </c>
      <c r="E731" s="1" t="n">
        <v>46280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31519-2026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46223</v>
      </c>
      <c r="E732" s="1" t="n">
        <v>46280</v>
      </c>
      <c r="F732" t="inlineStr">
        <is>
          <t>GÄVLEBORGS LÄN</t>
        </is>
      </c>
      <c r="G732" t="inlineStr">
        <is>
          <t>OCKELBO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31517-2026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46223</v>
      </c>
      <c r="E733" s="1" t="n">
        <v>46280</v>
      </c>
      <c r="F733" t="inlineStr">
        <is>
          <t>GÄVLEBORGS LÄN</t>
        </is>
      </c>
      <c r="G733" t="inlineStr">
        <is>
          <t>OCKELBO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31591-2026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46224</v>
      </c>
      <c r="E734" s="1" t="n">
        <v>46280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46280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31571-2026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46224</v>
      </c>
      <c r="E736" s="1" t="n">
        <v>46280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36280-2026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46268</v>
      </c>
      <c r="E737" s="1" t="n">
        <v>46280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36562-2026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46269</v>
      </c>
      <c r="E738" s="1" t="n">
        <v>46280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46269</v>
      </c>
      <c r="E739" s="1" t="n">
        <v>46280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36380-2026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46268</v>
      </c>
      <c r="E740" s="1" t="n">
        <v>46280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23772-2024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45455</v>
      </c>
      <c r="E741" s="1" t="n">
        <v>46280</v>
      </c>
      <c r="F741" t="inlineStr">
        <is>
          <t>GÄVLEBORGS LÄN</t>
        </is>
      </c>
      <c r="G741" t="inlineStr">
        <is>
          <t>OCKELBO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31804-2026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46230</v>
      </c>
      <c r="E742" s="1" t="n">
        <v>46280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54817-2022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44883</v>
      </c>
      <c r="E743" s="1" t="n">
        <v>46280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31971-2026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46232</v>
      </c>
      <c r="E744" s="1" t="n">
        <v>46280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46275</v>
      </c>
      <c r="E745" s="1" t="n">
        <v>46280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40196-2024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45554</v>
      </c>
      <c r="E746" s="1" t="n">
        <v>46280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37110-2026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46274</v>
      </c>
      <c r="E747" s="1" t="n">
        <v>46280</v>
      </c>
      <c r="F747" t="inlineStr">
        <is>
          <t>GÄVLEBORGS LÄN</t>
        </is>
      </c>
      <c r="G747" t="inlineStr">
        <is>
          <t>OCKELBO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54977-2024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45620</v>
      </c>
      <c r="E748" s="1" t="n">
        <v>46280</v>
      </c>
      <c r="F748" t="inlineStr">
        <is>
          <t>GÄVLEBORGS LÄN</t>
        </is>
      </c>
      <c r="G748" t="inlineStr">
        <is>
          <t>OCKELBO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47674-2023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45203</v>
      </c>
      <c r="E749" s="1" t="n">
        <v>46280</v>
      </c>
      <c r="F749" t="inlineStr">
        <is>
          <t>GÄVLEBORGS LÄN</t>
        </is>
      </c>
      <c r="G749" t="inlineStr">
        <is>
          <t>OCKELBO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37487-2026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46275</v>
      </c>
      <c r="E750" s="1" t="n">
        <v>46280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46280</v>
      </c>
      <c r="F751" t="inlineStr">
        <is>
          <t>GÄVLEBORGS LÄN</t>
        </is>
      </c>
      <c r="G751" t="inlineStr">
        <is>
          <t>OCKELBO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46279</v>
      </c>
      <c r="E752" s="1" t="n">
        <v>46280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20408-2026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46140</v>
      </c>
      <c r="E753" s="1" t="n">
        <v>46280</v>
      </c>
      <c r="F753" t="inlineStr">
        <is>
          <t>GÄVLEBORGS LÄN</t>
        </is>
      </c>
      <c r="G753" t="inlineStr">
        <is>
          <t>OCKELBO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14937-2024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45398</v>
      </c>
      <c r="E754" s="1" t="n">
        <v>46280</v>
      </c>
      <c r="F754" t="inlineStr">
        <is>
          <t>GÄVLEBORGS LÄN</t>
        </is>
      </c>
      <c r="G754" t="inlineStr">
        <is>
          <t>OCKELBO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33880-2023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45134</v>
      </c>
      <c r="E755" s="1" t="n">
        <v>46280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33881-2023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45134</v>
      </c>
      <c r="E756" s="1" t="n">
        <v>46280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61456-2024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45646</v>
      </c>
      <c r="E757" s="1" t="n">
        <v>46280</v>
      </c>
      <c r="F757" t="inlineStr">
        <is>
          <t>GÄVLEBORGS LÄN</t>
        </is>
      </c>
      <c r="G757" t="inlineStr">
        <is>
          <t>OCKELBO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44281-2022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44839</v>
      </c>
      <c r="E758" s="1" t="n">
        <v>46280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60497-2021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44496</v>
      </c>
      <c r="E759" s="1" t="n">
        <v>46280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6396-2025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45699</v>
      </c>
      <c r="E760" s="1" t="n">
        <v>46280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43550-2023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45184</v>
      </c>
      <c r="E761" s="1" t="n">
        <v>46280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32123-2024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45511</v>
      </c>
      <c r="E762" s="1" t="n">
        <v>46280</v>
      </c>
      <c r="F762" t="inlineStr">
        <is>
          <t>GÄVLEBORGS LÄN</t>
        </is>
      </c>
      <c r="G762" t="inlineStr">
        <is>
          <t>OCKELBO</t>
        </is>
      </c>
      <c r="I762" t="n">
        <v>11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40140-2022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44820</v>
      </c>
      <c r="E763" s="1" t="n">
        <v>46280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36343-2023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45152</v>
      </c>
      <c r="E764" s="1" t="n">
        <v>46280</v>
      </c>
      <c r="F764" t="inlineStr">
        <is>
          <t>GÄVLEBORGS LÄN</t>
        </is>
      </c>
      <c r="G764" t="inlineStr">
        <is>
          <t>OCKELBO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12983-2022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44643</v>
      </c>
      <c r="E765" s="1" t="n">
        <v>46280</v>
      </c>
      <c r="F765" t="inlineStr">
        <is>
          <t>GÄVLEBORGS LÄN</t>
        </is>
      </c>
      <c r="G765" t="inlineStr">
        <is>
          <t>OCKELBO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56631-2022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44893</v>
      </c>
      <c r="E766" s="1" t="n">
        <v>46280</v>
      </c>
      <c r="F766" t="inlineStr">
        <is>
          <t>GÄVLEBORGS LÄN</t>
        </is>
      </c>
      <c r="G766" t="inlineStr">
        <is>
          <t>OCKELBO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29687-2023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46280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56634-2023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45243</v>
      </c>
      <c r="E768" s="1" t="n">
        <v>46280</v>
      </c>
      <c r="F768" t="inlineStr">
        <is>
          <t>GÄVLEBORGS LÄN</t>
        </is>
      </c>
      <c r="G768" t="inlineStr">
        <is>
          <t>OCKELBO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1716-2025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45671</v>
      </c>
      <c r="E769" s="1" t="n">
        <v>46280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49207-2023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45210</v>
      </c>
      <c r="E770" s="1" t="n">
        <v>46280</v>
      </c>
      <c r="F770" t="inlineStr">
        <is>
          <t>GÄVLEBORGS LÄN</t>
        </is>
      </c>
      <c r="G770" t="inlineStr">
        <is>
          <t>OCKELBO</t>
        </is>
      </c>
      <c r="I770" t="n">
        <v>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48804-2024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45593</v>
      </c>
      <c r="E771" s="1" t="n">
        <v>46280</v>
      </c>
      <c r="F771" t="inlineStr">
        <is>
          <t>GÄVLEBORGS LÄN</t>
        </is>
      </c>
      <c r="G771" t="inlineStr">
        <is>
          <t>OCKELBO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3034-2025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45678</v>
      </c>
      <c r="E772" s="1" t="n">
        <v>46280</v>
      </c>
      <c r="F772" t="inlineStr">
        <is>
          <t>GÄVLEBORGS LÄN</t>
        </is>
      </c>
      <c r="G772" t="inlineStr">
        <is>
          <t>OCKELBO</t>
        </is>
      </c>
      <c r="I772" t="n">
        <v>8.1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37438-2023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45156</v>
      </c>
      <c r="E773" s="1" t="n">
        <v>46280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2555-2025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45674</v>
      </c>
      <c r="E774" s="1" t="n">
        <v>46280</v>
      </c>
      <c r="F774" t="inlineStr">
        <is>
          <t>GÄVLEBORGS LÄN</t>
        </is>
      </c>
      <c r="G774" t="inlineStr">
        <is>
          <t>OCKELBO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34944-2024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45527</v>
      </c>
      <c r="E775" s="1" t="n">
        <v>46280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32301-2022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44781</v>
      </c>
      <c r="E776" s="1" t="n">
        <v>46280</v>
      </c>
      <c r="F776" t="inlineStr">
        <is>
          <t>GÄVLEBORGS LÄN</t>
        </is>
      </c>
      <c r="G776" t="inlineStr">
        <is>
          <t>OCKELBO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61116-2023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45261</v>
      </c>
      <c r="E777" s="1" t="n">
        <v>46280</v>
      </c>
      <c r="F777" t="inlineStr">
        <is>
          <t>GÄVLEBORGS LÄN</t>
        </is>
      </c>
      <c r="G777" t="inlineStr">
        <is>
          <t>OCKELBO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17730-2025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45758</v>
      </c>
      <c r="E778" s="1" t="n">
        <v>46280</v>
      </c>
      <c r="F778" t="inlineStr">
        <is>
          <t>GÄVLEBORGS LÄN</t>
        </is>
      </c>
      <c r="G778" t="inlineStr">
        <is>
          <t>OCKELBO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36362-2024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45534</v>
      </c>
      <c r="E779" s="1" t="n">
        <v>46280</v>
      </c>
      <c r="F779" t="inlineStr">
        <is>
          <t>GÄVLEBORGS LÄN</t>
        </is>
      </c>
      <c r="G779" t="inlineStr">
        <is>
          <t>OCKELBO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5558-2024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45334</v>
      </c>
      <c r="E780" s="1" t="n">
        <v>46280</v>
      </c>
      <c r="F780" t="inlineStr">
        <is>
          <t>GÄVLEBORGS LÄN</t>
        </is>
      </c>
      <c r="G780" t="inlineStr">
        <is>
          <t>OCKELBO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52335-2024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45609</v>
      </c>
      <c r="E781" s="1" t="n">
        <v>46280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15966-2023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45022</v>
      </c>
      <c r="E782" s="1" t="n">
        <v>46280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34444-2023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45139</v>
      </c>
      <c r="E783" s="1" t="n">
        <v>46280</v>
      </c>
      <c r="F783" t="inlineStr">
        <is>
          <t>GÄVLEBORGS LÄN</t>
        </is>
      </c>
      <c r="G783" t="inlineStr">
        <is>
          <t>OCKELBO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55070-2023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45237</v>
      </c>
      <c r="E784" s="1" t="n">
        <v>46280</v>
      </c>
      <c r="F784" t="inlineStr">
        <is>
          <t>GÄVLEBORGS LÄN</t>
        </is>
      </c>
      <c r="G784" t="inlineStr">
        <is>
          <t>OCKELBO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6194-2025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45698</v>
      </c>
      <c r="E785" s="1" t="n">
        <v>46280</v>
      </c>
      <c r="F785" t="inlineStr">
        <is>
          <t>GÄVLEBORGS LÄN</t>
        </is>
      </c>
      <c r="G785" t="inlineStr">
        <is>
          <t>OCKELBO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11734-2025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45727</v>
      </c>
      <c r="E786" s="1" t="n">
        <v>46280</v>
      </c>
      <c r="F786" t="inlineStr">
        <is>
          <t>GÄVLEBORGS LÄN</t>
        </is>
      </c>
      <c r="G786" t="inlineStr">
        <is>
          <t>OCKELBO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30798-2024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45497</v>
      </c>
      <c r="E787" s="1" t="n">
        <v>46280</v>
      </c>
      <c r="F787" t="inlineStr">
        <is>
          <t>GÄVLEBORGS LÄN</t>
        </is>
      </c>
      <c r="G787" t="inlineStr">
        <is>
          <t>OCKELBO</t>
        </is>
      </c>
      <c r="I787" t="n">
        <v>8.699999999999999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43799-2022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44838</v>
      </c>
      <c r="E788" s="1" t="n">
        <v>46280</v>
      </c>
      <c r="F788" t="inlineStr">
        <is>
          <t>GÄVLEBORGS LÄN</t>
        </is>
      </c>
      <c r="G788" t="inlineStr">
        <is>
          <t>OCKELBO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37391-2023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45156</v>
      </c>
      <c r="E789" s="1" t="n">
        <v>46280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33987-2023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45134</v>
      </c>
      <c r="E790" s="1" t="n">
        <v>46280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33879-2023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45134</v>
      </c>
      <c r="E791" s="1" t="n">
        <v>46280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49529-2024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46280</v>
      </c>
      <c r="F792" t="inlineStr">
        <is>
          <t>GÄVLEBORGS LÄN</t>
        </is>
      </c>
      <c r="G792" t="inlineStr">
        <is>
          <t>OCKELBO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56034-2023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45240</v>
      </c>
      <c r="E793" s="1" t="n">
        <v>46280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52330-2024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45609</v>
      </c>
      <c r="E794" s="1" t="n">
        <v>46280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34449-2023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45139</v>
      </c>
      <c r="E795" s="1" t="n">
        <v>46280</v>
      </c>
      <c r="F795" t="inlineStr">
        <is>
          <t>GÄVLEBORGS LÄN</t>
        </is>
      </c>
      <c r="G795" t="inlineStr">
        <is>
          <t>OCKELBO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37845-2024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45544</v>
      </c>
      <c r="E796" s="1" t="n">
        <v>46280</v>
      </c>
      <c r="F796" t="inlineStr">
        <is>
          <t>GÄVLEBORGS LÄN</t>
        </is>
      </c>
      <c r="G796" t="inlineStr">
        <is>
          <t>OCKELBO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28965-2024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45481</v>
      </c>
      <c r="E797" s="1" t="n">
        <v>46280</v>
      </c>
      <c r="F797" t="inlineStr">
        <is>
          <t>GÄVLEBORGS LÄN</t>
        </is>
      </c>
      <c r="G797" t="inlineStr">
        <is>
          <t>OCKELBO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55906-2024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45623</v>
      </c>
      <c r="E798" s="1" t="n">
        <v>46280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24228-2022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44725</v>
      </c>
      <c r="E799" s="1" t="n">
        <v>46280</v>
      </c>
      <c r="F799" t="inlineStr">
        <is>
          <t>GÄVLEBORGS LÄN</t>
        </is>
      </c>
      <c r="G799" t="inlineStr">
        <is>
          <t>OCKELBO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64609-2023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45281</v>
      </c>
      <c r="E800" s="1" t="n">
        <v>46280</v>
      </c>
      <c r="F800" t="inlineStr">
        <is>
          <t>GÄVLEBORGS LÄN</t>
        </is>
      </c>
      <c r="G800" t="inlineStr">
        <is>
          <t>OCKELBO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3626-2023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44950</v>
      </c>
      <c r="E801" s="1" t="n">
        <v>46280</v>
      </c>
      <c r="F801" t="inlineStr">
        <is>
          <t>GÄVLEBORGS LÄN</t>
        </is>
      </c>
      <c r="G801" t="inlineStr">
        <is>
          <t>OCKELBO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21900-2023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45068</v>
      </c>
      <c r="E802" s="1" t="n">
        <v>46280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19774-2025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45771</v>
      </c>
      <c r="E803" s="1" t="n">
        <v>46280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45068</v>
      </c>
      <c r="E804" s="1" t="n">
        <v>46280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36295-2024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45534</v>
      </c>
      <c r="E805" s="1" t="n">
        <v>46280</v>
      </c>
      <c r="F805" t="inlineStr">
        <is>
          <t>GÄVLEBORGS LÄN</t>
        </is>
      </c>
      <c r="G805" t="inlineStr">
        <is>
          <t>OCKELBO</t>
        </is>
      </c>
      <c r="I805" t="n">
        <v>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53488-2023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45230</v>
      </c>
      <c r="E806" s="1" t="n">
        <v>46280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37442-2023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45156</v>
      </c>
      <c r="E807" s="1" t="n">
        <v>46280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22385-2023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45070</v>
      </c>
      <c r="E808" s="1" t="n">
        <v>46280</v>
      </c>
      <c r="F808" t="inlineStr">
        <is>
          <t>GÄVLEBORGS LÄN</t>
        </is>
      </c>
      <c r="G808" t="inlineStr">
        <is>
          <t>OCKELBO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56741-2024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45628</v>
      </c>
      <c r="E809" s="1" t="n">
        <v>46280</v>
      </c>
      <c r="F809" t="inlineStr">
        <is>
          <t>GÄVLEBORGS LÄN</t>
        </is>
      </c>
      <c r="G809" t="inlineStr">
        <is>
          <t>OCKELBO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19772-2025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45771</v>
      </c>
      <c r="E810" s="1" t="n">
        <v>46280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29567-2024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45484</v>
      </c>
      <c r="E811" s="1" t="n">
        <v>46280</v>
      </c>
      <c r="F811" t="inlineStr">
        <is>
          <t>GÄVLEBORGS LÄN</t>
        </is>
      </c>
      <c r="G811" t="inlineStr">
        <is>
          <t>OCKELBO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64367-2023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45280</v>
      </c>
      <c r="E812" s="1" t="n">
        <v>46280</v>
      </c>
      <c r="F812" t="inlineStr">
        <is>
          <t>GÄVLEBORGS LÄN</t>
        </is>
      </c>
      <c r="G812" t="inlineStr">
        <is>
          <t>OCKELBO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55715-2023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45239</v>
      </c>
      <c r="E813" s="1" t="n">
        <v>46280</v>
      </c>
      <c r="F813" t="inlineStr">
        <is>
          <t>GÄVLEBORGS LÄN</t>
        </is>
      </c>
      <c r="G813" t="inlineStr">
        <is>
          <t>OCKELBO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50194-2024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45600</v>
      </c>
      <c r="E814" s="1" t="n">
        <v>46280</v>
      </c>
      <c r="F814" t="inlineStr">
        <is>
          <t>GÄVLEBORGS LÄN</t>
        </is>
      </c>
      <c r="G814" t="inlineStr">
        <is>
          <t>OCKELBO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15247-2025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45744</v>
      </c>
      <c r="E815" s="1" t="n">
        <v>46280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22952-2023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45072</v>
      </c>
      <c r="E816" s="1" t="n">
        <v>46280</v>
      </c>
      <c r="F816" t="inlineStr">
        <is>
          <t>GÄVLEBORGS LÄN</t>
        </is>
      </c>
      <c r="G816" t="inlineStr">
        <is>
          <t>OCKELBO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22824-2024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45448</v>
      </c>
      <c r="E817" s="1" t="n">
        <v>46280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45666</v>
      </c>
      <c r="E818" s="1" t="n">
        <v>46280</v>
      </c>
      <c r="F818" t="inlineStr">
        <is>
          <t>GÄVLEBORGS LÄN</t>
        </is>
      </c>
      <c r="G818" t="inlineStr">
        <is>
          <t>OCKELBO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61750-2023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45265</v>
      </c>
      <c r="E819" s="1" t="n">
        <v>46280</v>
      </c>
      <c r="F819" t="inlineStr">
        <is>
          <t>GÄVLEBORGS LÄN</t>
        </is>
      </c>
      <c r="G819" t="inlineStr">
        <is>
          <t>OCKELBO</t>
        </is>
      </c>
      <c r="I819" t="n">
        <v>11.2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33985-2023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45134</v>
      </c>
      <c r="E820" s="1" t="n">
        <v>46280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3628-2023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44950</v>
      </c>
      <c r="E821" s="1" t="n">
        <v>46280</v>
      </c>
      <c r="F821" t="inlineStr">
        <is>
          <t>GÄVLEBORGS LÄN</t>
        </is>
      </c>
      <c r="G821" t="inlineStr">
        <is>
          <t>OCKELBO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20775-2025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45776</v>
      </c>
      <c r="E822" s="1" t="n">
        <v>46280</v>
      </c>
      <c r="F822" t="inlineStr">
        <is>
          <t>GÄVLEBORGS LÄN</t>
        </is>
      </c>
      <c r="G822" t="inlineStr">
        <is>
          <t>OCKELBO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23780-2024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45455</v>
      </c>
      <c r="E823" s="1" t="n">
        <v>46280</v>
      </c>
      <c r="F823" t="inlineStr">
        <is>
          <t>GÄVLEBORGS LÄN</t>
        </is>
      </c>
      <c r="G823" t="inlineStr">
        <is>
          <t>OCKELBO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52273-2024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45608</v>
      </c>
      <c r="E824" s="1" t="n">
        <v>46280</v>
      </c>
      <c r="F824" t="inlineStr">
        <is>
          <t>GÄVLEBORGS LÄN</t>
        </is>
      </c>
      <c r="G824" t="inlineStr">
        <is>
          <t>OCKELBO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37848-2024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45544</v>
      </c>
      <c r="E825" s="1" t="n">
        <v>46280</v>
      </c>
      <c r="F825" t="inlineStr">
        <is>
          <t>GÄVLEBORGS LÄN</t>
        </is>
      </c>
      <c r="G825" t="inlineStr">
        <is>
          <t>OCKELBO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60253-2023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45258</v>
      </c>
      <c r="E826" s="1" t="n">
        <v>46280</v>
      </c>
      <c r="F826" t="inlineStr">
        <is>
          <t>GÄVLEBORGS LÄN</t>
        </is>
      </c>
      <c r="G826" t="inlineStr">
        <is>
          <t>OCKELBO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22385-2025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46280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22387-2025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45786</v>
      </c>
      <c r="E828" s="1" t="n">
        <v>46280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28584-2024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45478</v>
      </c>
      <c r="E829" s="1" t="n">
        <v>46280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54323-2024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45617</v>
      </c>
      <c r="E830" s="1" t="n">
        <v>46280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28181-2022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44746</v>
      </c>
      <c r="E831" s="1" t="n">
        <v>46280</v>
      </c>
      <c r="F831" t="inlineStr">
        <is>
          <t>GÄVLEBORGS LÄN</t>
        </is>
      </c>
      <c r="G831" t="inlineStr">
        <is>
          <t>OCKELBO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20689-2025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45776</v>
      </c>
      <c r="E832" s="1" t="n">
        <v>46280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16.2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282-2024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45323</v>
      </c>
      <c r="E833" s="1" t="n">
        <v>46280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14.5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5063-2024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45638</v>
      </c>
      <c r="E834" s="1" t="n">
        <v>46280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154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195-2024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45315</v>
      </c>
      <c r="E835" s="1" t="n">
        <v>46280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öst AB</t>
        </is>
      </c>
      <c r="I835" t="n">
        <v>46.4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411-2025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45699</v>
      </c>
      <c r="E836" s="1" t="n">
        <v>46280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öst AB</t>
        </is>
      </c>
      <c r="I836" t="n">
        <v>24.3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7041-2022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44904</v>
      </c>
      <c r="E837" s="1" t="n">
        <v>46280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297-2026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46058</v>
      </c>
      <c r="E838" s="1" t="n">
        <v>46280</v>
      </c>
      <c r="F838" t="inlineStr">
        <is>
          <t>GÄVLEBORGS LÄN</t>
        </is>
      </c>
      <c r="G838" t="inlineStr">
        <is>
          <t>OCKELBO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657-2026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46089</v>
      </c>
      <c r="E839" s="1" t="n">
        <v>46280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öst AB</t>
        </is>
      </c>
      <c r="I839" t="n">
        <v>131.3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1344-2026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46148</v>
      </c>
      <c r="E840" s="1" t="n">
        <v>46280</v>
      </c>
      <c r="F840" t="inlineStr">
        <is>
          <t>GÄVLEBORGS LÄN</t>
        </is>
      </c>
      <c r="G840" t="inlineStr">
        <is>
          <t>OCKELBO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1345-2026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46148</v>
      </c>
      <c r="E841" s="1" t="n">
        <v>46280</v>
      </c>
      <c r="F841" t="inlineStr">
        <is>
          <t>GÄVLEBORGS LÄN</t>
        </is>
      </c>
      <c r="G841" t="inlineStr">
        <is>
          <t>OCKELBO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190-2026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46048</v>
      </c>
      <c r="E842" s="1" t="n">
        <v>46280</v>
      </c>
      <c r="F842" t="inlineStr">
        <is>
          <t>GÄVLEBORGS LÄN</t>
        </is>
      </c>
      <c r="G842" t="inlineStr">
        <is>
          <t>OCKELBO</t>
        </is>
      </c>
      <c r="I842" t="n">
        <v>4.7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2026-09-15T08:10:24Z</dcterms:created>
  <dcterms:modified xmlns:dcterms="http://purl.org/dc/terms/" xmlns:xsi="http://www.w3.org/2001/XMLSchema-instance" xsi:type="dcterms:W3CDTF">2026-09-15T08:10:25Z</dcterms:modified>
</cp:coreProperties>
</file>