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46321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46321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46321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46321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46321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46321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46321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46321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46321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46321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26870-2026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46185</v>
      </c>
      <c r="E21" s="1" t="n">
        <v>46321</v>
      </c>
      <c r="F21" t="inlineStr">
        <is>
          <t>GÄVLEBORGS LÄN</t>
        </is>
      </c>
      <c r="G21" t="inlineStr">
        <is>
          <t>OCKELBO</t>
        </is>
      </c>
      <c r="I21" t="n">
        <v>1.7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Korallrot
Spindelblomster
Fläcknycklar</t>
        </is>
      </c>
      <c r="W21">
        <f>HYPERLINK("https://klasma.github.io/Logging_2101/artfynd/A 26870-2026 artfynd.xlsx", "A 26870-2026")</f>
        <v/>
      </c>
      <c r="X21">
        <f>HYPERLINK("https://klasma.github.io/Logging_2101/kartor/A 26870-2026 karta.png", "A 26870-2026")</f>
        <v/>
      </c>
      <c r="Y21">
        <f>HYPERLINK("https://klasma.github.io/Logging_2101/kartor_geotiff/A 26870-2026 georefererad karta.tif", "A 26870-2026")</f>
        <v/>
      </c>
      <c r="AA21">
        <f>HYPERLINK("https://klasma.github.io/Logging_2101/klagomål/A 26870-2026 FSC-klagomål.docx", "A 26870-2026")</f>
        <v/>
      </c>
      <c r="AB21">
        <f>HYPERLINK("https://klasma.github.io/Logging_2101/klagomålsmail/A 26870-2026 FSC-klagomål mail.docx", "A 26870-2026")</f>
        <v/>
      </c>
      <c r="AC21">
        <f>HYPERLINK("https://klasma.github.io/Logging_2101/tillsyn/A 26870-2026 tillsynsbegäran.docx", "A 26870-2026")</f>
        <v/>
      </c>
      <c r="AD21">
        <f>HYPERLINK("https://klasma.github.io/Logging_2101/tillsynsmail/A 26870-2026 tillsynsbegäran mail.docx", "A 26870-2026")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46321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22425-2026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46321</v>
      </c>
      <c r="F23" t="inlineStr">
        <is>
          <t>GÄVLEBORGS LÄN</t>
        </is>
      </c>
      <c r="G23" t="inlineStr">
        <is>
          <t>OCKELBO</t>
        </is>
      </c>
      <c r="I23" t="n">
        <v>0.9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Svart trolldruva
Ögonpyrola
Blåsippa</t>
        </is>
      </c>
      <c r="W23">
        <f>HYPERLINK("https://klasma.github.io/Logging_2101/artfynd/A 22425-2026 artfynd.xlsx", "A 22425-2026")</f>
        <v/>
      </c>
      <c r="X23">
        <f>HYPERLINK("https://klasma.github.io/Logging_2101/kartor/A 22425-2026 karta.png", "A 22425-2026")</f>
        <v/>
      </c>
      <c r="Y23">
        <f>HYPERLINK("https://klasma.github.io/Logging_2101/kartor_geotiff/A 22425-2026 georefererad karta.tif", "A 22425-2026")</f>
        <v/>
      </c>
      <c r="AA23">
        <f>HYPERLINK("https://klasma.github.io/Logging_2101/klagomål/A 22425-2026 FSC-klagomål.docx", "A 22425-2026")</f>
        <v/>
      </c>
      <c r="AB23">
        <f>HYPERLINK("https://klasma.github.io/Logging_2101/klagomålsmail/A 22425-2026 FSC-klagomål mail.docx", "A 22425-2026")</f>
        <v/>
      </c>
      <c r="AC23">
        <f>HYPERLINK("https://klasma.github.io/Logging_2101/tillsyn/A 22425-2026 tillsynsbegäran.docx", "A 22425-2026")</f>
        <v/>
      </c>
      <c r="AD23">
        <f>HYPERLINK("https://klasma.github.io/Logging_2101/tillsynsmail/A 22425-2026 tillsynsbegäran mail.docx", "A 22425-2026")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46321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46321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46321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46321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46321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46321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46321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46321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46321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4226-2023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46321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Skogsknipprot</t>
        </is>
      </c>
      <c r="W36">
        <f>HYPERLINK("https://klasma.github.io/Logging_2101/artfynd/A 4226-2023 artfynd.xlsx", "A 4226-2023")</f>
        <v/>
      </c>
      <c r="X36">
        <f>HYPERLINK("https://klasma.github.io/Logging_2101/kartor/A 4226-2023 karta.png", "A 4226-2023")</f>
        <v/>
      </c>
      <c r="Y36">
        <f>HYPERLINK("https://klasma.github.io/Logging_2101/kartor_geotiff/A 4226-2023 georefererad karta.tif", "A 4226-2023")</f>
        <v/>
      </c>
      <c r="AA36">
        <f>HYPERLINK("https://klasma.github.io/Logging_2101/klagomål/A 4226-2023 FSC-klagomål.docx", "A 4226-2023")</f>
        <v/>
      </c>
      <c r="AB36">
        <f>HYPERLINK("https://klasma.github.io/Logging_2101/klagomålsmail/A 4226-2023 FSC-klagomål mail.docx", "A 4226-2023")</f>
        <v/>
      </c>
      <c r="AC36">
        <f>HYPERLINK("https://klasma.github.io/Logging_2101/tillsyn/A 4226-2023 tillsynsbegäran.docx", "A 4226-2023")</f>
        <v/>
      </c>
      <c r="AD36">
        <f>HYPERLINK("https://klasma.github.io/Logging_2101/tillsynsmail/A 4226-2023 tillsynsbegäran mail.docx", "A 4226-2023")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46321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60615-2021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46321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Vanlig padda</t>
        </is>
      </c>
      <c r="W39">
        <f>HYPERLINK("https://klasma.github.io/Logging_2101/artfynd/A 60615-2021 artfynd.xlsx", "A 60615-2021")</f>
        <v/>
      </c>
      <c r="X39">
        <f>HYPERLINK("https://klasma.github.io/Logging_2101/kartor/A 60615-2021 karta.png", "A 60615-2021")</f>
        <v/>
      </c>
      <c r="Y39">
        <f>HYPERLINK("https://klasma.github.io/Logging_2101/kartor_geotiff/A 60615-2021 georefererad karta.tif", "A 60615-2021")</f>
        <v/>
      </c>
      <c r="AA39">
        <f>HYPERLINK("https://klasma.github.io/Logging_2101/klagomål/A 60615-2021 FSC-klagomål.docx", "A 60615-2021")</f>
        <v/>
      </c>
      <c r="AB39">
        <f>HYPERLINK("https://klasma.github.io/Logging_2101/klagomålsmail/A 60615-2021 FSC-klagomål mail.docx", "A 60615-2021")</f>
        <v/>
      </c>
      <c r="AC39">
        <f>HYPERLINK("https://klasma.github.io/Logging_2101/tillsyn/A 60615-2021 tillsynsbegäran.docx", "A 60615-2021")</f>
        <v/>
      </c>
      <c r="AD39">
        <f>HYPERLINK("https://klasma.github.io/Logging_2101/tillsynsmail/A 60615-2021 tillsynsbegäran mail.docx", "A 60615-2021")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46321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46321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33384-2024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46321</v>
      </c>
      <c r="F42" t="inlineStr">
        <is>
          <t>GÄVLEBORGS LÄN</t>
        </is>
      </c>
      <c r="G42" t="inlineStr">
        <is>
          <t>OCKELBO</t>
        </is>
      </c>
      <c r="I42" t="n">
        <v>3.8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HYPERLINK("https://klasma.github.io/Logging_2101/artfynd/A 33384-2024 artfynd.xlsx", "A 33384-2024")</f>
        <v/>
      </c>
      <c r="X42">
        <f>HYPERLINK("https://klasma.github.io/Logging_2101/kartor/A 33384-2024 karta.png", "A 33384-2024")</f>
        <v/>
      </c>
      <c r="Y42">
        <f>HYPERLINK("https://klasma.github.io/Logging_2101/kartor_geotiff/A 33384-2024 georefererad karta.tif", "A 33384-2024")</f>
        <v/>
      </c>
      <c r="AA42">
        <f>HYPERLINK("https://klasma.github.io/Logging_2101/klagomål/A 33384-2024 FSC-klagomål.docx", "A 33384-2024")</f>
        <v/>
      </c>
      <c r="AB42">
        <f>HYPERLINK("https://klasma.github.io/Logging_2101/klagomålsmail/A 33384-2024 FSC-klagomål mail.docx", "A 33384-2024")</f>
        <v/>
      </c>
      <c r="AC42">
        <f>HYPERLINK("https://klasma.github.io/Logging_2101/tillsyn/A 33384-2024 tillsynsbegäran.docx", "A 33384-2024")</f>
        <v/>
      </c>
      <c r="AD42">
        <f>HYPERLINK("https://klasma.github.io/Logging_2101/tillsynsmail/A 33384-2024 tillsynsbegäran mail.docx", "A 33384-2024")</f>
        <v/>
      </c>
    </row>
    <row r="43" ht="15" customHeight="1">
      <c r="A43" t="inlineStr">
        <is>
          <t>A 38351-2026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46282</v>
      </c>
      <c r="E43" s="1" t="n">
        <v>46321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HYPERLINK("https://klasma.github.io/Logging_2101/artfynd/A 38351-2026 artfynd.xlsx", "A 38351-2026")</f>
        <v/>
      </c>
      <c r="X43">
        <f>HYPERLINK("https://klasma.github.io/Logging_2101/kartor/A 38351-2026 karta.png", "A 38351-2026")</f>
        <v/>
      </c>
      <c r="Y43">
        <f>HYPERLINK("https://klasma.github.io/Logging_2101/kartor_geotiff/A 38351-2026 georefererad karta.tif", "A 38351-2026")</f>
        <v/>
      </c>
      <c r="AA43">
        <f>HYPERLINK("https://klasma.github.io/Logging_2101/klagomål/A 38351-2026 FSC-klagomål.docx", "A 38351-2026")</f>
        <v/>
      </c>
      <c r="AB43">
        <f>HYPERLINK("https://klasma.github.io/Logging_2101/klagomålsmail/A 38351-2026 FSC-klagomål mail.docx", "A 38351-2026")</f>
        <v/>
      </c>
      <c r="AC43">
        <f>HYPERLINK("https://klasma.github.io/Logging_2101/tillsyn/A 38351-2026 tillsynsbegäran.docx", "A 38351-2026")</f>
        <v/>
      </c>
      <c r="AD43">
        <f>HYPERLINK("https://klasma.github.io/Logging_2101/tillsynsmail/A 38351-2026 tillsynsbegäran mail.docx", "A 38351-2026")</f>
        <v/>
      </c>
      <c r="AE43">
        <f>HYPERLINK("https://klasma.github.io/Logging_2101/fåglar/A 38351-2026 prioriterade fågelarter.docx", "A 38351-2026")</f>
        <v/>
      </c>
    </row>
    <row r="44" ht="15" customHeight="1">
      <c r="A44" t="inlineStr">
        <is>
          <t>A 38355-2026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46321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HYPERLINK("https://klasma.github.io/Logging_2101/artfynd/A 38355-2026 artfynd.xlsx", "A 38355-2026")</f>
        <v/>
      </c>
      <c r="X44">
        <f>HYPERLINK("https://klasma.github.io/Logging_2101/kartor/A 38355-2026 karta.png", "A 38355-2026")</f>
        <v/>
      </c>
      <c r="Y44">
        <f>HYPERLINK("https://klasma.github.io/Logging_2101/kartor_geotiff/A 38355-2026 georefererad karta.tif", "A 38355-2026")</f>
        <v/>
      </c>
      <c r="AA44">
        <f>HYPERLINK("https://klasma.github.io/Logging_2101/klagomål/A 38355-2026 FSC-klagomål.docx", "A 38355-2026")</f>
        <v/>
      </c>
      <c r="AB44">
        <f>HYPERLINK("https://klasma.github.io/Logging_2101/klagomålsmail/A 38355-2026 FSC-klagomål mail.docx", "A 38355-2026")</f>
        <v/>
      </c>
      <c r="AC44">
        <f>HYPERLINK("https://klasma.github.io/Logging_2101/tillsyn/A 38355-2026 tillsynsbegäran.docx", "A 38355-2026")</f>
        <v/>
      </c>
      <c r="AD44">
        <f>HYPERLINK("https://klasma.github.io/Logging_2101/tillsynsmail/A 38355-2026 tillsynsbegäran mail.docx", "A 38355-2026")</f>
        <v/>
      </c>
      <c r="AE44">
        <f>HYPERLINK("https://klasma.github.io/Logging_2101/fåglar/A 38355-2026 prioriterade fågelarter.docx", "A 38355-2026")</f>
        <v/>
      </c>
    </row>
    <row r="45" ht="15" customHeight="1">
      <c r="A45" t="inlineStr">
        <is>
          <t>A 38583-2026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46321</v>
      </c>
      <c r="F45" t="inlineStr">
        <is>
          <t>GÄVLEBORGS LÄN</t>
        </is>
      </c>
      <c r="G45" t="inlineStr">
        <is>
          <t>OCKELBO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HYPERLINK("https://klasma.github.io/Logging_2101/artfynd/A 38583-2026 artfynd.xlsx", "A 38583-2026")</f>
        <v/>
      </c>
      <c r="X45">
        <f>HYPERLINK("https://klasma.github.io/Logging_2101/kartor/A 38583-2026 karta.png", "A 38583-2026")</f>
        <v/>
      </c>
      <c r="Y45">
        <f>HYPERLINK("https://klasma.github.io/Logging_2101/kartor_geotiff/A 38583-2026 georefererad karta.tif", "A 38583-2026")</f>
        <v/>
      </c>
      <c r="AA45">
        <f>HYPERLINK("https://klasma.github.io/Logging_2101/klagomål/A 38583-2026 FSC-klagomål.docx", "A 38583-2026")</f>
        <v/>
      </c>
      <c r="AB45">
        <f>HYPERLINK("https://klasma.github.io/Logging_2101/klagomålsmail/A 38583-2026 FSC-klagomål mail.docx", "A 38583-2026")</f>
        <v/>
      </c>
      <c r="AC45">
        <f>HYPERLINK("https://klasma.github.io/Logging_2101/tillsyn/A 38583-2026 tillsynsbegäran.docx", "A 38583-2026")</f>
        <v/>
      </c>
      <c r="AD45">
        <f>HYPERLINK("https://klasma.github.io/Logging_2101/tillsynsmail/A 38583-2026 tillsynsbegäran mail.docx", "A 38583-2026")</f>
        <v/>
      </c>
    </row>
    <row r="46" ht="15" customHeight="1">
      <c r="A46" t="inlineStr">
        <is>
          <t>A 2923-2026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46038</v>
      </c>
      <c r="E46" s="1" t="n">
        <v>46321</v>
      </c>
      <c r="F46" t="inlineStr">
        <is>
          <t>GÄVLEBORGS LÄN</t>
        </is>
      </c>
      <c r="G46" t="inlineStr">
        <is>
          <t>OCKELBO</t>
        </is>
      </c>
      <c r="I46" t="n">
        <v>2.8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HYPERLINK("https://klasma.github.io/Logging_2101/artfynd/A 2923-2026 artfynd.xlsx", "A 2923-2026")</f>
        <v/>
      </c>
      <c r="X46">
        <f>HYPERLINK("https://klasma.github.io/Logging_2101/kartor/A 2923-2026 karta.png", "A 2923-2026")</f>
        <v/>
      </c>
      <c r="Y46">
        <f>HYPERLINK("https://klasma.github.io/Logging_2101/kartor_geotiff/A 2923-2026 georefererad karta.tif", "A 2923-2026")</f>
        <v/>
      </c>
      <c r="Z46">
        <f>HYPERLINK("https://klasma.github.io/Logging_2101/knärot/A 2923-2026 karta knärot.png", "A 2923-2026")</f>
        <v/>
      </c>
      <c r="AA46">
        <f>HYPERLINK("https://klasma.github.io/Logging_2101/klagomål/A 2923-2026 FSC-klagomål.docx", "A 2923-2026")</f>
        <v/>
      </c>
      <c r="AB46">
        <f>HYPERLINK("https://klasma.github.io/Logging_2101/klagomålsmail/A 2923-2026 FSC-klagomål mail.docx", "A 2923-2026")</f>
        <v/>
      </c>
      <c r="AC46">
        <f>HYPERLINK("https://klasma.github.io/Logging_2101/tillsyn/A 2923-2026 tillsynsbegäran.docx", "A 2923-2026")</f>
        <v/>
      </c>
      <c r="AD46">
        <f>HYPERLINK("https://klasma.github.io/Logging_2101/tillsynsmail/A 2923-2026 tillsynsbegäran mail.docx", "A 2923-2026")</f>
        <v/>
      </c>
    </row>
    <row r="47" ht="15" customHeight="1">
      <c r="A47" t="inlineStr">
        <is>
          <t>A 6121-2026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46053</v>
      </c>
      <c r="E47" s="1" t="n">
        <v>46321</v>
      </c>
      <c r="F47" t="inlineStr">
        <is>
          <t>GÄVLEBORGS LÄN</t>
        </is>
      </c>
      <c r="G47" t="inlineStr">
        <is>
          <t>OCKELBO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6121-2026 artfynd.xlsx", "A 6121-2026")</f>
        <v/>
      </c>
      <c r="X47">
        <f>HYPERLINK("https://klasma.github.io/Logging_2101/kartor/A 6121-2026 karta.png", "A 6121-2026")</f>
        <v/>
      </c>
      <c r="Y47">
        <f>HYPERLINK("https://klasma.github.io/Logging_2101/kartor_geotiff/A 6121-2026 georefererad karta.tif", "A 6121-2026")</f>
        <v/>
      </c>
      <c r="AA47">
        <f>HYPERLINK("https://klasma.github.io/Logging_2101/klagomål/A 6121-2026 FSC-klagomål.docx", "A 6121-2026")</f>
        <v/>
      </c>
      <c r="AB47">
        <f>HYPERLINK("https://klasma.github.io/Logging_2101/klagomålsmail/A 6121-2026 FSC-klagomål mail.docx", "A 6121-2026")</f>
        <v/>
      </c>
      <c r="AC47">
        <f>HYPERLINK("https://klasma.github.io/Logging_2101/tillsyn/A 6121-2026 tillsynsbegäran.docx", "A 6121-2026")</f>
        <v/>
      </c>
      <c r="AD47">
        <f>HYPERLINK("https://klasma.github.io/Logging_2101/tillsynsmail/A 6121-2026 tillsynsbegäran mail.docx", "A 6121-2026")</f>
        <v/>
      </c>
      <c r="AE47">
        <f>HYPERLINK("https://klasma.github.io/Logging_2101/fåglar/A 6121-2026 prioriterade fågelarter.docx", "A 6121-2026")</f>
        <v/>
      </c>
    </row>
    <row r="48" ht="15" customHeight="1">
      <c r="A48" t="inlineStr">
        <is>
          <t>A 6586-2026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46321</v>
      </c>
      <c r="F48" t="inlineStr">
        <is>
          <t>GÄVLEBORGS LÄN</t>
        </is>
      </c>
      <c r="G48" t="inlineStr">
        <is>
          <t>OCKELBO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6586-2026 artfynd.xlsx", "A 6586-2026")</f>
        <v/>
      </c>
      <c r="X48">
        <f>HYPERLINK("https://klasma.github.io/Logging_2101/kartor/A 6586-2026 karta.png", "A 6586-2026")</f>
        <v/>
      </c>
      <c r="Y48">
        <f>HYPERLINK("https://klasma.github.io/Logging_2101/kartor_geotiff/A 6586-2026 georefererad karta.tif", "A 6586-2026")</f>
        <v/>
      </c>
      <c r="AA48">
        <f>HYPERLINK("https://klasma.github.io/Logging_2101/klagomål/A 6586-2026 FSC-klagomål.docx", "A 6586-2026")</f>
        <v/>
      </c>
      <c r="AB48">
        <f>HYPERLINK("https://klasma.github.io/Logging_2101/klagomålsmail/A 6586-2026 FSC-klagomål mail.docx", "A 6586-2026")</f>
        <v/>
      </c>
      <c r="AC48">
        <f>HYPERLINK("https://klasma.github.io/Logging_2101/tillsyn/A 6586-2026 tillsynsbegäran.docx", "A 6586-2026")</f>
        <v/>
      </c>
      <c r="AD48">
        <f>HYPERLINK("https://klasma.github.io/Logging_2101/tillsynsmail/A 6586-2026 tillsynsbegäran mail.docx", "A 6586-2026")</f>
        <v/>
      </c>
    </row>
    <row r="49" ht="15" customHeight="1">
      <c r="A49" t="inlineStr">
        <is>
          <t>A 10484-2026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46321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Ullticka</t>
        </is>
      </c>
      <c r="W49">
        <f>HYPERLINK("https://klasma.github.io/Logging_2101/artfynd/A 10484-2026 artfynd.xlsx", "A 10484-2026")</f>
        <v/>
      </c>
      <c r="X49">
        <f>HYPERLINK("https://klasma.github.io/Logging_2101/kartor/A 10484-2026 karta.png", "A 10484-2026")</f>
        <v/>
      </c>
      <c r="Y49">
        <f>HYPERLINK("https://klasma.github.io/Logging_2101/kartor_geotiff/A 10484-2026 georefererad karta.tif", "A 10484-2026")</f>
        <v/>
      </c>
      <c r="AA49">
        <f>HYPERLINK("https://klasma.github.io/Logging_2101/klagomål/A 10484-2026 FSC-klagomål.docx", "A 10484-2026")</f>
        <v/>
      </c>
      <c r="AB49">
        <f>HYPERLINK("https://klasma.github.io/Logging_2101/klagomålsmail/A 10484-2026 FSC-klagomål mail.docx", "A 10484-2026")</f>
        <v/>
      </c>
      <c r="AC49">
        <f>HYPERLINK("https://klasma.github.io/Logging_2101/tillsyn/A 10484-2026 tillsynsbegäran.docx", "A 10484-2026")</f>
        <v/>
      </c>
      <c r="AD49">
        <f>HYPERLINK("https://klasma.github.io/Logging_2101/tillsynsmail/A 10484-2026 tillsynsbegäran mail.docx", "A 10484-2026")</f>
        <v/>
      </c>
    </row>
    <row r="50" ht="15" customHeight="1">
      <c r="A50" t="inlineStr">
        <is>
          <t>A 13640-2026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46321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HYPERLINK("https://klasma.github.io/Logging_2101/artfynd/A 13640-2026 artfynd.xlsx", "A 13640-2026")</f>
        <v/>
      </c>
      <c r="X50">
        <f>HYPERLINK("https://klasma.github.io/Logging_2101/kartor/A 13640-2026 karta.png", "A 13640-2026")</f>
        <v/>
      </c>
      <c r="Y50">
        <f>HYPERLINK("https://klasma.github.io/Logging_2101/kartor_geotiff/A 13640-2026 georefererad karta.tif", "A 13640-2026")</f>
        <v/>
      </c>
      <c r="AA50">
        <f>HYPERLINK("https://klasma.github.io/Logging_2101/klagomål/A 13640-2026 FSC-klagomål.docx", "A 13640-2026")</f>
        <v/>
      </c>
      <c r="AB50">
        <f>HYPERLINK("https://klasma.github.io/Logging_2101/klagomålsmail/A 13640-2026 FSC-klagomål mail.docx", "A 13640-2026")</f>
        <v/>
      </c>
      <c r="AC50">
        <f>HYPERLINK("https://klasma.github.io/Logging_2101/tillsyn/A 13640-2026 tillsynsbegäran.docx", "A 13640-2026")</f>
        <v/>
      </c>
      <c r="AD50">
        <f>HYPERLINK("https://klasma.github.io/Logging_2101/tillsynsmail/A 13640-2026 tillsynsbegäran mail.docx", "A 13640-2026")</f>
        <v/>
      </c>
    </row>
    <row r="51" ht="15" customHeight="1">
      <c r="A51" t="inlineStr">
        <is>
          <t>A 14479-2026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46321</v>
      </c>
      <c r="F51" t="inlineStr">
        <is>
          <t>GÄVLEBORGS LÄN</t>
        </is>
      </c>
      <c r="G51" t="inlineStr">
        <is>
          <t>OCKELBO</t>
        </is>
      </c>
      <c r="I51" t="n">
        <v>4.8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Igelkott</t>
        </is>
      </c>
      <c r="W51">
        <f>HYPERLINK("https://klasma.github.io/Logging_2101/artfynd/A 14479-2026 artfynd.xlsx", "A 14479-2026")</f>
        <v/>
      </c>
      <c r="X51">
        <f>HYPERLINK("https://klasma.github.io/Logging_2101/kartor/A 14479-2026 karta.png", "A 14479-2026")</f>
        <v/>
      </c>
      <c r="Y51">
        <f>HYPERLINK("https://klasma.github.io/Logging_2101/kartor_geotiff/A 14479-2026 georefererad karta.tif", "A 14479-2026")</f>
        <v/>
      </c>
      <c r="AA51">
        <f>HYPERLINK("https://klasma.github.io/Logging_2101/klagomål/A 14479-2026 FSC-klagomål.docx", "A 14479-2026")</f>
        <v/>
      </c>
      <c r="AB51">
        <f>HYPERLINK("https://klasma.github.io/Logging_2101/klagomålsmail/A 14479-2026 FSC-klagomål mail.docx", "A 14479-2026")</f>
        <v/>
      </c>
      <c r="AC51">
        <f>HYPERLINK("https://klasma.github.io/Logging_2101/tillsyn/A 14479-2026 tillsynsbegäran.docx", "A 14479-2026")</f>
        <v/>
      </c>
      <c r="AD51">
        <f>HYPERLINK("https://klasma.github.io/Logging_2101/tillsynsmail/A 14479-2026 tillsynsbegäran mail.docx", "A 14479-2026")</f>
        <v/>
      </c>
    </row>
    <row r="52" ht="15" customHeight="1">
      <c r="A52" t="inlineStr">
        <is>
          <t>A 14664-2026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46101</v>
      </c>
      <c r="E52" s="1" t="n">
        <v>46321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Tjäder</t>
        </is>
      </c>
      <c r="W52">
        <f>HYPERLINK("https://klasma.github.io/Logging_2101/artfynd/A 14664-2026 artfynd.xlsx", "A 14664-2026")</f>
        <v/>
      </c>
      <c r="X52">
        <f>HYPERLINK("https://klasma.github.io/Logging_2101/kartor/A 14664-2026 karta.png", "A 14664-2026")</f>
        <v/>
      </c>
      <c r="Y52">
        <f>HYPERLINK("https://klasma.github.io/Logging_2101/kartor_geotiff/A 14664-2026 georefererad karta.tif", "A 14664-2026")</f>
        <v/>
      </c>
      <c r="AA52">
        <f>HYPERLINK("https://klasma.github.io/Logging_2101/klagomål/A 14664-2026 FSC-klagomål.docx", "A 14664-2026")</f>
        <v/>
      </c>
      <c r="AB52">
        <f>HYPERLINK("https://klasma.github.io/Logging_2101/klagomålsmail/A 14664-2026 FSC-klagomål mail.docx", "A 14664-2026")</f>
        <v/>
      </c>
      <c r="AC52">
        <f>HYPERLINK("https://klasma.github.io/Logging_2101/tillsyn/A 14664-2026 tillsynsbegäran.docx", "A 14664-2026")</f>
        <v/>
      </c>
      <c r="AD52">
        <f>HYPERLINK("https://klasma.github.io/Logging_2101/tillsynsmail/A 14664-2026 tillsynsbegäran mail.docx", "A 14664-2026")</f>
        <v/>
      </c>
      <c r="AE52">
        <f>HYPERLINK("https://klasma.github.io/Logging_2101/fåglar/A 14664-2026 prioriterade fågelarter.docx", "A 14664-2026")</f>
        <v/>
      </c>
    </row>
    <row r="53" ht="15" customHeight="1">
      <c r="A53" t="inlineStr">
        <is>
          <t>A 41696-2026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46302</v>
      </c>
      <c r="E53" s="1" t="n">
        <v>46321</v>
      </c>
      <c r="F53" t="inlineStr">
        <is>
          <t>GÄVLEBORGS LÄN</t>
        </is>
      </c>
      <c r="G53" t="inlineStr">
        <is>
          <t>OCKELBO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HYPERLINK("https://klasma.github.io/Logging_2101/artfynd/A 41696-2026 artfynd.xlsx", "A 41696-2026")</f>
        <v/>
      </c>
      <c r="X53">
        <f>HYPERLINK("https://klasma.github.io/Logging_2101/kartor/A 41696-2026 karta.png", "A 41696-2026")</f>
        <v/>
      </c>
      <c r="Y53">
        <f>HYPERLINK("https://klasma.github.io/Logging_2101/kartor_geotiff/A 41696-2026 georefererad karta.tif", "A 41696-2026")</f>
        <v/>
      </c>
      <c r="AA53">
        <f>HYPERLINK("https://klasma.github.io/Logging_2101/klagomål/A 41696-2026 FSC-klagomål.docx", "A 41696-2026")</f>
        <v/>
      </c>
      <c r="AB53">
        <f>HYPERLINK("https://klasma.github.io/Logging_2101/klagomålsmail/A 41696-2026 FSC-klagomål mail.docx", "A 41696-2026")</f>
        <v/>
      </c>
      <c r="AC53">
        <f>HYPERLINK("https://klasma.github.io/Logging_2101/tillsyn/A 41696-2026 tillsynsbegäran.docx", "A 41696-2026")</f>
        <v/>
      </c>
      <c r="AD53">
        <f>HYPERLINK("https://klasma.github.io/Logging_2101/tillsynsmail/A 41696-2026 tillsynsbegäran mail.docx", "A 41696-2026")</f>
        <v/>
      </c>
      <c r="AE53">
        <f>HYPERLINK("https://klasma.github.io/Logging_2101/fåglar/A 41696-2026 prioriterade fågelarter.docx", "A 41696-2026")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46321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46321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64364-2023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46321</v>
      </c>
      <c r="F57" t="inlineStr">
        <is>
          <t>GÄVLEBORGS LÄN</t>
        </is>
      </c>
      <c r="G57" t="inlineStr">
        <is>
          <t>OCKELBO</t>
        </is>
      </c>
      <c r="I57" t="n">
        <v>1.8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HYPERLINK("https://klasma.github.io/Logging_2101/artfynd/A 64364-2023 artfynd.xlsx", "A 64364-2023")</f>
        <v/>
      </c>
      <c r="X57">
        <f>HYPERLINK("https://klasma.github.io/Logging_2101/kartor/A 64364-2023 karta.png", "A 64364-2023")</f>
        <v/>
      </c>
      <c r="Y57">
        <f>HYPERLINK("https://klasma.github.io/Logging_2101/kartor_geotiff/A 64364-2023 georefererad karta.tif", "A 64364-2023")</f>
        <v/>
      </c>
      <c r="AA57">
        <f>HYPERLINK("https://klasma.github.io/Logging_2101/klagomål/A 64364-2023 FSC-klagomål.docx", "A 64364-2023")</f>
        <v/>
      </c>
      <c r="AB57">
        <f>HYPERLINK("https://klasma.github.io/Logging_2101/klagomålsmail/A 64364-2023 FSC-klagomål mail.docx", "A 64364-2023")</f>
        <v/>
      </c>
      <c r="AC57">
        <f>HYPERLINK("https://klasma.github.io/Logging_2101/tillsyn/A 64364-2023 tillsynsbegäran.docx", "A 64364-2023")</f>
        <v/>
      </c>
      <c r="AD57">
        <f>HYPERLINK("https://klasma.github.io/Logging_2101/tillsynsmail/A 64364-2023 tillsynsbegäran mail.docx", "A 64364-2023")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46321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46321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46321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46321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15039-2026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46321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18.2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HYPERLINK("https://klasma.github.io/Logging_2101/artfynd/A 15039-2026 artfynd.xlsx", "A 15039-2026")</f>
        <v/>
      </c>
      <c r="X62">
        <f>HYPERLINK("https://klasma.github.io/Logging_2101/kartor/A 15039-2026 karta.png", "A 15039-2026")</f>
        <v/>
      </c>
      <c r="Y62">
        <f>HYPERLINK("https://klasma.github.io/Logging_2101/kartor_geotiff/A 15039-2026 georefererad karta.tif", "A 15039-2026")</f>
        <v/>
      </c>
      <c r="AA62">
        <f>HYPERLINK("https://klasma.github.io/Logging_2101/klagomål/A 15039-2026 FSC-klagomål.docx", "A 15039-2026")</f>
        <v/>
      </c>
      <c r="AB62">
        <f>HYPERLINK("https://klasma.github.io/Logging_2101/klagomålsmail/A 15039-2026 FSC-klagomål mail.docx", "A 15039-2026")</f>
        <v/>
      </c>
      <c r="AC62">
        <f>HYPERLINK("https://klasma.github.io/Logging_2101/tillsyn/A 15039-2026 tillsynsbegäran.docx", "A 15039-2026")</f>
        <v/>
      </c>
      <c r="AD62">
        <f>HYPERLINK("https://klasma.github.io/Logging_2101/tillsynsmail/A 15039-2026 tillsynsbegäran mail.docx", "A 15039-2026")</f>
        <v/>
      </c>
      <c r="AE62">
        <f>HYPERLINK("https://klasma.github.io/Logging_2101/fåglar/A 15039-2026 prioriterade fågelarter.docx", "A 15039-2026")</f>
        <v/>
      </c>
    </row>
    <row r="63" ht="15" customHeight="1">
      <c r="A63" t="inlineStr">
        <is>
          <t>A 11970-2026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46321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HYPERLINK("https://klasma.github.io/Logging_2101/artfynd/A 11970-2026 artfynd.xlsx", "A 11970-2026")</f>
        <v/>
      </c>
      <c r="X63">
        <f>HYPERLINK("https://klasma.github.io/Logging_2101/kartor/A 11970-2026 karta.png", "A 11970-2026")</f>
        <v/>
      </c>
      <c r="Y63">
        <f>HYPERLINK("https://klasma.github.io/Logging_2101/kartor_geotiff/A 11970-2026 georefererad karta.tif", "A 11970-2026")</f>
        <v/>
      </c>
      <c r="AA63">
        <f>HYPERLINK("https://klasma.github.io/Logging_2101/klagomål/A 11970-2026 FSC-klagomål.docx", "A 11970-2026")</f>
        <v/>
      </c>
      <c r="AB63">
        <f>HYPERLINK("https://klasma.github.io/Logging_2101/klagomålsmail/A 11970-2026 FSC-klagomål mail.docx", "A 11970-2026")</f>
        <v/>
      </c>
      <c r="AC63">
        <f>HYPERLINK("https://klasma.github.io/Logging_2101/tillsyn/A 11970-2026 tillsynsbegäran.docx", "A 11970-2026")</f>
        <v/>
      </c>
      <c r="AD63">
        <f>HYPERLINK("https://klasma.github.io/Logging_2101/tillsynsmail/A 11970-2026 tillsynsbegäran mail.docx", "A 11970-2026")</f>
        <v/>
      </c>
      <c r="AE63">
        <f>HYPERLINK("https://klasma.github.io/Logging_2101/fåglar/A 11970-2026 prioriterade fågelarter.docx", "A 11970-2026")</f>
        <v/>
      </c>
    </row>
    <row r="64" ht="15" customHeight="1">
      <c r="A64" t="inlineStr">
        <is>
          <t>A 10448-2026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46321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3.6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Plattlummer</t>
        </is>
      </c>
      <c r="W64">
        <f>HYPERLINK("https://klasma.github.io/Logging_2101/artfynd/A 10448-2026 artfynd.xlsx", "A 10448-2026")</f>
        <v/>
      </c>
      <c r="X64">
        <f>HYPERLINK("https://klasma.github.io/Logging_2101/kartor/A 10448-2026 karta.png", "A 10448-2026")</f>
        <v/>
      </c>
      <c r="Y64">
        <f>HYPERLINK("https://klasma.github.io/Logging_2101/kartor_geotiff/A 10448-2026 georefererad karta.tif", "A 10448-2026")</f>
        <v/>
      </c>
      <c r="AA64">
        <f>HYPERLINK("https://klasma.github.io/Logging_2101/klagomål/A 10448-2026 FSC-klagomål.docx", "A 10448-2026")</f>
        <v/>
      </c>
      <c r="AB64">
        <f>HYPERLINK("https://klasma.github.io/Logging_2101/klagomålsmail/A 10448-2026 FSC-klagomål mail.docx", "A 10448-2026")</f>
        <v/>
      </c>
      <c r="AC64">
        <f>HYPERLINK("https://klasma.github.io/Logging_2101/tillsyn/A 10448-2026 tillsynsbegäran.docx", "A 10448-2026")</f>
        <v/>
      </c>
      <c r="AD64">
        <f>HYPERLINK("https://klasma.github.io/Logging_2101/tillsynsmail/A 10448-2026 tillsynsbegäran mail.docx", "A 10448-2026")</f>
        <v/>
      </c>
    </row>
    <row r="65" ht="15" customHeight="1">
      <c r="A65" t="inlineStr">
        <is>
          <t>A 15841-2023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45022</v>
      </c>
      <c r="E65" s="1" t="n">
        <v>46321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HYPERLINK("https://klasma.github.io/Logging_2101/artfynd/A 15841-2023 artfynd.xlsx", "A 15841-2023")</f>
        <v/>
      </c>
      <c r="X65">
        <f>HYPERLINK("https://klasma.github.io/Logging_2101/kartor/A 15841-2023 karta.png", "A 15841-2023")</f>
        <v/>
      </c>
      <c r="Y65">
        <f>HYPERLINK("https://klasma.github.io/Logging_2101/kartor_geotiff/A 15841-2023 georefererad karta.tif", "A 15841-2023")</f>
        <v/>
      </c>
      <c r="AA65">
        <f>HYPERLINK("https://klasma.github.io/Logging_2101/klagomål/A 15841-2023 FSC-klagomål.docx", "A 15841-2023")</f>
        <v/>
      </c>
      <c r="AB65">
        <f>HYPERLINK("https://klasma.github.io/Logging_2101/klagomålsmail/A 15841-2023 FSC-klagomål mail.docx", "A 15841-2023")</f>
        <v/>
      </c>
      <c r="AC65">
        <f>HYPERLINK("https://klasma.github.io/Logging_2101/tillsyn/A 15841-2023 tillsynsbegäran.docx", "A 15841-2023")</f>
        <v/>
      </c>
      <c r="AD65">
        <f>HYPERLINK("https://klasma.github.io/Logging_2101/tillsynsmail/A 15841-2023 tillsynsbegäran mail.docx", "A 15841-2023")</f>
        <v/>
      </c>
      <c r="AE65">
        <f>HYPERLINK("https://klasma.github.io/Logging_2101/fåglar/A 15841-2023 prioriterade fågelarter.docx", "A 15841-2023")</f>
        <v/>
      </c>
    </row>
    <row r="66" ht="15" customHeight="1">
      <c r="A66" t="inlineStr">
        <is>
          <t>A 16738-2025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46321</v>
      </c>
      <c r="F66" t="inlineStr">
        <is>
          <t>GÄVLEBORGS LÄN</t>
        </is>
      </c>
      <c r="G66" t="inlineStr">
        <is>
          <t>OCKELBO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HYPERLINK("https://klasma.github.io/Logging_2101/artfynd/A 16738-2025 artfynd.xlsx", "A 16738-2025")</f>
        <v/>
      </c>
      <c r="X66">
        <f>HYPERLINK("https://klasma.github.io/Logging_2101/kartor/A 16738-2025 karta.png", "A 16738-2025")</f>
        <v/>
      </c>
      <c r="Y66">
        <f>HYPERLINK("https://klasma.github.io/Logging_2101/kartor_geotiff/A 16738-2025 georefererad karta.tif", "A 16738-2025")</f>
        <v/>
      </c>
      <c r="AA66">
        <f>HYPERLINK("https://klasma.github.io/Logging_2101/klagomål/A 16738-2025 FSC-klagomål.docx", "A 16738-2025")</f>
        <v/>
      </c>
      <c r="AB66">
        <f>HYPERLINK("https://klasma.github.io/Logging_2101/klagomålsmail/A 16738-2025 FSC-klagomål mail.docx", "A 16738-2025")</f>
        <v/>
      </c>
      <c r="AC66">
        <f>HYPERLINK("https://klasma.github.io/Logging_2101/tillsyn/A 16738-2025 tillsynsbegäran.docx", "A 16738-2025")</f>
        <v/>
      </c>
      <c r="AD66">
        <f>HYPERLINK("https://klasma.github.io/Logging_2101/tillsynsmail/A 16738-2025 tillsynsbegäran mail.docx", "A 16738-2025")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46321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46321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46321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46321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46321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46321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46321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46321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46321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46321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46321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46321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34709-2022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46321</v>
      </c>
      <c r="F79" t="inlineStr">
        <is>
          <t>GÄVLEBORGS LÄN</t>
        </is>
      </c>
      <c r="G79" t="inlineStr">
        <is>
          <t>OCKELBO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46321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46321</v>
      </c>
      <c r="F81" t="inlineStr">
        <is>
          <t>GÄVLEBORGS LÄN</t>
        </is>
      </c>
      <c r="G81" t="inlineStr">
        <is>
          <t>OCKELBO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46321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46321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46321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46321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46321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46321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46321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45888</v>
      </c>
      <c r="E89" s="1" t="n">
        <v>46321</v>
      </c>
      <c r="F89" t="inlineStr">
        <is>
          <t>GÄVLEBORGS LÄN</t>
        </is>
      </c>
      <c r="G89" t="inlineStr">
        <is>
          <t>OCKELBO</t>
        </is>
      </c>
      <c r="H89" t="inlineStr">
        <is>
          <t>Kyrkan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46321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46321</v>
      </c>
      <c r="F91" t="inlineStr">
        <is>
          <t>GÄVLEBORGS LÄN</t>
        </is>
      </c>
      <c r="G91" t="inlineStr">
        <is>
          <t>OCKELBO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46321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46321</v>
      </c>
      <c r="F93" t="inlineStr">
        <is>
          <t>GÄVLEBORGS LÄN</t>
        </is>
      </c>
      <c r="G93" t="inlineStr">
        <is>
          <t>OCKELBO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46321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46321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46321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46321</v>
      </c>
      <c r="F97" t="inlineStr">
        <is>
          <t>GÄVLEBORGS LÄN</t>
        </is>
      </c>
      <c r="G97" t="inlineStr">
        <is>
          <t>OCKELBO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46321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46321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46321</v>
      </c>
      <c r="F100" t="inlineStr">
        <is>
          <t>GÄVLEBORGS LÄN</t>
        </is>
      </c>
      <c r="G100" t="inlineStr">
        <is>
          <t>OCKELBO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46321</v>
      </c>
      <c r="F101" t="inlineStr">
        <is>
          <t>GÄVLEBORGS LÄN</t>
        </is>
      </c>
      <c r="G101" t="inlineStr">
        <is>
          <t>OCKELBO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46321</v>
      </c>
      <c r="F102" t="inlineStr">
        <is>
          <t>GÄVLEBORGS LÄN</t>
        </is>
      </c>
      <c r="G102" t="inlineStr">
        <is>
          <t>OCKELBO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46321</v>
      </c>
      <c r="F103" t="inlineStr">
        <is>
          <t>GÄVLEBORGS LÄN</t>
        </is>
      </c>
      <c r="G103" t="inlineStr">
        <is>
          <t>OCKELBO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46321</v>
      </c>
      <c r="F104" t="inlineStr">
        <is>
          <t>GÄVLEBORGS LÄN</t>
        </is>
      </c>
      <c r="G104" t="inlineStr">
        <is>
          <t>OCKELBO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45609</v>
      </c>
      <c r="E105" s="1" t="n">
        <v>46321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46321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46321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46321</v>
      </c>
      <c r="F108" t="inlineStr">
        <is>
          <t>GÄVLEBORGS LÄN</t>
        </is>
      </c>
      <c r="G108" t="inlineStr">
        <is>
          <t>OCKELBO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46321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46321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46321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46321</v>
      </c>
      <c r="F112" t="inlineStr">
        <is>
          <t>GÄVLEBORGS LÄN</t>
        </is>
      </c>
      <c r="G112" t="inlineStr">
        <is>
          <t>OCKELBO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46321</v>
      </c>
      <c r="F113" t="inlineStr">
        <is>
          <t>GÄVLEBORGS LÄN</t>
        </is>
      </c>
      <c r="G113" t="inlineStr">
        <is>
          <t>OCKELBO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46321</v>
      </c>
      <c r="F114" t="inlineStr">
        <is>
          <t>GÄVLEBORGS LÄN</t>
        </is>
      </c>
      <c r="G114" t="inlineStr">
        <is>
          <t>OCKELBO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46160</v>
      </c>
      <c r="E115" s="1" t="n">
        <v>46321</v>
      </c>
      <c r="F115" t="inlineStr">
        <is>
          <t>GÄVLEBORGS LÄN</t>
        </is>
      </c>
      <c r="G115" t="inlineStr">
        <is>
          <t>OCKELBO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46321</v>
      </c>
      <c r="F116" t="inlineStr">
        <is>
          <t>GÄVLEBORGS LÄN</t>
        </is>
      </c>
      <c r="G116" t="inlineStr">
        <is>
          <t>OCKELBO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23040-2026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46161</v>
      </c>
      <c r="E117" s="1" t="n">
        <v>46321</v>
      </c>
      <c r="F117" t="inlineStr">
        <is>
          <t>GÄVLEBORGS LÄN</t>
        </is>
      </c>
      <c r="G117" t="inlineStr">
        <is>
          <t>OCKELBO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46321</v>
      </c>
      <c r="F118" t="inlineStr">
        <is>
          <t>GÄVLEBORGS LÄN</t>
        </is>
      </c>
      <c r="G118" t="inlineStr">
        <is>
          <t>OCKELBO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46321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46321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46321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46321</v>
      </c>
      <c r="F122" t="inlineStr">
        <is>
          <t>GÄVLEBORGS LÄN</t>
        </is>
      </c>
      <c r="G122" t="inlineStr">
        <is>
          <t>OCKELBO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45261</v>
      </c>
      <c r="E123" s="1" t="n">
        <v>46321</v>
      </c>
      <c r="F123" t="inlineStr">
        <is>
          <t>GÄVLEBORGS LÄN</t>
        </is>
      </c>
      <c r="G123" t="inlineStr">
        <is>
          <t>OCKELBO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46321</v>
      </c>
      <c r="F124" t="inlineStr">
        <is>
          <t>GÄVLEBORGS LÄN</t>
        </is>
      </c>
      <c r="G124" t="inlineStr">
        <is>
          <t>OCKELBO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46321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46321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46321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46164</v>
      </c>
      <c r="E128" s="1" t="n">
        <v>46321</v>
      </c>
      <c r="F128" t="inlineStr">
        <is>
          <t>GÄVLEBORGS LÄN</t>
        </is>
      </c>
      <c r="G128" t="inlineStr">
        <is>
          <t>OCKELBO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46321</v>
      </c>
      <c r="F129" t="inlineStr">
        <is>
          <t>GÄVLEBORGS LÄN</t>
        </is>
      </c>
      <c r="G129" t="inlineStr">
        <is>
          <t>OCKELBO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46321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44839</v>
      </c>
      <c r="E131" s="1" t="n">
        <v>46321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46321</v>
      </c>
      <c r="F132" t="inlineStr">
        <is>
          <t>GÄVLEBORGS LÄN</t>
        </is>
      </c>
      <c r="G132" t="inlineStr">
        <is>
          <t>OCKELBO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46321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46321</v>
      </c>
      <c r="F134" t="inlineStr">
        <is>
          <t>GÄVLEBORGS LÄN</t>
        </is>
      </c>
      <c r="G134" t="inlineStr">
        <is>
          <t>OCKELBO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46321</v>
      </c>
      <c r="F135" t="inlineStr">
        <is>
          <t>GÄVLEBORGS LÄN</t>
        </is>
      </c>
      <c r="G135" t="inlineStr">
        <is>
          <t>OCKELBO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46321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46321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46321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46321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46321</v>
      </c>
      <c r="F140" t="inlineStr">
        <is>
          <t>GÄVLEBORGS LÄN</t>
        </is>
      </c>
      <c r="G140" t="inlineStr">
        <is>
          <t>OCKELBO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46321</v>
      </c>
      <c r="F141" t="inlineStr">
        <is>
          <t>GÄVLEBORGS LÄN</t>
        </is>
      </c>
      <c r="G141" t="inlineStr">
        <is>
          <t>OCKELBO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46321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46321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46321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46321</v>
      </c>
      <c r="F145" t="inlineStr">
        <is>
          <t>GÄVLEBORGS LÄN</t>
        </is>
      </c>
      <c r="G145" t="inlineStr">
        <is>
          <t>OCKELBO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46321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46321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46321</v>
      </c>
      <c r="F148" t="inlineStr">
        <is>
          <t>GÄVLEBORGS LÄN</t>
        </is>
      </c>
      <c r="G148" t="inlineStr">
        <is>
          <t>OCKELBO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46321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46321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46321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46321</v>
      </c>
      <c r="F152" t="inlineStr">
        <is>
          <t>GÄVLEBORGS LÄN</t>
        </is>
      </c>
      <c r="G152" t="inlineStr">
        <is>
          <t>OCKELBO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46321</v>
      </c>
      <c r="F153" t="inlineStr">
        <is>
          <t>GÄVLEBORGS LÄN</t>
        </is>
      </c>
      <c r="G153" t="inlineStr">
        <is>
          <t>OCKELBO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46321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46321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46321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46321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46321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46321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46321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46321</v>
      </c>
      <c r="F161" t="inlineStr">
        <is>
          <t>GÄVLEBORGS LÄN</t>
        </is>
      </c>
      <c r="G161" t="inlineStr">
        <is>
          <t>OCKELBO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46321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46321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46321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46321</v>
      </c>
      <c r="F165" t="inlineStr">
        <is>
          <t>GÄVLEBORGS LÄN</t>
        </is>
      </c>
      <c r="G165" t="inlineStr">
        <is>
          <t>OCKELBO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46321</v>
      </c>
      <c r="F166" t="inlineStr">
        <is>
          <t>GÄVLEBORGS LÄN</t>
        </is>
      </c>
      <c r="G166" t="inlineStr">
        <is>
          <t>OCKELBO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46321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46321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46321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46321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46321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46321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46321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46321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46321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46321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46321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46321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46321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46321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45134</v>
      </c>
      <c r="E181" s="1" t="n">
        <v>46321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46321</v>
      </c>
      <c r="F182" t="inlineStr">
        <is>
          <t>GÄVLEBORGS LÄN</t>
        </is>
      </c>
      <c r="G182" t="inlineStr">
        <is>
          <t>OCKELBO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46321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46321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46321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20231-2024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45434</v>
      </c>
      <c r="E186" s="1" t="n">
        <v>46321</v>
      </c>
      <c r="F186" t="inlineStr">
        <is>
          <t>GÄVLEBORGS LÄN</t>
        </is>
      </c>
      <c r="G186" t="inlineStr">
        <is>
          <t>OCKELBO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46321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46321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46321</v>
      </c>
      <c r="F189" t="inlineStr">
        <is>
          <t>GÄVLEBORGS LÄN</t>
        </is>
      </c>
      <c r="G189" t="inlineStr">
        <is>
          <t>OCKELBO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46321</v>
      </c>
      <c r="F190" t="inlineStr">
        <is>
          <t>GÄVLEBORGS LÄN</t>
        </is>
      </c>
      <c r="G190" t="inlineStr">
        <is>
          <t>OCKELBO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46321</v>
      </c>
      <c r="F191" t="inlineStr">
        <is>
          <t>GÄVLEBORGS LÄN</t>
        </is>
      </c>
      <c r="G191" t="inlineStr">
        <is>
          <t>OCKELBO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46321</v>
      </c>
      <c r="F192" t="inlineStr">
        <is>
          <t>GÄVLEBORGS LÄN</t>
        </is>
      </c>
      <c r="G192" t="inlineStr">
        <is>
          <t>OCKELBO</t>
        </is>
      </c>
      <c r="I192" t="n">
        <v>11.1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46321</v>
      </c>
      <c r="F193" t="inlineStr">
        <is>
          <t>GÄVLEBORGS LÄN</t>
        </is>
      </c>
      <c r="G193" t="inlineStr">
        <is>
          <t>OCKELBO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46321</v>
      </c>
      <c r="F194" t="inlineStr">
        <is>
          <t>GÄVLEBORGS LÄN</t>
        </is>
      </c>
      <c r="G194" t="inlineStr">
        <is>
          <t>OCKELBO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46321</v>
      </c>
      <c r="F195" t="inlineStr">
        <is>
          <t>GÄVLEBORGS LÄN</t>
        </is>
      </c>
      <c r="G195" t="inlineStr">
        <is>
          <t>OCKELBO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46321</v>
      </c>
      <c r="F196" t="inlineStr">
        <is>
          <t>GÄVLEBORGS LÄN</t>
        </is>
      </c>
      <c r="G196" t="inlineStr">
        <is>
          <t>OCKELBO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46321</v>
      </c>
      <c r="F197" t="inlineStr">
        <is>
          <t>GÄVLEBORGS LÄN</t>
        </is>
      </c>
      <c r="G197" t="inlineStr">
        <is>
          <t>OCKELBO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46321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46321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46321</v>
      </c>
      <c r="F200" t="inlineStr">
        <is>
          <t>GÄVLEBORGS LÄN</t>
        </is>
      </c>
      <c r="G200" t="inlineStr">
        <is>
          <t>OCKELBO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46321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46321</v>
      </c>
      <c r="F202" t="inlineStr">
        <is>
          <t>GÄVLEBORGS LÄN</t>
        </is>
      </c>
      <c r="G202" t="inlineStr">
        <is>
          <t>OCKELBO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46321</v>
      </c>
      <c r="F203" t="inlineStr">
        <is>
          <t>GÄVLEBORGS LÄN</t>
        </is>
      </c>
      <c r="G203" t="inlineStr">
        <is>
          <t>OCKELBO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46321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46321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46321</v>
      </c>
      <c r="F206" t="inlineStr">
        <is>
          <t>GÄVLEBORGS LÄN</t>
        </is>
      </c>
      <c r="G206" t="inlineStr">
        <is>
          <t>OCKELBO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45334</v>
      </c>
      <c r="E207" s="1" t="n">
        <v>46321</v>
      </c>
      <c r="F207" t="inlineStr">
        <is>
          <t>GÄVLEBORGS LÄN</t>
        </is>
      </c>
      <c r="G207" t="inlineStr">
        <is>
          <t>OCKELBO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46321</v>
      </c>
      <c r="F208" t="inlineStr">
        <is>
          <t>GÄVLEBORGS LÄN</t>
        </is>
      </c>
      <c r="G208" t="inlineStr">
        <is>
          <t>OCKELBO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46321</v>
      </c>
      <c r="F209" t="inlineStr">
        <is>
          <t>GÄVLEBORGS LÄN</t>
        </is>
      </c>
      <c r="G209" t="inlineStr">
        <is>
          <t>OCKELBO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46321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45223</v>
      </c>
      <c r="E211" s="1" t="n">
        <v>46321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46321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46321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46321</v>
      </c>
      <c r="F214" t="inlineStr">
        <is>
          <t>GÄVLEBORGS LÄN</t>
        </is>
      </c>
      <c r="G214" t="inlineStr">
        <is>
          <t>OCKELBO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46321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46321</v>
      </c>
      <c r="F216" t="inlineStr">
        <is>
          <t>GÄVLEBORGS LÄN</t>
        </is>
      </c>
      <c r="G216" t="inlineStr">
        <is>
          <t>OCKELBO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45678</v>
      </c>
      <c r="E217" s="1" t="n">
        <v>46321</v>
      </c>
      <c r="F217" t="inlineStr">
        <is>
          <t>GÄVLEBORGS LÄN</t>
        </is>
      </c>
      <c r="G217" t="inlineStr">
        <is>
          <t>OCKELBO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46321</v>
      </c>
      <c r="F218" t="inlineStr">
        <is>
          <t>GÄVLEBORGS LÄN</t>
        </is>
      </c>
      <c r="G218" t="inlineStr">
        <is>
          <t>OCKELBO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46321</v>
      </c>
      <c r="F219" t="inlineStr">
        <is>
          <t>GÄVLEBORGS LÄN</t>
        </is>
      </c>
      <c r="G219" t="inlineStr">
        <is>
          <t>OCKELBO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46321</v>
      </c>
      <c r="F220" t="inlineStr">
        <is>
          <t>GÄVLEBORGS LÄN</t>
        </is>
      </c>
      <c r="G220" t="inlineStr">
        <is>
          <t>OCKELBO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46321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46321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46321</v>
      </c>
      <c r="F223" t="inlineStr">
        <is>
          <t>GÄVLEBORGS LÄN</t>
        </is>
      </c>
      <c r="G223" t="inlineStr">
        <is>
          <t>OCKELBO</t>
        </is>
      </c>
      <c r="I223" t="n">
        <v>14.6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46321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46321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46321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46321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46321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46321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46321</v>
      </c>
      <c r="F230" t="inlineStr">
        <is>
          <t>GÄVLEBORGS LÄN</t>
        </is>
      </c>
      <c r="G230" t="inlineStr">
        <is>
          <t>OCKELBO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46321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46321</v>
      </c>
      <c r="F232" t="inlineStr">
        <is>
          <t>GÄVLEBORGS LÄN</t>
        </is>
      </c>
      <c r="G232" t="inlineStr">
        <is>
          <t>OCKELBO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46189</v>
      </c>
      <c r="E233" s="1" t="n">
        <v>46321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46321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46321</v>
      </c>
      <c r="F235" t="inlineStr">
        <is>
          <t>GÄVLEBORGS LÄN</t>
        </is>
      </c>
      <c r="G235" t="inlineStr">
        <is>
          <t>OCKELBO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46321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46321</v>
      </c>
      <c r="F237" t="inlineStr">
        <is>
          <t>GÄVLEBORGS LÄN</t>
        </is>
      </c>
      <c r="G237" t="inlineStr">
        <is>
          <t>OCKELBO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46321</v>
      </c>
      <c r="F238" t="inlineStr">
        <is>
          <t>GÄVLEBORGS LÄN</t>
        </is>
      </c>
      <c r="G238" t="inlineStr">
        <is>
          <t>OCKELBO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46321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46321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46321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46321</v>
      </c>
      <c r="F242" t="inlineStr">
        <is>
          <t>GÄVLEBORGS LÄN</t>
        </is>
      </c>
      <c r="G242" t="inlineStr">
        <is>
          <t>OCKELBO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46321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46190</v>
      </c>
      <c r="E244" s="1" t="n">
        <v>46321</v>
      </c>
      <c r="F244" t="inlineStr">
        <is>
          <t>GÄVLEBORGS LÄN</t>
        </is>
      </c>
      <c r="G244" t="inlineStr">
        <is>
          <t>OCKELBO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46321</v>
      </c>
      <c r="F245" t="inlineStr">
        <is>
          <t>GÄVLEBORGS LÄN</t>
        </is>
      </c>
      <c r="G245" t="inlineStr">
        <is>
          <t>OCKELBO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46321</v>
      </c>
      <c r="F246" t="inlineStr">
        <is>
          <t>GÄVLEBORGS LÄN</t>
        </is>
      </c>
      <c r="G246" t="inlineStr">
        <is>
          <t>OCKELBO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46191</v>
      </c>
      <c r="E247" s="1" t="n">
        <v>46321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46321</v>
      </c>
      <c r="F248" t="inlineStr">
        <is>
          <t>GÄVLEBORGS LÄN</t>
        </is>
      </c>
      <c r="G248" t="inlineStr">
        <is>
          <t>OCKELBO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46321</v>
      </c>
      <c r="F249" t="inlineStr">
        <is>
          <t>GÄVLEBORGS LÄN</t>
        </is>
      </c>
      <c r="G249" t="inlineStr">
        <is>
          <t>OCKELBO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46321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46321</v>
      </c>
      <c r="F251" t="inlineStr">
        <is>
          <t>GÄVLEBORGS LÄN</t>
        </is>
      </c>
      <c r="G251" t="inlineStr">
        <is>
          <t>OCKELBO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46321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46321</v>
      </c>
      <c r="F253" t="inlineStr">
        <is>
          <t>GÄVLEBORGS LÄN</t>
        </is>
      </c>
      <c r="G253" t="inlineStr">
        <is>
          <t>OCKELBO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46321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46321</v>
      </c>
      <c r="F255" t="inlineStr">
        <is>
          <t>GÄVLEBORGS LÄN</t>
        </is>
      </c>
      <c r="G255" t="inlineStr">
        <is>
          <t>OCKELBO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46321</v>
      </c>
      <c r="F256" t="inlineStr">
        <is>
          <t>GÄVLEBORGS LÄN</t>
        </is>
      </c>
      <c r="G256" t="inlineStr">
        <is>
          <t>OCKELBO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46321</v>
      </c>
      <c r="F257" t="inlineStr">
        <is>
          <t>GÄVLEBORGS LÄN</t>
        </is>
      </c>
      <c r="G257" t="inlineStr">
        <is>
          <t>OCKELBO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46321</v>
      </c>
      <c r="F258" t="inlineStr">
        <is>
          <t>GÄVLEBORGS LÄN</t>
        </is>
      </c>
      <c r="G258" t="inlineStr">
        <is>
          <t>OCKELBO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46321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46321</v>
      </c>
      <c r="F260" t="inlineStr">
        <is>
          <t>GÄVLEBORGS LÄN</t>
        </is>
      </c>
      <c r="G260" t="inlineStr">
        <is>
          <t>OCKELBO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46321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55911-2025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45973</v>
      </c>
      <c r="E262" s="1" t="n">
        <v>46321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46321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46321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46321</v>
      </c>
      <c r="F265" t="inlineStr">
        <is>
          <t>GÄVLEBORGS LÄN</t>
        </is>
      </c>
      <c r="G265" t="inlineStr">
        <is>
          <t>OCKELBO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46321</v>
      </c>
      <c r="F266" t="inlineStr">
        <is>
          <t>GÄVLEBORGS LÄN</t>
        </is>
      </c>
      <c r="G266" t="inlineStr">
        <is>
          <t>OCKELBO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46321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46321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47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46321</v>
      </c>
      <c r="F269" t="inlineStr">
        <is>
          <t>GÄVLEBORGS LÄN</t>
        </is>
      </c>
      <c r="G269" t="inlineStr">
        <is>
          <t>OCKELBO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46321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46321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46321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46321</v>
      </c>
      <c r="F273" t="inlineStr">
        <is>
          <t>GÄVLEBORGS LÄN</t>
        </is>
      </c>
      <c r="G273" t="inlineStr">
        <is>
          <t>OCKELBO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46321</v>
      </c>
      <c r="F274" t="inlineStr">
        <is>
          <t>GÄVLEBORGS LÄN</t>
        </is>
      </c>
      <c r="G274" t="inlineStr">
        <is>
          <t>OCKELBO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46321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46321</v>
      </c>
      <c r="F276" t="inlineStr">
        <is>
          <t>GÄVLEBORGS LÄN</t>
        </is>
      </c>
      <c r="G276" t="inlineStr">
        <is>
          <t>OCKELBO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46321</v>
      </c>
      <c r="F277" t="inlineStr">
        <is>
          <t>GÄVLEBORGS LÄN</t>
        </is>
      </c>
      <c r="G277" t="inlineStr">
        <is>
          <t>OCKELBO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46321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46321</v>
      </c>
      <c r="F279" t="inlineStr">
        <is>
          <t>GÄVLEBORGS LÄN</t>
        </is>
      </c>
      <c r="G279" t="inlineStr">
        <is>
          <t>OCKELBO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46321</v>
      </c>
      <c r="F280" t="inlineStr">
        <is>
          <t>GÄVLEBORGS LÄN</t>
        </is>
      </c>
      <c r="G280" t="inlineStr">
        <is>
          <t>OCKELBO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46321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46321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46321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46321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46321</v>
      </c>
      <c r="F285" t="inlineStr">
        <is>
          <t>GÄVLEBORGS LÄN</t>
        </is>
      </c>
      <c r="G285" t="inlineStr">
        <is>
          <t>OCKELBO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45481</v>
      </c>
      <c r="E286" s="1" t="n">
        <v>46321</v>
      </c>
      <c r="F286" t="inlineStr">
        <is>
          <t>GÄVLEBORGS LÄN</t>
        </is>
      </c>
      <c r="G286" t="inlineStr">
        <is>
          <t>OCKELBO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46321</v>
      </c>
      <c r="F287" t="inlineStr">
        <is>
          <t>GÄVLEBORGS LÄN</t>
        </is>
      </c>
      <c r="G287" t="inlineStr">
        <is>
          <t>OCKELBO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46321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46321</v>
      </c>
      <c r="F289" t="inlineStr">
        <is>
          <t>GÄVLEBORGS LÄN</t>
        </is>
      </c>
      <c r="G289" t="inlineStr">
        <is>
          <t>OCKELBO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46321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46321</v>
      </c>
      <c r="F291" t="inlineStr">
        <is>
          <t>GÄVLEBORGS LÄN</t>
        </is>
      </c>
      <c r="G291" t="inlineStr">
        <is>
          <t>OCKELBO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46205</v>
      </c>
      <c r="E292" s="1" t="n">
        <v>46321</v>
      </c>
      <c r="F292" t="inlineStr">
        <is>
          <t>GÄVLEBORGS LÄN</t>
        </is>
      </c>
      <c r="G292" t="inlineStr">
        <is>
          <t>OCKELBO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44986</v>
      </c>
      <c r="E293" s="1" t="n">
        <v>46321</v>
      </c>
      <c r="F293" t="inlineStr">
        <is>
          <t>GÄVLEBORGS LÄN</t>
        </is>
      </c>
      <c r="G293" t="inlineStr">
        <is>
          <t>OCKELBO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45490</v>
      </c>
      <c r="E294" s="1" t="n">
        <v>46321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46321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46321</v>
      </c>
      <c r="F296" t="inlineStr">
        <is>
          <t>GÄVLEBORGS LÄN</t>
        </is>
      </c>
      <c r="G296" t="inlineStr">
        <is>
          <t>OCKELBO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46321</v>
      </c>
      <c r="F297" t="inlineStr">
        <is>
          <t>GÄVLEBORGS LÄN</t>
        </is>
      </c>
      <c r="G297" t="inlineStr">
        <is>
          <t>OCKELBO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46321</v>
      </c>
      <c r="F298" t="inlineStr">
        <is>
          <t>GÄVLEBORGS LÄN</t>
        </is>
      </c>
      <c r="G298" t="inlineStr">
        <is>
          <t>OCKELBO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46321</v>
      </c>
      <c r="F299" t="inlineStr">
        <is>
          <t>GÄVLEBORGS LÄN</t>
        </is>
      </c>
      <c r="G299" t="inlineStr">
        <is>
          <t>OCKELBO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45478</v>
      </c>
      <c r="E300" s="1" t="n">
        <v>46321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46321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46321</v>
      </c>
      <c r="F302" t="inlineStr">
        <is>
          <t>GÄVLEBORGS LÄN</t>
        </is>
      </c>
      <c r="G302" t="inlineStr">
        <is>
          <t>OCKELBO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60183-2025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46321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46321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46321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46216</v>
      </c>
      <c r="E306" s="1" t="n">
        <v>46321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46321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46218</v>
      </c>
      <c r="E308" s="1" t="n">
        <v>46321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46321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46321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46321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46321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46321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62196-2025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46006</v>
      </c>
      <c r="E314" s="1" t="n">
        <v>46321</v>
      </c>
      <c r="F314" t="inlineStr">
        <is>
          <t>GÄVLEBORGS LÄN</t>
        </is>
      </c>
      <c r="G314" t="inlineStr">
        <is>
          <t>OCKELBO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46321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46230</v>
      </c>
      <c r="E316" s="1" t="n">
        <v>46321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46321</v>
      </c>
      <c r="F317" t="inlineStr">
        <is>
          <t>GÄVLEBORGS LÄN</t>
        </is>
      </c>
      <c r="G317" t="inlineStr">
        <is>
          <t>OCKELBO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46321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46321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46279</v>
      </c>
      <c r="E320" s="1" t="n">
        <v>46321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46321</v>
      </c>
      <c r="F321" t="inlineStr">
        <is>
          <t>GÄVLEBORGS LÄN</t>
        </is>
      </c>
      <c r="G321" t="inlineStr">
        <is>
          <t>OCKELBO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46321</v>
      </c>
      <c r="F322" t="inlineStr">
        <is>
          <t>GÄVLEBORGS LÄN</t>
        </is>
      </c>
      <c r="G322" t="inlineStr">
        <is>
          <t>OCKELBO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46321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46321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46321</v>
      </c>
      <c r="F325" t="inlineStr">
        <is>
          <t>GÄVLEBORGS LÄN</t>
        </is>
      </c>
      <c r="G325" t="inlineStr">
        <is>
          <t>OCKELBO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46010</v>
      </c>
      <c r="E326" s="1" t="n">
        <v>46321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46321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45544</v>
      </c>
      <c r="E328" s="1" t="n">
        <v>46321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45786</v>
      </c>
      <c r="E329" s="1" t="n">
        <v>46321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46321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46321</v>
      </c>
      <c r="F331" t="inlineStr">
        <is>
          <t>GÄVLEBORGS LÄN</t>
        </is>
      </c>
      <c r="G331" t="inlineStr">
        <is>
          <t>OCKELBO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45786</v>
      </c>
      <c r="E332" s="1" t="n">
        <v>46321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46321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45478</v>
      </c>
      <c r="E334" s="1" t="n">
        <v>46321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28181-2022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46321</v>
      </c>
      <c r="F335" t="inlineStr">
        <is>
          <t>GÄVLEBORGS LÄN</t>
        </is>
      </c>
      <c r="G335" t="inlineStr">
        <is>
          <t>OCKELBO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46321</v>
      </c>
      <c r="F336" t="inlineStr">
        <is>
          <t>GÄVLEBORGS LÄN</t>
        </is>
      </c>
      <c r="G336" t="inlineStr">
        <is>
          <t>OCKELBO</t>
        </is>
      </c>
      <c r="I336" t="n">
        <v>13.6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46321</v>
      </c>
      <c r="F337" t="inlineStr">
        <is>
          <t>GÄVLEBORGS LÄN</t>
        </is>
      </c>
      <c r="G337" t="inlineStr">
        <is>
          <t>OCKELBO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46027</v>
      </c>
      <c r="E338" s="1" t="n">
        <v>46321</v>
      </c>
      <c r="F338" t="inlineStr">
        <is>
          <t>GÄVLEBORGS LÄN</t>
        </is>
      </c>
      <c r="G338" t="inlineStr">
        <is>
          <t>OCKELBO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46027</v>
      </c>
      <c r="E339" s="1" t="n">
        <v>46321</v>
      </c>
      <c r="F339" t="inlineStr">
        <is>
          <t>GÄVLEBORGS LÄN</t>
        </is>
      </c>
      <c r="G339" t="inlineStr">
        <is>
          <t>OCKELBO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46027</v>
      </c>
      <c r="E340" s="1" t="n">
        <v>46321</v>
      </c>
      <c r="F340" t="inlineStr">
        <is>
          <t>GÄVLEBORGS LÄN</t>
        </is>
      </c>
      <c r="G340" t="inlineStr">
        <is>
          <t>OCKELBO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46027</v>
      </c>
      <c r="E341" s="1" t="n">
        <v>46321</v>
      </c>
      <c r="F341" t="inlineStr">
        <is>
          <t>GÄVLEBORGS LÄN</t>
        </is>
      </c>
      <c r="G341" t="inlineStr">
        <is>
          <t>OCKELBO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46027</v>
      </c>
      <c r="E342" s="1" t="n">
        <v>46321</v>
      </c>
      <c r="F342" t="inlineStr">
        <is>
          <t>GÄVLEBORGS LÄN</t>
        </is>
      </c>
      <c r="G342" t="inlineStr">
        <is>
          <t>OCKELBO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46027</v>
      </c>
      <c r="E343" s="1" t="n">
        <v>46321</v>
      </c>
      <c r="F343" t="inlineStr">
        <is>
          <t>GÄVLEBORGS LÄN</t>
        </is>
      </c>
      <c r="G343" t="inlineStr">
        <is>
          <t>OCKELBO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46321</v>
      </c>
      <c r="F344" t="inlineStr">
        <is>
          <t>GÄVLEBORGS LÄN</t>
        </is>
      </c>
      <c r="G344" t="inlineStr">
        <is>
          <t>OCKELBO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23004-2025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45790</v>
      </c>
      <c r="E345" s="1" t="n">
        <v>46321</v>
      </c>
      <c r="F345" t="inlineStr">
        <is>
          <t>GÄVLEBORGS LÄN</t>
        </is>
      </c>
      <c r="G345" t="inlineStr">
        <is>
          <t>OCKELBO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46321</v>
      </c>
      <c r="F346" t="inlineStr">
        <is>
          <t>GÄVLEBORGS LÄN</t>
        </is>
      </c>
      <c r="G346" t="inlineStr">
        <is>
          <t>OCKELBO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46028</v>
      </c>
      <c r="E347" s="1" t="n">
        <v>46321</v>
      </c>
      <c r="F347" t="inlineStr">
        <is>
          <t>GÄVLEBORGS LÄN</t>
        </is>
      </c>
      <c r="G347" t="inlineStr">
        <is>
          <t>OCKELBO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46321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46321</v>
      </c>
      <c r="F349" t="inlineStr">
        <is>
          <t>GÄVLEBORGS LÄN</t>
        </is>
      </c>
      <c r="G349" t="inlineStr">
        <is>
          <t>OCKELBO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46321</v>
      </c>
      <c r="F350" t="inlineStr">
        <is>
          <t>GÄVLEBORGS LÄN</t>
        </is>
      </c>
      <c r="G350" t="inlineStr">
        <is>
          <t>OCKELBO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46321</v>
      </c>
      <c r="F351" t="inlineStr">
        <is>
          <t>GÄVLEBORGS LÄN</t>
        </is>
      </c>
      <c r="G351" t="inlineStr">
        <is>
          <t>OCKELBO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46321</v>
      </c>
      <c r="F352" t="inlineStr">
        <is>
          <t>GÄVLEBORGS LÄN</t>
        </is>
      </c>
      <c r="G352" t="inlineStr">
        <is>
          <t>OCKELBO</t>
        </is>
      </c>
      <c r="I352" t="n">
        <v>12.9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46321</v>
      </c>
      <c r="F353" t="inlineStr">
        <is>
          <t>GÄVLEBORGS LÄN</t>
        </is>
      </c>
      <c r="G353" t="inlineStr">
        <is>
          <t>OCKELBO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46321</v>
      </c>
      <c r="F354" t="inlineStr">
        <is>
          <t>GÄVLEBORGS LÄN</t>
        </is>
      </c>
      <c r="G354" t="inlineStr">
        <is>
          <t>OCKELBO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46283</v>
      </c>
      <c r="E355" s="1" t="n">
        <v>46321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46033</v>
      </c>
      <c r="E356" s="1" t="n">
        <v>46321</v>
      </c>
      <c r="F356" t="inlineStr">
        <is>
          <t>GÄVLEBORGS LÄN</t>
        </is>
      </c>
      <c r="G356" t="inlineStr">
        <is>
          <t>OCKELBO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45776</v>
      </c>
      <c r="E357" s="1" t="n">
        <v>46321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46321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46321</v>
      </c>
      <c r="F359" t="inlineStr">
        <is>
          <t>GÄVLEBORGS LÄN</t>
        </is>
      </c>
      <c r="G359" t="inlineStr">
        <is>
          <t>OCKELBO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46321</v>
      </c>
      <c r="F360" t="inlineStr">
        <is>
          <t>GÄVLEBORGS LÄN</t>
        </is>
      </c>
      <c r="G360" t="inlineStr">
        <is>
          <t>OCKELBO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46321</v>
      </c>
      <c r="F361" t="inlineStr">
        <is>
          <t>GÄVLEBORGS LÄN</t>
        </is>
      </c>
      <c r="G361" t="inlineStr">
        <is>
          <t>OCKELBO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46321</v>
      </c>
      <c r="F362" t="inlineStr">
        <is>
          <t>GÄVLEBORGS LÄN</t>
        </is>
      </c>
      <c r="G362" t="inlineStr">
        <is>
          <t>OCKELBO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46321</v>
      </c>
      <c r="F363" t="inlineStr">
        <is>
          <t>GÄVLEBORGS LÄN</t>
        </is>
      </c>
      <c r="G363" t="inlineStr">
        <is>
          <t>OCKELBO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46321</v>
      </c>
      <c r="F364" t="inlineStr">
        <is>
          <t>GÄVLEBORGS LÄN</t>
        </is>
      </c>
      <c r="G364" t="inlineStr">
        <is>
          <t>OCKELBO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46321</v>
      </c>
      <c r="F365" t="inlineStr">
        <is>
          <t>GÄVLEBORGS LÄN</t>
        </is>
      </c>
      <c r="G365" t="inlineStr">
        <is>
          <t>OCKELBO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46321</v>
      </c>
      <c r="F366" t="inlineStr">
        <is>
          <t>GÄVLEBORGS LÄN</t>
        </is>
      </c>
      <c r="G366" t="inlineStr">
        <is>
          <t>OCKELBO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46321</v>
      </c>
      <c r="F367" t="inlineStr">
        <is>
          <t>GÄVLEBORGS LÄN</t>
        </is>
      </c>
      <c r="G367" t="inlineStr">
        <is>
          <t>OCKELBO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46321</v>
      </c>
      <c r="F368" t="inlineStr">
        <is>
          <t>GÄVLEBORGS LÄN</t>
        </is>
      </c>
      <c r="G368" t="inlineStr">
        <is>
          <t>OCKELBO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46321</v>
      </c>
      <c r="F369" t="inlineStr">
        <is>
          <t>GÄVLEBORGS LÄN</t>
        </is>
      </c>
      <c r="G369" t="inlineStr">
        <is>
          <t>OCKELBO</t>
        </is>
      </c>
      <c r="I369" t="n">
        <v>16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46283</v>
      </c>
      <c r="E370" s="1" t="n">
        <v>46321</v>
      </c>
      <c r="F370" t="inlineStr">
        <is>
          <t>GÄVLEBORGS LÄN</t>
        </is>
      </c>
      <c r="G370" t="inlineStr">
        <is>
          <t>OCKELBO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46321</v>
      </c>
      <c r="F371" t="inlineStr">
        <is>
          <t>GÄVLEBORGS LÄN</t>
        </is>
      </c>
      <c r="G371" t="inlineStr">
        <is>
          <t>OCKELBO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46321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46321</v>
      </c>
      <c r="F373" t="inlineStr">
        <is>
          <t>GÄVLEBORGS LÄN</t>
        </is>
      </c>
      <c r="G373" t="inlineStr">
        <is>
          <t>OCKELBO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46321</v>
      </c>
      <c r="F374" t="inlineStr">
        <is>
          <t>GÄVLEBORGS LÄN</t>
        </is>
      </c>
      <c r="G374" t="inlineStr">
        <is>
          <t>OCKELBO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20207-2024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46321</v>
      </c>
      <c r="F375" t="inlineStr">
        <is>
          <t>GÄVLEBORGS LÄN</t>
        </is>
      </c>
      <c r="G375" t="inlineStr">
        <is>
          <t>OCKELBO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46321</v>
      </c>
      <c r="F376" t="inlineStr">
        <is>
          <t>GÄVLEBORGS LÄN</t>
        </is>
      </c>
      <c r="G376" t="inlineStr">
        <is>
          <t>OCKELBO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46321</v>
      </c>
      <c r="F377" t="inlineStr">
        <is>
          <t>GÄVLEBORGS LÄN</t>
        </is>
      </c>
      <c r="G377" t="inlineStr">
        <is>
          <t>OCKELBO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46321</v>
      </c>
      <c r="F378" t="inlineStr">
        <is>
          <t>GÄVLEBORGS LÄN</t>
        </is>
      </c>
      <c r="G378" t="inlineStr">
        <is>
          <t>OCKELBO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44659</v>
      </c>
      <c r="E379" s="1" t="n">
        <v>46321</v>
      </c>
      <c r="F379" t="inlineStr">
        <is>
          <t>GÄVLEBORGS LÄN</t>
        </is>
      </c>
      <c r="G379" t="inlineStr">
        <is>
          <t>OCKELBO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46321</v>
      </c>
      <c r="F380" t="inlineStr">
        <is>
          <t>GÄVLEBORGS LÄN</t>
        </is>
      </c>
      <c r="G380" t="inlineStr">
        <is>
          <t>OCKELBO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45468</v>
      </c>
      <c r="E381" s="1" t="n">
        <v>46321</v>
      </c>
      <c r="F381" t="inlineStr">
        <is>
          <t>GÄVLEBORGS LÄN</t>
        </is>
      </c>
      <c r="G381" t="inlineStr">
        <is>
          <t>OCKELBO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46245</v>
      </c>
      <c r="E382" s="1" t="n">
        <v>46321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46321</v>
      </c>
      <c r="F383" t="inlineStr">
        <is>
          <t>GÄVLEBORGS LÄN</t>
        </is>
      </c>
      <c r="G383" t="inlineStr">
        <is>
          <t>OCKELBO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46321</v>
      </c>
      <c r="F384" t="inlineStr">
        <is>
          <t>GÄVLEBORGS LÄN</t>
        </is>
      </c>
      <c r="G384" t="inlineStr">
        <is>
          <t>OCKELBO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46321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46321</v>
      </c>
      <c r="F386" t="inlineStr">
        <is>
          <t>GÄVLEBORGS LÄN</t>
        </is>
      </c>
      <c r="G386" t="inlineStr">
        <is>
          <t>OCKELBO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46321</v>
      </c>
      <c r="F387" t="inlineStr">
        <is>
          <t>GÄVLEBORGS LÄN</t>
        </is>
      </c>
      <c r="G387" t="inlineStr">
        <is>
          <t>OCKELBO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46321</v>
      </c>
      <c r="F388" t="inlineStr">
        <is>
          <t>GÄVLEBORGS LÄN</t>
        </is>
      </c>
      <c r="G388" t="inlineStr">
        <is>
          <t>OCKELBO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46321</v>
      </c>
      <c r="F389" t="inlineStr">
        <is>
          <t>GÄVLEBORGS LÄN</t>
        </is>
      </c>
      <c r="G389" t="inlineStr">
        <is>
          <t>OCKELBO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46321</v>
      </c>
      <c r="F390" t="inlineStr">
        <is>
          <t>GÄVLEBORGS LÄN</t>
        </is>
      </c>
      <c r="G390" t="inlineStr">
        <is>
          <t>OCKELBO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46321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46321</v>
      </c>
      <c r="F392" t="inlineStr">
        <is>
          <t>GÄVLEBORGS LÄN</t>
        </is>
      </c>
      <c r="G392" t="inlineStr">
        <is>
          <t>OCKELBO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46321</v>
      </c>
      <c r="F393" t="inlineStr">
        <is>
          <t>GÄVLEBORGS LÄN</t>
        </is>
      </c>
      <c r="G393" t="inlineStr">
        <is>
          <t>OCKELBO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46321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25250-2025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45800</v>
      </c>
      <c r="E395" s="1" t="n">
        <v>46321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46321</v>
      </c>
      <c r="F396" t="inlineStr">
        <is>
          <t>GÄVLEBORGS LÄN</t>
        </is>
      </c>
      <c r="G396" t="inlineStr">
        <is>
          <t>OCKELBO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46045</v>
      </c>
      <c r="E397" s="1" t="n">
        <v>46321</v>
      </c>
      <c r="F397" t="inlineStr">
        <is>
          <t>GÄVLEBORGS LÄN</t>
        </is>
      </c>
      <c r="G397" t="inlineStr">
        <is>
          <t>OCKELBO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45800</v>
      </c>
      <c r="E398" s="1" t="n">
        <v>46321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46321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46321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46321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46321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46321</v>
      </c>
      <c r="F403" t="inlineStr">
        <is>
          <t>GÄVLEBORGS LÄN</t>
        </is>
      </c>
      <c r="G403" t="inlineStr">
        <is>
          <t>OCKELBO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46321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46321</v>
      </c>
      <c r="F405" t="inlineStr">
        <is>
          <t>GÄVLEBORGS LÄN</t>
        </is>
      </c>
      <c r="G405" t="inlineStr">
        <is>
          <t>OCKELBO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46321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46321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46321</v>
      </c>
      <c r="F408" t="inlineStr">
        <is>
          <t>GÄVLEBORGS LÄN</t>
        </is>
      </c>
      <c r="G408" t="inlineStr">
        <is>
          <t>OCKELBO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46321</v>
      </c>
      <c r="F409" t="inlineStr">
        <is>
          <t>GÄVLEBORGS LÄN</t>
        </is>
      </c>
      <c r="G409" t="inlineStr">
        <is>
          <t>OCKELBO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46321</v>
      </c>
      <c r="F410" t="inlineStr">
        <is>
          <t>GÄVLEBORGS LÄN</t>
        </is>
      </c>
      <c r="G410" t="inlineStr">
        <is>
          <t>OCKELBO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45134</v>
      </c>
      <c r="E411" s="1" t="n">
        <v>46321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45803</v>
      </c>
      <c r="E412" s="1" t="n">
        <v>46321</v>
      </c>
      <c r="F412" t="inlineStr">
        <is>
          <t>GÄVLEBORGS LÄN</t>
        </is>
      </c>
      <c r="G412" t="inlineStr">
        <is>
          <t>OCKELBO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46321</v>
      </c>
      <c r="F413" t="inlineStr">
        <is>
          <t>GÄVLEBORGS LÄN</t>
        </is>
      </c>
      <c r="G413" t="inlineStr">
        <is>
          <t>OCKELBO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46321</v>
      </c>
      <c r="F414" t="inlineStr">
        <is>
          <t>GÄVLEBORGS LÄN</t>
        </is>
      </c>
      <c r="G414" t="inlineStr">
        <is>
          <t>OCKELBO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46321</v>
      </c>
      <c r="F415" t="inlineStr">
        <is>
          <t>GÄVLEBORGS LÄN</t>
        </is>
      </c>
      <c r="G415" t="inlineStr">
        <is>
          <t>OCKELBO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46321</v>
      </c>
      <c r="F416" t="inlineStr">
        <is>
          <t>GÄVLEBORGS LÄN</t>
        </is>
      </c>
      <c r="G416" t="inlineStr">
        <is>
          <t>OCKELBO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46053</v>
      </c>
      <c r="E417" s="1" t="n">
        <v>46321</v>
      </c>
      <c r="F417" t="inlineStr">
        <is>
          <t>GÄVLEBORGS LÄN</t>
        </is>
      </c>
      <c r="G417" t="inlineStr">
        <is>
          <t>OCKELBO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46056</v>
      </c>
      <c r="E418" s="1" t="n">
        <v>46321</v>
      </c>
      <c r="F418" t="inlineStr">
        <is>
          <t>GÄVLEBORGS LÄN</t>
        </is>
      </c>
      <c r="G418" t="inlineStr">
        <is>
          <t>OCKELBO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46321</v>
      </c>
      <c r="F419" t="inlineStr">
        <is>
          <t>GÄVLEBORGS LÄN</t>
        </is>
      </c>
      <c r="G419" t="inlineStr">
        <is>
          <t>OCKELBO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46321</v>
      </c>
      <c r="F420" t="inlineStr">
        <is>
          <t>GÄVLEBORGS LÄN</t>
        </is>
      </c>
      <c r="G420" t="inlineStr">
        <is>
          <t>OCKELBO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45805</v>
      </c>
      <c r="E421" s="1" t="n">
        <v>46321</v>
      </c>
      <c r="F421" t="inlineStr">
        <is>
          <t>GÄVLEBORGS LÄN</t>
        </is>
      </c>
      <c r="G421" t="inlineStr">
        <is>
          <t>OCKELBO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46321</v>
      </c>
      <c r="F422" t="inlineStr">
        <is>
          <t>GÄVLEBORGS LÄN</t>
        </is>
      </c>
      <c r="G422" t="inlineStr">
        <is>
          <t>OCKELBO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46321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46321</v>
      </c>
      <c r="F424" t="inlineStr">
        <is>
          <t>GÄVLEBORGS LÄN</t>
        </is>
      </c>
      <c r="G424" t="inlineStr">
        <is>
          <t>OCKELBO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46321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46289</v>
      </c>
      <c r="E426" s="1" t="n">
        <v>46321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46321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46321</v>
      </c>
      <c r="F428" t="inlineStr">
        <is>
          <t>GÄVLEBORGS LÄN</t>
        </is>
      </c>
      <c r="G428" t="inlineStr">
        <is>
          <t>OCKELBO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46321</v>
      </c>
      <c r="F429" t="inlineStr">
        <is>
          <t>GÄVLEBORGS LÄN</t>
        </is>
      </c>
      <c r="G429" t="inlineStr">
        <is>
          <t>OCKELBO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46321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46321</v>
      </c>
      <c r="F431" t="inlineStr">
        <is>
          <t>GÄVLEBORGS LÄN</t>
        </is>
      </c>
      <c r="G431" t="inlineStr">
        <is>
          <t>OCKELBO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46321</v>
      </c>
      <c r="F432" t="inlineStr">
        <is>
          <t>GÄVLEBORGS LÄN</t>
        </is>
      </c>
      <c r="G432" t="inlineStr">
        <is>
          <t>OCKELBO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46321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46321</v>
      </c>
      <c r="F434" t="inlineStr">
        <is>
          <t>GÄVLEBORGS LÄN</t>
        </is>
      </c>
      <c r="G434" t="inlineStr">
        <is>
          <t>OCKELBO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46321</v>
      </c>
      <c r="F435" t="inlineStr">
        <is>
          <t>GÄVLEBORGS LÄN</t>
        </is>
      </c>
      <c r="G435" t="inlineStr">
        <is>
          <t>OCKELBO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46293</v>
      </c>
      <c r="E436" s="1" t="n">
        <v>46321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46321</v>
      </c>
      <c r="F437" t="inlineStr">
        <is>
          <t>GÄVLEBORGS LÄN</t>
        </is>
      </c>
      <c r="G437" t="inlineStr">
        <is>
          <t>OCKELBO</t>
        </is>
      </c>
      <c r="I437" t="n">
        <v>17.4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46321</v>
      </c>
      <c r="F438" t="inlineStr">
        <is>
          <t>GÄVLEBORGS LÄN</t>
        </is>
      </c>
      <c r="G438" t="inlineStr">
        <is>
          <t>OCKELBO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46293</v>
      </c>
      <c r="E439" s="1" t="n">
        <v>46321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46321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46321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46321</v>
      </c>
      <c r="F442" t="inlineStr">
        <is>
          <t>GÄVLEBORGS LÄN</t>
        </is>
      </c>
      <c r="G442" t="inlineStr">
        <is>
          <t>OCKELBO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46321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46321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46321</v>
      </c>
      <c r="F445" t="inlineStr">
        <is>
          <t>GÄVLEBORGS LÄN</t>
        </is>
      </c>
      <c r="G445" t="inlineStr">
        <is>
          <t>OCKELBO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46052</v>
      </c>
      <c r="E446" s="1" t="n">
        <v>46321</v>
      </c>
      <c r="F446" t="inlineStr">
        <is>
          <t>GÄVLEBORGS LÄN</t>
        </is>
      </c>
      <c r="G446" t="inlineStr">
        <is>
          <t>OCKELBO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46321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46321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45817</v>
      </c>
      <c r="E449" s="1" t="n">
        <v>46321</v>
      </c>
      <c r="F449" t="inlineStr">
        <is>
          <t>GÄVLEBORGS LÄN</t>
        </is>
      </c>
      <c r="G449" t="inlineStr">
        <is>
          <t>OCKELBO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46321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46321</v>
      </c>
      <c r="F451" t="inlineStr">
        <is>
          <t>GÄVLEBORGS LÄN</t>
        </is>
      </c>
      <c r="G451" t="inlineStr">
        <is>
          <t>OCKELBO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46321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46321</v>
      </c>
      <c r="F453" t="inlineStr">
        <is>
          <t>GÄVLEBORGS LÄN</t>
        </is>
      </c>
      <c r="G453" t="inlineStr">
        <is>
          <t>OCKELBO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46321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46321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46321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46321</v>
      </c>
      <c r="F457" t="inlineStr">
        <is>
          <t>GÄVLEBORGS LÄN</t>
        </is>
      </c>
      <c r="G457" t="inlineStr">
        <is>
          <t>OCKELBO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46321</v>
      </c>
      <c r="F458" t="inlineStr">
        <is>
          <t>GÄVLEBORGS LÄN</t>
        </is>
      </c>
      <c r="G458" t="inlineStr">
        <is>
          <t>OCKELBO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46321</v>
      </c>
      <c r="F459" t="inlineStr">
        <is>
          <t>GÄVLEBORGS LÄN</t>
        </is>
      </c>
      <c r="G459" t="inlineStr">
        <is>
          <t>OCKELBO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46321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46321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46321</v>
      </c>
      <c r="F462" t="inlineStr">
        <is>
          <t>GÄVLEBORGS LÄN</t>
        </is>
      </c>
      <c r="G462" t="inlineStr">
        <is>
          <t>OCKELBO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46321</v>
      </c>
      <c r="F463" t="inlineStr">
        <is>
          <t>GÄVLEBORGS LÄN</t>
        </is>
      </c>
      <c r="G463" t="inlineStr">
        <is>
          <t>OCKELBO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46321</v>
      </c>
      <c r="F464" t="inlineStr">
        <is>
          <t>GÄVLEBORGS LÄN</t>
        </is>
      </c>
      <c r="G464" t="inlineStr">
        <is>
          <t>OCKELBO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46321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46321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10418-2026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46321</v>
      </c>
      <c r="F467" t="inlineStr">
        <is>
          <t>GÄVLEBORGS LÄN</t>
        </is>
      </c>
      <c r="G467" t="inlineStr">
        <is>
          <t>OCKELBO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46321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46077</v>
      </c>
      <c r="E469" s="1" t="n">
        <v>46321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9997-2026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46073</v>
      </c>
      <c r="E470" s="1" t="n">
        <v>46321</v>
      </c>
      <c r="F470" t="inlineStr">
        <is>
          <t>GÄVLEBORGS LÄN</t>
        </is>
      </c>
      <c r="G470" t="inlineStr">
        <is>
          <t>OCKELBO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46321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46321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öst AB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46321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46077</v>
      </c>
      <c r="E474" s="1" t="n">
        <v>46321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öst AB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46321</v>
      </c>
      <c r="F475" t="inlineStr">
        <is>
          <t>GÄVLEBORGS LÄN</t>
        </is>
      </c>
      <c r="G475" t="inlineStr">
        <is>
          <t>OCKELBO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46077</v>
      </c>
      <c r="E476" s="1" t="n">
        <v>46321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öst AB</t>
        </is>
      </c>
      <c r="I476" t="n">
        <v>45.7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46321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46321</v>
      </c>
      <c r="F478" t="inlineStr">
        <is>
          <t>GÄVLEBORGS LÄN</t>
        </is>
      </c>
      <c r="G478" t="inlineStr">
        <is>
          <t>OCKELBO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46321</v>
      </c>
      <c r="F479" t="inlineStr">
        <is>
          <t>GÄVLEBORGS LÄN</t>
        </is>
      </c>
      <c r="G479" t="inlineStr">
        <is>
          <t>OCKELBO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45827</v>
      </c>
      <c r="E480" s="1" t="n">
        <v>46321</v>
      </c>
      <c r="F480" t="inlineStr">
        <is>
          <t>GÄVLEBORGS LÄN</t>
        </is>
      </c>
      <c r="G480" t="inlineStr">
        <is>
          <t>OCKELBO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46080</v>
      </c>
      <c r="E481" s="1" t="n">
        <v>46321</v>
      </c>
      <c r="F481" t="inlineStr">
        <is>
          <t>GÄVLEBORGS LÄN</t>
        </is>
      </c>
      <c r="G481" t="inlineStr">
        <is>
          <t>OCKELBO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45827</v>
      </c>
      <c r="E482" s="1" t="n">
        <v>46321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11300-2026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46080</v>
      </c>
      <c r="E483" s="1" t="n">
        <v>46321</v>
      </c>
      <c r="F483" t="inlineStr">
        <is>
          <t>GÄVLEBORGS LÄN</t>
        </is>
      </c>
      <c r="G483" t="inlineStr">
        <is>
          <t>OCKELBO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46321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46321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46321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46321</v>
      </c>
      <c r="F487" t="inlineStr">
        <is>
          <t>GÄVLEBORGS LÄN</t>
        </is>
      </c>
      <c r="G487" t="inlineStr">
        <is>
          <t>OCKELBO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46321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46321</v>
      </c>
      <c r="F489" t="inlineStr">
        <is>
          <t>GÄVLEBORGS LÄN</t>
        </is>
      </c>
      <c r="G489" t="inlineStr">
        <is>
          <t>OCKELBO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46321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58727-2025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46321</v>
      </c>
      <c r="F491" t="inlineStr">
        <is>
          <t>GÄVLEBORGS LÄN</t>
        </is>
      </c>
      <c r="G491" t="inlineStr">
        <is>
          <t>OCKELBO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46321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46321</v>
      </c>
      <c r="F493" t="inlineStr">
        <is>
          <t>GÄVLEBORGS LÄN</t>
        </is>
      </c>
      <c r="G493" t="inlineStr">
        <is>
          <t>OCKELBO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46321</v>
      </c>
      <c r="F494" t="inlineStr">
        <is>
          <t>GÄVLEBORGS LÄN</t>
        </is>
      </c>
      <c r="G494" t="inlineStr">
        <is>
          <t>OCKELBO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36295-2024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46321</v>
      </c>
      <c r="F495" t="inlineStr">
        <is>
          <t>GÄVLEBORGS LÄN</t>
        </is>
      </c>
      <c r="G495" t="inlineStr">
        <is>
          <t>OCKELBO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46321</v>
      </c>
      <c r="F496" t="inlineStr">
        <is>
          <t>GÄVLEBORGS LÄN</t>
        </is>
      </c>
      <c r="G496" t="inlineStr">
        <is>
          <t>OCKELBO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46321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46300</v>
      </c>
      <c r="E498" s="1" t="n">
        <v>46321</v>
      </c>
      <c r="F498" t="inlineStr">
        <is>
          <t>GÄVLEBORGS LÄN</t>
        </is>
      </c>
      <c r="G498" t="inlineStr">
        <is>
          <t>OCKELBO</t>
        </is>
      </c>
      <c r="I498" t="n">
        <v>10.1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46321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46089</v>
      </c>
      <c r="E500" s="1" t="n">
        <v>46321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29.9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12947-2026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46321</v>
      </c>
      <c r="F501" t="inlineStr">
        <is>
          <t>GÄVLEBORGS LÄN</t>
        </is>
      </c>
      <c r="G501" t="inlineStr">
        <is>
          <t>OCKELBO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45838</v>
      </c>
      <c r="E502" s="1" t="n">
        <v>46321</v>
      </c>
      <c r="F502" t="inlineStr">
        <is>
          <t>GÄVLEBORGS LÄN</t>
        </is>
      </c>
      <c r="G502" t="inlineStr">
        <is>
          <t>OCKELBO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46321</v>
      </c>
      <c r="F503" t="inlineStr">
        <is>
          <t>GÄVLEBORGS LÄN</t>
        </is>
      </c>
      <c r="G503" t="inlineStr">
        <is>
          <t>OCKELBO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46321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46321</v>
      </c>
      <c r="F505" t="inlineStr">
        <is>
          <t>GÄVLEBORGS LÄN</t>
        </is>
      </c>
      <c r="G505" t="inlineStr">
        <is>
          <t>OCKELBO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46321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46321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46321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45840</v>
      </c>
      <c r="E509" s="1" t="n">
        <v>46321</v>
      </c>
      <c r="F509" t="inlineStr">
        <is>
          <t>GÄVLEBORGS LÄN</t>
        </is>
      </c>
      <c r="G509" t="inlineStr">
        <is>
          <t>OCKELBO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46321</v>
      </c>
      <c r="F510" t="inlineStr">
        <is>
          <t>GÄVLEBORGS LÄN</t>
        </is>
      </c>
      <c r="G510" t="inlineStr">
        <is>
          <t>OCKELBO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46321</v>
      </c>
      <c r="F511" t="inlineStr">
        <is>
          <t>GÄVLEBORGS LÄN</t>
        </is>
      </c>
      <c r="G511" t="inlineStr">
        <is>
          <t>OCKELBO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46321</v>
      </c>
      <c r="F512" t="inlineStr">
        <is>
          <t>GÄVLEBORGS LÄN</t>
        </is>
      </c>
      <c r="G512" t="inlineStr">
        <is>
          <t>OCKELBO</t>
        </is>
      </c>
      <c r="H512" t="inlineStr">
        <is>
          <t>Naturvårdsverket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46321</v>
      </c>
      <c r="F513" t="inlineStr">
        <is>
          <t>GÄVLEBORGS LÄN</t>
        </is>
      </c>
      <c r="G513" t="inlineStr">
        <is>
          <t>OCKELBO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46321</v>
      </c>
      <c r="F514" t="inlineStr">
        <is>
          <t>GÄVLEBORGS LÄN</t>
        </is>
      </c>
      <c r="G514" t="inlineStr">
        <is>
          <t>OCKELBO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46321</v>
      </c>
      <c r="F515" t="inlineStr">
        <is>
          <t>GÄVLEBORGS LÄN</t>
        </is>
      </c>
      <c r="G515" t="inlineStr">
        <is>
          <t>OCKELBO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46321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46321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46321</v>
      </c>
      <c r="F518" t="inlineStr">
        <is>
          <t>GÄVLEBORGS LÄN</t>
        </is>
      </c>
      <c r="G518" t="inlineStr">
        <is>
          <t>OCKELBO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46100</v>
      </c>
      <c r="E519" s="1" t="n">
        <v>46321</v>
      </c>
      <c r="F519" t="inlineStr">
        <is>
          <t>GÄVLEBORGS LÄN</t>
        </is>
      </c>
      <c r="G519" t="inlineStr">
        <is>
          <t>OCKELBO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46099</v>
      </c>
      <c r="E520" s="1" t="n">
        <v>46321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46321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46321</v>
      </c>
      <c r="F522" t="inlineStr">
        <is>
          <t>GÄVLEBORGS LÄN</t>
        </is>
      </c>
      <c r="G522" t="inlineStr">
        <is>
          <t>OCKELBO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46321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46321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46321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45109</v>
      </c>
      <c r="E526" s="1" t="n">
        <v>46321</v>
      </c>
      <c r="F526" t="inlineStr">
        <is>
          <t>GÄVLEBORGS LÄN</t>
        </is>
      </c>
      <c r="G526" t="inlineStr">
        <is>
          <t>OCKELBO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46321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46321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46321</v>
      </c>
      <c r="F529" t="inlineStr">
        <is>
          <t>GÄVLEBORGS LÄN</t>
        </is>
      </c>
      <c r="G529" t="inlineStr">
        <is>
          <t>OCKELBO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46321</v>
      </c>
      <c r="F530" t="inlineStr">
        <is>
          <t>GÄVLEBORGS LÄN</t>
        </is>
      </c>
      <c r="G530" t="inlineStr">
        <is>
          <t>OCKELBO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46321</v>
      </c>
      <c r="F531" t="inlineStr">
        <is>
          <t>GÄVLEBORGS LÄN</t>
        </is>
      </c>
      <c r="G531" t="inlineStr">
        <is>
          <t>OCKELBO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46321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15018-2026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46321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46321</v>
      </c>
      <c r="F534" t="inlineStr">
        <is>
          <t>GÄVLEBORGS LÄN</t>
        </is>
      </c>
      <c r="G534" t="inlineStr">
        <is>
          <t>OCKELBO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45073</v>
      </c>
      <c r="E535" s="1" t="n">
        <v>46321</v>
      </c>
      <c r="F535" t="inlineStr">
        <is>
          <t>GÄVLEBORGS LÄN</t>
        </is>
      </c>
      <c r="G535" t="inlineStr">
        <is>
          <t>OCKELBO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46321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46321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46321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18326-2026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46126</v>
      </c>
      <c r="E539" s="1" t="n">
        <v>46321</v>
      </c>
      <c r="F539" t="inlineStr">
        <is>
          <t>GÄVLEBORGS LÄN</t>
        </is>
      </c>
      <c r="G539" t="inlineStr">
        <is>
          <t>OCKELBO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46321</v>
      </c>
      <c r="F540" t="inlineStr">
        <is>
          <t>GÄVLEBORGS LÄN</t>
        </is>
      </c>
      <c r="G540" t="inlineStr">
        <is>
          <t>OCKELBO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46321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46321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46321</v>
      </c>
      <c r="F543" t="inlineStr">
        <is>
          <t>GÄVLEBORGS LÄN</t>
        </is>
      </c>
      <c r="G543" t="inlineStr">
        <is>
          <t>OCKELBO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46321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15572-2026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46321</v>
      </c>
      <c r="F545" t="inlineStr">
        <is>
          <t>GÄVLEBORGS LÄN</t>
        </is>
      </c>
      <c r="G545" t="inlineStr">
        <is>
          <t>OCKELBO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46321</v>
      </c>
      <c r="F546" t="inlineStr">
        <is>
          <t>GÄVLEBORGS LÄN</t>
        </is>
      </c>
      <c r="G546" t="inlineStr">
        <is>
          <t>OCKELBO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46321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35017-2025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45851</v>
      </c>
      <c r="E548" s="1" t="n">
        <v>46321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46321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46321</v>
      </c>
      <c r="F550" t="inlineStr">
        <is>
          <t>GÄVLEBORGS LÄN</t>
        </is>
      </c>
      <c r="G550" t="inlineStr">
        <is>
          <t>OCKELBO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46321</v>
      </c>
      <c r="F551" t="inlineStr">
        <is>
          <t>GÄVLEBORGS LÄN</t>
        </is>
      </c>
      <c r="G551" t="inlineStr">
        <is>
          <t>OCKELBO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46321</v>
      </c>
      <c r="F552" t="inlineStr">
        <is>
          <t>GÄVLEBORGS LÄN</t>
        </is>
      </c>
      <c r="G552" t="inlineStr">
        <is>
          <t>OCKELBO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46321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46321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46321</v>
      </c>
      <c r="F555" t="inlineStr">
        <is>
          <t>GÄVLEBORGS LÄN</t>
        </is>
      </c>
      <c r="G555" t="inlineStr">
        <is>
          <t>OCKELBO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46321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46112</v>
      </c>
      <c r="E557" s="1" t="n">
        <v>46321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46321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46321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46321</v>
      </c>
      <c r="F560" t="inlineStr">
        <is>
          <t>GÄVLEBORGS LÄN</t>
        </is>
      </c>
      <c r="G560" t="inlineStr">
        <is>
          <t>OCKELBO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46321</v>
      </c>
      <c r="F561" t="inlineStr">
        <is>
          <t>GÄVLEBORGS LÄN</t>
        </is>
      </c>
      <c r="G561" t="inlineStr">
        <is>
          <t>OCKELBO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46321</v>
      </c>
      <c r="F562" t="inlineStr">
        <is>
          <t>GÄVLEBORGS LÄN</t>
        </is>
      </c>
      <c r="G562" t="inlineStr">
        <is>
          <t>OCKELBO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46321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46321</v>
      </c>
      <c r="F564" t="inlineStr">
        <is>
          <t>GÄVLEBORGS LÄN</t>
        </is>
      </c>
      <c r="G564" t="inlineStr">
        <is>
          <t>OCKELBO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46321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46118</v>
      </c>
      <c r="E566" s="1" t="n">
        <v>46321</v>
      </c>
      <c r="F566" t="inlineStr">
        <is>
          <t>GÄVLEBORGS LÄN</t>
        </is>
      </c>
      <c r="G566" t="inlineStr">
        <is>
          <t>OCKELBO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46321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öst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46321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46321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46321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46321</v>
      </c>
      <c r="F571" t="inlineStr">
        <is>
          <t>GÄVLEBORGS LÄN</t>
        </is>
      </c>
      <c r="G571" t="inlineStr">
        <is>
          <t>OCKELBO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17600-2026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46121</v>
      </c>
      <c r="E572" s="1" t="n">
        <v>46321</v>
      </c>
      <c r="F572" t="inlineStr">
        <is>
          <t>GÄVLEBORGS LÄN</t>
        </is>
      </c>
      <c r="G572" t="inlineStr">
        <is>
          <t>OCKELBO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46321</v>
      </c>
      <c r="F573" t="inlineStr">
        <is>
          <t>GÄVLEBORGS LÄN</t>
        </is>
      </c>
      <c r="G573" t="inlineStr">
        <is>
          <t>OCKELBO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46321</v>
      </c>
      <c r="F574" t="inlineStr">
        <is>
          <t>GÄVLEBORGS LÄN</t>
        </is>
      </c>
      <c r="G574" t="inlineStr">
        <is>
          <t>OCKELBO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46321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46321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46125</v>
      </c>
      <c r="E577" s="1" t="n">
        <v>46321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46321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18248-2026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46321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46105</v>
      </c>
      <c r="E580" s="1" t="n">
        <v>46321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46321</v>
      </c>
      <c r="F581" t="inlineStr">
        <is>
          <t>GÄVLEBORGS LÄN</t>
        </is>
      </c>
      <c r="G581" t="inlineStr">
        <is>
          <t>OCKELBO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46321</v>
      </c>
      <c r="F582" t="inlineStr">
        <is>
          <t>GÄVLEBORGS LÄN</t>
        </is>
      </c>
      <c r="G582" t="inlineStr">
        <is>
          <t>OCKELBO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46321</v>
      </c>
      <c r="F583" t="inlineStr">
        <is>
          <t>GÄVLEBORGS LÄN</t>
        </is>
      </c>
      <c r="G583" t="inlineStr">
        <is>
          <t>OCKELBO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46321</v>
      </c>
      <c r="F584" t="inlineStr">
        <is>
          <t>GÄVLEBORGS LÄN</t>
        </is>
      </c>
      <c r="G584" t="inlineStr">
        <is>
          <t>OCKELBO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46321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46321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46321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46321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46321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46321</v>
      </c>
      <c r="F590" t="inlineStr">
        <is>
          <t>GÄVLEBORGS LÄN</t>
        </is>
      </c>
      <c r="G590" t="inlineStr">
        <is>
          <t>OCKELBO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16572-2026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46321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46321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45719</v>
      </c>
      <c r="E593" s="1" t="n">
        <v>46321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46321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46321</v>
      </c>
      <c r="F595" t="inlineStr">
        <is>
          <t>GÄVLEBORGS LÄN</t>
        </is>
      </c>
      <c r="G595" t="inlineStr">
        <is>
          <t>OCKELBO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46321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46321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46321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45586</v>
      </c>
      <c r="E599" s="1" t="n">
        <v>46321</v>
      </c>
      <c r="F599" t="inlineStr">
        <is>
          <t>GÄVLEBORGS LÄN</t>
        </is>
      </c>
      <c r="G599" t="inlineStr">
        <is>
          <t>OCKELBO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46321</v>
      </c>
      <c r="F600" t="inlineStr">
        <is>
          <t>GÄVLEBORGS LÄN</t>
        </is>
      </c>
      <c r="G600" t="inlineStr">
        <is>
          <t>OCKELBO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46321</v>
      </c>
      <c r="F601" t="inlineStr">
        <is>
          <t>GÄVLEBORGS LÄN</t>
        </is>
      </c>
      <c r="G601" t="inlineStr">
        <is>
          <t>OCKELBO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53393-2022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44879</v>
      </c>
      <c r="E602" s="1" t="n">
        <v>46321</v>
      </c>
      <c r="F602" t="inlineStr">
        <is>
          <t>GÄVLEBORGS LÄN</t>
        </is>
      </c>
      <c r="G602" t="inlineStr">
        <is>
          <t>OCKELBO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45618</v>
      </c>
      <c r="E603" s="1" t="n">
        <v>46321</v>
      </c>
      <c r="F603" t="inlineStr">
        <is>
          <t>GÄVLEBORGS LÄN</t>
        </is>
      </c>
      <c r="G603" t="inlineStr">
        <is>
          <t>OCKELBO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46321</v>
      </c>
      <c r="F604" t="inlineStr">
        <is>
          <t>GÄVLEBORGS LÄN</t>
        </is>
      </c>
      <c r="G604" t="inlineStr">
        <is>
          <t>OCKELBO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55952-2022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44889</v>
      </c>
      <c r="E605" s="1" t="n">
        <v>46321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46321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46321</v>
      </c>
      <c r="F607" t="inlineStr">
        <is>
          <t>GÄVLEBORGS LÄN</t>
        </is>
      </c>
      <c r="G607" t="inlineStr">
        <is>
          <t>OCKELBO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46321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46321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46321</v>
      </c>
      <c r="F610" t="inlineStr">
        <is>
          <t>GÄVLEBORGS LÄN</t>
        </is>
      </c>
      <c r="G610" t="inlineStr">
        <is>
          <t>OCKELBO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46321</v>
      </c>
      <c r="F611" t="inlineStr">
        <is>
          <t>GÄVLEBORGS LÄN</t>
        </is>
      </c>
      <c r="G611" t="inlineStr">
        <is>
          <t>OCKELBO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62096-2024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45656</v>
      </c>
      <c r="E612" s="1" t="n">
        <v>46321</v>
      </c>
      <c r="F612" t="inlineStr">
        <is>
          <t>GÄVLEBORGS LÄN</t>
        </is>
      </c>
      <c r="G612" t="inlineStr">
        <is>
          <t>OCKELBO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45280</v>
      </c>
      <c r="E613" s="1" t="n">
        <v>46321</v>
      </c>
      <c r="F613" t="inlineStr">
        <is>
          <t>GÄVLEBORGS LÄN</t>
        </is>
      </c>
      <c r="G613" t="inlineStr">
        <is>
          <t>OCKELBO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46321</v>
      </c>
      <c r="F614" t="inlineStr">
        <is>
          <t>GÄVLEBORGS LÄN</t>
        </is>
      </c>
      <c r="G614" t="inlineStr">
        <is>
          <t>OCKELBO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46321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46321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45712</v>
      </c>
      <c r="E617" s="1" t="n">
        <v>46321</v>
      </c>
      <c r="F617" t="inlineStr">
        <is>
          <t>GÄVLEBORGS LÄN</t>
        </is>
      </c>
      <c r="G617" t="inlineStr">
        <is>
          <t>OCKELBO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46321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46321</v>
      </c>
      <c r="F619" t="inlineStr">
        <is>
          <t>GÄVLEBORGS LÄN</t>
        </is>
      </c>
      <c r="G619" t="inlineStr">
        <is>
          <t>OCKELBO</t>
        </is>
      </c>
      <c r="I619" t="n">
        <v>11.9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33079-2025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45840</v>
      </c>
      <c r="E620" s="1" t="n">
        <v>46321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46321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45554</v>
      </c>
      <c r="E622" s="1" t="n">
        <v>46321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46321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46042</v>
      </c>
      <c r="E624" s="1" t="n">
        <v>46321</v>
      </c>
      <c r="F624" t="inlineStr">
        <is>
          <t>GÄVLEBORGS LÄN</t>
        </is>
      </c>
      <c r="G624" t="inlineStr">
        <is>
          <t>OCKELBO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46269</v>
      </c>
      <c r="E625" s="1" t="n">
        <v>46321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8343-2026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46321</v>
      </c>
      <c r="F626" t="inlineStr">
        <is>
          <t>GÄVLEBORGS LÄN</t>
        </is>
      </c>
      <c r="G626" t="inlineStr">
        <is>
          <t>OCKELBO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46321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46321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46223</v>
      </c>
      <c r="E629" s="1" t="n">
        <v>46321</v>
      </c>
      <c r="F629" t="inlineStr">
        <is>
          <t>GÄVLEBORGS LÄN</t>
        </is>
      </c>
      <c r="G629" t="inlineStr">
        <is>
          <t>OCKELBO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46223</v>
      </c>
      <c r="E630" s="1" t="n">
        <v>46321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20149-2026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46137</v>
      </c>
      <c r="E631" s="1" t="n">
        <v>46321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46137</v>
      </c>
      <c r="E632" s="1" t="n">
        <v>46321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36562-2026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46269</v>
      </c>
      <c r="E633" s="1" t="n">
        <v>46321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46321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36280-2026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46268</v>
      </c>
      <c r="E635" s="1" t="n">
        <v>46321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36380-2026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46268</v>
      </c>
      <c r="E636" s="1" t="n">
        <v>46321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46321</v>
      </c>
      <c r="F637" t="inlineStr">
        <is>
          <t>GÄVLEBORGS LÄN</t>
        </is>
      </c>
      <c r="G637" t="inlineStr">
        <is>
          <t>OCKELBO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46321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46321</v>
      </c>
      <c r="F639" t="inlineStr">
        <is>
          <t>GÄVLEBORGS LÄN</t>
        </is>
      </c>
      <c r="G639" t="inlineStr">
        <is>
          <t>OCKELBO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46321</v>
      </c>
      <c r="F640" t="inlineStr">
        <is>
          <t>GÄVLEBORGS LÄN</t>
        </is>
      </c>
      <c r="G640" t="inlineStr">
        <is>
          <t>OCKELBO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50742-2025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45946</v>
      </c>
      <c r="E641" s="1" t="n">
        <v>46321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43135-2026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46311</v>
      </c>
      <c r="E642" s="1" t="n">
        <v>46321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46321</v>
      </c>
      <c r="F643" t="inlineStr">
        <is>
          <t>GÄVLEBORGS LÄN</t>
        </is>
      </c>
      <c r="G643" t="inlineStr">
        <is>
          <t>OCKELBO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46321</v>
      </c>
      <c r="F644" t="inlineStr">
        <is>
          <t>GÄVLEBORGS LÄN</t>
        </is>
      </c>
      <c r="G644" t="inlineStr">
        <is>
          <t>OCKELBO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29953-2024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45488</v>
      </c>
      <c r="E645" s="1" t="n">
        <v>46321</v>
      </c>
      <c r="F645" t="inlineStr">
        <is>
          <t>GÄVLEBORGS LÄN</t>
        </is>
      </c>
      <c r="G645" t="inlineStr">
        <is>
          <t>OCKELBO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46321</v>
      </c>
      <c r="F646" t="inlineStr">
        <is>
          <t>GÄVLEBORGS LÄN</t>
        </is>
      </c>
      <c r="G646" t="inlineStr">
        <is>
          <t>OCKELBO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44950</v>
      </c>
      <c r="E647" s="1" t="n">
        <v>46321</v>
      </c>
      <c r="F647" t="inlineStr">
        <is>
          <t>GÄVLEBORGS LÄN</t>
        </is>
      </c>
      <c r="G647" t="inlineStr">
        <is>
          <t>OCKELBO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46321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46321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46321</v>
      </c>
      <c r="F650" t="inlineStr">
        <is>
          <t>GÄVLEBORGS LÄN</t>
        </is>
      </c>
      <c r="G650" t="inlineStr">
        <is>
          <t>OCKELBO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46321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46138</v>
      </c>
      <c r="E652" s="1" t="n">
        <v>46321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46321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46321</v>
      </c>
      <c r="F654" t="inlineStr">
        <is>
          <t>GÄVLEBORGS LÄN</t>
        </is>
      </c>
      <c r="G654" t="inlineStr">
        <is>
          <t>OCKELBO</t>
        </is>
      </c>
      <c r="I654" t="n">
        <v>36.1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45526</v>
      </c>
      <c r="E655" s="1" t="n">
        <v>46321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46321</v>
      </c>
      <c r="F656" t="inlineStr">
        <is>
          <t>GÄVLEBORGS LÄN</t>
        </is>
      </c>
      <c r="G656" t="inlineStr">
        <is>
          <t>OCKELBO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46321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46321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45803</v>
      </c>
      <c r="E659" s="1" t="n">
        <v>46321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46321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63977-2025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46021</v>
      </c>
      <c r="E661" s="1" t="n">
        <v>46321</v>
      </c>
      <c r="F661" t="inlineStr">
        <is>
          <t>GÄVLEBORGS LÄN</t>
        </is>
      </c>
      <c r="G661" t="inlineStr">
        <is>
          <t>OCKELBO</t>
        </is>
      </c>
      <c r="I661" t="n">
        <v>18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20469-2026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46140</v>
      </c>
      <c r="E662" s="1" t="n">
        <v>46321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46321</v>
      </c>
      <c r="F663" t="inlineStr">
        <is>
          <t>GÄVLEBORGS LÄN</t>
        </is>
      </c>
      <c r="G663" t="inlineStr">
        <is>
          <t>OCKELBO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46321</v>
      </c>
      <c r="F664" t="inlineStr">
        <is>
          <t>GÄVLEBORGS LÄN</t>
        </is>
      </c>
      <c r="G664" t="inlineStr">
        <is>
          <t>OCKELBO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36604-2025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45870</v>
      </c>
      <c r="E665" s="1" t="n">
        <v>46321</v>
      </c>
      <c r="F665" t="inlineStr">
        <is>
          <t>GÄVLEBORGS LÄN</t>
        </is>
      </c>
      <c r="G665" t="inlineStr">
        <is>
          <t>OCKELBO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46321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46321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25168-2025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46321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46321</v>
      </c>
      <c r="F669" t="inlineStr">
        <is>
          <t>GÄVLEBORGS LÄN</t>
        </is>
      </c>
      <c r="G669" t="inlineStr">
        <is>
          <t>OCKELBO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46321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46137</v>
      </c>
      <c r="E671" s="1" t="n">
        <v>46321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45497</v>
      </c>
      <c r="E672" s="1" t="n">
        <v>46321</v>
      </c>
      <c r="F672" t="inlineStr">
        <is>
          <t>GÄVLEBORGS LÄN</t>
        </is>
      </c>
      <c r="G672" t="inlineStr">
        <is>
          <t>OCKELBO</t>
        </is>
      </c>
      <c r="I672" t="n">
        <v>8.699999999999999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43604-2026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46315</v>
      </c>
      <c r="E673" s="1" t="n">
        <v>46321</v>
      </c>
      <c r="F673" t="inlineStr">
        <is>
          <t>GÄVLEBORGS LÄN</t>
        </is>
      </c>
      <c r="G673" t="inlineStr">
        <is>
          <t>OCKELBO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46316-2025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45925</v>
      </c>
      <c r="E674" s="1" t="n">
        <v>46321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46321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44663</v>
      </c>
      <c r="E677" s="1" t="n">
        <v>46321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46321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46316</v>
      </c>
      <c r="E679" s="1" t="n">
        <v>46321</v>
      </c>
      <c r="F679" t="inlineStr">
        <is>
          <t>GÄVLEBORGS LÄN</t>
        </is>
      </c>
      <c r="G679" t="inlineStr">
        <is>
          <t>OCKELBO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46321</v>
      </c>
      <c r="F680" t="inlineStr">
        <is>
          <t>GÄVLEBORGS LÄN</t>
        </is>
      </c>
      <c r="G680" t="inlineStr">
        <is>
          <t>OCKELBO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44915</v>
      </c>
      <c r="E681" s="1" t="n">
        <v>46321</v>
      </c>
      <c r="F681" t="inlineStr">
        <is>
          <t>GÄVLEBORGS LÄN</t>
        </is>
      </c>
      <c r="G681" t="inlineStr">
        <is>
          <t>OCKELBO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46321</v>
      </c>
      <c r="F682" t="inlineStr">
        <is>
          <t>GÄVLEBORGS LÄN</t>
        </is>
      </c>
      <c r="G682" t="inlineStr">
        <is>
          <t>OCKELBO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46321</v>
      </c>
      <c r="F683" t="inlineStr">
        <is>
          <t>GÄVLEBORGS LÄN</t>
        </is>
      </c>
      <c r="G683" t="inlineStr">
        <is>
          <t>OCKELBO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46220</v>
      </c>
      <c r="E684" s="1" t="n">
        <v>46321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46321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46321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46321</v>
      </c>
      <c r="F687" t="inlineStr">
        <is>
          <t>GÄVLEBORGS LÄN</t>
        </is>
      </c>
      <c r="G687" t="inlineStr">
        <is>
          <t>OCKELBO</t>
        </is>
      </c>
      <c r="I687" t="n">
        <v>9.300000000000001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46321</v>
      </c>
      <c r="F688" t="inlineStr">
        <is>
          <t>GÄVLEBORGS LÄN</t>
        </is>
      </c>
      <c r="G688" t="inlineStr">
        <is>
          <t>OCKELBO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46091</v>
      </c>
      <c r="E689" s="1" t="n">
        <v>46321</v>
      </c>
      <c r="F689" t="inlineStr">
        <is>
          <t>GÄVLEBORGS LÄN</t>
        </is>
      </c>
      <c r="G689" t="inlineStr">
        <is>
          <t>OCKELBO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46232</v>
      </c>
      <c r="E690" s="1" t="n">
        <v>46321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15484-2026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46321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10489-2026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46077</v>
      </c>
      <c r="E692" s="1" t="n">
        <v>46321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46321</v>
      </c>
      <c r="F693" t="inlineStr">
        <is>
          <t>GÄVLEBORGS LÄN</t>
        </is>
      </c>
      <c r="G693" t="inlineStr">
        <is>
          <t>OCKELBO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46321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46321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46321</v>
      </c>
      <c r="F696" t="inlineStr">
        <is>
          <t>GÄVLEBORGS LÄN</t>
        </is>
      </c>
      <c r="G696" t="inlineStr">
        <is>
          <t>OCKELBO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45994</v>
      </c>
      <c r="E697" s="1" t="n">
        <v>46321</v>
      </c>
      <c r="F697" t="inlineStr">
        <is>
          <t>GÄVLEBORGS LÄN</t>
        </is>
      </c>
      <c r="G697" t="inlineStr">
        <is>
          <t>OCKELBO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8348-2026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46321</v>
      </c>
      <c r="F698" t="inlineStr">
        <is>
          <t>GÄVLEBORGS LÄN</t>
        </is>
      </c>
      <c r="G698" t="inlineStr">
        <is>
          <t>OCKELBO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46321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46037</v>
      </c>
      <c r="E700" s="1" t="n">
        <v>46321</v>
      </c>
      <c r="F700" t="inlineStr">
        <is>
          <t>GÄVLEBORGS LÄN</t>
        </is>
      </c>
      <c r="G700" t="inlineStr">
        <is>
          <t>OCKELBO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46321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44039-2026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46317</v>
      </c>
      <c r="E702" s="1" t="n">
        <v>46321</v>
      </c>
      <c r="F702" t="inlineStr">
        <is>
          <t>GÄVLEBORGS LÄN</t>
        </is>
      </c>
      <c r="G702" t="inlineStr">
        <is>
          <t>OCKELBO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46321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46321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46027</v>
      </c>
      <c r="E705" s="1" t="n">
        <v>46321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49207-2023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45210</v>
      </c>
      <c r="E706" s="1" t="n">
        <v>46321</v>
      </c>
      <c r="F706" t="inlineStr">
        <is>
          <t>GÄVLEBORGS LÄN</t>
        </is>
      </c>
      <c r="G706" t="inlineStr">
        <is>
          <t>OCKELBO</t>
        </is>
      </c>
      <c r="I706" t="n">
        <v>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46321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10083-2026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46321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46223</v>
      </c>
      <c r="E709" s="1" t="n">
        <v>46321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46321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14905-2026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46321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17951-2026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46321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46224</v>
      </c>
      <c r="E713" s="1" t="n">
        <v>46321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46127</v>
      </c>
      <c r="E714" s="1" t="n">
        <v>46321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18097-2026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46125</v>
      </c>
      <c r="E715" s="1" t="n">
        <v>46321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44950</v>
      </c>
      <c r="E716" s="1" t="n">
        <v>46321</v>
      </c>
      <c r="F716" t="inlineStr">
        <is>
          <t>GÄVLEBORGS LÄN</t>
        </is>
      </c>
      <c r="G716" t="inlineStr">
        <is>
          <t>OCKELBO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46148</v>
      </c>
      <c r="E717" s="1" t="n">
        <v>46321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21500-2026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46321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46321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46321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öst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46321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46147</v>
      </c>
      <c r="E722" s="1" t="n">
        <v>46321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öst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46321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46321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14937-2024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45398</v>
      </c>
      <c r="E725" s="1" t="n">
        <v>46321</v>
      </c>
      <c r="F725" t="inlineStr">
        <is>
          <t>GÄVLEBORGS LÄN</t>
        </is>
      </c>
      <c r="G725" t="inlineStr">
        <is>
          <t>OCKELBO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46321</v>
      </c>
      <c r="F726" t="inlineStr">
        <is>
          <t>GÄVLEBORGS LÄN</t>
        </is>
      </c>
      <c r="G726" t="inlineStr">
        <is>
          <t>OCKELBO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22824-2024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45448</v>
      </c>
      <c r="E727" s="1" t="n">
        <v>46321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46153</v>
      </c>
      <c r="E728" s="1" t="n">
        <v>46321</v>
      </c>
      <c r="F728" t="inlineStr">
        <is>
          <t>GÄVLEBORGS LÄN</t>
        </is>
      </c>
      <c r="G728" t="inlineStr">
        <is>
          <t>OCKELBO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18645-2026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46128</v>
      </c>
      <c r="E729" s="1" t="n">
        <v>46321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46321</v>
      </c>
      <c r="F730" t="inlineStr">
        <is>
          <t>GÄVLEBORGS LÄN</t>
        </is>
      </c>
      <c r="G730" t="inlineStr">
        <is>
          <t>OCKELBO</t>
        </is>
      </c>
      <c r="I730" t="n">
        <v>8.199999999999999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46321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17221-2026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46321</v>
      </c>
      <c r="F732" t="inlineStr">
        <is>
          <t>GÄVLEBORGS LÄN</t>
        </is>
      </c>
      <c r="G732" t="inlineStr">
        <is>
          <t>OCKELBO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46321</v>
      </c>
      <c r="F733" t="inlineStr">
        <is>
          <t>GÄVLEBORGS LÄN</t>
        </is>
      </c>
      <c r="G733" t="inlineStr">
        <is>
          <t>OCKELBO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46088</v>
      </c>
      <c r="E734" s="1" t="n">
        <v>46321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46321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46321</v>
      </c>
      <c r="F736" t="inlineStr">
        <is>
          <t>GÄVLEBORGS LÄN</t>
        </is>
      </c>
      <c r="G736" t="inlineStr">
        <is>
          <t>OCKELBO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58718-2025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46321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46321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46321</v>
      </c>
      <c r="F739" t="inlineStr">
        <is>
          <t>GÄVLEBORGS LÄN</t>
        </is>
      </c>
      <c r="G739" t="inlineStr">
        <is>
          <t>OCKELBO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46321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46321</v>
      </c>
      <c r="F741" t="inlineStr">
        <is>
          <t>GÄVLEBORGS LÄN</t>
        </is>
      </c>
      <c r="G741" t="inlineStr">
        <is>
          <t>OCKELBO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8865-2026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46066</v>
      </c>
      <c r="E742" s="1" t="n">
        <v>46321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46321</v>
      </c>
      <c r="F743" t="inlineStr">
        <is>
          <t>GÄVLEBORGS LÄN</t>
        </is>
      </c>
      <c r="G743" t="inlineStr">
        <is>
          <t>OCKELBO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46321</v>
      </c>
      <c r="F744" t="inlineStr">
        <is>
          <t>GÄVLEBORGS LÄN</t>
        </is>
      </c>
      <c r="G744" t="inlineStr">
        <is>
          <t>OCKELBO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60122-2025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45994</v>
      </c>
      <c r="E745" s="1" t="n">
        <v>46321</v>
      </c>
      <c r="F745" t="inlineStr">
        <is>
          <t>GÄVLEBORGS LÄN</t>
        </is>
      </c>
      <c r="G745" t="inlineStr">
        <is>
          <t>OCKELBO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46321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22712-2026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46156</v>
      </c>
      <c r="E747" s="1" t="n">
        <v>46321</v>
      </c>
      <c r="F747" t="inlineStr">
        <is>
          <t>GÄVLEBORGS LÄN</t>
        </is>
      </c>
      <c r="G747" t="inlineStr">
        <is>
          <t>OCKELBO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45281</v>
      </c>
      <c r="E748" s="1" t="n">
        <v>46321</v>
      </c>
      <c r="F748" t="inlineStr">
        <is>
          <t>GÄVLEBORGS LÄN</t>
        </is>
      </c>
      <c r="G748" t="inlineStr">
        <is>
          <t>OCKELBO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60120-2025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45994</v>
      </c>
      <c r="E749" s="1" t="n">
        <v>46321</v>
      </c>
      <c r="F749" t="inlineStr">
        <is>
          <t>GÄVLEBORGS LÄN</t>
        </is>
      </c>
      <c r="G749" t="inlineStr">
        <is>
          <t>OCKELBO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46044</v>
      </c>
      <c r="E750" s="1" t="n">
        <v>46321</v>
      </c>
      <c r="F750" t="inlineStr">
        <is>
          <t>GÄVLEBORGS LÄN</t>
        </is>
      </c>
      <c r="G750" t="inlineStr">
        <is>
          <t>OCKELBO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45926</v>
      </c>
      <c r="E751" s="1" t="n">
        <v>46321</v>
      </c>
      <c r="F751" t="inlineStr">
        <is>
          <t>GÄVLEBORGS LÄN</t>
        </is>
      </c>
      <c r="G751" t="inlineStr">
        <is>
          <t>OCKELBO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46321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22594-2026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46321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65259-2023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45291</v>
      </c>
      <c r="E754" s="1" t="n">
        <v>46321</v>
      </c>
      <c r="F754" t="inlineStr">
        <is>
          <t>GÄVLEBORGS LÄN</t>
        </is>
      </c>
      <c r="G754" t="inlineStr">
        <is>
          <t>OCKELBO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14474-2026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46321</v>
      </c>
      <c r="F755" t="inlineStr">
        <is>
          <t>GÄVLEBORGS LÄN</t>
        </is>
      </c>
      <c r="G755" t="inlineStr">
        <is>
          <t>OCKELBO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45106</v>
      </c>
      <c r="E756" s="1" t="n">
        <v>46321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52335-2024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45609</v>
      </c>
      <c r="E757" s="1" t="n">
        <v>46321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53139-2024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46321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46321</v>
      </c>
      <c r="F759" t="inlineStr">
        <is>
          <t>GÄVLEBORGS LÄN</t>
        </is>
      </c>
      <c r="G759" t="inlineStr">
        <is>
          <t>OCKELBO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45666</v>
      </c>
      <c r="E760" s="1" t="n">
        <v>46321</v>
      </c>
      <c r="F760" t="inlineStr">
        <is>
          <t>GÄVLEBORGS LÄN</t>
        </is>
      </c>
      <c r="G760" t="inlineStr">
        <is>
          <t>OCKELBO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32011-2024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45510</v>
      </c>
      <c r="E761" s="1" t="n">
        <v>46321</v>
      </c>
      <c r="F761" t="inlineStr">
        <is>
          <t>GÄVLEBORGS LÄN</t>
        </is>
      </c>
      <c r="G761" t="inlineStr">
        <is>
          <t>OCKELBO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32123-2024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45511</v>
      </c>
      <c r="E762" s="1" t="n">
        <v>46321</v>
      </c>
      <c r="F762" t="inlineStr">
        <is>
          <t>GÄVLEBORGS LÄN</t>
        </is>
      </c>
      <c r="G762" t="inlineStr">
        <is>
          <t>OCKELBO</t>
        </is>
      </c>
      <c r="I762" t="n">
        <v>11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46321</v>
      </c>
      <c r="F763" t="inlineStr">
        <is>
          <t>GÄVLEBORGS LÄN</t>
        </is>
      </c>
      <c r="G763" t="inlineStr">
        <is>
          <t>OCKELBO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61456-2024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46321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60962-2024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45645</v>
      </c>
      <c r="E765" s="1" t="n">
        <v>46321</v>
      </c>
      <c r="F765" t="inlineStr">
        <is>
          <t>GÄVLEBORGS LÄN</t>
        </is>
      </c>
      <c r="G765" t="inlineStr">
        <is>
          <t>OCKELBO</t>
        </is>
      </c>
      <c r="H765" t="inlineStr">
        <is>
          <t>Kyrkan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46321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45699</v>
      </c>
      <c r="E767" s="1" t="n">
        <v>46321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29567-2024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45484</v>
      </c>
      <c r="E768" s="1" t="n">
        <v>46321</v>
      </c>
      <c r="F768" t="inlineStr">
        <is>
          <t>GÄVLEBORGS LÄN</t>
        </is>
      </c>
      <c r="G768" t="inlineStr">
        <is>
          <t>OCKELBO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36210-2024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45534</v>
      </c>
      <c r="E769" s="1" t="n">
        <v>46321</v>
      </c>
      <c r="F769" t="inlineStr">
        <is>
          <t>GÄVLEBORGS LÄN</t>
        </is>
      </c>
      <c r="G769" t="inlineStr">
        <is>
          <t>OCKELBO</t>
        </is>
      </c>
      <c r="H769" t="inlineStr">
        <is>
          <t>Kyrkan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6194-2025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45698</v>
      </c>
      <c r="E770" s="1" t="n">
        <v>46321</v>
      </c>
      <c r="F770" t="inlineStr">
        <is>
          <t>GÄVLEBORGS LÄN</t>
        </is>
      </c>
      <c r="G770" t="inlineStr">
        <is>
          <t>OCKELBO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45111</v>
      </c>
      <c r="E771" s="1" t="n">
        <v>46321</v>
      </c>
      <c r="F771" t="inlineStr">
        <is>
          <t>GÄVLEBORGS LÄN</t>
        </is>
      </c>
      <c r="G771" t="inlineStr">
        <is>
          <t>OCKELBO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15966-2023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46321</v>
      </c>
      <c r="F772" t="inlineStr">
        <is>
          <t>GÄVLEBORGS LÄN</t>
        </is>
      </c>
      <c r="G772" t="inlineStr">
        <is>
          <t>OCKELBO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56232-2022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44890</v>
      </c>
      <c r="E773" s="1" t="n">
        <v>46321</v>
      </c>
      <c r="F773" t="inlineStr">
        <is>
          <t>GÄVLEBORGS LÄN</t>
        </is>
      </c>
      <c r="G773" t="inlineStr">
        <is>
          <t>OCKELBO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54817-2022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46321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22151-2022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44712</v>
      </c>
      <c r="E775" s="1" t="n">
        <v>46321</v>
      </c>
      <c r="F775" t="inlineStr">
        <is>
          <t>GÄVLEBORGS LÄN</t>
        </is>
      </c>
      <c r="G775" t="inlineStr">
        <is>
          <t>OCKELBO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45134</v>
      </c>
      <c r="E776" s="1" t="n">
        <v>46321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46321</v>
      </c>
      <c r="F777" t="inlineStr">
        <is>
          <t>GÄVLEBORGS LÄN</t>
        </is>
      </c>
      <c r="G777" t="inlineStr">
        <is>
          <t>OCKELBO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46321</v>
      </c>
      <c r="F778" t="inlineStr">
        <is>
          <t>GÄVLEBORGS LÄN</t>
        </is>
      </c>
      <c r="G778" t="inlineStr">
        <is>
          <t>OCKELBO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17730-2025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45758</v>
      </c>
      <c r="E779" s="1" t="n">
        <v>46321</v>
      </c>
      <c r="F779" t="inlineStr">
        <is>
          <t>GÄVLEBORGS LÄN</t>
        </is>
      </c>
      <c r="G779" t="inlineStr">
        <is>
          <t>OCKELBO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37438-2023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45156</v>
      </c>
      <c r="E780" s="1" t="n">
        <v>46321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48804-2024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46321</v>
      </c>
      <c r="F781" t="inlineStr">
        <is>
          <t>GÄVLEBORGS LÄN</t>
        </is>
      </c>
      <c r="G781" t="inlineStr">
        <is>
          <t>OCKELBO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18291-2023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45041</v>
      </c>
      <c r="E782" s="1" t="n">
        <v>46321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53137-2024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45611</v>
      </c>
      <c r="E783" s="1" t="n">
        <v>46321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7276-2023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46321</v>
      </c>
      <c r="F784" t="inlineStr">
        <is>
          <t>GÄVLEBORGS LÄN</t>
        </is>
      </c>
      <c r="G784" t="inlineStr">
        <is>
          <t>OCKELBO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46321</v>
      </c>
      <c r="F785" t="inlineStr">
        <is>
          <t>GÄVLEBORGS LÄN</t>
        </is>
      </c>
      <c r="G785" t="inlineStr">
        <is>
          <t>OCKELBO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22952-2023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45072</v>
      </c>
      <c r="E786" s="1" t="n">
        <v>46321</v>
      </c>
      <c r="F786" t="inlineStr">
        <is>
          <t>GÄVLEBORGS LÄN</t>
        </is>
      </c>
      <c r="G786" t="inlineStr">
        <is>
          <t>OCKELBO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54977-2024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45620</v>
      </c>
      <c r="E787" s="1" t="n">
        <v>46321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49529-2024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45596</v>
      </c>
      <c r="E788" s="1" t="n">
        <v>46321</v>
      </c>
      <c r="F788" t="inlineStr">
        <is>
          <t>GÄVLEBORGS LÄN</t>
        </is>
      </c>
      <c r="G788" t="inlineStr">
        <is>
          <t>OCKELBO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6568-2024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45341</v>
      </c>
      <c r="E789" s="1" t="n">
        <v>46321</v>
      </c>
      <c r="F789" t="inlineStr">
        <is>
          <t>GÄVLEBORGS LÄN</t>
        </is>
      </c>
      <c r="G789" t="inlineStr">
        <is>
          <t>OCKELBO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50194-2024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46321</v>
      </c>
      <c r="F790" t="inlineStr">
        <is>
          <t>GÄVLEBORGS LÄN</t>
        </is>
      </c>
      <c r="G790" t="inlineStr">
        <is>
          <t>OCKELBO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54309-2024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45617</v>
      </c>
      <c r="E791" s="1" t="n">
        <v>46321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46321</v>
      </c>
      <c r="F792" t="inlineStr">
        <is>
          <t>GÄVLEBORGS LÄN</t>
        </is>
      </c>
      <c r="G792" t="inlineStr">
        <is>
          <t>OCKELBO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56352-2024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45624</v>
      </c>
      <c r="E793" s="1" t="n">
        <v>46321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42313-2023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45180</v>
      </c>
      <c r="E794" s="1" t="n">
        <v>46321</v>
      </c>
      <c r="F794" t="inlineStr">
        <is>
          <t>GÄVLEBORGS LÄN</t>
        </is>
      </c>
      <c r="G794" t="inlineStr">
        <is>
          <t>OCKELBO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60915-2024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45645</v>
      </c>
      <c r="E795" s="1" t="n">
        <v>46321</v>
      </c>
      <c r="F795" t="inlineStr">
        <is>
          <t>GÄVLEBORGS LÄN</t>
        </is>
      </c>
      <c r="G795" t="inlineStr">
        <is>
          <t>OCKELBO</t>
        </is>
      </c>
      <c r="H795" t="inlineStr">
        <is>
          <t>Kyrkan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45152</v>
      </c>
      <c r="E796" s="1" t="n">
        <v>46321</v>
      </c>
      <c r="F796" t="inlineStr">
        <is>
          <t>GÄVLEBORGS LÄN</t>
        </is>
      </c>
      <c r="G796" t="inlineStr">
        <is>
          <t>OCKELBO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19762-2024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45432</v>
      </c>
      <c r="E797" s="1" t="n">
        <v>46321</v>
      </c>
      <c r="F797" t="inlineStr">
        <is>
          <t>GÄVLEBORGS LÄN</t>
        </is>
      </c>
      <c r="G797" t="inlineStr">
        <is>
          <t>OCKELBO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45441</v>
      </c>
      <c r="E798" s="1" t="n">
        <v>46321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45671</v>
      </c>
      <c r="E799" s="1" t="n">
        <v>46321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17548-2025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46321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45705</v>
      </c>
      <c r="E801" s="1" t="n">
        <v>46321</v>
      </c>
      <c r="F801" t="inlineStr">
        <is>
          <t>GÄVLEBORGS LÄN</t>
        </is>
      </c>
      <c r="G801" t="inlineStr">
        <is>
          <t>OCKELBO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12983-2022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44643</v>
      </c>
      <c r="E802" s="1" t="n">
        <v>46321</v>
      </c>
      <c r="F802" t="inlineStr">
        <is>
          <t>GÄVLEBORGS LÄN</t>
        </is>
      </c>
      <c r="G802" t="inlineStr">
        <is>
          <t>OCKELBO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45156</v>
      </c>
      <c r="E803" s="1" t="n">
        <v>46321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56634-2023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45243</v>
      </c>
      <c r="E804" s="1" t="n">
        <v>46321</v>
      </c>
      <c r="F804" t="inlineStr">
        <is>
          <t>GÄVLEBORGS LÄN</t>
        </is>
      </c>
      <c r="G804" t="inlineStr">
        <is>
          <t>OCKELBO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59533-2023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45254</v>
      </c>
      <c r="E805" s="1" t="n">
        <v>46321</v>
      </c>
      <c r="F805" t="inlineStr">
        <is>
          <t>GÄVLEBORGS LÄN</t>
        </is>
      </c>
      <c r="G805" t="inlineStr">
        <is>
          <t>OCKELBO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36521-2022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44804</v>
      </c>
      <c r="E806" s="1" t="n">
        <v>46321</v>
      </c>
      <c r="F806" t="inlineStr">
        <is>
          <t>GÄVLEBORGS LÄN</t>
        </is>
      </c>
      <c r="G806" t="inlineStr">
        <is>
          <t>OCKELBO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24228-2022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44725</v>
      </c>
      <c r="E807" s="1" t="n">
        <v>46321</v>
      </c>
      <c r="F807" t="inlineStr">
        <is>
          <t>GÄVLEBORGS LÄN</t>
        </is>
      </c>
      <c r="G807" t="inlineStr">
        <is>
          <t>OCKELBO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32301-2022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44781</v>
      </c>
      <c r="E808" s="1" t="n">
        <v>46321</v>
      </c>
      <c r="F808" t="inlineStr">
        <is>
          <t>GÄVLEBORGS LÄN</t>
        </is>
      </c>
      <c r="G808" t="inlineStr">
        <is>
          <t>OCKELBO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47841-2023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45204</v>
      </c>
      <c r="E809" s="1" t="n">
        <v>46321</v>
      </c>
      <c r="F809" t="inlineStr">
        <is>
          <t>GÄVLEBORGS LÄN</t>
        </is>
      </c>
      <c r="G809" t="inlineStr">
        <is>
          <t>OCKELBO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33985-2023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45134</v>
      </c>
      <c r="E810" s="1" t="n">
        <v>46321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20660-2022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44700</v>
      </c>
      <c r="E811" s="1" t="n">
        <v>46321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61750-2023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46321</v>
      </c>
      <c r="F812" t="inlineStr">
        <is>
          <t>GÄVLEBORGS LÄN</t>
        </is>
      </c>
      <c r="G812" t="inlineStr">
        <is>
          <t>OCKELBO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15247-2025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45744</v>
      </c>
      <c r="E813" s="1" t="n">
        <v>46321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35054-2022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44797</v>
      </c>
      <c r="E814" s="1" t="n">
        <v>46321</v>
      </c>
      <c r="F814" t="inlineStr">
        <is>
          <t>GÄVLEBORGS LÄN</t>
        </is>
      </c>
      <c r="G814" t="inlineStr">
        <is>
          <t>OCKELBO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20059-2025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45772</v>
      </c>
      <c r="E815" s="1" t="n">
        <v>46321</v>
      </c>
      <c r="F815" t="inlineStr">
        <is>
          <t>GÄVLEBORGS LÄN</t>
        </is>
      </c>
      <c r="G815" t="inlineStr">
        <is>
          <t>OCKELBO</t>
        </is>
      </c>
      <c r="I815" t="n">
        <v>14.8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55112-2023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45237</v>
      </c>
      <c r="E816" s="1" t="n">
        <v>46321</v>
      </c>
      <c r="F816" t="inlineStr">
        <is>
          <t>GÄVLEBORGS LÄN</t>
        </is>
      </c>
      <c r="G816" t="inlineStr">
        <is>
          <t>OCKELBO</t>
        </is>
      </c>
      <c r="I816" t="n">
        <v>14.6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59978-2023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45254</v>
      </c>
      <c r="E817" s="1" t="n">
        <v>46321</v>
      </c>
      <c r="F817" t="inlineStr">
        <is>
          <t>GÄVLEBORGS LÄN</t>
        </is>
      </c>
      <c r="G817" t="inlineStr">
        <is>
          <t>OCKELBO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45230</v>
      </c>
      <c r="E818" s="1" t="n">
        <v>46321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56034-2023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46321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921-2024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45301</v>
      </c>
      <c r="E820" s="1" t="n">
        <v>46321</v>
      </c>
      <c r="F820" t="inlineStr">
        <is>
          <t>GÄVLEBORGS LÄN</t>
        </is>
      </c>
      <c r="G820" t="inlineStr">
        <is>
          <t>OCKELBO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39710-2023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45167</v>
      </c>
      <c r="E821" s="1" t="n">
        <v>46321</v>
      </c>
      <c r="F821" t="inlineStr">
        <is>
          <t>GÄVLEBORGS LÄN</t>
        </is>
      </c>
      <c r="G821" t="inlineStr">
        <is>
          <t>OCKELBO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45623</v>
      </c>
      <c r="E822" s="1" t="n">
        <v>46321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34449-2023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45139</v>
      </c>
      <c r="E823" s="1" t="n">
        <v>46321</v>
      </c>
      <c r="F823" t="inlineStr">
        <is>
          <t>GÄVLEBORGS LÄN</t>
        </is>
      </c>
      <c r="G823" t="inlineStr">
        <is>
          <t>OCKELBO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39062-2024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45548</v>
      </c>
      <c r="E824" s="1" t="n">
        <v>46321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46321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46321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46321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46321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46321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46321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46321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46321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46321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46321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46321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46321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46321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46321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2026-10-26T03:07:09Z</dcterms:created>
  <dcterms:modified xmlns:dcterms="http://purl.org/dc/terms/" xmlns:xsi="http://www.w3.org/2001/XMLSchema-instance" xsi:type="dcterms:W3CDTF">2026-10-26T03:07:10Z</dcterms:modified>
</cp:coreProperties>
</file>