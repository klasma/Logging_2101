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46294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46294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46294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46294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46294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46294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46294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46294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46294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46294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46294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46294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46294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46294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46294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46294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46294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46294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46294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46294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46294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46294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62989-2025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46294</v>
      </c>
      <c r="F38" t="inlineStr">
        <is>
          <t>GÄVLEBORGS LÄN</t>
        </is>
      </c>
      <c r="G38" t="inlineStr">
        <is>
          <t>OCKELBO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HYPERLINK("https://klasma.github.io/Logging_2101/artfynd/A 62989-2025 artfynd.xlsx", "A 62989-2025")</f>
        <v/>
      </c>
      <c r="X38">
        <f>HYPERLINK("https://klasma.github.io/Logging_2101/kartor/A 62989-2025 karta.png", "A 62989-2025")</f>
        <v/>
      </c>
      <c r="Y38">
        <f>HYPERLINK("https://klasma.github.io/Logging_2101/kartor_geotiff/A 62989-2025 georefererad karta.tif", "A 62989-2025")</f>
        <v/>
      </c>
      <c r="AA38">
        <f>HYPERLINK("https://klasma.github.io/Logging_2101/klagomål/A 62989-2025 FSC-klagomål.docx", "A 62989-2025")</f>
        <v/>
      </c>
      <c r="AB38">
        <f>HYPERLINK("https://klasma.github.io/Logging_2101/klagomålsmail/A 62989-2025 FSC-klagomål mail.docx", "A 62989-2025")</f>
        <v/>
      </c>
      <c r="AC38">
        <f>HYPERLINK("https://klasma.github.io/Logging_2101/tillsyn/A 62989-2025 tillsynsbegäran.docx", "A 62989-2025")</f>
        <v/>
      </c>
      <c r="AD38">
        <f>HYPERLINK("https://klasma.github.io/Logging_2101/tillsynsmail/A 62989-2025 tillsynsbegäran mail.docx", "A 62989-2025")</f>
        <v/>
      </c>
    </row>
    <row r="39" ht="15" customHeight="1">
      <c r="A39" t="inlineStr">
        <is>
          <t>A 15841-2023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45022</v>
      </c>
      <c r="E39" s="1" t="n">
        <v>46294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Havsörn</t>
        </is>
      </c>
      <c r="W39">
        <f>HYPERLINK("https://klasma.github.io/Logging_2101/artfynd/A 15841-2023 artfynd.xlsx", "A 15841-2023")</f>
        <v/>
      </c>
      <c r="X39">
        <f>HYPERLINK("https://klasma.github.io/Logging_2101/kartor/A 15841-2023 karta.png", "A 15841-2023")</f>
        <v/>
      </c>
      <c r="Y39">
        <f>HYPERLINK("https://klasma.github.io/Logging_2101/kartor_geotiff/A 15841-2023 georefererad karta.tif", "A 15841-2023")</f>
        <v/>
      </c>
      <c r="AA39">
        <f>HYPERLINK("https://klasma.github.io/Logging_2101/klagomål/A 15841-2023 FSC-klagomål.docx", "A 15841-2023")</f>
        <v/>
      </c>
      <c r="AB39">
        <f>HYPERLINK("https://klasma.github.io/Logging_2101/klagomålsmail/A 15841-2023 FSC-klagomål mail.docx", "A 15841-2023")</f>
        <v/>
      </c>
      <c r="AC39">
        <f>HYPERLINK("https://klasma.github.io/Logging_2101/tillsyn/A 15841-2023 tillsynsbegäran.docx", "A 15841-2023")</f>
        <v/>
      </c>
      <c r="AD39">
        <f>HYPERLINK("https://klasma.github.io/Logging_2101/tillsynsmail/A 15841-2023 tillsynsbegäran mail.docx", "A 15841-2023")</f>
        <v/>
      </c>
      <c r="AE39">
        <f>HYPERLINK("https://klasma.github.io/Logging_2101/fåglar/A 15841-2023 prioriterade fågelarter.docx", "A 15841-2023")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46294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46294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57946-2023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HYPERLINK("https://klasma.github.io/Logging_2101/artfynd/A 57946-2023 artfynd.xlsx", "A 57946-2023")</f>
        <v/>
      </c>
      <c r="X42">
        <f>HYPERLINK("https://klasma.github.io/Logging_2101/kartor/A 57946-2023 karta.png", "A 57946-2023")</f>
        <v/>
      </c>
      <c r="Y42">
        <f>HYPERLINK("https://klasma.github.io/Logging_2101/kartor_geotiff/A 57946-2023 georefererad karta.tif", "A 57946-2023")</f>
        <v/>
      </c>
      <c r="AA42">
        <f>HYPERLINK("https://klasma.github.io/Logging_2101/klagomål/A 57946-2023 FSC-klagomål.docx", "A 57946-2023")</f>
        <v/>
      </c>
      <c r="AB42">
        <f>HYPERLINK("https://klasma.github.io/Logging_2101/klagomålsmail/A 57946-2023 FSC-klagomål mail.docx", "A 57946-2023")</f>
        <v/>
      </c>
      <c r="AC42">
        <f>HYPERLINK("https://klasma.github.io/Logging_2101/tillsyn/A 57946-2023 tillsynsbegäran.docx", "A 57946-2023")</f>
        <v/>
      </c>
      <c r="AD42">
        <f>HYPERLINK("https://klasma.github.io/Logging_2101/tillsynsmail/A 57946-2023 tillsynsbegäran mail.docx", "A 57946-2023")</f>
        <v/>
      </c>
    </row>
    <row r="43" ht="15" customHeight="1">
      <c r="A43" t="inlineStr">
        <is>
          <t>A 46481-2024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46294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HYPERLINK("https://klasma.github.io/Logging_2101/artfynd/A 46481-2024 artfynd.xlsx", "A 46481-2024")</f>
        <v/>
      </c>
      <c r="X43">
        <f>HYPERLINK("https://klasma.github.io/Logging_2101/kartor/A 46481-2024 karta.png", "A 46481-2024")</f>
        <v/>
      </c>
      <c r="Y43">
        <f>HYPERLINK("https://klasma.github.io/Logging_2101/kartor_geotiff/A 46481-2024 georefererad karta.tif", "A 46481-2024")</f>
        <v/>
      </c>
      <c r="AA43">
        <f>HYPERLINK("https://klasma.github.io/Logging_2101/klagomål/A 46481-2024 FSC-klagomål.docx", "A 46481-2024")</f>
        <v/>
      </c>
      <c r="AB43">
        <f>HYPERLINK("https://klasma.github.io/Logging_2101/klagomålsmail/A 46481-2024 FSC-klagomål mail.docx", "A 46481-2024")</f>
        <v/>
      </c>
      <c r="AC43">
        <f>HYPERLINK("https://klasma.github.io/Logging_2101/tillsyn/A 46481-2024 tillsynsbegäran.docx", "A 46481-2024")</f>
        <v/>
      </c>
      <c r="AD43">
        <f>HYPERLINK("https://klasma.github.io/Logging_2101/tillsynsmail/A 46481-2024 tillsynsbegäran mail.docx", "A 46481-2024")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46294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2923-2026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46038</v>
      </c>
      <c r="E45" s="1" t="n">
        <v>46294</v>
      </c>
      <c r="F45" t="inlineStr">
        <is>
          <t>GÄVLEBORGS LÄN</t>
        </is>
      </c>
      <c r="G45" t="inlineStr">
        <is>
          <t>OCKELBO</t>
        </is>
      </c>
      <c r="I45" t="n">
        <v>2.8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HYPERLINK("https://klasma.github.io/Logging_2101/artfynd/A 2923-2026 artfynd.xlsx", "A 2923-2026")</f>
        <v/>
      </c>
      <c r="X45">
        <f>HYPERLINK("https://klasma.github.io/Logging_2101/kartor/A 2923-2026 karta.png", "A 2923-2026")</f>
        <v/>
      </c>
      <c r="Y45">
        <f>HYPERLINK("https://klasma.github.io/Logging_2101/kartor_geotiff/A 2923-2026 georefererad karta.tif", "A 2923-2026")</f>
        <v/>
      </c>
      <c r="Z45">
        <f>HYPERLINK("https://klasma.github.io/Logging_2101/knärot/A 2923-2026 karta knärot.png", "A 2923-2026")</f>
        <v/>
      </c>
      <c r="AA45">
        <f>HYPERLINK("https://klasma.github.io/Logging_2101/klagomål/A 2923-2026 FSC-klagomål.docx", "A 2923-2026")</f>
        <v/>
      </c>
      <c r="AB45">
        <f>HYPERLINK("https://klasma.github.io/Logging_2101/klagomålsmail/A 2923-2026 FSC-klagomål mail.docx", "A 2923-2026")</f>
        <v/>
      </c>
      <c r="AC45">
        <f>HYPERLINK("https://klasma.github.io/Logging_2101/tillsyn/A 2923-2026 tillsynsbegäran.docx", "A 2923-2026")</f>
        <v/>
      </c>
      <c r="AD45">
        <f>HYPERLINK("https://klasma.github.io/Logging_2101/tillsynsmail/A 2923-2026 tillsynsbegäran mail.docx", "A 2923-2026")</f>
        <v/>
      </c>
    </row>
    <row r="46" ht="15" customHeight="1">
      <c r="A46" t="inlineStr">
        <is>
          <t>A 6121-2026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46053</v>
      </c>
      <c r="E46" s="1" t="n">
        <v>46294</v>
      </c>
      <c r="F46" t="inlineStr">
        <is>
          <t>GÄVLEBORGS LÄN</t>
        </is>
      </c>
      <c r="G46" t="inlineStr">
        <is>
          <t>OCKELBO</t>
        </is>
      </c>
      <c r="I46" t="n">
        <v>2.6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HYPERLINK("https://klasma.github.io/Logging_2101/artfynd/A 6121-2026 artfynd.xlsx", "A 6121-2026")</f>
        <v/>
      </c>
      <c r="X46">
        <f>HYPERLINK("https://klasma.github.io/Logging_2101/kartor/A 6121-2026 karta.png", "A 6121-2026")</f>
        <v/>
      </c>
      <c r="Y46">
        <f>HYPERLINK("https://klasma.github.io/Logging_2101/kartor_geotiff/A 6121-2026 georefererad karta.tif", "A 6121-2026")</f>
        <v/>
      </c>
      <c r="AA46">
        <f>HYPERLINK("https://klasma.github.io/Logging_2101/klagomål/A 6121-2026 FSC-klagomål.docx", "A 6121-2026")</f>
        <v/>
      </c>
      <c r="AB46">
        <f>HYPERLINK("https://klasma.github.io/Logging_2101/klagomålsmail/A 6121-2026 FSC-klagomål mail.docx", "A 6121-2026")</f>
        <v/>
      </c>
      <c r="AC46">
        <f>HYPERLINK("https://klasma.github.io/Logging_2101/tillsyn/A 6121-2026 tillsynsbegäran.docx", "A 6121-2026")</f>
        <v/>
      </c>
      <c r="AD46">
        <f>HYPERLINK("https://klasma.github.io/Logging_2101/tillsynsmail/A 6121-2026 tillsynsbegäran mail.docx", "A 6121-2026")</f>
        <v/>
      </c>
      <c r="AE46">
        <f>HYPERLINK("https://klasma.github.io/Logging_2101/fåglar/A 6121-2026 prioriterade fågelarter.docx", "A 6121-2026")</f>
        <v/>
      </c>
    </row>
    <row r="47" ht="15" customHeight="1">
      <c r="A47" t="inlineStr">
        <is>
          <t>A 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46056</v>
      </c>
      <c r="E47" s="1" t="n">
        <v>46294</v>
      </c>
      <c r="F47" t="inlineStr">
        <is>
          <t>GÄVLEBORGS LÄN</t>
        </is>
      </c>
      <c r="G47" t="inlineStr">
        <is>
          <t>OCKELBO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6586-2026 artfynd.xlsx", "A 6586-2026")</f>
        <v/>
      </c>
      <c r="X47">
        <f>HYPERLINK("https://klasma.github.io/Logging_2101/kartor/A 6586-2026 karta.png", "A 6586-2026")</f>
        <v/>
      </c>
      <c r="Y47">
        <f>HYPERLINK("https://klasma.github.io/Logging_2101/kartor_geotiff/A 6586-2026 georefererad karta.tif", "A 6586-2026")</f>
        <v/>
      </c>
      <c r="AA47">
        <f>HYPERLINK("https://klasma.github.io/Logging_2101/klagomål/A 6586-2026 FSC-klagomål.docx", "A 6586-2026")</f>
        <v/>
      </c>
      <c r="AB47">
        <f>HYPERLINK("https://klasma.github.io/Logging_2101/klagomålsmail/A 6586-2026 FSC-klagomål mail.docx", "A 6586-2026")</f>
        <v/>
      </c>
      <c r="AC47">
        <f>HYPERLINK("https://klasma.github.io/Logging_2101/tillsyn/A 6586-2026 tillsynsbegäran.docx", "A 6586-2026")</f>
        <v/>
      </c>
      <c r="AD47">
        <f>HYPERLINK("https://klasma.github.io/Logging_2101/tillsynsmail/A 6586-2026 tillsynsbegäran mail.docx", "A 6586-2026")</f>
        <v/>
      </c>
    </row>
    <row r="48" ht="15" customHeight="1">
      <c r="A48" t="inlineStr">
        <is>
          <t>A 10484-2026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46294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Ullticka</t>
        </is>
      </c>
      <c r="W48">
        <f>HYPERLINK("https://klasma.github.io/Logging_2101/artfynd/A 10484-2026 artfynd.xlsx", "A 10484-2026")</f>
        <v/>
      </c>
      <c r="X48">
        <f>HYPERLINK("https://klasma.github.io/Logging_2101/kartor/A 10484-2026 karta.png", "A 10484-2026")</f>
        <v/>
      </c>
      <c r="Y48">
        <f>HYPERLINK("https://klasma.github.io/Logging_2101/kartor_geotiff/A 10484-2026 georefererad karta.tif", "A 10484-2026")</f>
        <v/>
      </c>
      <c r="AA48">
        <f>HYPERLINK("https://klasma.github.io/Logging_2101/klagomål/A 10484-2026 FSC-klagomål.docx", "A 10484-2026")</f>
        <v/>
      </c>
      <c r="AB48">
        <f>HYPERLINK("https://klasma.github.io/Logging_2101/klagomålsmail/A 10484-2026 FSC-klagomål mail.docx", "A 10484-2026")</f>
        <v/>
      </c>
      <c r="AC48">
        <f>HYPERLINK("https://klasma.github.io/Logging_2101/tillsyn/A 10484-2026 tillsynsbegäran.docx", "A 10484-2026")</f>
        <v/>
      </c>
      <c r="AD48">
        <f>HYPERLINK("https://klasma.github.io/Logging_2101/tillsynsmail/A 10484-2026 tillsynsbegäran mail.docx", "A 10484-2026")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46294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46294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46294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46294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46294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46294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46294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46294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46294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46294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46294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46294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46294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46294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38583-2026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46294</v>
      </c>
      <c r="F63" t="inlineStr">
        <is>
          <t>GÄVLEBORGS LÄN</t>
        </is>
      </c>
      <c r="G63" t="inlineStr">
        <is>
          <t>OCKELBO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Månlåsbräken</t>
        </is>
      </c>
      <c r="W63">
        <f>HYPERLINK("https://klasma.github.io/Logging_2101/artfynd/A 38583-2026 artfynd.xlsx", "A 38583-2026")</f>
        <v/>
      </c>
      <c r="X63">
        <f>HYPERLINK("https://klasma.github.io/Logging_2101/kartor/A 38583-2026 karta.png", "A 38583-2026")</f>
        <v/>
      </c>
      <c r="Y63">
        <f>HYPERLINK("https://klasma.github.io/Logging_2101/kartor_geotiff/A 38583-2026 georefererad karta.tif", "A 38583-2026")</f>
        <v/>
      </c>
      <c r="AA63">
        <f>HYPERLINK("https://klasma.github.io/Logging_2101/klagomål/A 38583-2026 FSC-klagomål.docx", "A 38583-2026")</f>
        <v/>
      </c>
      <c r="AB63">
        <f>HYPERLINK("https://klasma.github.io/Logging_2101/klagomålsmail/A 38583-2026 FSC-klagomål mail.docx", "A 38583-2026")</f>
        <v/>
      </c>
      <c r="AC63">
        <f>HYPERLINK("https://klasma.github.io/Logging_2101/tillsyn/A 38583-2026 tillsynsbegäran.docx", "A 38583-2026")</f>
        <v/>
      </c>
      <c r="AD63">
        <f>HYPERLINK("https://klasma.github.io/Logging_2101/tillsynsmail/A 38583-2026 tillsynsbegäran mail.docx", "A 38583-2026")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46294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Plattlummer</t>
        </is>
      </c>
      <c r="W64">
        <f>HYPERLINK("https://klasma.github.io/Logging_2101/artfynd/A 33384-2024 artfynd.xlsx", "A 33384-2024")</f>
        <v/>
      </c>
      <c r="X64">
        <f>HYPERLINK("https://klasma.github.io/Logging_2101/kartor/A 33384-2024 karta.png", "A 33384-2024")</f>
        <v/>
      </c>
      <c r="Y64">
        <f>HYPERLINK("https://klasma.github.io/Logging_2101/kartor_geotiff/A 33384-2024 georefererad karta.tif", "A 33384-2024")</f>
        <v/>
      </c>
      <c r="AA64">
        <f>HYPERLINK("https://klasma.github.io/Logging_2101/klagomål/A 33384-2024 FSC-klagomål.docx", "A 33384-2024")</f>
        <v/>
      </c>
      <c r="AB64">
        <f>HYPERLINK("https://klasma.github.io/Logging_2101/klagomålsmail/A 33384-2024 FSC-klagomål mail.docx", "A 33384-2024")</f>
        <v/>
      </c>
      <c r="AC64">
        <f>HYPERLINK("https://klasma.github.io/Logging_2101/tillsyn/A 33384-2024 tillsynsbegäran.docx", "A 33384-2024")</f>
        <v/>
      </c>
      <c r="AD64">
        <f>HYPERLINK("https://klasma.github.io/Logging_2101/tillsynsmail/A 33384-2024 tillsynsbegäran mail.docx", "A 33384-2024")</f>
        <v/>
      </c>
    </row>
    <row r="65" ht="15" customHeight="1">
      <c r="A65" t="inlineStr">
        <is>
          <t>A 38351-2026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46294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38351-2026 artfynd.xlsx", "A 38351-2026")</f>
        <v/>
      </c>
      <c r="X65">
        <f>HYPERLINK("https://klasma.github.io/Logging_2101/kartor/A 38351-2026 karta.png", "A 38351-2026")</f>
        <v/>
      </c>
      <c r="Y65">
        <f>HYPERLINK("https://klasma.github.io/Logging_2101/kartor_geotiff/A 38351-2026 georefererad karta.tif", "A 38351-2026")</f>
        <v/>
      </c>
      <c r="AA65">
        <f>HYPERLINK("https://klasma.github.io/Logging_2101/klagomål/A 38351-2026 FSC-klagomål.docx", "A 38351-2026")</f>
        <v/>
      </c>
      <c r="AB65">
        <f>HYPERLINK("https://klasma.github.io/Logging_2101/klagomålsmail/A 38351-2026 FSC-klagomål mail.docx", "A 38351-2026")</f>
        <v/>
      </c>
      <c r="AC65">
        <f>HYPERLINK("https://klasma.github.io/Logging_2101/tillsyn/A 38351-2026 tillsynsbegäran.docx", "A 38351-2026")</f>
        <v/>
      </c>
      <c r="AD65">
        <f>HYPERLINK("https://klasma.github.io/Logging_2101/tillsynsmail/A 38351-2026 tillsynsbegäran mail.docx", "A 38351-2026")</f>
        <v/>
      </c>
      <c r="AE65">
        <f>HYPERLINK("https://klasma.github.io/Logging_2101/fåglar/A 38351-2026 prioriterade fågelarter.docx", "A 38351-2026")</f>
        <v/>
      </c>
    </row>
    <row r="66" ht="15" customHeight="1">
      <c r="A66" t="inlineStr">
        <is>
          <t>A 38355-2026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46282</v>
      </c>
      <c r="E66" s="1" t="n">
        <v>46294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Orre</t>
        </is>
      </c>
      <c r="W66">
        <f>HYPERLINK("https://klasma.github.io/Logging_2101/artfynd/A 38355-2026 artfynd.xlsx", "A 38355-2026")</f>
        <v/>
      </c>
      <c r="X66">
        <f>HYPERLINK("https://klasma.github.io/Logging_2101/kartor/A 38355-2026 karta.png", "A 38355-2026")</f>
        <v/>
      </c>
      <c r="Y66">
        <f>HYPERLINK("https://klasma.github.io/Logging_2101/kartor_geotiff/A 38355-2026 georefererad karta.tif", "A 38355-2026")</f>
        <v/>
      </c>
      <c r="AA66">
        <f>HYPERLINK("https://klasma.github.io/Logging_2101/klagomål/A 38355-2026 FSC-klagomål.docx", "A 38355-2026")</f>
        <v/>
      </c>
      <c r="AB66">
        <f>HYPERLINK("https://klasma.github.io/Logging_2101/klagomålsmail/A 38355-2026 FSC-klagomål mail.docx", "A 38355-2026")</f>
        <v/>
      </c>
      <c r="AC66">
        <f>HYPERLINK("https://klasma.github.io/Logging_2101/tillsyn/A 38355-2026 tillsynsbegäran.docx", "A 38355-2026")</f>
        <v/>
      </c>
      <c r="AD66">
        <f>HYPERLINK("https://klasma.github.io/Logging_2101/tillsynsmail/A 38355-2026 tillsynsbegäran mail.docx", "A 38355-2026")</f>
        <v/>
      </c>
      <c r="AE66">
        <f>HYPERLINK("https://klasma.github.io/Logging_2101/fåglar/A 38355-2026 prioriterade fågelarter.docx", "A 38355-2026")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46294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46294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46294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46294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46294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46294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46294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46294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46294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46294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46294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46294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46294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46294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46294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46294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46294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46294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46294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46294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46294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46294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46294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46294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46294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36210-2024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46294</v>
      </c>
      <c r="F92" t="inlineStr">
        <is>
          <t>GÄVLEBORGS LÄN</t>
        </is>
      </c>
      <c r="G92" t="inlineStr">
        <is>
          <t>OCKELBO</t>
        </is>
      </c>
      <c r="H92" t="inlineStr">
        <is>
          <t>Kyrkan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45156</v>
      </c>
      <c r="E93" s="1" t="n">
        <v>46294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46294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46294</v>
      </c>
      <c r="F95" t="inlineStr">
        <is>
          <t>GÄVLEBORGS LÄN</t>
        </is>
      </c>
      <c r="G95" t="inlineStr">
        <is>
          <t>OCKELBO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46294</v>
      </c>
      <c r="F96" t="inlineStr">
        <is>
          <t>GÄVLEBORGS LÄN</t>
        </is>
      </c>
      <c r="G96" t="inlineStr">
        <is>
          <t>OCKELBO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44804</v>
      </c>
      <c r="E97" s="1" t="n">
        <v>46294</v>
      </c>
      <c r="F97" t="inlineStr">
        <is>
          <t>GÄVLEBORGS LÄN</t>
        </is>
      </c>
      <c r="G97" t="inlineStr">
        <is>
          <t>OCKELBO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46294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46294</v>
      </c>
      <c r="F99" t="inlineStr">
        <is>
          <t>GÄVLEBORGS LÄN</t>
        </is>
      </c>
      <c r="G99" t="inlineStr">
        <is>
          <t>OCKELBO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46294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46294</v>
      </c>
      <c r="F101" t="inlineStr">
        <is>
          <t>GÄVLEBORGS LÄN</t>
        </is>
      </c>
      <c r="G101" t="inlineStr">
        <is>
          <t>OCKELBO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46294</v>
      </c>
      <c r="F102" t="inlineStr">
        <is>
          <t>GÄVLEBORGS LÄN</t>
        </is>
      </c>
      <c r="G102" t="inlineStr">
        <is>
          <t>OCKELBO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54309-2024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46294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46294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46294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46294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45776</v>
      </c>
      <c r="E107" s="1" t="n">
        <v>46294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46294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46294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62196-2025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46006</v>
      </c>
      <c r="E110" s="1" t="n">
        <v>46294</v>
      </c>
      <c r="F110" t="inlineStr">
        <is>
          <t>GÄVLEBORGS LÄN</t>
        </is>
      </c>
      <c r="G110" t="inlineStr">
        <is>
          <t>OCKELBO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23004-2025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45790</v>
      </c>
      <c r="E111" s="1" t="n">
        <v>46294</v>
      </c>
      <c r="F111" t="inlineStr">
        <is>
          <t>GÄVLEBORGS LÄN</t>
        </is>
      </c>
      <c r="G111" t="inlineStr">
        <is>
          <t>OCKELBO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55011-2024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46294</v>
      </c>
      <c r="F112" t="inlineStr">
        <is>
          <t>GÄVLEBORGS LÄN</t>
        </is>
      </c>
      <c r="G112" t="inlineStr">
        <is>
          <t>OCKELBO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45989</v>
      </c>
      <c r="E113" s="1" t="n">
        <v>46294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46294</v>
      </c>
      <c r="F114" t="inlineStr">
        <is>
          <t>GÄVLEBORGS LÄN</t>
        </is>
      </c>
      <c r="G114" t="inlineStr">
        <is>
          <t>OCKELBO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46294</v>
      </c>
      <c r="F115" t="inlineStr">
        <is>
          <t>GÄVLEBORGS LÄN</t>
        </is>
      </c>
      <c r="G115" t="inlineStr">
        <is>
          <t>OCKELBO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46294</v>
      </c>
      <c r="F116" t="inlineStr">
        <is>
          <t>GÄVLEBORGS LÄN</t>
        </is>
      </c>
      <c r="G116" t="inlineStr">
        <is>
          <t>OCKELBO</t>
        </is>
      </c>
      <c r="H116" t="inlineStr">
        <is>
          <t>Kyrkan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46294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46294</v>
      </c>
      <c r="F118" t="inlineStr">
        <is>
          <t>GÄVLEBORGS LÄN</t>
        </is>
      </c>
      <c r="G118" t="inlineStr">
        <is>
          <t>OCKELBO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15403-2022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44659</v>
      </c>
      <c r="E119" s="1" t="n">
        <v>46294</v>
      </c>
      <c r="F119" t="inlineStr">
        <is>
          <t>GÄVLEBORGS LÄN</t>
        </is>
      </c>
      <c r="G119" t="inlineStr">
        <is>
          <t>OCKELBO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46294</v>
      </c>
      <c r="F120" t="inlineStr">
        <is>
          <t>GÄVLEBORGS LÄN</t>
        </is>
      </c>
      <c r="G120" t="inlineStr">
        <is>
          <t>OCKELBO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45282</v>
      </c>
      <c r="E121" s="1" t="n">
        <v>46294</v>
      </c>
      <c r="F121" t="inlineStr">
        <is>
          <t>GÄVLEBORGS LÄN</t>
        </is>
      </c>
      <c r="G121" t="inlineStr">
        <is>
          <t>OCKELBO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46294</v>
      </c>
      <c r="F122" t="inlineStr">
        <is>
          <t>GÄVLEBORGS LÄN</t>
        </is>
      </c>
      <c r="G122" t="inlineStr">
        <is>
          <t>OCKELBO</t>
        </is>
      </c>
      <c r="I122" t="n">
        <v>7.6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46294</v>
      </c>
      <c r="F123" t="inlineStr">
        <is>
          <t>GÄVLEBORGS LÄN</t>
        </is>
      </c>
      <c r="G123" t="inlineStr">
        <is>
          <t>OCKELBO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46294</v>
      </c>
      <c r="F124" t="inlineStr">
        <is>
          <t>GÄVLEBORGS LÄN</t>
        </is>
      </c>
      <c r="G124" t="inlineStr">
        <is>
          <t>OCKELBO</t>
        </is>
      </c>
      <c r="H124" t="inlineStr">
        <is>
          <t>Kyrkan</t>
        </is>
      </c>
      <c r="I124" t="n">
        <v>12.5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46294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46294</v>
      </c>
      <c r="F126" t="inlineStr">
        <is>
          <t>GÄVLEBORGS LÄN</t>
        </is>
      </c>
      <c r="G126" t="inlineStr">
        <is>
          <t>OCKELBO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46294</v>
      </c>
      <c r="F127" t="inlineStr">
        <is>
          <t>GÄVLEBORGS LÄN</t>
        </is>
      </c>
      <c r="G127" t="inlineStr">
        <is>
          <t>OCKELBO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46294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17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46294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46294</v>
      </c>
      <c r="F130" t="inlineStr">
        <is>
          <t>GÄVLEBORGS LÄN</t>
        </is>
      </c>
      <c r="G130" t="inlineStr">
        <is>
          <t>OCKELBO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46294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46294</v>
      </c>
      <c r="F132" t="inlineStr">
        <is>
          <t>GÄVLEBORGS LÄN</t>
        </is>
      </c>
      <c r="G132" t="inlineStr">
        <is>
          <t>OCKELBO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46294</v>
      </c>
      <c r="F133" t="inlineStr">
        <is>
          <t>GÄVLEBORGS LÄN</t>
        </is>
      </c>
      <c r="G133" t="inlineStr">
        <is>
          <t>OCKELBO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46294</v>
      </c>
      <c r="F134" t="inlineStr">
        <is>
          <t>GÄVLEBORGS LÄN</t>
        </is>
      </c>
      <c r="G134" t="inlineStr">
        <is>
          <t>OCKELBO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46294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46294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46294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46294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46294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25250-2025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45800</v>
      </c>
      <c r="E140" s="1" t="n">
        <v>46294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46294</v>
      </c>
      <c r="F141" t="inlineStr">
        <is>
          <t>GÄVLEBORGS LÄN</t>
        </is>
      </c>
      <c r="G141" t="inlineStr">
        <is>
          <t>OCKELBO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46294</v>
      </c>
      <c r="F142" t="inlineStr">
        <is>
          <t>GÄVLEBORGS LÄN</t>
        </is>
      </c>
      <c r="G142" t="inlineStr">
        <is>
          <t>OCKELBO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46294</v>
      </c>
      <c r="F143" t="inlineStr">
        <is>
          <t>GÄVLEBORGS LÄN</t>
        </is>
      </c>
      <c r="G143" t="inlineStr">
        <is>
          <t>OCKELBO</t>
        </is>
      </c>
      <c r="I143" t="n">
        <v>14.8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46294</v>
      </c>
      <c r="F144" t="inlineStr">
        <is>
          <t>GÄVLEBORGS LÄN</t>
        </is>
      </c>
      <c r="G144" t="inlineStr">
        <is>
          <t>OCKELBO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46294</v>
      </c>
      <c r="F145" t="inlineStr">
        <is>
          <t>GÄVLEBORGS LÄN</t>
        </is>
      </c>
      <c r="G145" t="inlineStr">
        <is>
          <t>OCKELBO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46294</v>
      </c>
      <c r="F146" t="inlineStr">
        <is>
          <t>GÄVLEBORGS LÄN</t>
        </is>
      </c>
      <c r="G146" t="inlineStr">
        <is>
          <t>OCKELBO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41899-2025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46294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46294</v>
      </c>
      <c r="F148" t="inlineStr">
        <is>
          <t>GÄVLEBORGS LÄN</t>
        </is>
      </c>
      <c r="G148" t="inlineStr">
        <is>
          <t>OCKELBO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46294</v>
      </c>
      <c r="F149" t="inlineStr">
        <is>
          <t>GÄVLEBORGS LÄN</t>
        </is>
      </c>
      <c r="G149" t="inlineStr">
        <is>
          <t>OCKELBO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46294</v>
      </c>
      <c r="F150" t="inlineStr">
        <is>
          <t>GÄVLEBORGS LÄN</t>
        </is>
      </c>
      <c r="G150" t="inlineStr">
        <is>
          <t>OCKELBO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46294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46294</v>
      </c>
      <c r="F152" t="inlineStr">
        <is>
          <t>GÄVLEBORGS LÄN</t>
        </is>
      </c>
      <c r="G152" t="inlineStr">
        <is>
          <t>OCKELBO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46294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24.8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46294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46294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46294</v>
      </c>
      <c r="F156" t="inlineStr">
        <is>
          <t>GÄVLEBORGS LÄN</t>
        </is>
      </c>
      <c r="G156" t="inlineStr">
        <is>
          <t>OCKELBO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46294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46294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46013</v>
      </c>
      <c r="E159" s="1" t="n">
        <v>46294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46294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46294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20231-2024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45434</v>
      </c>
      <c r="E162" s="1" t="n">
        <v>46294</v>
      </c>
      <c r="F162" t="inlineStr">
        <is>
          <t>GÄVLEBORGS LÄN</t>
        </is>
      </c>
      <c r="G162" t="inlineStr">
        <is>
          <t>OCKELBO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46294</v>
      </c>
      <c r="F163" t="inlineStr">
        <is>
          <t>GÄVLEBORGS LÄN</t>
        </is>
      </c>
      <c r="G163" t="inlineStr">
        <is>
          <t>OCKELBO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46294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63224-2025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46010</v>
      </c>
      <c r="E165" s="1" t="n">
        <v>46294</v>
      </c>
      <c r="F165" t="inlineStr">
        <is>
          <t>GÄVLEBORGS LÄN</t>
        </is>
      </c>
      <c r="G165" t="inlineStr">
        <is>
          <t>OCKELBO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46294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46294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44986</v>
      </c>
      <c r="E168" s="1" t="n">
        <v>46294</v>
      </c>
      <c r="F168" t="inlineStr">
        <is>
          <t>GÄVLEBORGS LÄN</t>
        </is>
      </c>
      <c r="G168" t="inlineStr">
        <is>
          <t>OCKELBO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46294</v>
      </c>
      <c r="F169" t="inlineStr">
        <is>
          <t>GÄVLEBORGS LÄN</t>
        </is>
      </c>
      <c r="G169" t="inlineStr">
        <is>
          <t>OCKELBO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46294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46294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45618</v>
      </c>
      <c r="E172" s="1" t="n">
        <v>46294</v>
      </c>
      <c r="F172" t="inlineStr">
        <is>
          <t>GÄVLEBORGS LÄN</t>
        </is>
      </c>
      <c r="G172" t="inlineStr">
        <is>
          <t>OCKELBO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46294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46294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46294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45027</v>
      </c>
      <c r="E176" s="1" t="n">
        <v>46294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46294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46294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46294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46294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66825-2021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46294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46294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45554</v>
      </c>
      <c r="E183" s="1" t="n">
        <v>46294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46294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46294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46294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46294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45590</v>
      </c>
      <c r="E188" s="1" t="n">
        <v>46294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46294</v>
      </c>
      <c r="F189" t="inlineStr">
        <is>
          <t>GÄVLEBORGS LÄN</t>
        </is>
      </c>
      <c r="G189" t="inlineStr">
        <is>
          <t>OCKELBO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46294</v>
      </c>
      <c r="F190" t="inlineStr">
        <is>
          <t>GÄVLEBORGS LÄN</t>
        </is>
      </c>
      <c r="G190" t="inlineStr">
        <is>
          <t>OCKELBO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61622-2021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46294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46294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44845</v>
      </c>
      <c r="E193" s="1" t="n">
        <v>46294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67768-2021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46294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46294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45107</v>
      </c>
      <c r="E196" s="1" t="n">
        <v>46294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45611</v>
      </c>
      <c r="E197" s="1" t="n">
        <v>46294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46294</v>
      </c>
      <c r="F198" t="inlineStr">
        <is>
          <t>GÄVLEBORGS LÄN</t>
        </is>
      </c>
      <c r="G198" t="inlineStr">
        <is>
          <t>OCKELBO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45132</v>
      </c>
      <c r="E199" s="1" t="n">
        <v>46294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46294</v>
      </c>
      <c r="F200" t="inlineStr">
        <is>
          <t>GÄVLEBORGS LÄN</t>
        </is>
      </c>
      <c r="G200" t="inlineStr">
        <is>
          <t>OCKELBO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46294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46294</v>
      </c>
      <c r="F202" t="inlineStr">
        <is>
          <t>GÄVLEBORGS LÄN</t>
        </is>
      </c>
      <c r="G202" t="inlineStr">
        <is>
          <t>OCKELBO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46294</v>
      </c>
      <c r="F203" t="inlineStr">
        <is>
          <t>GÄVLEBORGS LÄN</t>
        </is>
      </c>
      <c r="G203" t="inlineStr">
        <is>
          <t>OCKELBO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46294</v>
      </c>
      <c r="F204" t="inlineStr">
        <is>
          <t>GÄVLEBORGS LÄN</t>
        </is>
      </c>
      <c r="G204" t="inlineStr">
        <is>
          <t>OCKELBO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46294</v>
      </c>
      <c r="F205" t="inlineStr">
        <is>
          <t>GÄVLEBORGS LÄN</t>
        </is>
      </c>
      <c r="G205" t="inlineStr">
        <is>
          <t>OCKELBO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46294</v>
      </c>
      <c r="F206" t="inlineStr">
        <is>
          <t>GÄVLEBORGS LÄN</t>
        </is>
      </c>
      <c r="G206" t="inlineStr">
        <is>
          <t>OCKELBO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48996-2025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46294</v>
      </c>
      <c r="F207" t="inlineStr">
        <is>
          <t>GÄVLEBORGS LÄN</t>
        </is>
      </c>
      <c r="G207" t="inlineStr">
        <is>
          <t>OCKELBO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46294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46294</v>
      </c>
      <c r="F209" t="inlineStr">
        <is>
          <t>GÄVLEBORGS LÄN</t>
        </is>
      </c>
      <c r="G209" t="inlineStr">
        <is>
          <t>OCKELBO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46294</v>
      </c>
      <c r="F210" t="inlineStr">
        <is>
          <t>GÄVLEBORGS LÄN</t>
        </is>
      </c>
      <c r="G210" t="inlineStr">
        <is>
          <t>OCKELBO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46294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64006-2025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46294</v>
      </c>
      <c r="F212" t="inlineStr">
        <is>
          <t>GÄVLEBORGS LÄN</t>
        </is>
      </c>
      <c r="G212" t="inlineStr">
        <is>
          <t>OCKELBO</t>
        </is>
      </c>
      <c r="I212" t="n">
        <v>13.6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45109</v>
      </c>
      <c r="E213" s="1" t="n">
        <v>46294</v>
      </c>
      <c r="F213" t="inlineStr">
        <is>
          <t>GÄVLEBORGS LÄN</t>
        </is>
      </c>
      <c r="G213" t="inlineStr">
        <is>
          <t>OCKELBO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46294</v>
      </c>
      <c r="F214" t="inlineStr">
        <is>
          <t>GÄVLEBORGS LÄN</t>
        </is>
      </c>
      <c r="G214" t="inlineStr">
        <is>
          <t>OCKELBO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46294</v>
      </c>
      <c r="F215" t="inlineStr">
        <is>
          <t>GÄVLEBORGS LÄN</t>
        </is>
      </c>
      <c r="G215" t="inlineStr">
        <is>
          <t>OCKELBO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45073</v>
      </c>
      <c r="E216" s="1" t="n">
        <v>46294</v>
      </c>
      <c r="F216" t="inlineStr">
        <is>
          <t>GÄVLEBORGS LÄN</t>
        </is>
      </c>
      <c r="G216" t="inlineStr">
        <is>
          <t>OCKELBO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35017-2025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45851</v>
      </c>
      <c r="E217" s="1" t="n">
        <v>46294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46027</v>
      </c>
      <c r="E218" s="1" t="n">
        <v>46294</v>
      </c>
      <c r="F218" t="inlineStr">
        <is>
          <t>GÄVLEBORGS LÄN</t>
        </is>
      </c>
      <c r="G218" t="inlineStr">
        <is>
          <t>OCKELBO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46027</v>
      </c>
      <c r="E219" s="1" t="n">
        <v>46294</v>
      </c>
      <c r="F219" t="inlineStr">
        <is>
          <t>GÄVLEBORGS LÄN</t>
        </is>
      </c>
      <c r="G219" t="inlineStr">
        <is>
          <t>OCKELBO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46027</v>
      </c>
      <c r="E220" s="1" t="n">
        <v>46294</v>
      </c>
      <c r="F220" t="inlineStr">
        <is>
          <t>GÄVLEBORGS LÄN</t>
        </is>
      </c>
      <c r="G220" t="inlineStr">
        <is>
          <t>OCKELBO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46027</v>
      </c>
      <c r="E221" s="1" t="n">
        <v>46294</v>
      </c>
      <c r="F221" t="inlineStr">
        <is>
          <t>GÄVLEBORGS LÄN</t>
        </is>
      </c>
      <c r="G221" t="inlineStr">
        <is>
          <t>OCKELBO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46294</v>
      </c>
      <c r="F222" t="inlineStr">
        <is>
          <t>GÄVLEBORGS LÄN</t>
        </is>
      </c>
      <c r="G222" t="inlineStr">
        <is>
          <t>OCKELBO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46024</v>
      </c>
      <c r="E223" s="1" t="n">
        <v>46294</v>
      </c>
      <c r="F223" t="inlineStr">
        <is>
          <t>GÄVLEBORGS LÄN</t>
        </is>
      </c>
      <c r="G223" t="inlineStr">
        <is>
          <t>OCKELBO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46294</v>
      </c>
      <c r="F224" t="inlineStr">
        <is>
          <t>GÄVLEBORGS LÄN</t>
        </is>
      </c>
      <c r="G224" t="inlineStr">
        <is>
          <t>OCKELBO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45432</v>
      </c>
      <c r="E225" s="1" t="n">
        <v>46294</v>
      </c>
      <c r="F225" t="inlineStr">
        <is>
          <t>GÄVLEBORGS LÄN</t>
        </is>
      </c>
      <c r="G225" t="inlineStr">
        <is>
          <t>OCKELBO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46294</v>
      </c>
      <c r="F226" t="inlineStr">
        <is>
          <t>GÄVLEBORGS LÄN</t>
        </is>
      </c>
      <c r="G226" t="inlineStr">
        <is>
          <t>OCKELBO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46294</v>
      </c>
      <c r="F227" t="inlineStr">
        <is>
          <t>GÄVLEBORGS LÄN</t>
        </is>
      </c>
      <c r="G227" t="inlineStr">
        <is>
          <t>OCKELBO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46028</v>
      </c>
      <c r="E228" s="1" t="n">
        <v>46294</v>
      </c>
      <c r="F228" t="inlineStr">
        <is>
          <t>GÄVLEBORGS LÄN</t>
        </is>
      </c>
      <c r="G228" t="inlineStr">
        <is>
          <t>OCKELBO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46028</v>
      </c>
      <c r="E229" s="1" t="n">
        <v>46294</v>
      </c>
      <c r="F229" t="inlineStr">
        <is>
          <t>GÄVLEBORGS LÄN</t>
        </is>
      </c>
      <c r="G229" t="inlineStr">
        <is>
          <t>OCKELBO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46294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46294</v>
      </c>
      <c r="F231" t="inlineStr">
        <is>
          <t>GÄVLEBORGS LÄN</t>
        </is>
      </c>
      <c r="G231" t="inlineStr">
        <is>
          <t>OCKELBO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46294</v>
      </c>
      <c r="F232" t="inlineStr">
        <is>
          <t>GÄVLEBORGS LÄN</t>
        </is>
      </c>
      <c r="G232" t="inlineStr">
        <is>
          <t>OCKELBO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46024</v>
      </c>
      <c r="E233" s="1" t="n">
        <v>46294</v>
      </c>
      <c r="F233" t="inlineStr">
        <is>
          <t>GÄVLEBORGS LÄN</t>
        </is>
      </c>
      <c r="G233" t="inlineStr">
        <is>
          <t>OCKELBO</t>
        </is>
      </c>
      <c r="I233" t="n">
        <v>12.9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46294</v>
      </c>
      <c r="F234" t="inlineStr">
        <is>
          <t>GÄVLEBORGS LÄN</t>
        </is>
      </c>
      <c r="G234" t="inlineStr">
        <is>
          <t>OCKELBO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46294</v>
      </c>
      <c r="F235" t="inlineStr">
        <is>
          <t>GÄVLEBORGS LÄN</t>
        </is>
      </c>
      <c r="G235" t="inlineStr">
        <is>
          <t>OCKELBO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52880-2025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46294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46294</v>
      </c>
      <c r="F237" t="inlineStr">
        <is>
          <t>GÄVLEBORGS LÄN</t>
        </is>
      </c>
      <c r="G237" t="inlineStr">
        <is>
          <t>OCKELBO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52635-2025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46294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46294</v>
      </c>
      <c r="F239" t="inlineStr">
        <is>
          <t>GÄVLEBORGS LÄN</t>
        </is>
      </c>
      <c r="G239" t="inlineStr">
        <is>
          <t>OCKELBO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46294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46294</v>
      </c>
      <c r="F241" t="inlineStr">
        <is>
          <t>GÄVLEBORGS LÄN</t>
        </is>
      </c>
      <c r="G241" t="inlineStr">
        <is>
          <t>OCKELBO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46294</v>
      </c>
      <c r="F242" t="inlineStr">
        <is>
          <t>GÄVLEBORGS LÄN</t>
        </is>
      </c>
      <c r="G242" t="inlineStr">
        <is>
          <t>OCKELBO</t>
        </is>
      </c>
      <c r="I242" t="n">
        <v>13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46294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46034</v>
      </c>
      <c r="E244" s="1" t="n">
        <v>46294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46294</v>
      </c>
      <c r="F245" t="inlineStr">
        <is>
          <t>GÄVLEBORGS LÄN</t>
        </is>
      </c>
      <c r="G245" t="inlineStr">
        <is>
          <t>OCKELBO</t>
        </is>
      </c>
      <c r="I245" t="n">
        <v>9.4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46033</v>
      </c>
      <c r="E246" s="1" t="n">
        <v>46294</v>
      </c>
      <c r="F246" t="inlineStr">
        <is>
          <t>GÄVLEBORGS LÄN</t>
        </is>
      </c>
      <c r="G246" t="inlineStr">
        <is>
          <t>OCKELBO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46294</v>
      </c>
      <c r="F247" t="inlineStr">
        <is>
          <t>GÄVLEBORGS LÄN</t>
        </is>
      </c>
      <c r="G247" t="inlineStr">
        <is>
          <t>OCKELBO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46035</v>
      </c>
      <c r="E248" s="1" t="n">
        <v>46294</v>
      </c>
      <c r="F248" t="inlineStr">
        <is>
          <t>GÄVLEBORGS LÄN</t>
        </is>
      </c>
      <c r="G248" t="inlineStr">
        <is>
          <t>OCKELBO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55422-2022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44887</v>
      </c>
      <c r="E249" s="1" t="n">
        <v>46294</v>
      </c>
      <c r="F249" t="inlineStr">
        <is>
          <t>GÄVLEBORGS LÄN</t>
        </is>
      </c>
      <c r="G249" t="inlineStr">
        <is>
          <t>OCKELBO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46294</v>
      </c>
      <c r="F250" t="inlineStr">
        <is>
          <t>GÄVLEBORGS LÄN</t>
        </is>
      </c>
      <c r="G250" t="inlineStr">
        <is>
          <t>OCKELBO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46294</v>
      </c>
      <c r="F251" t="inlineStr">
        <is>
          <t>GÄVLEBORGS LÄN</t>
        </is>
      </c>
      <c r="G251" t="inlineStr">
        <is>
          <t>OCKELBO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54880-2025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46294</v>
      </c>
      <c r="F252" t="inlineStr">
        <is>
          <t>GÄVLEBORGS LÄN</t>
        </is>
      </c>
      <c r="G252" t="inlineStr">
        <is>
          <t>OCKELBO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46294</v>
      </c>
      <c r="F253" t="inlineStr">
        <is>
          <t>GÄVLEBORGS LÄN</t>
        </is>
      </c>
      <c r="G253" t="inlineStr">
        <is>
          <t>OCKELBO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46294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öst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46294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45551</v>
      </c>
      <c r="E256" s="1" t="n">
        <v>46294</v>
      </c>
      <c r="F256" t="inlineStr">
        <is>
          <t>GÄVLEBORGS LÄN</t>
        </is>
      </c>
      <c r="G256" t="inlineStr">
        <is>
          <t>OCKELBO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46294</v>
      </c>
      <c r="F257" t="inlineStr">
        <is>
          <t>GÄVLEBORGS LÄN</t>
        </is>
      </c>
      <c r="G257" t="inlineStr">
        <is>
          <t>OCKELBO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47100-2024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46294</v>
      </c>
      <c r="F258" t="inlineStr">
        <is>
          <t>GÄVLEBORGS LÄN</t>
        </is>
      </c>
      <c r="G258" t="inlineStr">
        <is>
          <t>OCKELBO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46294</v>
      </c>
      <c r="F259" t="inlineStr">
        <is>
          <t>GÄVLEBORGS LÄN</t>
        </is>
      </c>
      <c r="G259" t="inlineStr">
        <is>
          <t>OCKELBO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46294</v>
      </c>
      <c r="F260" t="inlineStr">
        <is>
          <t>GÄVLEBORGS LÄN</t>
        </is>
      </c>
      <c r="G260" t="inlineStr">
        <is>
          <t>OCKELBO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46294</v>
      </c>
      <c r="F261" t="inlineStr">
        <is>
          <t>GÄVLEBORGS LÄN</t>
        </is>
      </c>
      <c r="G261" t="inlineStr">
        <is>
          <t>OCKELBO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46294</v>
      </c>
      <c r="F262" t="inlineStr">
        <is>
          <t>GÄVLEBORGS LÄN</t>
        </is>
      </c>
      <c r="G262" t="inlineStr">
        <is>
          <t>OCKELBO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46294</v>
      </c>
      <c r="F263" t="inlineStr">
        <is>
          <t>GÄVLEBORGS LÄN</t>
        </is>
      </c>
      <c r="G263" t="inlineStr">
        <is>
          <t>OCKELBO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46294</v>
      </c>
      <c r="F264" t="inlineStr">
        <is>
          <t>GÄVLEBORGS LÄN</t>
        </is>
      </c>
      <c r="G264" t="inlineStr">
        <is>
          <t>OCKELBO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46294</v>
      </c>
      <c r="F265" t="inlineStr">
        <is>
          <t>GÄVLEBORGS LÄN</t>
        </is>
      </c>
      <c r="G265" t="inlineStr">
        <is>
          <t>OCKELBO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46294</v>
      </c>
      <c r="F266" t="inlineStr">
        <is>
          <t>GÄVLEBORGS LÄN</t>
        </is>
      </c>
      <c r="G266" t="inlineStr">
        <is>
          <t>OCKELBO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46294</v>
      </c>
      <c r="F267" t="inlineStr">
        <is>
          <t>GÄVLEBORGS LÄN</t>
        </is>
      </c>
      <c r="G267" t="inlineStr">
        <is>
          <t>OCKELBO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45973</v>
      </c>
      <c r="E268" s="1" t="n">
        <v>46294</v>
      </c>
      <c r="F268" t="inlineStr">
        <is>
          <t>GÄVLEBORGS LÄN</t>
        </is>
      </c>
      <c r="G268" t="inlineStr">
        <is>
          <t>OCKELBO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46294</v>
      </c>
      <c r="F269" t="inlineStr">
        <is>
          <t>GÄVLEBORGS LÄN</t>
        </is>
      </c>
      <c r="G269" t="inlineStr">
        <is>
          <t>OCKELBO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46294</v>
      </c>
      <c r="F270" t="inlineStr">
        <is>
          <t>GÄVLEBORGS LÄN</t>
        </is>
      </c>
      <c r="G270" t="inlineStr">
        <is>
          <t>OCKELBO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46294</v>
      </c>
      <c r="F271" t="inlineStr">
        <is>
          <t>GÄVLEBORGS LÄN</t>
        </is>
      </c>
      <c r="G271" t="inlineStr">
        <is>
          <t>OCKELBO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46294</v>
      </c>
      <c r="F272" t="inlineStr">
        <is>
          <t>GÄVLEBORGS LÄN</t>
        </is>
      </c>
      <c r="G272" t="inlineStr">
        <is>
          <t>OCKELBO</t>
        </is>
      </c>
      <c r="I272" t="n">
        <v>16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55911-2025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45973</v>
      </c>
      <c r="E273" s="1" t="n">
        <v>46294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46294</v>
      </c>
      <c r="F274" t="inlineStr">
        <is>
          <t>GÄVLEBORGS LÄN</t>
        </is>
      </c>
      <c r="G274" t="inlineStr">
        <is>
          <t>OCKELBO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46294</v>
      </c>
      <c r="F275" t="inlineStr">
        <is>
          <t>GÄVLEBORGS LÄN</t>
        </is>
      </c>
      <c r="G275" t="inlineStr">
        <is>
          <t>OCKELBO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46294</v>
      </c>
      <c r="F276" t="inlineStr">
        <is>
          <t>GÄVLEBORGS LÄN</t>
        </is>
      </c>
      <c r="G276" t="inlineStr">
        <is>
          <t>OCKELBO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46294</v>
      </c>
      <c r="F277" t="inlineStr">
        <is>
          <t>GÄVLEBORGS LÄN</t>
        </is>
      </c>
      <c r="G277" t="inlineStr">
        <is>
          <t>OCKELBO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46294</v>
      </c>
      <c r="F278" t="inlineStr">
        <is>
          <t>GÄVLEBORGS LÄN</t>
        </is>
      </c>
      <c r="G278" t="inlineStr">
        <is>
          <t>OCKELBO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46294</v>
      </c>
      <c r="F279" t="inlineStr">
        <is>
          <t>GÄVLEBORGS LÄN</t>
        </is>
      </c>
      <c r="G279" t="inlineStr">
        <is>
          <t>OCKELBO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46294</v>
      </c>
      <c r="F280" t="inlineStr">
        <is>
          <t>GÄVLEBORGS LÄN</t>
        </is>
      </c>
      <c r="G280" t="inlineStr">
        <is>
          <t>OCKELBO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46294</v>
      </c>
      <c r="F281" t="inlineStr">
        <is>
          <t>GÄVLEBORGS LÄN</t>
        </is>
      </c>
      <c r="G281" t="inlineStr">
        <is>
          <t>OCKELBO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46294</v>
      </c>
      <c r="F282" t="inlineStr">
        <is>
          <t>GÄVLEBORGS LÄN</t>
        </is>
      </c>
      <c r="G282" t="inlineStr">
        <is>
          <t>OCKELBO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46294</v>
      </c>
      <c r="F283" t="inlineStr">
        <is>
          <t>GÄVLEBORGS LÄN</t>
        </is>
      </c>
      <c r="G283" t="inlineStr">
        <is>
          <t>OCKELBO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46294</v>
      </c>
      <c r="F284" t="inlineStr">
        <is>
          <t>GÄVLEBORGS LÄN</t>
        </is>
      </c>
      <c r="G284" t="inlineStr">
        <is>
          <t>OCKELBO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45048</v>
      </c>
      <c r="E285" s="1" t="n">
        <v>46294</v>
      </c>
      <c r="F285" t="inlineStr">
        <is>
          <t>GÄVLEBORGS LÄN</t>
        </is>
      </c>
      <c r="G285" t="inlineStr">
        <is>
          <t>OCKELBO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46294</v>
      </c>
      <c r="F286" t="inlineStr">
        <is>
          <t>GÄVLEBORGS LÄN</t>
        </is>
      </c>
      <c r="G286" t="inlineStr">
        <is>
          <t>OCKELBO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46294</v>
      </c>
      <c r="F287" t="inlineStr">
        <is>
          <t>GÄVLEBORGS LÄN</t>
        </is>
      </c>
      <c r="G287" t="inlineStr">
        <is>
          <t>OCKELBO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46294</v>
      </c>
      <c r="F288" t="inlineStr">
        <is>
          <t>GÄVLEBORGS LÄN</t>
        </is>
      </c>
      <c r="G288" t="inlineStr">
        <is>
          <t>OCKELBO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45488</v>
      </c>
      <c r="E289" s="1" t="n">
        <v>46294</v>
      </c>
      <c r="F289" t="inlineStr">
        <is>
          <t>GÄVLEBORGS LÄN</t>
        </is>
      </c>
      <c r="G289" t="inlineStr">
        <is>
          <t>OCKELBO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45581</v>
      </c>
      <c r="E290" s="1" t="n">
        <v>46294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45041</v>
      </c>
      <c r="E291" s="1" t="n">
        <v>46294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46294</v>
      </c>
      <c r="F292" t="inlineStr">
        <is>
          <t>GÄVLEBORGS LÄN</t>
        </is>
      </c>
      <c r="G292" t="inlineStr">
        <is>
          <t>OCKELBO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46294</v>
      </c>
      <c r="F293" t="inlineStr">
        <is>
          <t>GÄVLEBORGS LÄN</t>
        </is>
      </c>
      <c r="G293" t="inlineStr">
        <is>
          <t>OCKELBO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46294</v>
      </c>
      <c r="F294" t="inlineStr">
        <is>
          <t>GÄVLEBORGS LÄN</t>
        </is>
      </c>
      <c r="G294" t="inlineStr">
        <is>
          <t>OCKELBO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46294</v>
      </c>
      <c r="F295" t="inlineStr">
        <is>
          <t>GÄVLEBORGS LÄN</t>
        </is>
      </c>
      <c r="G295" t="inlineStr">
        <is>
          <t>OCKELBO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46294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46294</v>
      </c>
      <c r="F297" t="inlineStr">
        <is>
          <t>GÄVLEBORGS LÄN</t>
        </is>
      </c>
      <c r="G297" t="inlineStr">
        <is>
          <t>OCKELBO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32011-2024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45510</v>
      </c>
      <c r="E298" s="1" t="n">
        <v>46294</v>
      </c>
      <c r="F298" t="inlineStr">
        <is>
          <t>GÄVLEBORGS LÄN</t>
        </is>
      </c>
      <c r="G298" t="inlineStr">
        <is>
          <t>OCKELBO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46294</v>
      </c>
      <c r="F299" t="inlineStr">
        <is>
          <t>GÄVLEBORGS LÄN</t>
        </is>
      </c>
      <c r="G299" t="inlineStr">
        <is>
          <t>OCKELBO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46294</v>
      </c>
      <c r="F300" t="inlineStr">
        <is>
          <t>GÄVLEBORGS LÄN</t>
        </is>
      </c>
      <c r="G300" t="inlineStr">
        <is>
          <t>OCKELBO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58295-2025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46294</v>
      </c>
      <c r="F301" t="inlineStr">
        <is>
          <t>GÄVLEBORGS LÄN</t>
        </is>
      </c>
      <c r="G301" t="inlineStr">
        <is>
          <t>OCKELBO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45111</v>
      </c>
      <c r="E302" s="1" t="n">
        <v>46294</v>
      </c>
      <c r="F302" t="inlineStr">
        <is>
          <t>GÄVLEBORGS LÄN</t>
        </is>
      </c>
      <c r="G302" t="inlineStr">
        <is>
          <t>OCKELBO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46294</v>
      </c>
      <c r="F303" t="inlineStr">
        <is>
          <t>GÄVLEBORGS LÄN</t>
        </is>
      </c>
      <c r="G303" t="inlineStr">
        <is>
          <t>OCKELBO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46294</v>
      </c>
      <c r="F304" t="inlineStr">
        <is>
          <t>GÄVLEBORGS LÄN</t>
        </is>
      </c>
      <c r="G304" t="inlineStr">
        <is>
          <t>OCKELBO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46036</v>
      </c>
      <c r="E305" s="1" t="n">
        <v>46294</v>
      </c>
      <c r="F305" t="inlineStr">
        <is>
          <t>GÄVLEBORGS LÄN</t>
        </is>
      </c>
      <c r="G305" t="inlineStr">
        <is>
          <t>OCKELBO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46294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46294</v>
      </c>
      <c r="F307" t="inlineStr">
        <is>
          <t>GÄVLEBORGS LÄN</t>
        </is>
      </c>
      <c r="G307" t="inlineStr">
        <is>
          <t>OCKELBO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46294</v>
      </c>
      <c r="F308" t="inlineStr">
        <is>
          <t>GÄVLEBORGS LÄN</t>
        </is>
      </c>
      <c r="G308" t="inlineStr">
        <is>
          <t>OCKELBO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46294</v>
      </c>
      <c r="F309" t="inlineStr">
        <is>
          <t>GÄVLEBORGS LÄN</t>
        </is>
      </c>
      <c r="G309" t="inlineStr">
        <is>
          <t>OCKELBO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46294</v>
      </c>
      <c r="F310" t="inlineStr">
        <is>
          <t>GÄVLEBORGS LÄN</t>
        </is>
      </c>
      <c r="G310" t="inlineStr">
        <is>
          <t>OCKELBO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46294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46294</v>
      </c>
      <c r="F312" t="inlineStr">
        <is>
          <t>GÄVLEBORGS LÄN</t>
        </is>
      </c>
      <c r="G312" t="inlineStr">
        <is>
          <t>OCKELBO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46294</v>
      </c>
      <c r="F313" t="inlineStr">
        <is>
          <t>GÄVLEBORGS LÄN</t>
        </is>
      </c>
      <c r="G313" t="inlineStr">
        <is>
          <t>OCKELBO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51989-2023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46294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46294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46294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46294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60527-2025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45995</v>
      </c>
      <c r="E318" s="1" t="n">
        <v>46294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46294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46294</v>
      </c>
      <c r="F320" t="inlineStr">
        <is>
          <t>GÄVLEBORGS LÄN</t>
        </is>
      </c>
      <c r="G320" t="inlineStr">
        <is>
          <t>OCKELBO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60183-2025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45994</v>
      </c>
      <c r="E321" s="1" t="n">
        <v>46294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46294</v>
      </c>
      <c r="F322" t="inlineStr">
        <is>
          <t>GÄVLEBORGS LÄN</t>
        </is>
      </c>
      <c r="G322" t="inlineStr">
        <is>
          <t>OCKELBO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46053</v>
      </c>
      <c r="E323" s="1" t="n">
        <v>46294</v>
      </c>
      <c r="F323" t="inlineStr">
        <is>
          <t>GÄVLEBORGS LÄN</t>
        </is>
      </c>
      <c r="G323" t="inlineStr">
        <is>
          <t>OCKELBO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46294</v>
      </c>
      <c r="F324" t="inlineStr">
        <is>
          <t>GÄVLEBORGS LÄN</t>
        </is>
      </c>
      <c r="G324" t="inlineStr">
        <is>
          <t>OCKELBO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46294</v>
      </c>
      <c r="F325" t="inlineStr">
        <is>
          <t>GÄVLEBORGS LÄN</t>
        </is>
      </c>
      <c r="G325" t="inlineStr">
        <is>
          <t>OCKELBO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46294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46294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46294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46294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46294</v>
      </c>
      <c r="F330" t="inlineStr">
        <is>
          <t>GÄVLEBORGS LÄN</t>
        </is>
      </c>
      <c r="G330" t="inlineStr">
        <is>
          <t>OCKELBO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6862-2026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46294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43538-2023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46294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46294</v>
      </c>
      <c r="F333" t="inlineStr">
        <is>
          <t>GÄVLEBORGS LÄN</t>
        </is>
      </c>
      <c r="G333" t="inlineStr">
        <is>
          <t>OCKELBO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46294</v>
      </c>
      <c r="F334" t="inlineStr">
        <is>
          <t>GÄVLEBORGS LÄN</t>
        </is>
      </c>
      <c r="G334" t="inlineStr">
        <is>
          <t>OCKELBO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46056</v>
      </c>
      <c r="E335" s="1" t="n">
        <v>46294</v>
      </c>
      <c r="F335" t="inlineStr">
        <is>
          <t>GÄVLEBORGS LÄN</t>
        </is>
      </c>
      <c r="G335" t="inlineStr">
        <is>
          <t>OCKELBO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46294</v>
      </c>
      <c r="F336" t="inlineStr">
        <is>
          <t>GÄVLEBORGS LÄN</t>
        </is>
      </c>
      <c r="G336" t="inlineStr">
        <is>
          <t>OCKELBO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46294</v>
      </c>
      <c r="F337" t="inlineStr">
        <is>
          <t>GÄVLEBORGS LÄN</t>
        </is>
      </c>
      <c r="G337" t="inlineStr">
        <is>
          <t>OCKELBO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6598-2026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46294</v>
      </c>
      <c r="F338" t="inlineStr">
        <is>
          <t>GÄVLEBORGS LÄN</t>
        </is>
      </c>
      <c r="G338" t="inlineStr">
        <is>
          <t>OCKELBO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46294</v>
      </c>
      <c r="F339" t="inlineStr">
        <is>
          <t>GÄVLEBORGS LÄN</t>
        </is>
      </c>
      <c r="G339" t="inlineStr">
        <is>
          <t>OCKELBO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45490</v>
      </c>
      <c r="E340" s="1" t="n">
        <v>46294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34440-2023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45139</v>
      </c>
      <c r="E341" s="1" t="n">
        <v>46294</v>
      </c>
      <c r="F341" t="inlineStr">
        <is>
          <t>GÄVLEBORGS LÄN</t>
        </is>
      </c>
      <c r="G341" t="inlineStr">
        <is>
          <t>OCKELBO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46294</v>
      </c>
      <c r="F342" t="inlineStr">
        <is>
          <t>GÄVLEBORGS LÄN</t>
        </is>
      </c>
      <c r="G342" t="inlineStr">
        <is>
          <t>OCKELBO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46294</v>
      </c>
      <c r="F343" t="inlineStr">
        <is>
          <t>GÄVLEBORGS LÄN</t>
        </is>
      </c>
      <c r="G343" t="inlineStr">
        <is>
          <t>OCKELBO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46294</v>
      </c>
      <c r="F344" t="inlineStr">
        <is>
          <t>GÄVLEBORGS LÄN</t>
        </is>
      </c>
      <c r="G344" t="inlineStr">
        <is>
          <t>OCKELBO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46294</v>
      </c>
      <c r="F345" t="inlineStr">
        <is>
          <t>GÄVLEBORGS LÄN</t>
        </is>
      </c>
      <c r="G345" t="inlineStr">
        <is>
          <t>OCKELBO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46294</v>
      </c>
      <c r="F346" t="inlineStr">
        <is>
          <t>GÄVLEBORGS LÄN</t>
        </is>
      </c>
      <c r="G346" t="inlineStr">
        <is>
          <t>OCKELBO</t>
        </is>
      </c>
      <c r="H346" t="inlineStr">
        <is>
          <t>Kyrkan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46294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46064</v>
      </c>
      <c r="E348" s="1" t="n">
        <v>46294</v>
      </c>
      <c r="F348" t="inlineStr">
        <is>
          <t>GÄVLEBORGS LÄN</t>
        </is>
      </c>
      <c r="G348" t="inlineStr">
        <is>
          <t>OCKELBO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46294</v>
      </c>
      <c r="F349" t="inlineStr">
        <is>
          <t>GÄVLEBORGS LÄN</t>
        </is>
      </c>
      <c r="G349" t="inlineStr">
        <is>
          <t>OCKELBO</t>
        </is>
      </c>
      <c r="I349" t="n">
        <v>17.4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46065</v>
      </c>
      <c r="E350" s="1" t="n">
        <v>46294</v>
      </c>
      <c r="F350" t="inlineStr">
        <is>
          <t>GÄVLEBORGS LÄN</t>
        </is>
      </c>
      <c r="G350" t="inlineStr">
        <is>
          <t>OCKELBO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46294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45181</v>
      </c>
      <c r="E352" s="1" t="n">
        <v>46294</v>
      </c>
      <c r="F352" t="inlineStr">
        <is>
          <t>GÄVLEBORGS LÄN</t>
        </is>
      </c>
      <c r="G352" t="inlineStr">
        <is>
          <t>OCKELBO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46294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46294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20660-2022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44700</v>
      </c>
      <c r="E355" s="1" t="n">
        <v>46294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46294</v>
      </c>
      <c r="F356" t="inlineStr">
        <is>
          <t>GÄVLEBORGS LÄN</t>
        </is>
      </c>
      <c r="G356" t="inlineStr">
        <is>
          <t>OCKELBO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46294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46294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46294</v>
      </c>
      <c r="F359" t="inlineStr">
        <is>
          <t>GÄVLEBORGS LÄN</t>
        </is>
      </c>
      <c r="G359" t="inlineStr">
        <is>
          <t>OCKELBO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46294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46294</v>
      </c>
      <c r="F361" t="inlineStr">
        <is>
          <t>GÄVLEBORGS LÄN</t>
        </is>
      </c>
      <c r="G361" t="inlineStr">
        <is>
          <t>OCKELBO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46294</v>
      </c>
      <c r="F362" t="inlineStr">
        <is>
          <t>GÄVLEBORGS LÄN</t>
        </is>
      </c>
      <c r="G362" t="inlineStr">
        <is>
          <t>OCKELBO</t>
        </is>
      </c>
      <c r="I362" t="n">
        <v>10.4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46071</v>
      </c>
      <c r="E363" s="1" t="n">
        <v>46294</v>
      </c>
      <c r="F363" t="inlineStr">
        <is>
          <t>GÄVLEBORGS LÄN</t>
        </is>
      </c>
      <c r="G363" t="inlineStr">
        <is>
          <t>OCKELBO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46294</v>
      </c>
      <c r="F364" t="inlineStr">
        <is>
          <t>GÄVLEBORGS LÄN</t>
        </is>
      </c>
      <c r="G364" t="inlineStr">
        <is>
          <t>OCKELBO</t>
        </is>
      </c>
      <c r="I364" t="n">
        <v>8.1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46294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46031</v>
      </c>
      <c r="E366" s="1" t="n">
        <v>46294</v>
      </c>
      <c r="F366" t="inlineStr">
        <is>
          <t>GÄVLEBORGS LÄN</t>
        </is>
      </c>
      <c r="G366" t="inlineStr">
        <is>
          <t>OCKELBO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9675-2026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46294</v>
      </c>
      <c r="F367" t="inlineStr">
        <is>
          <t>GÄVLEBORGS LÄN</t>
        </is>
      </c>
      <c r="G367" t="inlineStr">
        <is>
          <t>OCKELBO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46294</v>
      </c>
      <c r="F368" t="inlineStr">
        <is>
          <t>GÄVLEBORGS LÄN</t>
        </is>
      </c>
      <c r="G368" t="inlineStr">
        <is>
          <t>OCKELBO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46294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46294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46294</v>
      </c>
      <c r="F371" t="inlineStr">
        <is>
          <t>GÄVLEBORGS LÄN</t>
        </is>
      </c>
      <c r="G371" t="inlineStr">
        <is>
          <t>OCKELBO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46077</v>
      </c>
      <c r="E372" s="1" t="n">
        <v>46294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45204</v>
      </c>
      <c r="E373" s="1" t="n">
        <v>46294</v>
      </c>
      <c r="F373" t="inlineStr">
        <is>
          <t>GÄVLEBORGS LÄN</t>
        </is>
      </c>
      <c r="G373" t="inlineStr">
        <is>
          <t>OCKELBO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46294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46294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46077</v>
      </c>
      <c r="E376" s="1" t="n">
        <v>46294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46077</v>
      </c>
      <c r="E377" s="1" t="n">
        <v>46294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öst AB</t>
        </is>
      </c>
      <c r="I377" t="n">
        <v>45.7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46294</v>
      </c>
      <c r="F378" t="inlineStr">
        <is>
          <t>GÄVLEBORGS LÄN</t>
        </is>
      </c>
      <c r="G378" t="inlineStr">
        <is>
          <t>OCKELBO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46294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12.1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46294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öst AB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46294</v>
      </c>
      <c r="F381" t="inlineStr">
        <is>
          <t>GÄVLEBORGS LÄN</t>
        </is>
      </c>
      <c r="G381" t="inlineStr">
        <is>
          <t>OCKELBO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5571-2024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45334</v>
      </c>
      <c r="E382" s="1" t="n">
        <v>46294</v>
      </c>
      <c r="F382" t="inlineStr">
        <is>
          <t>GÄVLEBORGS LÄN</t>
        </is>
      </c>
      <c r="G382" t="inlineStr">
        <is>
          <t>OCKELBO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46294</v>
      </c>
      <c r="F383" t="inlineStr">
        <is>
          <t>GÄVLEBORGS LÄN</t>
        </is>
      </c>
      <c r="G383" t="inlineStr">
        <is>
          <t>OCKELBO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46294</v>
      </c>
      <c r="F384" t="inlineStr">
        <is>
          <t>GÄVLEBORGS LÄN</t>
        </is>
      </c>
      <c r="G384" t="inlineStr">
        <is>
          <t>OCKELBO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46080</v>
      </c>
      <c r="E385" s="1" t="n">
        <v>46294</v>
      </c>
      <c r="F385" t="inlineStr">
        <is>
          <t>GÄVLEBORGS LÄN</t>
        </is>
      </c>
      <c r="G385" t="inlineStr">
        <is>
          <t>OCKELBO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46294</v>
      </c>
      <c r="F386" t="inlineStr">
        <is>
          <t>GÄVLEBORGS LÄN</t>
        </is>
      </c>
      <c r="G386" t="inlineStr">
        <is>
          <t>OCKELBO</t>
        </is>
      </c>
      <c r="H386" t="inlineStr">
        <is>
          <t>Kyrkan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46080</v>
      </c>
      <c r="E387" s="1" t="n">
        <v>46294</v>
      </c>
      <c r="F387" t="inlineStr">
        <is>
          <t>GÄVLEBORGS LÄN</t>
        </is>
      </c>
      <c r="G387" t="inlineStr">
        <is>
          <t>OCKELBO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46294</v>
      </c>
      <c r="F388" t="inlineStr">
        <is>
          <t>GÄVLEBORGS LÄN</t>
        </is>
      </c>
      <c r="G388" t="inlineStr">
        <is>
          <t>OCKELBO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28586-2024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45478</v>
      </c>
      <c r="E389" s="1" t="n">
        <v>46294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45441</v>
      </c>
      <c r="E390" s="1" t="n">
        <v>46294</v>
      </c>
      <c r="F390" t="inlineStr">
        <is>
          <t>GÄVLEBORGS LÄN</t>
        </is>
      </c>
      <c r="G390" t="inlineStr">
        <is>
          <t>OCKELBO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46294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18326-2026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46126</v>
      </c>
      <c r="E392" s="1" t="n">
        <v>46294</v>
      </c>
      <c r="F392" t="inlineStr">
        <is>
          <t>GÄVLEBORGS LÄN</t>
        </is>
      </c>
      <c r="G392" t="inlineStr">
        <is>
          <t>OCKELBO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46294</v>
      </c>
      <c r="F393" t="inlineStr">
        <is>
          <t>GÄVLEBORGS LÄN</t>
        </is>
      </c>
      <c r="G393" t="inlineStr">
        <is>
          <t>OCKELBO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46294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46294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öst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45450</v>
      </c>
      <c r="E396" s="1" t="n">
        <v>46294</v>
      </c>
      <c r="F396" t="inlineStr">
        <is>
          <t>GÄVLEBORGS LÄN</t>
        </is>
      </c>
      <c r="G396" t="inlineStr">
        <is>
          <t>OCKELBO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11810-2026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46294</v>
      </c>
      <c r="F397" t="inlineStr">
        <is>
          <t>GÄVLEBORGS LÄN</t>
        </is>
      </c>
      <c r="G397" t="inlineStr">
        <is>
          <t>OCKELBO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45366</v>
      </c>
      <c r="E398" s="1" t="n">
        <v>46294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46294</v>
      </c>
      <c r="F399" t="inlineStr">
        <is>
          <t>GÄVLEBORGS LÄN</t>
        </is>
      </c>
      <c r="G399" t="inlineStr">
        <is>
          <t>OCKELBO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46089</v>
      </c>
      <c r="E400" s="1" t="n">
        <v>46294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29.9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45488</v>
      </c>
      <c r="E401" s="1" t="n">
        <v>46294</v>
      </c>
      <c r="F401" t="inlineStr">
        <is>
          <t>GÄVLEBORGS LÄN</t>
        </is>
      </c>
      <c r="G401" t="inlineStr">
        <is>
          <t>OCKELBO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44712</v>
      </c>
      <c r="E402" s="1" t="n">
        <v>46294</v>
      </c>
      <c r="F402" t="inlineStr">
        <is>
          <t>GÄVLEBORGS LÄN</t>
        </is>
      </c>
      <c r="G402" t="inlineStr">
        <is>
          <t>OCKELBO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46294</v>
      </c>
      <c r="F403" t="inlineStr">
        <is>
          <t>GÄVLEBORGS LÄN</t>
        </is>
      </c>
      <c r="G403" t="inlineStr">
        <is>
          <t>OCKELBO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46294</v>
      </c>
      <c r="F404" t="inlineStr">
        <is>
          <t>GÄVLEBORGS LÄN</t>
        </is>
      </c>
      <c r="G404" t="inlineStr">
        <is>
          <t>OCKELBO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12716-2026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46091</v>
      </c>
      <c r="E405" s="1" t="n">
        <v>46294</v>
      </c>
      <c r="F405" t="inlineStr">
        <is>
          <t>GÄVLEBORGS LÄN</t>
        </is>
      </c>
      <c r="G405" t="inlineStr">
        <is>
          <t>OCKELBO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55112-2023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45237</v>
      </c>
      <c r="E406" s="1" t="n">
        <v>46294</v>
      </c>
      <c r="F406" t="inlineStr">
        <is>
          <t>GÄVLEBORGS LÄN</t>
        </is>
      </c>
      <c r="G406" t="inlineStr">
        <is>
          <t>OCKELBO</t>
        </is>
      </c>
      <c r="I406" t="n">
        <v>14.6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46294</v>
      </c>
      <c r="F407" t="inlineStr">
        <is>
          <t>GÄVLEBORGS LÄN</t>
        </is>
      </c>
      <c r="G407" t="inlineStr">
        <is>
          <t>OCKELBO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46294</v>
      </c>
      <c r="F408" t="inlineStr">
        <is>
          <t>GÄVLEBORGS LÄN</t>
        </is>
      </c>
      <c r="G408" t="inlineStr">
        <is>
          <t>OCKELBO</t>
        </is>
      </c>
      <c r="H408" t="inlineStr">
        <is>
          <t>Naturvårdsverket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46294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46294</v>
      </c>
      <c r="F410" t="inlineStr">
        <is>
          <t>GÄVLEBORGS LÄN</t>
        </is>
      </c>
      <c r="G410" t="inlineStr">
        <is>
          <t>OCKELBO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13321-2026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46294</v>
      </c>
      <c r="F411" t="inlineStr">
        <is>
          <t>GÄVLEBORGS LÄN</t>
        </is>
      </c>
      <c r="G411" t="inlineStr">
        <is>
          <t>OCKELBO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45747</v>
      </c>
      <c r="E412" s="1" t="n">
        <v>46294</v>
      </c>
      <c r="F412" t="inlineStr">
        <is>
          <t>GÄVLEBORGS LÄN</t>
        </is>
      </c>
      <c r="G412" t="inlineStr">
        <is>
          <t>OCKELBO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46294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13882-2026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46294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46294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36.6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13972-2026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46294</v>
      </c>
      <c r="F416" t="inlineStr">
        <is>
          <t>GÄVLEBORGS LÄN</t>
        </is>
      </c>
      <c r="G416" t="inlineStr">
        <is>
          <t>OCKELBO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46294</v>
      </c>
      <c r="F417" t="inlineStr">
        <is>
          <t>GÄVLEBORGS LÄN</t>
        </is>
      </c>
      <c r="G417" t="inlineStr">
        <is>
          <t>OCKELBO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46294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46097</v>
      </c>
      <c r="E419" s="1" t="n">
        <v>46294</v>
      </c>
      <c r="F419" t="inlineStr">
        <is>
          <t>GÄVLEBORGS LÄN</t>
        </is>
      </c>
      <c r="G419" t="inlineStr">
        <is>
          <t>OCKELBO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45488</v>
      </c>
      <c r="E420" s="1" t="n">
        <v>46294</v>
      </c>
      <c r="F420" t="inlineStr">
        <is>
          <t>GÄVLEBORGS LÄN</t>
        </is>
      </c>
      <c r="G420" t="inlineStr">
        <is>
          <t>OCKELBO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13856-2026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46294</v>
      </c>
      <c r="F421" t="inlineStr">
        <is>
          <t>GÄVLEBORGS LÄN</t>
        </is>
      </c>
      <c r="G421" t="inlineStr">
        <is>
          <t>OCKELBO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46294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46294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46294</v>
      </c>
      <c r="F424" t="inlineStr">
        <is>
          <t>GÄVLEBORGS LÄN</t>
        </is>
      </c>
      <c r="G424" t="inlineStr">
        <is>
          <t>OCKELBO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46294</v>
      </c>
      <c r="F425" t="inlineStr">
        <is>
          <t>GÄVLEBORGS LÄN</t>
        </is>
      </c>
      <c r="G425" t="inlineStr">
        <is>
          <t>OCKELBO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46294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46294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46294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46294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14684-2026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46101</v>
      </c>
      <c r="E430" s="1" t="n">
        <v>46294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46294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34.1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46294</v>
      </c>
      <c r="F432" t="inlineStr">
        <is>
          <t>GÄVLEBORGS LÄN</t>
        </is>
      </c>
      <c r="G432" t="inlineStr">
        <is>
          <t>OCKELBO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46294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46294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46294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46294</v>
      </c>
      <c r="F436" t="inlineStr">
        <is>
          <t>GÄVLEBORGS LÄN</t>
        </is>
      </c>
      <c r="G436" t="inlineStr">
        <is>
          <t>OCKELBO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46294</v>
      </c>
      <c r="F437" t="inlineStr">
        <is>
          <t>GÄVLEBORGS LÄN</t>
        </is>
      </c>
      <c r="G437" t="inlineStr">
        <is>
          <t>OCKELBO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46099</v>
      </c>
      <c r="E438" s="1" t="n">
        <v>46294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46294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46294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öst AB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46294</v>
      </c>
      <c r="F441" t="inlineStr">
        <is>
          <t>GÄVLEBORGS LÄN</t>
        </is>
      </c>
      <c r="G441" t="inlineStr">
        <is>
          <t>OCKELBO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46294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46294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45342</v>
      </c>
      <c r="E444" s="1" t="n">
        <v>46294</v>
      </c>
      <c r="F444" t="inlineStr">
        <is>
          <t>GÄVLEBORGS LÄN</t>
        </is>
      </c>
      <c r="G444" t="inlineStr">
        <is>
          <t>OCKELBO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46294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46294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46294</v>
      </c>
      <c r="F447" t="inlineStr">
        <is>
          <t>GÄVLEBORGS LÄN</t>
        </is>
      </c>
      <c r="G447" t="inlineStr">
        <is>
          <t>OCKELBO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46294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16667-2026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46294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46294</v>
      </c>
      <c r="F450" t="inlineStr">
        <is>
          <t>GÄVLEBORGS LÄN</t>
        </is>
      </c>
      <c r="G450" t="inlineStr">
        <is>
          <t>OCKELBO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16481-2026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46294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46294</v>
      </c>
      <c r="F452" t="inlineStr">
        <is>
          <t>GÄVLEBORGS LÄN</t>
        </is>
      </c>
      <c r="G452" t="inlineStr">
        <is>
          <t>OCKELBO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16981-2026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46114</v>
      </c>
      <c r="E453" s="1" t="n">
        <v>46294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46114</v>
      </c>
      <c r="E454" s="1" t="n">
        <v>46294</v>
      </c>
      <c r="F454" t="inlineStr">
        <is>
          <t>GÄVLEBORGS LÄN</t>
        </is>
      </c>
      <c r="G454" t="inlineStr">
        <is>
          <t>OCKELBO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45754</v>
      </c>
      <c r="E455" s="1" t="n">
        <v>46294</v>
      </c>
      <c r="F455" t="inlineStr">
        <is>
          <t>GÄVLEBORGS LÄN</t>
        </is>
      </c>
      <c r="G455" t="inlineStr">
        <is>
          <t>OCKELBO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45330</v>
      </c>
      <c r="E456" s="1" t="n">
        <v>46294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46114</v>
      </c>
      <c r="E457" s="1" t="n">
        <v>46294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46114</v>
      </c>
      <c r="E458" s="1" t="n">
        <v>46294</v>
      </c>
      <c r="F458" t="inlineStr">
        <is>
          <t>GÄVLEBORGS LÄN</t>
        </is>
      </c>
      <c r="G458" t="inlineStr">
        <is>
          <t>OCKELBO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46294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10268-2026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46076</v>
      </c>
      <c r="E460" s="1" t="n">
        <v>46294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öst AB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46294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öst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46294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öst AB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46294</v>
      </c>
      <c r="F463" t="inlineStr">
        <is>
          <t>GÄVLEBORGS LÄN</t>
        </is>
      </c>
      <c r="G463" t="inlineStr">
        <is>
          <t>OCKELBO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46294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46294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46118</v>
      </c>
      <c r="E466" s="1" t="n">
        <v>46294</v>
      </c>
      <c r="F466" t="inlineStr">
        <is>
          <t>GÄVLEBORGS LÄN</t>
        </is>
      </c>
      <c r="G466" t="inlineStr">
        <is>
          <t>OCKELBO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10309-2026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46076</v>
      </c>
      <c r="E467" s="1" t="n">
        <v>46294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46294</v>
      </c>
      <c r="F468" t="inlineStr">
        <is>
          <t>GÄVLEBORGS LÄN</t>
        </is>
      </c>
      <c r="G468" t="inlineStr">
        <is>
          <t>OCKELBO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45106</v>
      </c>
      <c r="E469" s="1" t="n">
        <v>46294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46294</v>
      </c>
      <c r="F470" t="inlineStr">
        <is>
          <t>GÄVLEBORGS LÄN</t>
        </is>
      </c>
      <c r="G470" t="inlineStr">
        <is>
          <t>OCKELBO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46294</v>
      </c>
      <c r="F471" t="inlineStr">
        <is>
          <t>GÄVLEBORGS LÄN</t>
        </is>
      </c>
      <c r="G471" t="inlineStr">
        <is>
          <t>OCKELBO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46294</v>
      </c>
      <c r="F472" t="inlineStr">
        <is>
          <t>GÄVLEBORGS LÄN</t>
        </is>
      </c>
      <c r="G472" t="inlineStr">
        <is>
          <t>OCKELBO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46294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46294</v>
      </c>
      <c r="F474" t="inlineStr">
        <is>
          <t>GÄVLEBORGS LÄN</t>
        </is>
      </c>
      <c r="G474" t="inlineStr">
        <is>
          <t>OCKELBO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46294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46098</v>
      </c>
      <c r="E476" s="1" t="n">
        <v>46294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46127</v>
      </c>
      <c r="E477" s="1" t="n">
        <v>46294</v>
      </c>
      <c r="F477" t="inlineStr">
        <is>
          <t>GÄVLEBORGS LÄN</t>
        </is>
      </c>
      <c r="G477" t="inlineStr">
        <is>
          <t>OCKELBO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46294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46294</v>
      </c>
      <c r="F479" t="inlineStr">
        <is>
          <t>GÄVLEBORGS LÄN</t>
        </is>
      </c>
      <c r="G479" t="inlineStr">
        <is>
          <t>OCKELBO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46294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18705-2026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46128</v>
      </c>
      <c r="E481" s="1" t="n">
        <v>46294</v>
      </c>
      <c r="F481" t="inlineStr">
        <is>
          <t>GÄVLEBORGS LÄN</t>
        </is>
      </c>
      <c r="G481" t="inlineStr">
        <is>
          <t>OCKELBO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46294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45674</v>
      </c>
      <c r="E483" s="1" t="n">
        <v>46294</v>
      </c>
      <c r="F483" t="inlineStr">
        <is>
          <t>GÄVLEBORGS LÄN</t>
        </is>
      </c>
      <c r="G483" t="inlineStr">
        <is>
          <t>OCKELBO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46128</v>
      </c>
      <c r="E484" s="1" t="n">
        <v>46294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46106</v>
      </c>
      <c r="E485" s="1" t="n">
        <v>46294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öst AB</t>
        </is>
      </c>
      <c r="I485" t="n">
        <v>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46294</v>
      </c>
      <c r="F486" t="inlineStr">
        <is>
          <t>GÄVLEBORGS LÄN</t>
        </is>
      </c>
      <c r="G486" t="inlineStr">
        <is>
          <t>OCKELBO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45258</v>
      </c>
      <c r="E487" s="1" t="n">
        <v>46294</v>
      </c>
      <c r="F487" t="inlineStr">
        <is>
          <t>GÄVLEBORGS LÄN</t>
        </is>
      </c>
      <c r="G487" t="inlineStr">
        <is>
          <t>OCKELBO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46294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46294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46294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46294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46294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46294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46294</v>
      </c>
      <c r="F494" t="inlineStr">
        <is>
          <t>GÄVLEBORGS LÄN</t>
        </is>
      </c>
      <c r="G494" t="inlineStr">
        <is>
          <t>OCKELBO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46294</v>
      </c>
      <c r="F495" t="inlineStr">
        <is>
          <t>GÄVLEBORGS LÄN</t>
        </is>
      </c>
      <c r="G495" t="inlineStr">
        <is>
          <t>OCKELBO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46294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17.7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46294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46294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46294</v>
      </c>
      <c r="F499" t="inlineStr">
        <is>
          <t>GÄVLEBORGS LÄN</t>
        </is>
      </c>
      <c r="G499" t="inlineStr">
        <is>
          <t>OCKELBO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46294</v>
      </c>
      <c r="F500" t="inlineStr">
        <is>
          <t>GÄVLEBORGS LÄN</t>
        </is>
      </c>
      <c r="G500" t="inlineStr">
        <is>
          <t>OCKELBO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46294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46294</v>
      </c>
      <c r="F502" t="inlineStr">
        <is>
          <t>GÄVLEBORGS LÄN</t>
        </is>
      </c>
      <c r="G502" t="inlineStr">
        <is>
          <t>OCKELBO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46294</v>
      </c>
      <c r="F503" t="inlineStr">
        <is>
          <t>GÄVLEBORGS LÄN</t>
        </is>
      </c>
      <c r="G503" t="inlineStr">
        <is>
          <t>OCKELBO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46294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46294</v>
      </c>
      <c r="F505" t="inlineStr">
        <is>
          <t>GÄVLEBORGS LÄN</t>
        </is>
      </c>
      <c r="G505" t="inlineStr">
        <is>
          <t>OCKELBO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65259-2023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45291</v>
      </c>
      <c r="E506" s="1" t="n">
        <v>46294</v>
      </c>
      <c r="F506" t="inlineStr">
        <is>
          <t>GÄVLEBORGS LÄN</t>
        </is>
      </c>
      <c r="G506" t="inlineStr">
        <is>
          <t>OCKELBO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56352-2024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45624</v>
      </c>
      <c r="E507" s="1" t="n">
        <v>46294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46294</v>
      </c>
      <c r="F508" t="inlineStr">
        <is>
          <t>GÄVLEBORGS LÄN</t>
        </is>
      </c>
      <c r="G508" t="inlineStr">
        <is>
          <t>OCKELBO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46064</v>
      </c>
      <c r="E509" s="1" t="n">
        <v>46294</v>
      </c>
      <c r="F509" t="inlineStr">
        <is>
          <t>GÄVLEBORGS LÄN</t>
        </is>
      </c>
      <c r="G509" t="inlineStr">
        <is>
          <t>OCKELBO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46137</v>
      </c>
      <c r="E510" s="1" t="n">
        <v>46294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46294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46294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15542-2026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46294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50742-2025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45946</v>
      </c>
      <c r="E514" s="1" t="n">
        <v>46294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39430-2024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46294</v>
      </c>
      <c r="F515" t="inlineStr">
        <is>
          <t>GÄVLEBORGS LÄN</t>
        </is>
      </c>
      <c r="G515" t="inlineStr">
        <is>
          <t>OCKELBO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15694-2022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44663</v>
      </c>
      <c r="E516" s="1" t="n">
        <v>46294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46316-2025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45925</v>
      </c>
      <c r="E517" s="1" t="n">
        <v>46294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46294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46294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46294</v>
      </c>
      <c r="F520" t="inlineStr">
        <is>
          <t>GÄVLEBORGS LÄN</t>
        </is>
      </c>
      <c r="G520" t="inlineStr">
        <is>
          <t>OCKELBO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36604-2025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45870</v>
      </c>
      <c r="E521" s="1" t="n">
        <v>46294</v>
      </c>
      <c r="F521" t="inlineStr">
        <is>
          <t>GÄVLEBORGS LÄN</t>
        </is>
      </c>
      <c r="G521" t="inlineStr">
        <is>
          <t>OCKELBO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46294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45656</v>
      </c>
      <c r="E523" s="1" t="n">
        <v>46294</v>
      </c>
      <c r="F523" t="inlineStr">
        <is>
          <t>GÄVLEBORGS LÄN</t>
        </is>
      </c>
      <c r="G523" t="inlineStr">
        <is>
          <t>OCKELBO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46137</v>
      </c>
      <c r="E524" s="1" t="n">
        <v>46294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20150-2026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46137</v>
      </c>
      <c r="E525" s="1" t="n">
        <v>46294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46043</v>
      </c>
      <c r="E526" s="1" t="n">
        <v>46294</v>
      </c>
      <c r="F526" t="inlineStr">
        <is>
          <t>GÄVLEBORGS LÄN</t>
        </is>
      </c>
      <c r="G526" t="inlineStr">
        <is>
          <t>OCKELBO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46294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11.7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61732-2024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45649</v>
      </c>
      <c r="E528" s="1" t="n">
        <v>46294</v>
      </c>
      <c r="F528" t="inlineStr">
        <is>
          <t>GÄVLEBORGS LÄN</t>
        </is>
      </c>
      <c r="G528" t="inlineStr">
        <is>
          <t>OCKELBO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45800</v>
      </c>
      <c r="E529" s="1" t="n">
        <v>46294</v>
      </c>
      <c r="F529" t="inlineStr">
        <is>
          <t>GÄVLEBORGS LÄN</t>
        </is>
      </c>
      <c r="G529" t="inlineStr">
        <is>
          <t>OCKELBO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46294</v>
      </c>
      <c r="F530" t="inlineStr">
        <is>
          <t>GÄVLEBORGS LÄN</t>
        </is>
      </c>
      <c r="G530" t="inlineStr">
        <is>
          <t>OCKELBO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46294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44915</v>
      </c>
      <c r="E532" s="1" t="n">
        <v>46294</v>
      </c>
      <c r="F532" t="inlineStr">
        <is>
          <t>GÄVLEBORGS LÄN</t>
        </is>
      </c>
      <c r="G532" t="inlineStr">
        <is>
          <t>OCKELBO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45821</v>
      </c>
      <c r="E533" s="1" t="n">
        <v>46294</v>
      </c>
      <c r="F533" t="inlineStr">
        <is>
          <t>GÄVLEBORGS LÄN</t>
        </is>
      </c>
      <c r="G533" t="inlineStr">
        <is>
          <t>OCKELBO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46294</v>
      </c>
      <c r="F534" t="inlineStr">
        <is>
          <t>GÄVLEBORGS LÄN</t>
        </is>
      </c>
      <c r="G534" t="inlineStr">
        <is>
          <t>OCKELBO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46021</v>
      </c>
      <c r="E535" s="1" t="n">
        <v>46294</v>
      </c>
      <c r="F535" t="inlineStr">
        <is>
          <t>GÄVLEBORGS LÄN</t>
        </is>
      </c>
      <c r="G535" t="inlineStr">
        <is>
          <t>OCKELBO</t>
        </is>
      </c>
      <c r="I535" t="n">
        <v>18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20251-2026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46139</v>
      </c>
      <c r="E536" s="1" t="n">
        <v>46294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15739-2026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46107</v>
      </c>
      <c r="E537" s="1" t="n">
        <v>46294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50197-2024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46294</v>
      </c>
      <c r="F538" t="inlineStr">
        <is>
          <t>GÄVLEBORGS LÄN</t>
        </is>
      </c>
      <c r="G538" t="inlineStr">
        <is>
          <t>OCKELBO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46294</v>
      </c>
      <c r="F539" t="inlineStr">
        <is>
          <t>GÄVLEBORGS LÄN</t>
        </is>
      </c>
      <c r="G539" t="inlineStr">
        <is>
          <t>OCKELBO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19945-2026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46294</v>
      </c>
      <c r="F540" t="inlineStr">
        <is>
          <t>GÄVLEBORGS LÄN</t>
        </is>
      </c>
      <c r="G540" t="inlineStr">
        <is>
          <t>OCKELBO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46294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20155-2026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46138</v>
      </c>
      <c r="E542" s="1" t="n">
        <v>46294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46294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46294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45712</v>
      </c>
      <c r="E545" s="1" t="n">
        <v>46294</v>
      </c>
      <c r="F545" t="inlineStr">
        <is>
          <t>GÄVLEBORGS LÄN</t>
        </is>
      </c>
      <c r="G545" t="inlineStr">
        <is>
          <t>OCKELBO</t>
        </is>
      </c>
      <c r="I545" t="n">
        <v>14.7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46294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33079-2025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45840</v>
      </c>
      <c r="E547" s="1" t="n">
        <v>46294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46294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46294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46140</v>
      </c>
      <c r="E550" s="1" t="n">
        <v>46294</v>
      </c>
      <c r="F550" t="inlineStr">
        <is>
          <t>GÄVLEBORGS LÄN</t>
        </is>
      </c>
      <c r="G550" t="inlineStr">
        <is>
          <t>OCKELBO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15484-2026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46294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46294</v>
      </c>
      <c r="F552" t="inlineStr">
        <is>
          <t>GÄVLEBORGS LÄN</t>
        </is>
      </c>
      <c r="G552" t="inlineStr">
        <is>
          <t>OCKELBO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8348-2026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46294</v>
      </c>
      <c r="F553" t="inlineStr">
        <is>
          <t>GÄVLEBORGS LÄN</t>
        </is>
      </c>
      <c r="G553" t="inlineStr">
        <is>
          <t>OCKELBO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46294</v>
      </c>
      <c r="F554" t="inlineStr">
        <is>
          <t>GÄVLEBORGS LÄN</t>
        </is>
      </c>
      <c r="G554" t="inlineStr">
        <is>
          <t>OCKELBO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46294</v>
      </c>
      <c r="F555" t="inlineStr">
        <is>
          <t>GÄVLEBORGS LÄN</t>
        </is>
      </c>
      <c r="G555" t="inlineStr">
        <is>
          <t>OCKELBO</t>
        </is>
      </c>
      <c r="I555" t="n">
        <v>11.9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23772-2024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45455</v>
      </c>
      <c r="E556" s="1" t="n">
        <v>46294</v>
      </c>
      <c r="F556" t="inlineStr">
        <is>
          <t>GÄVLEBORGS LÄN</t>
        </is>
      </c>
      <c r="G556" t="inlineStr">
        <is>
          <t>OCKELBO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46294</v>
      </c>
      <c r="F557" t="inlineStr">
        <is>
          <t>GÄVLEBORGS LÄN</t>
        </is>
      </c>
      <c r="G557" t="inlineStr">
        <is>
          <t>OCKELBO</t>
        </is>
      </c>
      <c r="I557" t="n">
        <v>36.1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46294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46294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45111</v>
      </c>
      <c r="E560" s="1" t="n">
        <v>46294</v>
      </c>
      <c r="F560" t="inlineStr">
        <is>
          <t>GÄVLEBORGS LÄN</t>
        </is>
      </c>
      <c r="G560" t="inlineStr">
        <is>
          <t>OCKELBO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45111</v>
      </c>
      <c r="E561" s="1" t="n">
        <v>46294</v>
      </c>
      <c r="F561" t="inlineStr">
        <is>
          <t>GÄVLEBORGS LÄN</t>
        </is>
      </c>
      <c r="G561" t="inlineStr">
        <is>
          <t>OCKELBO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46027</v>
      </c>
      <c r="E562" s="1" t="n">
        <v>46294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46294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46042</v>
      </c>
      <c r="E564" s="1" t="n">
        <v>46294</v>
      </c>
      <c r="F564" t="inlineStr">
        <is>
          <t>GÄVLEBORGS LÄN</t>
        </is>
      </c>
      <c r="G564" t="inlineStr">
        <is>
          <t>OCKELBO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46294</v>
      </c>
      <c r="F565" t="inlineStr">
        <is>
          <t>GÄVLEBORGS LÄN</t>
        </is>
      </c>
      <c r="G565" t="inlineStr">
        <is>
          <t>OCKELBO</t>
        </is>
      </c>
      <c r="I565" t="n">
        <v>11.5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46294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46294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54817-2022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44883</v>
      </c>
      <c r="E568" s="1" t="n">
        <v>46294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9401-2026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46071</v>
      </c>
      <c r="E569" s="1" t="n">
        <v>46294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45488</v>
      </c>
      <c r="E570" s="1" t="n">
        <v>46294</v>
      </c>
      <c r="F570" t="inlineStr">
        <is>
          <t>GÄVLEBORGS LÄN</t>
        </is>
      </c>
      <c r="G570" t="inlineStr">
        <is>
          <t>OCKELBO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46294</v>
      </c>
      <c r="F571" t="inlineStr">
        <is>
          <t>GÄVLEBORGS LÄN</t>
        </is>
      </c>
      <c r="G571" t="inlineStr">
        <is>
          <t>OCKELBO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45526</v>
      </c>
      <c r="E572" s="1" t="n">
        <v>46294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20469-2026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46294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46079</v>
      </c>
      <c r="E574" s="1" t="n">
        <v>46294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18191-2026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46125</v>
      </c>
      <c r="E575" s="1" t="n">
        <v>46294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46294</v>
      </c>
      <c r="F576" t="inlineStr">
        <is>
          <t>GÄVLEBORGS LÄN</t>
        </is>
      </c>
      <c r="G576" t="inlineStr">
        <is>
          <t>OCKELBO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46294</v>
      </c>
      <c r="F577" t="inlineStr">
        <is>
          <t>GÄVLEBORGS LÄN</t>
        </is>
      </c>
      <c r="G577" t="inlineStr">
        <is>
          <t>OCKELBO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46294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23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46294</v>
      </c>
      <c r="F579" t="inlineStr">
        <is>
          <t>GÄVLEBORGS LÄN</t>
        </is>
      </c>
      <c r="G579" t="inlineStr">
        <is>
          <t>OCKELBO</t>
        </is>
      </c>
      <c r="I579" t="n">
        <v>10.3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46294</v>
      </c>
      <c r="F580" t="inlineStr">
        <is>
          <t>GÄVLEBORGS LÄN</t>
        </is>
      </c>
      <c r="G580" t="inlineStr">
        <is>
          <t>OCKELBO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10083-2026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46073</v>
      </c>
      <c r="E581" s="1" t="n">
        <v>46294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46294</v>
      </c>
      <c r="F582" t="inlineStr">
        <is>
          <t>GÄVLEBORGS LÄN</t>
        </is>
      </c>
      <c r="G582" t="inlineStr">
        <is>
          <t>OCKELBO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46294</v>
      </c>
      <c r="F583" t="inlineStr">
        <is>
          <t>GÄVLEBORGS LÄN</t>
        </is>
      </c>
      <c r="G583" t="inlineStr">
        <is>
          <t>OCKELBO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46034</v>
      </c>
      <c r="E584" s="1" t="n">
        <v>46294</v>
      </c>
      <c r="F584" t="inlineStr">
        <is>
          <t>GÄVLEBORGS LÄN</t>
        </is>
      </c>
      <c r="G584" t="inlineStr">
        <is>
          <t>OCKELBO</t>
        </is>
      </c>
      <c r="I584" t="n">
        <v>9.300000000000001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40196-2024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45554</v>
      </c>
      <c r="E585" s="1" t="n">
        <v>46294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10489-2026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46077</v>
      </c>
      <c r="E586" s="1" t="n">
        <v>46294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46294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46294</v>
      </c>
      <c r="F588" t="inlineStr">
        <is>
          <t>GÄVLEBORGS LÄN</t>
        </is>
      </c>
      <c r="G588" t="inlineStr">
        <is>
          <t>OCKELBO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20984-2026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46294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54977-2024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45620</v>
      </c>
      <c r="E590" s="1" t="n">
        <v>46294</v>
      </c>
      <c r="F590" t="inlineStr">
        <is>
          <t>GÄVLEBORGS LÄN</t>
        </is>
      </c>
      <c r="G590" t="inlineStr">
        <is>
          <t>OCKELBO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14905-2026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46294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47674-2023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45203</v>
      </c>
      <c r="E592" s="1" t="n">
        <v>46294</v>
      </c>
      <c r="F592" t="inlineStr">
        <is>
          <t>GÄVLEBORGS LÄN</t>
        </is>
      </c>
      <c r="G592" t="inlineStr">
        <is>
          <t>OCKELBO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60117-2025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45994</v>
      </c>
      <c r="E593" s="1" t="n">
        <v>46294</v>
      </c>
      <c r="F593" t="inlineStr">
        <is>
          <t>GÄVLEBORGS LÄN</t>
        </is>
      </c>
      <c r="G593" t="inlineStr">
        <is>
          <t>OCKELBO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21173-2026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46294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46294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17951-2026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46122</v>
      </c>
      <c r="E596" s="1" t="n">
        <v>46294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18097-2026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46125</v>
      </c>
      <c r="E597" s="1" t="n">
        <v>46294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21280-2026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46147</v>
      </c>
      <c r="E598" s="1" t="n">
        <v>46294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öst AB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46294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öst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21461-2026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46148</v>
      </c>
      <c r="E600" s="1" t="n">
        <v>46294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46148</v>
      </c>
      <c r="E601" s="1" t="n">
        <v>46294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46294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46294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46294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46294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46100</v>
      </c>
      <c r="E606" s="1" t="n">
        <v>46294</v>
      </c>
      <c r="F606" t="inlineStr">
        <is>
          <t>GÄVLEBORGS LÄN</t>
        </is>
      </c>
      <c r="G606" t="inlineStr">
        <is>
          <t>OCKELBO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17233-2026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46294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14937-2024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45398</v>
      </c>
      <c r="E608" s="1" t="n">
        <v>46294</v>
      </c>
      <c r="F608" t="inlineStr">
        <is>
          <t>GÄVLEBORGS LÄN</t>
        </is>
      </c>
      <c r="G608" t="inlineStr">
        <is>
          <t>OCKELBO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46066</v>
      </c>
      <c r="E609" s="1" t="n">
        <v>46294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22426-2026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46294</v>
      </c>
      <c r="F610" t="inlineStr">
        <is>
          <t>GÄVLEBORGS LÄN</t>
        </is>
      </c>
      <c r="G610" t="inlineStr">
        <is>
          <t>OCKELBO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33880-2023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45134</v>
      </c>
      <c r="E611" s="1" t="n">
        <v>46294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45134</v>
      </c>
      <c r="E612" s="1" t="n">
        <v>46294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46071</v>
      </c>
      <c r="E613" s="1" t="n">
        <v>46294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18645-2026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46294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61456-2024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46294</v>
      </c>
      <c r="F615" t="inlineStr">
        <is>
          <t>GÄVLEBORGS LÄN</t>
        </is>
      </c>
      <c r="G615" t="inlineStr">
        <is>
          <t>OCKELBO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46294</v>
      </c>
      <c r="F616" t="inlineStr">
        <is>
          <t>GÄVLEBORGS LÄN</t>
        </is>
      </c>
      <c r="G616" t="inlineStr">
        <is>
          <t>OCKELBO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9542-2026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46071</v>
      </c>
      <c r="E617" s="1" t="n">
        <v>46294</v>
      </c>
      <c r="F617" t="inlineStr">
        <is>
          <t>GÄVLEBORGS LÄN</t>
        </is>
      </c>
      <c r="G617" t="inlineStr">
        <is>
          <t>OCKELBO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44281-2022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44839</v>
      </c>
      <c r="E618" s="1" t="n">
        <v>46294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46294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58718-2025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45986</v>
      </c>
      <c r="E620" s="1" t="n">
        <v>46294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46294</v>
      </c>
      <c r="F621" t="inlineStr">
        <is>
          <t>GÄVLEBORGS LÄN</t>
        </is>
      </c>
      <c r="G621" t="inlineStr">
        <is>
          <t>OCKELBO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46609-2025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45926</v>
      </c>
      <c r="E622" s="1" t="n">
        <v>46294</v>
      </c>
      <c r="F622" t="inlineStr">
        <is>
          <t>GÄVLEBORGS LÄN</t>
        </is>
      </c>
      <c r="G622" t="inlineStr">
        <is>
          <t>OCKELBO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46294</v>
      </c>
      <c r="F623" t="inlineStr">
        <is>
          <t>GÄVLEBORGS LÄN</t>
        </is>
      </c>
      <c r="G623" t="inlineStr">
        <is>
          <t>OCKELBO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60497-2021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44496</v>
      </c>
      <c r="E624" s="1" t="n">
        <v>46294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46294</v>
      </c>
      <c r="F625" t="inlineStr">
        <is>
          <t>GÄVLEBORGS LÄN</t>
        </is>
      </c>
      <c r="G625" t="inlineStr">
        <is>
          <t>OCKELBO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46294</v>
      </c>
      <c r="F626" t="inlineStr">
        <is>
          <t>GÄVLEBORGS LÄN</t>
        </is>
      </c>
      <c r="G626" t="inlineStr">
        <is>
          <t>OCKELBO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46294</v>
      </c>
      <c r="F627" t="inlineStr">
        <is>
          <t>GÄVLEBORGS LÄN</t>
        </is>
      </c>
      <c r="G627" t="inlineStr">
        <is>
          <t>OCKELBO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17221-2026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46294</v>
      </c>
      <c r="F628" t="inlineStr">
        <is>
          <t>GÄVLEBORGS LÄN</t>
        </is>
      </c>
      <c r="G628" t="inlineStr">
        <is>
          <t>OCKELBO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46294</v>
      </c>
      <c r="F629" t="inlineStr">
        <is>
          <t>GÄVLEBORGS LÄN</t>
        </is>
      </c>
      <c r="G629" t="inlineStr">
        <is>
          <t>OCKELBO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43071-2025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45909</v>
      </c>
      <c r="E630" s="1" t="n">
        <v>46294</v>
      </c>
      <c r="F630" t="inlineStr">
        <is>
          <t>GÄVLEBORGS LÄN</t>
        </is>
      </c>
      <c r="G630" t="inlineStr">
        <is>
          <t>OCKELBO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46155</v>
      </c>
      <c r="E631" s="1" t="n">
        <v>46294</v>
      </c>
      <c r="F631" t="inlineStr">
        <is>
          <t>GÄVLEBORGS LÄN</t>
        </is>
      </c>
      <c r="G631" t="inlineStr">
        <is>
          <t>OCKELBO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46294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12352-2026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46088</v>
      </c>
      <c r="E633" s="1" t="n">
        <v>46294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9.199999999999999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4179-2026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46044</v>
      </c>
      <c r="E634" s="1" t="n">
        <v>46294</v>
      </c>
      <c r="F634" t="inlineStr">
        <is>
          <t>GÄVLEBORGS LÄN</t>
        </is>
      </c>
      <c r="G634" t="inlineStr">
        <is>
          <t>OCKELBO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5164-2026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46049</v>
      </c>
      <c r="E635" s="1" t="n">
        <v>46294</v>
      </c>
      <c r="F635" t="inlineStr">
        <is>
          <t>GÄVLEBORGS LÄN</t>
        </is>
      </c>
      <c r="G635" t="inlineStr">
        <is>
          <t>OCKELBO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46294</v>
      </c>
      <c r="F636" t="inlineStr">
        <is>
          <t>GÄVLEBORGS LÄN</t>
        </is>
      </c>
      <c r="G636" t="inlineStr">
        <is>
          <t>OCKELBO</t>
        </is>
      </c>
      <c r="I636" t="n">
        <v>8.199999999999999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13233-2026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46294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60122-2025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45994</v>
      </c>
      <c r="E638" s="1" t="n">
        <v>46294</v>
      </c>
      <c r="F638" t="inlineStr">
        <is>
          <t>GÄVLEBORGS LÄN</t>
        </is>
      </c>
      <c r="G638" t="inlineStr">
        <is>
          <t>OCKELBO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60120-2025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46294</v>
      </c>
      <c r="F639" t="inlineStr">
        <is>
          <t>GÄVLEBORGS LÄN</t>
        </is>
      </c>
      <c r="G639" t="inlineStr">
        <is>
          <t>OCKELBO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22712-2026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46156</v>
      </c>
      <c r="E640" s="1" t="n">
        <v>46294</v>
      </c>
      <c r="F640" t="inlineStr">
        <is>
          <t>GÄVLEBORGS LÄN</t>
        </is>
      </c>
      <c r="G640" t="inlineStr">
        <is>
          <t>OCKELBO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17862-2026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46122</v>
      </c>
      <c r="E641" s="1" t="n">
        <v>46294</v>
      </c>
      <c r="F641" t="inlineStr">
        <is>
          <t>GÄVLEBORGS LÄN</t>
        </is>
      </c>
      <c r="G641" t="inlineStr">
        <is>
          <t>OCKELBO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46294</v>
      </c>
      <c r="F642" t="inlineStr">
        <is>
          <t>GÄVLEBORGS LÄN</t>
        </is>
      </c>
      <c r="G642" t="inlineStr">
        <is>
          <t>OCKELBO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6396-2025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45699</v>
      </c>
      <c r="E643" s="1" t="n">
        <v>46294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23040-2026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46161</v>
      </c>
      <c r="E644" s="1" t="n">
        <v>46294</v>
      </c>
      <c r="F644" t="inlineStr">
        <is>
          <t>GÄVLEBORGS LÄN</t>
        </is>
      </c>
      <c r="G644" t="inlineStr">
        <is>
          <t>OCKELBO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23060-2026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46294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43550-2023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45184</v>
      </c>
      <c r="E646" s="1" t="n">
        <v>46294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46160</v>
      </c>
      <c r="E647" s="1" t="n">
        <v>46294</v>
      </c>
      <c r="F647" t="inlineStr">
        <is>
          <t>GÄVLEBORGS LÄN</t>
        </is>
      </c>
      <c r="G647" t="inlineStr">
        <is>
          <t>OCKELBO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46294</v>
      </c>
      <c r="F648" t="inlineStr">
        <is>
          <t>GÄVLEBORGS LÄN</t>
        </is>
      </c>
      <c r="G648" t="inlineStr">
        <is>
          <t>OCKELBO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46294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9859-2025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45716</v>
      </c>
      <c r="E650" s="1" t="n">
        <v>46294</v>
      </c>
      <c r="F650" t="inlineStr">
        <is>
          <t>GÄVLEBORGS LÄN</t>
        </is>
      </c>
      <c r="G650" t="inlineStr">
        <is>
          <t>OCKELBO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32123-2024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45511</v>
      </c>
      <c r="E651" s="1" t="n">
        <v>46294</v>
      </c>
      <c r="F651" t="inlineStr">
        <is>
          <t>GÄVLEBORGS LÄN</t>
        </is>
      </c>
      <c r="G651" t="inlineStr">
        <is>
          <t>OCKELBO</t>
        </is>
      </c>
      <c r="I651" t="n">
        <v>11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40140-2022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46294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36343-2023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45152</v>
      </c>
      <c r="E653" s="1" t="n">
        <v>46294</v>
      </c>
      <c r="F653" t="inlineStr">
        <is>
          <t>GÄVLEBORGS LÄN</t>
        </is>
      </c>
      <c r="G653" t="inlineStr">
        <is>
          <t>OCKELBO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44643</v>
      </c>
      <c r="E654" s="1" t="n">
        <v>46294</v>
      </c>
      <c r="F654" t="inlineStr">
        <is>
          <t>GÄVLEBORGS LÄN</t>
        </is>
      </c>
      <c r="G654" t="inlineStr">
        <is>
          <t>OCKELBO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56631-2022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44893</v>
      </c>
      <c r="E655" s="1" t="n">
        <v>46294</v>
      </c>
      <c r="F655" t="inlineStr">
        <is>
          <t>GÄVLEBORGS LÄN</t>
        </is>
      </c>
      <c r="G655" t="inlineStr">
        <is>
          <t>OCKELBO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29687-2023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46294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23663-2026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46164</v>
      </c>
      <c r="E657" s="1" t="n">
        <v>46294</v>
      </c>
      <c r="F657" t="inlineStr">
        <is>
          <t>GÄVLEBORGS LÄN</t>
        </is>
      </c>
      <c r="G657" t="inlineStr">
        <is>
          <t>OCKELBO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56634-2023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45243</v>
      </c>
      <c r="E658" s="1" t="n">
        <v>46294</v>
      </c>
      <c r="F658" t="inlineStr">
        <is>
          <t>GÄVLEBORGS LÄN</t>
        </is>
      </c>
      <c r="G658" t="inlineStr">
        <is>
          <t>OCKELBO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46164</v>
      </c>
      <c r="E659" s="1" t="n">
        <v>46294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1716-2025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45671</v>
      </c>
      <c r="E660" s="1" t="n">
        <v>46294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46044</v>
      </c>
      <c r="E661" s="1" t="n">
        <v>46294</v>
      </c>
      <c r="F661" t="inlineStr">
        <is>
          <t>GÄVLEBORGS LÄN</t>
        </is>
      </c>
      <c r="G661" t="inlineStr">
        <is>
          <t>OCKELBO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46294</v>
      </c>
      <c r="F662" t="inlineStr">
        <is>
          <t>GÄVLEBORGS LÄN</t>
        </is>
      </c>
      <c r="G662" t="inlineStr">
        <is>
          <t>OCKELBO</t>
        </is>
      </c>
      <c r="I662" t="n">
        <v>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24267-2026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46294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24333-2026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46169</v>
      </c>
      <c r="E664" s="1" t="n">
        <v>46294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49207-2023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45210</v>
      </c>
      <c r="E665" s="1" t="n">
        <v>46294</v>
      </c>
      <c r="F665" t="inlineStr">
        <is>
          <t>GÄVLEBORGS LÄN</t>
        </is>
      </c>
      <c r="G665" t="inlineStr">
        <is>
          <t>OCKELBO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24063-2026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46294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46294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46294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46169</v>
      </c>
      <c r="E669" s="1" t="n">
        <v>46294</v>
      </c>
      <c r="F669" t="inlineStr">
        <is>
          <t>GÄVLEBORGS LÄN</t>
        </is>
      </c>
      <c r="G669" t="inlineStr">
        <is>
          <t>OCKELBO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24059-2026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46294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46294</v>
      </c>
      <c r="F671" t="inlineStr">
        <is>
          <t>GÄVLEBORGS LÄN</t>
        </is>
      </c>
      <c r="G671" t="inlineStr">
        <is>
          <t>OCKELBO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46294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24567-2026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46170</v>
      </c>
      <c r="E673" s="1" t="n">
        <v>46294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24451-2026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46170</v>
      </c>
      <c r="E674" s="1" t="n">
        <v>46294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24598-2026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46170</v>
      </c>
      <c r="E675" s="1" t="n">
        <v>46294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46170</v>
      </c>
      <c r="E676" s="1" t="n">
        <v>46294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24521-2026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46170</v>
      </c>
      <c r="E677" s="1" t="n">
        <v>46294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46294</v>
      </c>
      <c r="F678" t="inlineStr">
        <is>
          <t>GÄVLEBORGS LÄN</t>
        </is>
      </c>
      <c r="G678" t="inlineStr">
        <is>
          <t>OCKELBO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48804-2024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45593</v>
      </c>
      <c r="E679" s="1" t="n">
        <v>46294</v>
      </c>
      <c r="F679" t="inlineStr">
        <is>
          <t>GÄVLEBORGS LÄN</t>
        </is>
      </c>
      <c r="G679" t="inlineStr">
        <is>
          <t>OCKELBO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46023</v>
      </c>
      <c r="E680" s="1" t="n">
        <v>46294</v>
      </c>
      <c r="F680" t="inlineStr">
        <is>
          <t>GÄVLEBORGS LÄN</t>
        </is>
      </c>
      <c r="G680" t="inlineStr">
        <is>
          <t>OCKELBO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24968-2026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46174</v>
      </c>
      <c r="E681" s="1" t="n">
        <v>46294</v>
      </c>
      <c r="F681" t="inlineStr">
        <is>
          <t>GÄVLEBORGS LÄN</t>
        </is>
      </c>
      <c r="G681" t="inlineStr">
        <is>
          <t>OCKELBO</t>
        </is>
      </c>
      <c r="I681" t="n">
        <v>6.2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54944-2025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45967</v>
      </c>
      <c r="E682" s="1" t="n">
        <v>46294</v>
      </c>
      <c r="F682" t="inlineStr">
        <is>
          <t>GÄVLEBORGS LÄN</t>
        </is>
      </c>
      <c r="G682" t="inlineStr">
        <is>
          <t>OCKELBO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46294</v>
      </c>
      <c r="F683" t="inlineStr">
        <is>
          <t>GÄVLEBORGS LÄN</t>
        </is>
      </c>
      <c r="G683" t="inlineStr">
        <is>
          <t>OCKELBO</t>
        </is>
      </c>
      <c r="I683" t="n">
        <v>7.9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46174</v>
      </c>
      <c r="E684" s="1" t="n">
        <v>46294</v>
      </c>
      <c r="F684" t="inlineStr">
        <is>
          <t>GÄVLEBORGS LÄN</t>
        </is>
      </c>
      <c r="G684" t="inlineStr">
        <is>
          <t>OCKELBO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46171</v>
      </c>
      <c r="E685" s="1" t="n">
        <v>46294</v>
      </c>
      <c r="F685" t="inlineStr">
        <is>
          <t>GÄVLEBORGS LÄN</t>
        </is>
      </c>
      <c r="G685" t="inlineStr">
        <is>
          <t>OCKELBO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3034-2025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45678</v>
      </c>
      <c r="E686" s="1" t="n">
        <v>46294</v>
      </c>
      <c r="F686" t="inlineStr">
        <is>
          <t>GÄVLEBORGS LÄN</t>
        </is>
      </c>
      <c r="G686" t="inlineStr">
        <is>
          <t>OCKELBO</t>
        </is>
      </c>
      <c r="I686" t="n">
        <v>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37438-2023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45156</v>
      </c>
      <c r="E687" s="1" t="n">
        <v>46294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25128-2026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46175</v>
      </c>
      <c r="E688" s="1" t="n">
        <v>46294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25133-2026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46294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2555-2025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45674</v>
      </c>
      <c r="E690" s="1" t="n">
        <v>46294</v>
      </c>
      <c r="F690" t="inlineStr">
        <is>
          <t>GÄVLEBORGS LÄN</t>
        </is>
      </c>
      <c r="G690" t="inlineStr">
        <is>
          <t>OCKELBO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50968-2024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46294</v>
      </c>
      <c r="F691" t="inlineStr">
        <is>
          <t>GÄVLEBORGS LÄN</t>
        </is>
      </c>
      <c r="G691" t="inlineStr">
        <is>
          <t>OCKELBO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25525-2026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46177</v>
      </c>
      <c r="E692" s="1" t="n">
        <v>46294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9.4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25599-2026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46294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34944-2024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45527</v>
      </c>
      <c r="E694" s="1" t="n">
        <v>46294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46156</v>
      </c>
      <c r="E695" s="1" t="n">
        <v>46294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46181</v>
      </c>
      <c r="E696" s="1" t="n">
        <v>46294</v>
      </c>
      <c r="F696" t="inlineStr">
        <is>
          <t>GÄVLEBORGS LÄN</t>
        </is>
      </c>
      <c r="G696" t="inlineStr">
        <is>
          <t>OCKELBO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32301-2022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44781</v>
      </c>
      <c r="E697" s="1" t="n">
        <v>46294</v>
      </c>
      <c r="F697" t="inlineStr">
        <is>
          <t>GÄVLEBORGS LÄN</t>
        </is>
      </c>
      <c r="G697" t="inlineStr">
        <is>
          <t>OCKELBO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61116-2023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45261</v>
      </c>
      <c r="E698" s="1" t="n">
        <v>46294</v>
      </c>
      <c r="F698" t="inlineStr">
        <is>
          <t>GÄVLEBORGS LÄN</t>
        </is>
      </c>
      <c r="G698" t="inlineStr">
        <is>
          <t>OCKELBO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46294</v>
      </c>
      <c r="F699" t="inlineStr">
        <is>
          <t>GÄVLEBORGS LÄN</t>
        </is>
      </c>
      <c r="G699" t="inlineStr">
        <is>
          <t>OCKELBO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46294</v>
      </c>
      <c r="F700" t="inlineStr">
        <is>
          <t>GÄVLEBORGS LÄN</t>
        </is>
      </c>
      <c r="G700" t="inlineStr">
        <is>
          <t>OCKELBO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27231-2026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46188</v>
      </c>
      <c r="E701" s="1" t="n">
        <v>46294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46294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46294</v>
      </c>
      <c r="F703" t="inlineStr">
        <is>
          <t>GÄVLEBORGS LÄN</t>
        </is>
      </c>
      <c r="G703" t="inlineStr">
        <is>
          <t>OCKELBO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46294</v>
      </c>
      <c r="F704" t="inlineStr">
        <is>
          <t>GÄVLEBORGS LÄN</t>
        </is>
      </c>
      <c r="G704" t="inlineStr">
        <is>
          <t>OCKELBO</t>
        </is>
      </c>
      <c r="I704" t="n">
        <v>14.6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46294</v>
      </c>
      <c r="F705" t="inlineStr">
        <is>
          <t>GÄVLEBORGS LÄN</t>
        </is>
      </c>
      <c r="G705" t="inlineStr">
        <is>
          <t>OCKELBO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27562-2026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46294</v>
      </c>
      <c r="F706" t="inlineStr">
        <is>
          <t>GÄVLEBORGS LÄN</t>
        </is>
      </c>
      <c r="G706" t="inlineStr">
        <is>
          <t>OCKELBO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45981</v>
      </c>
      <c r="E707" s="1" t="n">
        <v>46294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10184-2026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46294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46294</v>
      </c>
      <c r="F709" t="inlineStr">
        <is>
          <t>GÄVLEBORGS LÄN</t>
        </is>
      </c>
      <c r="G709" t="inlineStr">
        <is>
          <t>OCKELBO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46294</v>
      </c>
      <c r="F710" t="inlineStr">
        <is>
          <t>GÄVLEBORGS LÄN</t>
        </is>
      </c>
      <c r="G710" t="inlineStr">
        <is>
          <t>OCKELBO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46190</v>
      </c>
      <c r="E711" s="1" t="n">
        <v>46294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53702-2024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45615</v>
      </c>
      <c r="E712" s="1" t="n">
        <v>46294</v>
      </c>
      <c r="F712" t="inlineStr">
        <is>
          <t>GÄVLEBORGS LÄN</t>
        </is>
      </c>
      <c r="G712" t="inlineStr">
        <is>
          <t>OCKELBO</t>
        </is>
      </c>
      <c r="I712" t="n">
        <v>5.8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46189</v>
      </c>
      <c r="E713" s="1" t="n">
        <v>46294</v>
      </c>
      <c r="F713" t="inlineStr">
        <is>
          <t>GÄVLEBORGS LÄN</t>
        </is>
      </c>
      <c r="G713" t="inlineStr">
        <is>
          <t>OCKELBO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46189</v>
      </c>
      <c r="E714" s="1" t="n">
        <v>46294</v>
      </c>
      <c r="F714" t="inlineStr">
        <is>
          <t>GÄVLEBORGS LÄN</t>
        </is>
      </c>
      <c r="G714" t="inlineStr">
        <is>
          <t>OCKELBO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27416-2026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46294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27379-2026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46189</v>
      </c>
      <c r="E716" s="1" t="n">
        <v>46294</v>
      </c>
      <c r="F716" t="inlineStr">
        <is>
          <t>GÄVLEBORGS LÄN</t>
        </is>
      </c>
      <c r="G716" t="inlineStr">
        <is>
          <t>OCKELBO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27382-2026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46294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46294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46294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46294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46294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46294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27995-2026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46195</v>
      </c>
      <c r="E723" s="1" t="n">
        <v>46294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46294</v>
      </c>
      <c r="F724" t="inlineStr">
        <is>
          <t>GÄVLEBORGS LÄN</t>
        </is>
      </c>
      <c r="G724" t="inlineStr">
        <is>
          <t>OCKELBO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46294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46294</v>
      </c>
      <c r="F726" t="inlineStr">
        <is>
          <t>GÄVLEBORGS LÄN</t>
        </is>
      </c>
      <c r="G726" t="inlineStr">
        <is>
          <t>OCKELBO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17730-2025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46294</v>
      </c>
      <c r="F727" t="inlineStr">
        <is>
          <t>GÄVLEBORGS LÄN</t>
        </is>
      </c>
      <c r="G727" t="inlineStr">
        <is>
          <t>OCKELBO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36362-2024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45534</v>
      </c>
      <c r="E728" s="1" t="n">
        <v>46294</v>
      </c>
      <c r="F728" t="inlineStr">
        <is>
          <t>GÄVLEBORGS LÄN</t>
        </is>
      </c>
      <c r="G728" t="inlineStr">
        <is>
          <t>OCKELBO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5558-2024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45334</v>
      </c>
      <c r="E729" s="1" t="n">
        <v>46294</v>
      </c>
      <c r="F729" t="inlineStr">
        <is>
          <t>GÄVLEBORGS LÄN</t>
        </is>
      </c>
      <c r="G729" t="inlineStr">
        <is>
          <t>OCKELBO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52335-2024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45609</v>
      </c>
      <c r="E730" s="1" t="n">
        <v>46294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46294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47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15966-2023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45022</v>
      </c>
      <c r="E732" s="1" t="n">
        <v>46294</v>
      </c>
      <c r="F732" t="inlineStr">
        <is>
          <t>GÄVLEBORGS LÄN</t>
        </is>
      </c>
      <c r="G732" t="inlineStr">
        <is>
          <t>OCKELBO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45139</v>
      </c>
      <c r="E733" s="1" t="n">
        <v>46294</v>
      </c>
      <c r="F733" t="inlineStr">
        <is>
          <t>GÄVLEBORGS LÄN</t>
        </is>
      </c>
      <c r="G733" t="inlineStr">
        <is>
          <t>OCKELBO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29001-2026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46199</v>
      </c>
      <c r="E734" s="1" t="n">
        <v>46294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46045</v>
      </c>
      <c r="E735" s="1" t="n">
        <v>46294</v>
      </c>
      <c r="F735" t="inlineStr">
        <is>
          <t>GÄVLEBORGS LÄN</t>
        </is>
      </c>
      <c r="G735" t="inlineStr">
        <is>
          <t>OCKELBO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46294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14827-2026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46294</v>
      </c>
      <c r="F737" t="inlineStr">
        <is>
          <t>GÄVLEBORGS LÄN</t>
        </is>
      </c>
      <c r="G737" t="inlineStr">
        <is>
          <t>OCKELBO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29611-2026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46204</v>
      </c>
      <c r="E738" s="1" t="n">
        <v>46294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55070-2023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45237</v>
      </c>
      <c r="E739" s="1" t="n">
        <v>46294</v>
      </c>
      <c r="F739" t="inlineStr">
        <is>
          <t>GÄVLEBORGS LÄN</t>
        </is>
      </c>
      <c r="G739" t="inlineStr">
        <is>
          <t>OCKELBO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45698</v>
      </c>
      <c r="E740" s="1" t="n">
        <v>46294</v>
      </c>
      <c r="F740" t="inlineStr">
        <is>
          <t>GÄVLEBORGS LÄN</t>
        </is>
      </c>
      <c r="G740" t="inlineStr">
        <is>
          <t>OCKELBO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29437-2026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46203</v>
      </c>
      <c r="E741" s="1" t="n">
        <v>46294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46203</v>
      </c>
      <c r="E742" s="1" t="n">
        <v>46294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11734-2025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45727</v>
      </c>
      <c r="E743" s="1" t="n">
        <v>46294</v>
      </c>
      <c r="F743" t="inlineStr">
        <is>
          <t>GÄVLEBORGS LÄN</t>
        </is>
      </c>
      <c r="G743" t="inlineStr">
        <is>
          <t>OCKELBO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46294</v>
      </c>
      <c r="F744" t="inlineStr">
        <is>
          <t>GÄVLEBORGS LÄN</t>
        </is>
      </c>
      <c r="G744" t="inlineStr">
        <is>
          <t>OCKELBO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46294</v>
      </c>
      <c r="F745" t="inlineStr">
        <is>
          <t>GÄVLEBORGS LÄN</t>
        </is>
      </c>
      <c r="G745" t="inlineStr">
        <is>
          <t>OCKELBO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30798-2024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45497</v>
      </c>
      <c r="E746" s="1" t="n">
        <v>46294</v>
      </c>
      <c r="F746" t="inlineStr">
        <is>
          <t>GÄVLEBORGS LÄN</t>
        </is>
      </c>
      <c r="G746" t="inlineStr">
        <is>
          <t>OCKELBO</t>
        </is>
      </c>
      <c r="I746" t="n">
        <v>8.699999999999999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30031-2026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46294</v>
      </c>
      <c r="F747" t="inlineStr">
        <is>
          <t>GÄVLEBORGS LÄN</t>
        </is>
      </c>
      <c r="G747" t="inlineStr">
        <is>
          <t>OCKELBO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29789-2026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46205</v>
      </c>
      <c r="E748" s="1" t="n">
        <v>46294</v>
      </c>
      <c r="F748" t="inlineStr">
        <is>
          <t>GÄVLEBORGS LÄN</t>
        </is>
      </c>
      <c r="G748" t="inlineStr">
        <is>
          <t>OCKELBO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43799-2022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44838</v>
      </c>
      <c r="E749" s="1" t="n">
        <v>46294</v>
      </c>
      <c r="F749" t="inlineStr">
        <is>
          <t>GÄVLEBORGS LÄN</t>
        </is>
      </c>
      <c r="G749" t="inlineStr">
        <is>
          <t>OCKELBO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46205</v>
      </c>
      <c r="E750" s="1" t="n">
        <v>46294</v>
      </c>
      <c r="F750" t="inlineStr">
        <is>
          <t>GÄVLEBORGS LÄN</t>
        </is>
      </c>
      <c r="G750" t="inlineStr">
        <is>
          <t>OCKELBO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37391-2023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45156</v>
      </c>
      <c r="E751" s="1" t="n">
        <v>46294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33987-2023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45134</v>
      </c>
      <c r="E752" s="1" t="n">
        <v>46294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45134</v>
      </c>
      <c r="E753" s="1" t="n">
        <v>46294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49529-2024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45596</v>
      </c>
      <c r="E754" s="1" t="n">
        <v>46294</v>
      </c>
      <c r="F754" t="inlineStr">
        <is>
          <t>GÄVLEBORGS LÄN</t>
        </is>
      </c>
      <c r="G754" t="inlineStr">
        <is>
          <t>OCKELBO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56034-2023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45240</v>
      </c>
      <c r="E755" s="1" t="n">
        <v>46294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52330-2024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45609</v>
      </c>
      <c r="E756" s="1" t="n">
        <v>46294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34449-2023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45139</v>
      </c>
      <c r="E757" s="1" t="n">
        <v>46294</v>
      </c>
      <c r="F757" t="inlineStr">
        <is>
          <t>GÄVLEBORGS LÄN</t>
        </is>
      </c>
      <c r="G757" t="inlineStr">
        <is>
          <t>OCKELBO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34391-2026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46254</v>
      </c>
      <c r="E758" s="1" t="n">
        <v>46294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37845-2024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45544</v>
      </c>
      <c r="E759" s="1" t="n">
        <v>46294</v>
      </c>
      <c r="F759" t="inlineStr">
        <is>
          <t>GÄVLEBORGS LÄN</t>
        </is>
      </c>
      <c r="G759" t="inlineStr">
        <is>
          <t>OCKELBO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31083-2026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46216</v>
      </c>
      <c r="E760" s="1" t="n">
        <v>46294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46258</v>
      </c>
      <c r="E761" s="1" t="n">
        <v>46294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46052</v>
      </c>
      <c r="E762" s="1" t="n">
        <v>46294</v>
      </c>
      <c r="F762" t="inlineStr">
        <is>
          <t>GÄVLEBORGS LÄN</t>
        </is>
      </c>
      <c r="G762" t="inlineStr">
        <is>
          <t>OCKELBO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30990-2026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46213</v>
      </c>
      <c r="E763" s="1" t="n">
        <v>46294</v>
      </c>
      <c r="F763" t="inlineStr">
        <is>
          <t>GÄVLEBORGS LÄN</t>
        </is>
      </c>
      <c r="G763" t="inlineStr">
        <is>
          <t>OCKELBO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28965-2024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45481</v>
      </c>
      <c r="E764" s="1" t="n">
        <v>46294</v>
      </c>
      <c r="F764" t="inlineStr">
        <is>
          <t>GÄVLEBORGS LÄN</t>
        </is>
      </c>
      <c r="G764" t="inlineStr">
        <is>
          <t>OCKELBO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55906-2024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45623</v>
      </c>
      <c r="E765" s="1" t="n">
        <v>46294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46294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24228-2022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44725</v>
      </c>
      <c r="E767" s="1" t="n">
        <v>46294</v>
      </c>
      <c r="F767" t="inlineStr">
        <is>
          <t>GÄVLEBORGS LÄN</t>
        </is>
      </c>
      <c r="G767" t="inlineStr">
        <is>
          <t>OCKELBO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31277-2026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46218</v>
      </c>
      <c r="E768" s="1" t="n">
        <v>46294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64609-2023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45281</v>
      </c>
      <c r="E769" s="1" t="n">
        <v>46294</v>
      </c>
      <c r="F769" t="inlineStr">
        <is>
          <t>GÄVLEBORGS LÄN</t>
        </is>
      </c>
      <c r="G769" t="inlineStr">
        <is>
          <t>OCKELBO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9461-2026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46294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3626-2023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44950</v>
      </c>
      <c r="E771" s="1" t="n">
        <v>46294</v>
      </c>
      <c r="F771" t="inlineStr">
        <is>
          <t>GÄVLEBORGS LÄN</t>
        </is>
      </c>
      <c r="G771" t="inlineStr">
        <is>
          <t>OCKELBO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31443-2026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46220</v>
      </c>
      <c r="E772" s="1" t="n">
        <v>46294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13931-2026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46294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21900-2023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45068</v>
      </c>
      <c r="E774" s="1" t="n">
        <v>46294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19774-2025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45771</v>
      </c>
      <c r="E775" s="1" t="n">
        <v>46294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21878-2023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45068</v>
      </c>
      <c r="E776" s="1" t="n">
        <v>46294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36295-2024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46294</v>
      </c>
      <c r="F777" t="inlineStr">
        <is>
          <t>GÄVLEBORGS LÄN</t>
        </is>
      </c>
      <c r="G777" t="inlineStr">
        <is>
          <t>OCKELBO</t>
        </is>
      </c>
      <c r="I777" t="n">
        <v>7.9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58156-2025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45982</v>
      </c>
      <c r="E778" s="1" t="n">
        <v>46294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36097-2026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46267</v>
      </c>
      <c r="E779" s="1" t="n">
        <v>46294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46223</v>
      </c>
      <c r="E780" s="1" t="n">
        <v>46294</v>
      </c>
      <c r="F780" t="inlineStr">
        <is>
          <t>GÄVLEBORGS LÄN</t>
        </is>
      </c>
      <c r="G780" t="inlineStr">
        <is>
          <t>OCKELBO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31517-2026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46223</v>
      </c>
      <c r="E781" s="1" t="n">
        <v>46294</v>
      </c>
      <c r="F781" t="inlineStr">
        <is>
          <t>GÄVLEBORGS LÄN</t>
        </is>
      </c>
      <c r="G781" t="inlineStr">
        <is>
          <t>OCKELBO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46224</v>
      </c>
      <c r="E782" s="1" t="n">
        <v>46294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31530-2026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46223</v>
      </c>
      <c r="E783" s="1" t="n">
        <v>46294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53488-2023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45230</v>
      </c>
      <c r="E784" s="1" t="n">
        <v>46294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31571-2026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46224</v>
      </c>
      <c r="E785" s="1" t="n">
        <v>46294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37442-2023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45156</v>
      </c>
      <c r="E786" s="1" t="n">
        <v>46294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45070</v>
      </c>
      <c r="E787" s="1" t="n">
        <v>46294</v>
      </c>
      <c r="F787" t="inlineStr">
        <is>
          <t>GÄVLEBORGS LÄN</t>
        </is>
      </c>
      <c r="G787" t="inlineStr">
        <is>
          <t>OCKELBO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56741-2024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45628</v>
      </c>
      <c r="E788" s="1" t="n">
        <v>46294</v>
      </c>
      <c r="F788" t="inlineStr">
        <is>
          <t>GÄVLEBORGS LÄN</t>
        </is>
      </c>
      <c r="G788" t="inlineStr">
        <is>
          <t>OCKELBO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45771</v>
      </c>
      <c r="E789" s="1" t="n">
        <v>46294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36280-2026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46268</v>
      </c>
      <c r="E790" s="1" t="n">
        <v>46294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36562-2026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46294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46294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46268</v>
      </c>
      <c r="E793" s="1" t="n">
        <v>46294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29567-2024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45484</v>
      </c>
      <c r="E794" s="1" t="n">
        <v>46294</v>
      </c>
      <c r="F794" t="inlineStr">
        <is>
          <t>GÄVLEBORGS LÄN</t>
        </is>
      </c>
      <c r="G794" t="inlineStr">
        <is>
          <t>OCKELBO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64367-2023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45280</v>
      </c>
      <c r="E795" s="1" t="n">
        <v>46294</v>
      </c>
      <c r="F795" t="inlineStr">
        <is>
          <t>GÄVLEBORGS LÄN</t>
        </is>
      </c>
      <c r="G795" t="inlineStr">
        <is>
          <t>OCKELBO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55715-2023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45239</v>
      </c>
      <c r="E796" s="1" t="n">
        <v>46294</v>
      </c>
      <c r="F796" t="inlineStr">
        <is>
          <t>GÄVLEBORGS LÄN</t>
        </is>
      </c>
      <c r="G796" t="inlineStr">
        <is>
          <t>OCKELBO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31804-2026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46230</v>
      </c>
      <c r="E797" s="1" t="n">
        <v>46294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50194-2024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45600</v>
      </c>
      <c r="E798" s="1" t="n">
        <v>46294</v>
      </c>
      <c r="F798" t="inlineStr">
        <is>
          <t>GÄVLEBORGS LÄN</t>
        </is>
      </c>
      <c r="G798" t="inlineStr">
        <is>
          <t>OCKELBO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15247-2025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46294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22952-2023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45072</v>
      </c>
      <c r="E800" s="1" t="n">
        <v>46294</v>
      </c>
      <c r="F800" t="inlineStr">
        <is>
          <t>GÄVLEBORGS LÄN</t>
        </is>
      </c>
      <c r="G800" t="inlineStr">
        <is>
          <t>OCKELBO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31971-2026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46232</v>
      </c>
      <c r="E801" s="1" t="n">
        <v>46294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37321-2026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46275</v>
      </c>
      <c r="E802" s="1" t="n">
        <v>46294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37110-2026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46274</v>
      </c>
      <c r="E803" s="1" t="n">
        <v>46294</v>
      </c>
      <c r="F803" t="inlineStr">
        <is>
          <t>GÄVLEBORGS LÄN</t>
        </is>
      </c>
      <c r="G803" t="inlineStr">
        <is>
          <t>OCKELBO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46275</v>
      </c>
      <c r="E804" s="1" t="n">
        <v>46294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20605-2026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46140</v>
      </c>
      <c r="E805" s="1" t="n">
        <v>46294</v>
      </c>
      <c r="F805" t="inlineStr">
        <is>
          <t>GÄVLEBORGS LÄN</t>
        </is>
      </c>
      <c r="G805" t="inlineStr">
        <is>
          <t>OCKELBO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22824-2024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45448</v>
      </c>
      <c r="E806" s="1" t="n">
        <v>46294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46279</v>
      </c>
      <c r="E807" s="1" t="n">
        <v>46294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20408-2026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46140</v>
      </c>
      <c r="E808" s="1" t="n">
        <v>46294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45666</v>
      </c>
      <c r="E809" s="1" t="n">
        <v>46294</v>
      </c>
      <c r="F809" t="inlineStr">
        <is>
          <t>GÄVLEBORGS LÄN</t>
        </is>
      </c>
      <c r="G809" t="inlineStr">
        <is>
          <t>OCKELBO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61750-2023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45265</v>
      </c>
      <c r="E810" s="1" t="n">
        <v>46294</v>
      </c>
      <c r="F810" t="inlineStr">
        <is>
          <t>GÄVLEBORGS LÄN</t>
        </is>
      </c>
      <c r="G810" t="inlineStr">
        <is>
          <t>OCKELBO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33985-2023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45134</v>
      </c>
      <c r="E811" s="1" t="n">
        <v>46294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3628-2023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44950</v>
      </c>
      <c r="E812" s="1" t="n">
        <v>46294</v>
      </c>
      <c r="F812" t="inlineStr">
        <is>
          <t>GÄVLEBORGS LÄN</t>
        </is>
      </c>
      <c r="G812" t="inlineStr">
        <is>
          <t>OCKELBO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20775-2025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45776</v>
      </c>
      <c r="E813" s="1" t="n">
        <v>46294</v>
      </c>
      <c r="F813" t="inlineStr">
        <is>
          <t>GÄVLEBORGS LÄN</t>
        </is>
      </c>
      <c r="G813" t="inlineStr">
        <is>
          <t>OCKELBO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23780-2024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45455</v>
      </c>
      <c r="E814" s="1" t="n">
        <v>46294</v>
      </c>
      <c r="F814" t="inlineStr">
        <is>
          <t>GÄVLEBORGS LÄN</t>
        </is>
      </c>
      <c r="G814" t="inlineStr">
        <is>
          <t>OCKELBO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46294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37848-2024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45544</v>
      </c>
      <c r="E816" s="1" t="n">
        <v>46294</v>
      </c>
      <c r="F816" t="inlineStr">
        <is>
          <t>GÄVLEBORGS LÄN</t>
        </is>
      </c>
      <c r="G816" t="inlineStr">
        <is>
          <t>OCKELBO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46294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46283</v>
      </c>
      <c r="E818" s="1" t="n">
        <v>46294</v>
      </c>
      <c r="F818" t="inlineStr">
        <is>
          <t>GÄVLEBORGS LÄN</t>
        </is>
      </c>
      <c r="G818" t="inlineStr">
        <is>
          <t>OCKELBO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38668-2026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46283</v>
      </c>
      <c r="E819" s="1" t="n">
        <v>46294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22385-2025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45786</v>
      </c>
      <c r="E820" s="1" t="n">
        <v>46294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22387-2025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46294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46294</v>
      </c>
      <c r="F822" t="inlineStr">
        <is>
          <t>GÄVLEBORGS LÄN</t>
        </is>
      </c>
      <c r="G822" t="inlineStr">
        <is>
          <t>OCKELBO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39681-2026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46289</v>
      </c>
      <c r="E823" s="1" t="n">
        <v>46294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33176-2026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46245</v>
      </c>
      <c r="E824" s="1" t="n">
        <v>46294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14071-2026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46099</v>
      </c>
      <c r="E825" s="1" t="n">
        <v>46294</v>
      </c>
      <c r="F825" t="inlineStr">
        <is>
          <t>GÄVLEBORGS LÄN</t>
        </is>
      </c>
      <c r="G825" t="inlineStr">
        <is>
          <t>OCKELBO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40117-2026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46293</v>
      </c>
      <c r="E826" s="1" t="n">
        <v>46294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40185-2026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46293</v>
      </c>
      <c r="E827" s="1" t="n">
        <v>46294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40104-2026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46294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15042-2026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46294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40149-2026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46293</v>
      </c>
      <c r="E830" s="1" t="n">
        <v>46294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282-2024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45323</v>
      </c>
      <c r="E831" s="1" t="n">
        <v>46294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5063-2024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45638</v>
      </c>
      <c r="E832" s="1" t="n">
        <v>46294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154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195-2024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45315</v>
      </c>
      <c r="E833" s="1" t="n">
        <v>46294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46.4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411-2025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45699</v>
      </c>
      <c r="E834" s="1" t="n">
        <v>46294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7041-2022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44904</v>
      </c>
      <c r="E835" s="1" t="n">
        <v>46294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22.8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297-2026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46058</v>
      </c>
      <c r="E836" s="1" t="n">
        <v>46294</v>
      </c>
      <c r="F836" t="inlineStr">
        <is>
          <t>GÄVLEBORGS LÄN</t>
        </is>
      </c>
      <c r="G836" t="inlineStr">
        <is>
          <t>OCKELBO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657-2026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46089</v>
      </c>
      <c r="E837" s="1" t="n">
        <v>46294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öst AB</t>
        </is>
      </c>
      <c r="I837" t="n">
        <v>131.3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1344-2026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46294</v>
      </c>
      <c r="F838" t="inlineStr">
        <is>
          <t>GÄVLEBORGS LÄN</t>
        </is>
      </c>
      <c r="G838" t="inlineStr">
        <is>
          <t>OCKELBO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1345-2026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46148</v>
      </c>
      <c r="E839" s="1" t="n">
        <v>46294</v>
      </c>
      <c r="F839" t="inlineStr">
        <is>
          <t>GÄVLEBORGS LÄN</t>
        </is>
      </c>
      <c r="G839" t="inlineStr">
        <is>
          <t>OCKELBO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190-2026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46048</v>
      </c>
      <c r="E840" s="1" t="n">
        <v>46294</v>
      </c>
      <c r="F840" t="inlineStr">
        <is>
          <t>GÄVLEBORGS LÄN</t>
        </is>
      </c>
      <c r="G840" t="inlineStr">
        <is>
          <t>OCKELBO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>
      <c r="A841" t="inlineStr">
        <is>
          <t>S 2540-2026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46293</v>
      </c>
      <c r="E841" s="1" t="n">
        <v>46294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2026-09-29T01:55:53Z</dcterms:created>
  <dcterms:modified xmlns:dcterms="http://purl.org/dc/terms/" xmlns:xsi="http://www.w3.org/2001/XMLSchema-instance" xsi:type="dcterms:W3CDTF">2026-09-29T01:55:54Z</dcterms:modified>
</cp:coreProperties>
</file>