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46284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46284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46284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14258-2026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46284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40.5</v>
      </c>
      <c r="J5" t="n">
        <v>0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14</v>
      </c>
      <c r="U5" t="n">
        <v>0</v>
      </c>
      <c r="V5" s="2" t="inlineStr">
        <is>
          <t>Garnlav
Blanksvart spiklav
Dropptaggsvamp
Vedskivlav
Mindre märgborre
Nästlav
Vågbandad barkbock</t>
        </is>
      </c>
      <c r="W5">
        <f>HYPERLINK("https://klasma.github.io/Logging_2101/artfynd/A 14258-2026 artfynd.xlsx", "A 14258-2026")</f>
        <v/>
      </c>
      <c r="X5">
        <f>HYPERLINK("https://klasma.github.io/Logging_2101/kartor/A 14258-2026 karta.png", "A 14258-2026")</f>
        <v/>
      </c>
      <c r="Y5">
        <f>HYPERLINK("https://klasma.github.io/Logging_2101/kartor_geotiff/A 14258-2026 georefererad karta.tif", "A 14258-2026")</f>
        <v/>
      </c>
      <c r="Z5">
        <f>HYPERLINK("https://klasma.github.io/Logging_2101/knärot/A 14258-2026 karta knärot.png", "A 14258-2026")</f>
        <v/>
      </c>
      <c r="AA5">
        <f>HYPERLINK("https://klasma.github.io/Logging_2101/klagomål/A 14258-2026 FSC-klagomål.docx", "A 14258-2026")</f>
        <v/>
      </c>
      <c r="AB5">
        <f>HYPERLINK("https://klasma.github.io/Logging_2101/klagomålsmail/A 14258-2026 FSC-klagomål mail.docx", "A 14258-2026")</f>
        <v/>
      </c>
      <c r="AC5">
        <f>HYPERLINK("https://klasma.github.io/Logging_2101/tillsyn/A 14258-2026 tillsynsbegäran.docx", "A 14258-2026")</f>
        <v/>
      </c>
      <c r="AD5">
        <f>HYPERLINK("https://klasma.github.io/Logging_2101/tillsynsmail/A 14258-2026 tillsynsbegäran mail.docx", "A 14258-2026")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46284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46284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46284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46132</v>
      </c>
      <c r="E9" s="1" t="n">
        <v>46284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7.1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Dropptaggsvamp
Motaggsvamp
Plattlummer
Skinnlav
Fläcknycklar
Revlummer</t>
        </is>
      </c>
      <c r="W9">
        <f>HYPERLINK("https://klasma.github.io/Logging_2101/artfynd/A 19165-2026 artfynd.xlsx", "A 19165-2026")</f>
        <v/>
      </c>
      <c r="X9">
        <f>HYPERLINK("https://klasma.github.io/Logging_2101/kartor/A 19165-2026 karta.png", "A 19165-2026")</f>
        <v/>
      </c>
      <c r="Y9">
        <f>HYPERLINK("https://klasma.github.io/Logging_2101/kartor_geotiff/A 19165-2026 georefererad karta.tif", "A 19165-2026")</f>
        <v/>
      </c>
      <c r="AA9">
        <f>HYPERLINK("https://klasma.github.io/Logging_2101/klagomål/A 19165-2026 FSC-klagomål.docx", "A 19165-2026")</f>
        <v/>
      </c>
      <c r="AB9">
        <f>HYPERLINK("https://klasma.github.io/Logging_2101/klagomålsmail/A 19165-2026 FSC-klagomål mail.docx", "A 19165-2026")</f>
        <v/>
      </c>
      <c r="AC9">
        <f>HYPERLINK("https://klasma.github.io/Logging_2101/tillsyn/A 19165-2026 tillsynsbegäran.docx", "A 19165-2026")</f>
        <v/>
      </c>
      <c r="AD9">
        <f>HYPERLINK("https://klasma.github.io/Logging_2101/tillsynsmail/A 19165-2026 tillsynsbegäran mail.docx", "A 19165-2026")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46284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46284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46284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46284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46284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46284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46284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46284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46284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46284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46284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46284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13474-2026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46094</v>
      </c>
      <c r="E22" s="1" t="n">
        <v>46284</v>
      </c>
      <c r="F22" t="inlineStr">
        <is>
          <t>GÄVLEBORGS LÄN</t>
        </is>
      </c>
      <c r="G22" t="inlineStr">
        <is>
          <t>OCKELBO</t>
        </is>
      </c>
      <c r="H22" t="inlineStr">
        <is>
          <t>Naturvårdsverket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Orange taggsvamp
Ullticka
Vedtrappmossa</t>
        </is>
      </c>
      <c r="W22">
        <f>HYPERLINK("https://klasma.github.io/Logging_2101/artfynd/A 13474-2026 artfynd.xlsx", "A 13474-2026")</f>
        <v/>
      </c>
      <c r="X22">
        <f>HYPERLINK("https://klasma.github.io/Logging_2101/kartor/A 13474-2026 karta.png", "A 13474-2026")</f>
        <v/>
      </c>
      <c r="Y22">
        <f>HYPERLINK("https://klasma.github.io/Logging_2101/kartor_geotiff/A 13474-2026 georefererad karta.tif", "A 13474-2026")</f>
        <v/>
      </c>
      <c r="AA22">
        <f>HYPERLINK("https://klasma.github.io/Logging_2101/klagomål/A 13474-2026 FSC-klagomål.docx", "A 13474-2026")</f>
        <v/>
      </c>
      <c r="AB22">
        <f>HYPERLINK("https://klasma.github.io/Logging_2101/klagomålsmail/A 13474-2026 FSC-klagomål mail.docx", "A 13474-2026")</f>
        <v/>
      </c>
      <c r="AC22">
        <f>HYPERLINK("https://klasma.github.io/Logging_2101/tillsyn/A 13474-2026 tillsynsbegäran.docx", "A 13474-2026")</f>
        <v/>
      </c>
      <c r="AD22">
        <f>HYPERLINK("https://klasma.github.io/Logging_2101/tillsynsmail/A 13474-2026 tillsynsbegäran mail.docx", "A 13474-2026")</f>
        <v/>
      </c>
    </row>
    <row r="23" ht="15" customHeight="1">
      <c r="A23" t="inlineStr">
        <is>
          <t>A 18091-2026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46125</v>
      </c>
      <c r="E23" s="1" t="n">
        <v>46284</v>
      </c>
      <c r="F23" t="inlineStr">
        <is>
          <t>GÄVLEBORGS LÄN</t>
        </is>
      </c>
      <c r="G23" t="inlineStr">
        <is>
          <t>OCKELBO</t>
        </is>
      </c>
      <c r="H23" t="inlineStr">
        <is>
          <t>Bergvik skog väst AB</t>
        </is>
      </c>
      <c r="I23" t="n">
        <v>21.6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9</v>
      </c>
      <c r="U23" t="n">
        <v>0</v>
      </c>
      <c r="V23" s="2" t="inlineStr">
        <is>
          <t>Vanlig groda
Vanlig padda
Fläcknycklar</t>
        </is>
      </c>
      <c r="W23">
        <f>HYPERLINK("https://klasma.github.io/Logging_2101/artfynd/A 18091-2026 artfynd.xlsx", "A 18091-2026")</f>
        <v/>
      </c>
      <c r="X23">
        <f>HYPERLINK("https://klasma.github.io/Logging_2101/kartor/A 18091-2026 karta.png", "A 18091-2026")</f>
        <v/>
      </c>
      <c r="Y23">
        <f>HYPERLINK("https://klasma.github.io/Logging_2101/kartor_geotiff/A 18091-2026 georefererad karta.tif", "A 18091-2026")</f>
        <v/>
      </c>
      <c r="AA23">
        <f>HYPERLINK("https://klasma.github.io/Logging_2101/klagomål/A 18091-2026 FSC-klagomål.docx", "A 18091-2026")</f>
        <v/>
      </c>
      <c r="AB23">
        <f>HYPERLINK("https://klasma.github.io/Logging_2101/klagomålsmail/A 18091-2026 FSC-klagomål mail.docx", "A 18091-2026")</f>
        <v/>
      </c>
      <c r="AC23">
        <f>HYPERLINK("https://klasma.github.io/Logging_2101/tillsyn/A 18091-2026 tillsynsbegäran.docx", "A 18091-2026")</f>
        <v/>
      </c>
      <c r="AD23">
        <f>HYPERLINK("https://klasma.github.io/Logging_2101/tillsynsmail/A 18091-2026 tillsynsbegäran mail.docx", "A 18091-2026")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46284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46284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14.5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Blåsippa
Nattviol</t>
        </is>
      </c>
      <c r="W25">
        <f>HYPERLINK("https://klasma.github.io/Logging_2101/artfynd/A 18253-2026 artfynd.xlsx", "A 18253-2026")</f>
        <v/>
      </c>
      <c r="X25">
        <f>HYPERLINK("https://klasma.github.io/Logging_2101/kartor/A 18253-2026 karta.png", "A 18253-2026")</f>
        <v/>
      </c>
      <c r="Y25">
        <f>HYPERLINK("https://klasma.github.io/Logging_2101/kartor_geotiff/A 18253-2026 georefererad karta.tif", "A 18253-2026")</f>
        <v/>
      </c>
      <c r="AA25">
        <f>HYPERLINK("https://klasma.github.io/Logging_2101/klagomål/A 18253-2026 FSC-klagomål.docx", "A 18253-2026")</f>
        <v/>
      </c>
      <c r="AB25">
        <f>HYPERLINK("https://klasma.github.io/Logging_2101/klagomålsmail/A 18253-2026 FSC-klagomål mail.docx", "A 18253-2026")</f>
        <v/>
      </c>
      <c r="AC25">
        <f>HYPERLINK("https://klasma.github.io/Logging_2101/tillsyn/A 18253-2026 tillsynsbegäran.docx", "A 18253-2026")</f>
        <v/>
      </c>
      <c r="AD25">
        <f>HYPERLINK("https://klasma.github.io/Logging_2101/tillsynsmail/A 18253-2026 tillsynsbegäran mail.docx", "A 18253-2026")</f>
        <v/>
      </c>
    </row>
    <row r="26" ht="15" customHeight="1">
      <c r="A26" t="inlineStr">
        <is>
          <t>A 27199-2025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45812</v>
      </c>
      <c r="E26" s="1" t="n">
        <v>46284</v>
      </c>
      <c r="F26" t="inlineStr">
        <is>
          <t>GÄVLEBORGS LÄN</t>
        </is>
      </c>
      <c r="G26" t="inlineStr">
        <is>
          <t>OCKELBO</t>
        </is>
      </c>
      <c r="I26" t="n">
        <v>1.6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Dropptaggsvamp
Mattlummer</t>
        </is>
      </c>
      <c r="W26">
        <f>HYPERLINK("https://klasma.github.io/Logging_2101/artfynd/A 27199-2025 artfynd.xlsx", "A 27199-2025")</f>
        <v/>
      </c>
      <c r="X26">
        <f>HYPERLINK("https://klasma.github.io/Logging_2101/kartor/A 27199-2025 karta.png", "A 27199-2025")</f>
        <v/>
      </c>
      <c r="Y26">
        <f>HYPERLINK("https://klasma.github.io/Logging_2101/kartor_geotiff/A 27199-2025 georefererad karta.tif", "A 27199-2025")</f>
        <v/>
      </c>
      <c r="Z26">
        <f>HYPERLINK("https://klasma.github.io/Logging_2101/knärot/A 27199-2025 karta knärot.png", "A 27199-2025")</f>
        <v/>
      </c>
      <c r="AA26">
        <f>HYPERLINK("https://klasma.github.io/Logging_2101/klagomål/A 27199-2025 FSC-klagomål.docx", "A 27199-2025")</f>
        <v/>
      </c>
      <c r="AB26">
        <f>HYPERLINK("https://klasma.github.io/Logging_2101/klagomålsmail/A 27199-2025 FSC-klagomål mail.docx", "A 27199-2025")</f>
        <v/>
      </c>
      <c r="AC26">
        <f>HYPERLINK("https://klasma.github.io/Logging_2101/tillsyn/A 27199-2025 tillsynsbegäran.docx", "A 27199-2025")</f>
        <v/>
      </c>
      <c r="AD26">
        <f>HYPERLINK("https://klasma.github.io/Logging_2101/tillsynsmail/A 27199-2025 tillsynsbegäran mail.docx", "A 27199-2025")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46284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18117-2026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46284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14.1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Vanlig groda
Fläcknycklar</t>
        </is>
      </c>
      <c r="W28">
        <f>HYPERLINK("https://klasma.github.io/Logging_2101/artfynd/A 18117-2026 artfynd.xlsx", "A 18117-2026")</f>
        <v/>
      </c>
      <c r="X28">
        <f>HYPERLINK("https://klasma.github.io/Logging_2101/kartor/A 18117-2026 karta.png", "A 18117-2026")</f>
        <v/>
      </c>
      <c r="Y28">
        <f>HYPERLINK("https://klasma.github.io/Logging_2101/kartor_geotiff/A 18117-2026 georefererad karta.tif", "A 18117-2026")</f>
        <v/>
      </c>
      <c r="AA28">
        <f>HYPERLINK("https://klasma.github.io/Logging_2101/klagomål/A 18117-2026 FSC-klagomål.docx", "A 18117-2026")</f>
        <v/>
      </c>
      <c r="AB28">
        <f>HYPERLINK("https://klasma.github.io/Logging_2101/klagomålsmail/A 18117-2026 FSC-klagomål mail.docx", "A 18117-2026")</f>
        <v/>
      </c>
      <c r="AC28">
        <f>HYPERLINK("https://klasma.github.io/Logging_2101/tillsyn/A 18117-2026 tillsynsbegäran.docx", "A 18117-2026")</f>
        <v/>
      </c>
      <c r="AD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46125</v>
      </c>
      <c r="E29" s="1" t="n">
        <v>46284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5.8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7</v>
      </c>
      <c r="U29" t="n">
        <v>0</v>
      </c>
      <c r="V29" s="2" t="inlineStr">
        <is>
          <t>Vanlig padda
Fläcknycklar</t>
        </is>
      </c>
      <c r="W29">
        <f>HYPERLINK("https://klasma.github.io/Logging_2101/artfynd/A 18120-2026 artfynd.xlsx", "A 18120-2026")</f>
        <v/>
      </c>
      <c r="X29">
        <f>HYPERLINK("https://klasma.github.io/Logging_2101/kartor/A 18120-2026 karta.png", "A 18120-2026")</f>
        <v/>
      </c>
      <c r="Y29">
        <f>HYPERLINK("https://klasma.github.io/Logging_2101/kartor_geotiff/A 18120-2026 georefererad karta.tif", "A 18120-2026")</f>
        <v/>
      </c>
      <c r="AA29">
        <f>HYPERLINK("https://klasma.github.io/Logging_2101/klagomål/A 18120-2026 FSC-klagomål.docx", "A 18120-2026")</f>
        <v/>
      </c>
      <c r="AB29">
        <f>HYPERLINK("https://klasma.github.io/Logging_2101/klagomålsmail/A 18120-2026 FSC-klagomål mail.docx", "A 18120-2026")</f>
        <v/>
      </c>
      <c r="AC29">
        <f>HYPERLINK("https://klasma.github.io/Logging_2101/tillsyn/A 18120-2026 tillsynsbegäran.docx", "A 18120-2026")</f>
        <v/>
      </c>
      <c r="AD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46284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6.5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Motaggsvamp
Lopplummer (aggregat)</t>
        </is>
      </c>
      <c r="W30">
        <f>HYPERLINK("https://klasma.github.io/Logging_2101/artfynd/A 20299-2026 artfynd.xlsx", "A 20299-2026")</f>
        <v/>
      </c>
      <c r="X30">
        <f>HYPERLINK("https://klasma.github.io/Logging_2101/kartor/A 20299-2026 karta.png", "A 20299-2026")</f>
        <v/>
      </c>
      <c r="Y30">
        <f>HYPERLINK("https://klasma.github.io/Logging_2101/kartor_geotiff/A 20299-2026 georefererad karta.tif", "A 20299-2026")</f>
        <v/>
      </c>
      <c r="AA30">
        <f>HYPERLINK("https://klasma.github.io/Logging_2101/klagomål/A 20299-2026 FSC-klagomål.docx", "A 20299-2026")</f>
        <v/>
      </c>
      <c r="AB30">
        <f>HYPERLINK("https://klasma.github.io/Logging_2101/klagomålsmail/A 20299-2026 FSC-klagomål mail.docx", "A 20299-2026")</f>
        <v/>
      </c>
      <c r="AC30">
        <f>HYPERLINK("https://klasma.github.io/Logging_2101/tillsyn/A 20299-2026 tillsynsbegäran.docx", "A 20299-2026")</f>
        <v/>
      </c>
      <c r="AD30">
        <f>HYPERLINK("https://klasma.github.io/Logging_2101/tillsynsmail/A 20299-2026 tillsynsbegäran mail.docx", "A 20299-2026")</f>
        <v/>
      </c>
    </row>
    <row r="31" ht="15" customHeight="1">
      <c r="A31" t="inlineStr">
        <is>
          <t>A 2201-2026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46284</v>
      </c>
      <c r="F31" t="inlineStr">
        <is>
          <t>GÄVLEBORGS LÄN</t>
        </is>
      </c>
      <c r="G31" t="inlineStr">
        <is>
          <t>OCKELBO</t>
        </is>
      </c>
      <c r="I31" t="n">
        <v>2.4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Korallrot
Revlummer</t>
        </is>
      </c>
      <c r="W31">
        <f>HYPERLINK("https://klasma.github.io/Logging_2101/artfynd/A 2201-2026 artfynd.xlsx", "A 2201-2026")</f>
        <v/>
      </c>
      <c r="X31">
        <f>HYPERLINK("https://klasma.github.io/Logging_2101/kartor/A 2201-2026 karta.png", "A 2201-2026")</f>
        <v/>
      </c>
      <c r="Y31">
        <f>HYPERLINK("https://klasma.github.io/Logging_2101/kartor_geotiff/A 2201-2026 georefererad karta.tif", "A 2201-2026")</f>
        <v/>
      </c>
      <c r="AA31">
        <f>HYPERLINK("https://klasma.github.io/Logging_2101/klagomål/A 2201-2026 FSC-klagomål.docx", "A 2201-2026")</f>
        <v/>
      </c>
      <c r="AB31">
        <f>HYPERLINK("https://klasma.github.io/Logging_2101/klagomålsmail/A 2201-2026 FSC-klagomål mail.docx", "A 2201-2026")</f>
        <v/>
      </c>
      <c r="AC31">
        <f>HYPERLINK("https://klasma.github.io/Logging_2101/tillsyn/A 2201-2026 tillsynsbegäran.docx", "A 2201-2026")</f>
        <v/>
      </c>
      <c r="AD31">
        <f>HYPERLINK("https://klasma.github.io/Logging_2101/tillsynsmail/A 2201-2026 tillsynsbegäran mail.docx", "A 2201-2026")</f>
        <v/>
      </c>
    </row>
    <row r="32" ht="15" customHeight="1">
      <c r="A32" t="inlineStr">
        <is>
          <t>A 4180-2026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46284</v>
      </c>
      <c r="F32" t="inlineStr">
        <is>
          <t>GÄVLEBORGS LÄN</t>
        </is>
      </c>
      <c r="G32" t="inlineStr">
        <is>
          <t>OCKELBO</t>
        </is>
      </c>
      <c r="I32" t="n">
        <v>15.9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Tjäder
Revlummer</t>
        </is>
      </c>
      <c r="W32">
        <f>HYPERLINK("https://klasma.github.io/Logging_2101/artfynd/A 4180-2026 artfynd.xlsx", "A 4180-2026")</f>
        <v/>
      </c>
      <c r="X32">
        <f>HYPERLINK("https://klasma.github.io/Logging_2101/kartor/A 4180-2026 karta.png", "A 4180-2026")</f>
        <v/>
      </c>
      <c r="Y32">
        <f>HYPERLINK("https://klasma.github.io/Logging_2101/kartor_geotiff/A 4180-2026 georefererad karta.tif", "A 4180-2026")</f>
        <v/>
      </c>
      <c r="AA32">
        <f>HYPERLINK("https://klasma.github.io/Logging_2101/klagomål/A 4180-2026 FSC-klagomål.docx", "A 4180-2026")</f>
        <v/>
      </c>
      <c r="AB32">
        <f>HYPERLINK("https://klasma.github.io/Logging_2101/klagomålsmail/A 4180-2026 FSC-klagomål mail.docx", "A 4180-2026")</f>
        <v/>
      </c>
      <c r="AC32">
        <f>HYPERLINK("https://klasma.github.io/Logging_2101/tillsyn/A 4180-2026 tillsynsbegäran.docx", "A 4180-2026")</f>
        <v/>
      </c>
      <c r="AD32">
        <f>HYPERLINK("https://klasma.github.io/Logging_2101/tillsynsmail/A 4180-2026 tillsynsbegäran mail.docx", "A 4180-2026")</f>
        <v/>
      </c>
      <c r="AE32">
        <f>HYPERLINK("https://klasma.github.io/Logging_2101/fåglar/A 4180-2026 prioriterade fågelarter.docx", "A 4180-2026")</f>
        <v/>
      </c>
    </row>
    <row r="33" ht="15" customHeight="1">
      <c r="A33" t="inlineStr">
        <is>
          <t>A 17107-2026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46114</v>
      </c>
      <c r="E33" s="1" t="n">
        <v>46284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36.8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Fläcknycklar
Revlummer</t>
        </is>
      </c>
      <c r="W33">
        <f>HYPERLINK("https://klasma.github.io/Logging_2101/artfynd/A 17107-2026 artfynd.xlsx", "A 17107-2026")</f>
        <v/>
      </c>
      <c r="X33">
        <f>HYPERLINK("https://klasma.github.io/Logging_2101/kartor/A 17107-2026 karta.png", "A 17107-2026")</f>
        <v/>
      </c>
      <c r="Y33">
        <f>HYPERLINK("https://klasma.github.io/Logging_2101/kartor_geotiff/A 17107-2026 georefererad karta.tif", "A 17107-2026")</f>
        <v/>
      </c>
      <c r="AA33">
        <f>HYPERLINK("https://klasma.github.io/Logging_2101/klagomål/A 17107-2026 FSC-klagomål.docx", "A 17107-2026")</f>
        <v/>
      </c>
      <c r="AB33">
        <f>HYPERLINK("https://klasma.github.io/Logging_2101/klagomålsmail/A 17107-2026 FSC-klagomål mail.docx", "A 17107-2026")</f>
        <v/>
      </c>
      <c r="AC33">
        <f>HYPERLINK("https://klasma.github.io/Logging_2101/tillsyn/A 17107-2026 tillsynsbegäran.docx", "A 17107-2026")</f>
        <v/>
      </c>
      <c r="AD33">
        <f>HYPERLINK("https://klasma.github.io/Logging_2101/tillsynsmail/A 17107-2026 tillsynsbegäran mail.docx", "A 17107-2026")</f>
        <v/>
      </c>
    </row>
    <row r="34" ht="15" customHeight="1">
      <c r="A34" t="inlineStr">
        <is>
          <t>A 19145-2026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46132</v>
      </c>
      <c r="E34" s="1" t="n">
        <v>46284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11.9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Garnlav
Revlummer</t>
        </is>
      </c>
      <c r="W34">
        <f>HYPERLINK("https://klasma.github.io/Logging_2101/artfynd/A 19145-2026 artfynd.xlsx", "A 19145-2026")</f>
        <v/>
      </c>
      <c r="X34">
        <f>HYPERLINK("https://klasma.github.io/Logging_2101/kartor/A 19145-2026 karta.png", "A 19145-2026")</f>
        <v/>
      </c>
      <c r="Y34">
        <f>HYPERLINK("https://klasma.github.io/Logging_2101/kartor_geotiff/A 19145-2026 georefererad karta.tif", "A 19145-2026")</f>
        <v/>
      </c>
      <c r="AA34">
        <f>HYPERLINK("https://klasma.github.io/Logging_2101/klagomål/A 19145-2026 FSC-klagomål.docx", "A 19145-2026")</f>
        <v/>
      </c>
      <c r="AB34">
        <f>HYPERLINK("https://klasma.github.io/Logging_2101/klagomålsmail/A 19145-2026 FSC-klagomål mail.docx", "A 19145-2026")</f>
        <v/>
      </c>
      <c r="AC34">
        <f>HYPERLINK("https://klasma.github.io/Logging_2101/tillsyn/A 19145-2026 tillsynsbegäran.docx", "A 19145-2026")</f>
        <v/>
      </c>
      <c r="AD34">
        <f>HYPERLINK("https://klasma.github.io/Logging_2101/tillsynsmail/A 19145-2026 tillsynsbegäran mail.docx", "A 19145-2026")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46284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46284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46284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46284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46284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22821-2024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45448</v>
      </c>
      <c r="E40" s="1" t="n">
        <v>46284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HYPERLINK("https://klasma.github.io/Logging_2101/artfynd/A 22821-2024 artfynd.xlsx", "A 22821-2024")</f>
        <v/>
      </c>
      <c r="X40">
        <f>HYPERLINK("https://klasma.github.io/Logging_2101/kartor/A 22821-2024 karta.png", "A 22821-2024")</f>
        <v/>
      </c>
      <c r="Y40">
        <f>HYPERLINK("https://klasma.github.io/Logging_2101/kartor_geotiff/A 22821-2024 georefererad karta.tif", "A 22821-2024")</f>
        <v/>
      </c>
      <c r="AA40">
        <f>HYPERLINK("https://klasma.github.io/Logging_2101/klagomål/A 22821-2024 FSC-klagomål.docx", "A 22821-2024")</f>
        <v/>
      </c>
      <c r="AB40">
        <f>HYPERLINK("https://klasma.github.io/Logging_2101/klagomålsmail/A 22821-2024 FSC-klagomål mail.docx", "A 22821-2024")</f>
        <v/>
      </c>
      <c r="AC40">
        <f>HYPERLINK("https://klasma.github.io/Logging_2101/tillsyn/A 22821-2024 tillsynsbegäran.docx", "A 22821-2024")</f>
        <v/>
      </c>
      <c r="AD40">
        <f>HYPERLINK("https://klasma.github.io/Logging_2101/tillsynsmail/A 22821-2024 tillsynsbegäran mail.docx", "A 22821-2024")</f>
        <v/>
      </c>
    </row>
    <row r="41" ht="15" customHeight="1">
      <c r="A41" t="inlineStr">
        <is>
          <t>A 9155-2026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46284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Kolflarnlav</t>
        </is>
      </c>
      <c r="W41">
        <f>HYPERLINK("https://klasma.github.io/Logging_2101/artfynd/A 9155-2026 artfynd.xlsx", "A 9155-2026")</f>
        <v/>
      </c>
      <c r="X41">
        <f>HYPERLINK("https://klasma.github.io/Logging_2101/kartor/A 9155-2026 karta.png", "A 9155-2026")</f>
        <v/>
      </c>
      <c r="Y41">
        <f>HYPERLINK("https://klasma.github.io/Logging_2101/kartor_geotiff/A 9155-2026 georefererad karta.tif", "A 9155-2026")</f>
        <v/>
      </c>
      <c r="AA41">
        <f>HYPERLINK("https://klasma.github.io/Logging_2101/klagomål/A 9155-2026 FSC-klagomål.docx", "A 9155-2026")</f>
        <v/>
      </c>
      <c r="AB41">
        <f>HYPERLINK("https://klasma.github.io/Logging_2101/klagomålsmail/A 9155-2026 FSC-klagomål mail.docx", "A 9155-2026")</f>
        <v/>
      </c>
      <c r="AC41">
        <f>HYPERLINK("https://klasma.github.io/Logging_2101/tillsyn/A 9155-2026 tillsynsbegäran.docx", "A 9155-2026")</f>
        <v/>
      </c>
      <c r="AD41">
        <f>HYPERLINK("https://klasma.github.io/Logging_2101/tillsynsmail/A 9155-2026 tillsynsbegäran mail.docx", "A 9155-2026")</f>
        <v/>
      </c>
    </row>
    <row r="42" ht="15" customHeight="1">
      <c r="A42" t="inlineStr">
        <is>
          <t>A 26448-2024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45469</v>
      </c>
      <c r="E42" s="1" t="n">
        <v>46284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4.5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HYPERLINK("https://klasma.github.io/Logging_2101/artfynd/A 26448-2024 artfynd.xlsx", "A 26448-2024")</f>
        <v/>
      </c>
      <c r="X42">
        <f>HYPERLINK("https://klasma.github.io/Logging_2101/kartor/A 26448-2024 karta.png", "A 26448-2024")</f>
        <v/>
      </c>
      <c r="Y42">
        <f>HYPERLINK("https://klasma.github.io/Logging_2101/kartor_geotiff/A 26448-2024 georefererad karta.tif", "A 26448-2024")</f>
        <v/>
      </c>
      <c r="AA42">
        <f>HYPERLINK("https://klasma.github.io/Logging_2101/klagomål/A 26448-2024 FSC-klagomål.docx", "A 26448-2024")</f>
        <v/>
      </c>
      <c r="AB42">
        <f>HYPERLINK("https://klasma.github.io/Logging_2101/klagomålsmail/A 26448-2024 FSC-klagomål mail.docx", "A 26448-2024")</f>
        <v/>
      </c>
      <c r="AC42">
        <f>HYPERLINK("https://klasma.github.io/Logging_2101/tillsyn/A 26448-2024 tillsynsbegäran.docx", "A 26448-2024")</f>
        <v/>
      </c>
      <c r="AD42">
        <f>HYPERLINK("https://klasma.github.io/Logging_2101/tillsynsmail/A 26448-2024 tillsynsbegäran mail.docx", "A 26448-2024")</f>
        <v/>
      </c>
    </row>
    <row r="43" ht="15" customHeight="1">
      <c r="A43" t="inlineStr">
        <is>
          <t>A 20233-2026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46139</v>
      </c>
      <c r="E43" s="1" t="n">
        <v>46284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17.9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0</v>
      </c>
      <c r="V43" s="2" t="inlineStr">
        <is>
          <t>Tibast</t>
        </is>
      </c>
      <c r="W43">
        <f>HYPERLINK("https://klasma.github.io/Logging_2101/artfynd/A 20233-2026 artfynd.xlsx", "A 20233-2026")</f>
        <v/>
      </c>
      <c r="X43">
        <f>HYPERLINK("https://klasma.github.io/Logging_2101/kartor/A 20233-2026 karta.png", "A 20233-2026")</f>
        <v/>
      </c>
      <c r="Y43">
        <f>HYPERLINK("https://klasma.github.io/Logging_2101/kartor_geotiff/A 20233-2026 georefererad karta.tif", "A 20233-2026")</f>
        <v/>
      </c>
      <c r="AA43">
        <f>HYPERLINK("https://klasma.github.io/Logging_2101/klagomål/A 20233-2026 FSC-klagomål.docx", "A 20233-2026")</f>
        <v/>
      </c>
      <c r="AB43">
        <f>HYPERLINK("https://klasma.github.io/Logging_2101/klagomålsmail/A 20233-2026 FSC-klagomål mail.docx", "A 20233-2026")</f>
        <v/>
      </c>
      <c r="AC43">
        <f>HYPERLINK("https://klasma.github.io/Logging_2101/tillsyn/A 20233-2026 tillsynsbegäran.docx", "A 20233-2026")</f>
        <v/>
      </c>
      <c r="AD43">
        <f>HYPERLINK("https://klasma.github.io/Logging_2101/tillsynsmail/A 20233-2026 tillsynsbegäran mail.docx", "A 20233-2026")</f>
        <v/>
      </c>
    </row>
    <row r="44" ht="15" customHeight="1">
      <c r="A44" t="inlineStr">
        <is>
          <t>A 15039-2026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46104</v>
      </c>
      <c r="E44" s="1" t="n">
        <v>46284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18.2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HYPERLINK("https://klasma.github.io/Logging_2101/artfynd/A 15039-2026 artfynd.xlsx", "A 15039-2026")</f>
        <v/>
      </c>
      <c r="X44">
        <f>HYPERLINK("https://klasma.github.io/Logging_2101/kartor/A 15039-2026 karta.png", "A 15039-2026")</f>
        <v/>
      </c>
      <c r="Y44">
        <f>HYPERLINK("https://klasma.github.io/Logging_2101/kartor_geotiff/A 15039-2026 georefererad karta.tif", "A 15039-2026")</f>
        <v/>
      </c>
      <c r="AA44">
        <f>HYPERLINK("https://klasma.github.io/Logging_2101/klagomål/A 15039-2026 FSC-klagomål.docx", "A 15039-2026")</f>
        <v/>
      </c>
      <c r="AB44">
        <f>HYPERLINK("https://klasma.github.io/Logging_2101/klagomålsmail/A 15039-2026 FSC-klagomål mail.docx", "A 15039-2026")</f>
        <v/>
      </c>
      <c r="AC44">
        <f>HYPERLINK("https://klasma.github.io/Logging_2101/tillsyn/A 15039-2026 tillsynsbegäran.docx", "A 15039-2026")</f>
        <v/>
      </c>
      <c r="AD44">
        <f>HYPERLINK("https://klasma.github.io/Logging_2101/tillsynsmail/A 15039-2026 tillsynsbegäran mail.docx", "A 15039-2026")</f>
        <v/>
      </c>
      <c r="AE44">
        <f>HYPERLINK("https://klasma.github.io/Logging_2101/fåglar/A 15039-2026 prioriterade fågelarter.docx", "A 15039-2026")</f>
        <v/>
      </c>
    </row>
    <row r="45" ht="15" customHeight="1">
      <c r="A45" t="inlineStr">
        <is>
          <t>A 11970-2026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46284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Järpe</t>
        </is>
      </c>
      <c r="W45">
        <f>HYPERLINK("https://klasma.github.io/Logging_2101/artfynd/A 11970-2026 artfynd.xlsx", "A 11970-2026")</f>
        <v/>
      </c>
      <c r="X45">
        <f>HYPERLINK("https://klasma.github.io/Logging_2101/kartor/A 11970-2026 karta.png", "A 11970-2026")</f>
        <v/>
      </c>
      <c r="Y45">
        <f>HYPERLINK("https://klasma.github.io/Logging_2101/kartor_geotiff/A 11970-2026 georefererad karta.tif", "A 11970-2026")</f>
        <v/>
      </c>
      <c r="AA45">
        <f>HYPERLINK("https://klasma.github.io/Logging_2101/klagomål/A 11970-2026 FSC-klagomål.docx", "A 11970-2026")</f>
        <v/>
      </c>
      <c r="AB45">
        <f>HYPERLINK("https://klasma.github.io/Logging_2101/klagomålsmail/A 11970-2026 FSC-klagomål mail.docx", "A 11970-2026")</f>
        <v/>
      </c>
      <c r="AC45">
        <f>HYPERLINK("https://klasma.github.io/Logging_2101/tillsyn/A 11970-2026 tillsynsbegäran.docx", "A 11970-2026")</f>
        <v/>
      </c>
      <c r="AD45">
        <f>HYPERLINK("https://klasma.github.io/Logging_2101/tillsynsmail/A 11970-2026 tillsynsbegäran mail.docx", "A 11970-2026")</f>
        <v/>
      </c>
      <c r="AE45">
        <f>HYPERLINK("https://klasma.github.io/Logging_2101/fåglar/A 11970-2026 prioriterade fågelarter.docx", "A 11970-2026")</f>
        <v/>
      </c>
    </row>
    <row r="46" ht="15" customHeight="1">
      <c r="A46" t="inlineStr">
        <is>
          <t>A 10448-2026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46077</v>
      </c>
      <c r="E46" s="1" t="n">
        <v>46284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3.6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Plattlummer</t>
        </is>
      </c>
      <c r="W46">
        <f>HYPERLINK("https://klasma.github.io/Logging_2101/artfynd/A 10448-2026 artfynd.xlsx", "A 10448-2026")</f>
        <v/>
      </c>
      <c r="X46">
        <f>HYPERLINK("https://klasma.github.io/Logging_2101/kartor/A 10448-2026 karta.png", "A 10448-2026")</f>
        <v/>
      </c>
      <c r="Y46">
        <f>HYPERLINK("https://klasma.github.io/Logging_2101/kartor_geotiff/A 10448-2026 georefererad karta.tif", "A 10448-2026")</f>
        <v/>
      </c>
      <c r="AA46">
        <f>HYPERLINK("https://klasma.github.io/Logging_2101/klagomål/A 10448-2026 FSC-klagomål.docx", "A 10448-2026")</f>
        <v/>
      </c>
      <c r="AB46">
        <f>HYPERLINK("https://klasma.github.io/Logging_2101/klagomålsmail/A 10448-2026 FSC-klagomål mail.docx", "A 10448-2026")</f>
        <v/>
      </c>
      <c r="AC46">
        <f>HYPERLINK("https://klasma.github.io/Logging_2101/tillsyn/A 10448-2026 tillsynsbegäran.docx", "A 10448-2026")</f>
        <v/>
      </c>
      <c r="AD46">
        <f>HYPERLINK("https://klasma.github.io/Logging_2101/tillsynsmail/A 10448-2026 tillsynsbegäran mail.docx", "A 10448-2026")</f>
        <v/>
      </c>
    </row>
    <row r="47" ht="15" customHeight="1">
      <c r="A47" t="inlineStr">
        <is>
          <t>A 60615-2021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46284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Vanlig padda</t>
        </is>
      </c>
      <c r="W47">
        <f>HYPERLINK("https://klasma.github.io/Logging_2101/artfynd/A 60615-2021 artfynd.xlsx", "A 60615-2021")</f>
        <v/>
      </c>
      <c r="X47">
        <f>HYPERLINK("https://klasma.github.io/Logging_2101/kartor/A 60615-2021 karta.png", "A 60615-2021")</f>
        <v/>
      </c>
      <c r="Y47">
        <f>HYPERLINK("https://klasma.github.io/Logging_2101/kartor_geotiff/A 60615-2021 georefererad karta.tif", "A 60615-2021")</f>
        <v/>
      </c>
      <c r="AA47">
        <f>HYPERLINK("https://klasma.github.io/Logging_2101/klagomål/A 60615-2021 FSC-klagomål.docx", "A 60615-2021")</f>
        <v/>
      </c>
      <c r="AB47">
        <f>HYPERLINK("https://klasma.github.io/Logging_2101/klagomålsmail/A 60615-2021 FSC-klagomål mail.docx", "A 60615-2021")</f>
        <v/>
      </c>
      <c r="AC47">
        <f>HYPERLINK("https://klasma.github.io/Logging_2101/tillsyn/A 60615-2021 tillsynsbegäran.docx", "A 60615-2021")</f>
        <v/>
      </c>
      <c r="AD47">
        <f>HYPERLINK("https://klasma.github.io/Logging_2101/tillsynsmail/A 60615-2021 tillsynsbegäran mail.docx", "A 60615-2021")</f>
        <v/>
      </c>
    </row>
    <row r="48" ht="15" customHeight="1">
      <c r="A48" t="inlineStr">
        <is>
          <t>A 57946-2023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46284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Revlummer</t>
        </is>
      </c>
      <c r="W48">
        <f>HYPERLINK("https://klasma.github.io/Logging_2101/artfynd/A 57946-2023 artfynd.xlsx", "A 57946-2023")</f>
        <v/>
      </c>
      <c r="X48">
        <f>HYPERLINK("https://klasma.github.io/Logging_2101/kartor/A 57946-2023 karta.png", "A 57946-2023")</f>
        <v/>
      </c>
      <c r="Y48">
        <f>HYPERLINK("https://klasma.github.io/Logging_2101/kartor_geotiff/A 57946-2023 georefererad karta.tif", "A 57946-2023")</f>
        <v/>
      </c>
      <c r="AA48">
        <f>HYPERLINK("https://klasma.github.io/Logging_2101/klagomål/A 57946-2023 FSC-klagomål.docx", "A 57946-2023")</f>
        <v/>
      </c>
      <c r="AB48">
        <f>HYPERLINK("https://klasma.github.io/Logging_2101/klagomålsmail/A 57946-2023 FSC-klagomål mail.docx", "A 57946-2023")</f>
        <v/>
      </c>
      <c r="AC48">
        <f>HYPERLINK("https://klasma.github.io/Logging_2101/tillsyn/A 57946-2023 tillsynsbegäran.docx", "A 57946-2023")</f>
        <v/>
      </c>
      <c r="AD48">
        <f>HYPERLINK("https://klasma.github.io/Logging_2101/tillsynsmail/A 57946-2023 tillsynsbegäran mail.docx", "A 57946-2023")</f>
        <v/>
      </c>
    </row>
    <row r="49" ht="15" customHeight="1">
      <c r="A49" t="inlineStr">
        <is>
          <t>A 46481-2024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45582</v>
      </c>
      <c r="E49" s="1" t="n">
        <v>46284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HYPERLINK("https://klasma.github.io/Logging_2101/artfynd/A 46481-2024 artfynd.xlsx", "A 46481-2024")</f>
        <v/>
      </c>
      <c r="X49">
        <f>HYPERLINK("https://klasma.github.io/Logging_2101/kartor/A 46481-2024 karta.png", "A 46481-2024")</f>
        <v/>
      </c>
      <c r="Y49">
        <f>HYPERLINK("https://klasma.github.io/Logging_2101/kartor_geotiff/A 46481-2024 georefererad karta.tif", "A 46481-2024")</f>
        <v/>
      </c>
      <c r="AA49">
        <f>HYPERLINK("https://klasma.github.io/Logging_2101/klagomål/A 46481-2024 FSC-klagomål.docx", "A 46481-2024")</f>
        <v/>
      </c>
      <c r="AB49">
        <f>HYPERLINK("https://klasma.github.io/Logging_2101/klagomålsmail/A 46481-2024 FSC-klagomål mail.docx", "A 46481-2024")</f>
        <v/>
      </c>
      <c r="AC49">
        <f>HYPERLINK("https://klasma.github.io/Logging_2101/tillsyn/A 46481-2024 tillsynsbegäran.docx", "A 46481-2024")</f>
        <v/>
      </c>
      <c r="AD49">
        <f>HYPERLINK("https://klasma.github.io/Logging_2101/tillsynsmail/A 46481-2024 tillsynsbegäran mail.docx", "A 46481-2024")</f>
        <v/>
      </c>
    </row>
    <row r="50" ht="15" customHeight="1">
      <c r="A50" t="inlineStr">
        <is>
          <t>A 55778-2025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45972</v>
      </c>
      <c r="E50" s="1" t="n">
        <v>46284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HYPERLINK("https://klasma.github.io/Logging_2101/artfynd/A 55778-2025 artfynd.xlsx", "A 55778-2025")</f>
        <v/>
      </c>
      <c r="X50">
        <f>HYPERLINK("https://klasma.github.io/Logging_2101/kartor/A 55778-2025 karta.png", "A 55778-2025")</f>
        <v/>
      </c>
      <c r="Y50">
        <f>HYPERLINK("https://klasma.github.io/Logging_2101/kartor_geotiff/A 55778-2025 georefererad karta.tif", "A 55778-2025")</f>
        <v/>
      </c>
      <c r="AA50">
        <f>HYPERLINK("https://klasma.github.io/Logging_2101/klagomål/A 55778-2025 FSC-klagomål.docx", "A 55778-2025")</f>
        <v/>
      </c>
      <c r="AB50">
        <f>HYPERLINK("https://klasma.github.io/Logging_2101/klagomålsmail/A 55778-2025 FSC-klagomål mail.docx", "A 55778-2025")</f>
        <v/>
      </c>
      <c r="AC50">
        <f>HYPERLINK("https://klasma.github.io/Logging_2101/tillsyn/A 55778-2025 tillsynsbegäran.docx", "A 55778-2025")</f>
        <v/>
      </c>
      <c r="AD50">
        <f>HYPERLINK("https://klasma.github.io/Logging_2101/tillsynsmail/A 55778-2025 tillsynsbegäran mail.docx", "A 55778-2025")</f>
        <v/>
      </c>
    </row>
    <row r="51" ht="15" customHeight="1">
      <c r="A51" t="inlineStr">
        <is>
          <t>A 62989-2025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46009</v>
      </c>
      <c r="E51" s="1" t="n">
        <v>46284</v>
      </c>
      <c r="F51" t="inlineStr">
        <is>
          <t>GÄVLEBORGS LÄN</t>
        </is>
      </c>
      <c r="G51" t="inlineStr">
        <is>
          <t>OCKELBO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HYPERLINK("https://klasma.github.io/Logging_2101/artfynd/A 62989-2025 artfynd.xlsx", "A 62989-2025")</f>
        <v/>
      </c>
      <c r="X51">
        <f>HYPERLINK("https://klasma.github.io/Logging_2101/kartor/A 62989-2025 karta.png", "A 62989-2025")</f>
        <v/>
      </c>
      <c r="Y51">
        <f>HYPERLINK("https://klasma.github.io/Logging_2101/kartor_geotiff/A 62989-2025 georefererad karta.tif", "A 62989-2025")</f>
        <v/>
      </c>
      <c r="AA51">
        <f>HYPERLINK("https://klasma.github.io/Logging_2101/klagomål/A 62989-2025 FSC-klagomål.docx", "A 62989-2025")</f>
        <v/>
      </c>
      <c r="AB51">
        <f>HYPERLINK("https://klasma.github.io/Logging_2101/klagomålsmail/A 62989-2025 FSC-klagomål mail.docx", "A 62989-2025")</f>
        <v/>
      </c>
      <c r="AC51">
        <f>HYPERLINK("https://klasma.github.io/Logging_2101/tillsyn/A 62989-2025 tillsynsbegäran.docx", "A 62989-2025")</f>
        <v/>
      </c>
      <c r="AD51">
        <f>HYPERLINK("https://klasma.github.io/Logging_2101/tillsynsmail/A 62989-2025 tillsynsbegäran mail.docx", "A 62989-2025")</f>
        <v/>
      </c>
    </row>
    <row r="52" ht="15" customHeight="1">
      <c r="A52" t="inlineStr">
        <is>
          <t>A 2923-2026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46038</v>
      </c>
      <c r="E52" s="1" t="n">
        <v>46284</v>
      </c>
      <c r="F52" t="inlineStr">
        <is>
          <t>GÄVLEBORGS LÄN</t>
        </is>
      </c>
      <c r="G52" t="inlineStr">
        <is>
          <t>OCKELBO</t>
        </is>
      </c>
      <c r="I52" t="n">
        <v>2.8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HYPERLINK("https://klasma.github.io/Logging_2101/artfynd/A 2923-2026 artfynd.xlsx", "A 2923-2026")</f>
        <v/>
      </c>
      <c r="X52">
        <f>HYPERLINK("https://klasma.github.io/Logging_2101/kartor/A 2923-2026 karta.png", "A 2923-2026")</f>
        <v/>
      </c>
      <c r="Y52">
        <f>HYPERLINK("https://klasma.github.io/Logging_2101/kartor_geotiff/A 2923-2026 georefererad karta.tif", "A 2923-2026")</f>
        <v/>
      </c>
      <c r="Z52">
        <f>HYPERLINK("https://klasma.github.io/Logging_2101/knärot/A 2923-2026 karta knärot.png", "A 2923-2026")</f>
        <v/>
      </c>
      <c r="AA52">
        <f>HYPERLINK("https://klasma.github.io/Logging_2101/klagomål/A 2923-2026 FSC-klagomål.docx", "A 2923-2026")</f>
        <v/>
      </c>
      <c r="AB52">
        <f>HYPERLINK("https://klasma.github.io/Logging_2101/klagomålsmail/A 2923-2026 FSC-klagomål mail.docx", "A 2923-2026")</f>
        <v/>
      </c>
      <c r="AC52">
        <f>HYPERLINK("https://klasma.github.io/Logging_2101/tillsyn/A 2923-2026 tillsynsbegäran.docx", "A 2923-2026")</f>
        <v/>
      </c>
      <c r="AD52">
        <f>HYPERLINK("https://klasma.github.io/Logging_2101/tillsynsmail/A 2923-2026 tillsynsbegäran mail.docx", "A 2923-2026")</f>
        <v/>
      </c>
    </row>
    <row r="53" ht="15" customHeight="1">
      <c r="A53" t="inlineStr">
        <is>
          <t>A 6121-2026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46053</v>
      </c>
      <c r="E53" s="1" t="n">
        <v>46284</v>
      </c>
      <c r="F53" t="inlineStr">
        <is>
          <t>GÄVLEBORGS LÄN</t>
        </is>
      </c>
      <c r="G53" t="inlineStr">
        <is>
          <t>OCKELBO</t>
        </is>
      </c>
      <c r="I53" t="n">
        <v>2.6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HYPERLINK("https://klasma.github.io/Logging_2101/artfynd/A 6121-2026 artfynd.xlsx", "A 6121-2026")</f>
        <v/>
      </c>
      <c r="X53">
        <f>HYPERLINK("https://klasma.github.io/Logging_2101/kartor/A 6121-2026 karta.png", "A 6121-2026")</f>
        <v/>
      </c>
      <c r="Y53">
        <f>HYPERLINK("https://klasma.github.io/Logging_2101/kartor_geotiff/A 6121-2026 georefererad karta.tif", "A 6121-2026")</f>
        <v/>
      </c>
      <c r="AA53">
        <f>HYPERLINK("https://klasma.github.io/Logging_2101/klagomål/A 6121-2026 FSC-klagomål.docx", "A 6121-2026")</f>
        <v/>
      </c>
      <c r="AB53">
        <f>HYPERLINK("https://klasma.github.io/Logging_2101/klagomålsmail/A 6121-2026 FSC-klagomål mail.docx", "A 6121-2026")</f>
        <v/>
      </c>
      <c r="AC53">
        <f>HYPERLINK("https://klasma.github.io/Logging_2101/tillsyn/A 6121-2026 tillsynsbegäran.docx", "A 6121-2026")</f>
        <v/>
      </c>
      <c r="AD53">
        <f>HYPERLINK("https://klasma.github.io/Logging_2101/tillsynsmail/A 6121-2026 tillsynsbegäran mail.docx", "A 6121-2026")</f>
        <v/>
      </c>
      <c r="AE53">
        <f>HYPERLINK("https://klasma.github.io/Logging_2101/fåglar/A 6121-2026 prioriterade fågelarter.docx", "A 6121-2026")</f>
        <v/>
      </c>
    </row>
    <row r="54" ht="15" customHeight="1">
      <c r="A54" t="inlineStr">
        <is>
          <t>A 6586-2026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46056</v>
      </c>
      <c r="E54" s="1" t="n">
        <v>46284</v>
      </c>
      <c r="F54" t="inlineStr">
        <is>
          <t>GÄVLEBORGS LÄN</t>
        </is>
      </c>
      <c r="G54" t="inlineStr">
        <is>
          <t>OCKELBO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Igelkott</t>
        </is>
      </c>
      <c r="W54">
        <f>HYPERLINK("https://klasma.github.io/Logging_2101/artfynd/A 6586-2026 artfynd.xlsx", "A 6586-2026")</f>
        <v/>
      </c>
      <c r="X54">
        <f>HYPERLINK("https://klasma.github.io/Logging_2101/kartor/A 6586-2026 karta.png", "A 6586-2026")</f>
        <v/>
      </c>
      <c r="Y54">
        <f>HYPERLINK("https://klasma.github.io/Logging_2101/kartor_geotiff/A 6586-2026 georefererad karta.tif", "A 6586-2026")</f>
        <v/>
      </c>
      <c r="AA54">
        <f>HYPERLINK("https://klasma.github.io/Logging_2101/klagomål/A 6586-2026 FSC-klagomål.docx", "A 6586-2026")</f>
        <v/>
      </c>
      <c r="AB54">
        <f>HYPERLINK("https://klasma.github.io/Logging_2101/klagomålsmail/A 6586-2026 FSC-klagomål mail.docx", "A 6586-2026")</f>
        <v/>
      </c>
      <c r="AC54">
        <f>HYPERLINK("https://klasma.github.io/Logging_2101/tillsyn/A 6586-2026 tillsynsbegäran.docx", "A 6586-2026")</f>
        <v/>
      </c>
      <c r="AD54">
        <f>HYPERLINK("https://klasma.github.io/Logging_2101/tillsynsmail/A 6586-2026 tillsynsbegäran mail.docx", "A 6586-2026")</f>
        <v/>
      </c>
    </row>
    <row r="55" ht="15" customHeight="1">
      <c r="A55" t="inlineStr">
        <is>
          <t>A 10484-2026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46077</v>
      </c>
      <c r="E55" s="1" t="n">
        <v>46284</v>
      </c>
      <c r="F55" t="inlineStr">
        <is>
          <t>GÄVLEBORGS LÄN</t>
        </is>
      </c>
      <c r="G55" t="inlineStr">
        <is>
          <t>OCKELBO</t>
        </is>
      </c>
      <c r="I55" t="n">
        <v>1.8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Ullticka</t>
        </is>
      </c>
      <c r="W55">
        <f>HYPERLINK("https://klasma.github.io/Logging_2101/artfynd/A 10484-2026 artfynd.xlsx", "A 10484-2026")</f>
        <v/>
      </c>
      <c r="X55">
        <f>HYPERLINK("https://klasma.github.io/Logging_2101/kartor/A 10484-2026 karta.png", "A 10484-2026")</f>
        <v/>
      </c>
      <c r="Y55">
        <f>HYPERLINK("https://klasma.github.io/Logging_2101/kartor_geotiff/A 10484-2026 georefererad karta.tif", "A 10484-2026")</f>
        <v/>
      </c>
      <c r="AA55">
        <f>HYPERLINK("https://klasma.github.io/Logging_2101/klagomål/A 10484-2026 FSC-klagomål.docx", "A 10484-2026")</f>
        <v/>
      </c>
      <c r="AB55">
        <f>HYPERLINK("https://klasma.github.io/Logging_2101/klagomålsmail/A 10484-2026 FSC-klagomål mail.docx", "A 10484-2026")</f>
        <v/>
      </c>
      <c r="AC55">
        <f>HYPERLINK("https://klasma.github.io/Logging_2101/tillsyn/A 10484-2026 tillsynsbegäran.docx", "A 10484-2026")</f>
        <v/>
      </c>
      <c r="AD55">
        <f>HYPERLINK("https://klasma.github.io/Logging_2101/tillsynsmail/A 10484-2026 tillsynsbegäran mail.docx", "A 10484-2026")</f>
        <v/>
      </c>
    </row>
    <row r="56" ht="15" customHeight="1">
      <c r="A56" t="inlineStr">
        <is>
          <t>A 13640-2026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46284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Mattlummer</t>
        </is>
      </c>
      <c r="W56">
        <f>HYPERLINK("https://klasma.github.io/Logging_2101/artfynd/A 13640-2026 artfynd.xlsx", "A 13640-2026")</f>
        <v/>
      </c>
      <c r="X56">
        <f>HYPERLINK("https://klasma.github.io/Logging_2101/kartor/A 13640-2026 karta.png", "A 13640-2026")</f>
        <v/>
      </c>
      <c r="Y56">
        <f>HYPERLINK("https://klasma.github.io/Logging_2101/kartor_geotiff/A 13640-2026 georefererad karta.tif", "A 13640-2026")</f>
        <v/>
      </c>
      <c r="AA56">
        <f>HYPERLINK("https://klasma.github.io/Logging_2101/klagomål/A 13640-2026 FSC-klagomål.docx", "A 13640-2026")</f>
        <v/>
      </c>
      <c r="AB56">
        <f>HYPERLINK("https://klasma.github.io/Logging_2101/klagomålsmail/A 13640-2026 FSC-klagomål mail.docx", "A 13640-2026")</f>
        <v/>
      </c>
      <c r="AC56">
        <f>HYPERLINK("https://klasma.github.io/Logging_2101/tillsyn/A 13640-2026 tillsynsbegäran.docx", "A 13640-2026")</f>
        <v/>
      </c>
      <c r="AD56">
        <f>HYPERLINK("https://klasma.github.io/Logging_2101/tillsynsmail/A 13640-2026 tillsynsbegäran mail.docx", "A 13640-2026")</f>
        <v/>
      </c>
    </row>
    <row r="57" ht="15" customHeight="1">
      <c r="A57" t="inlineStr">
        <is>
          <t>A 14479-2026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46284</v>
      </c>
      <c r="F57" t="inlineStr">
        <is>
          <t>GÄVLEBORGS LÄN</t>
        </is>
      </c>
      <c r="G57" t="inlineStr">
        <is>
          <t>OCKELBO</t>
        </is>
      </c>
      <c r="I57" t="n">
        <v>4.8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HYPERLINK("https://klasma.github.io/Logging_2101/artfynd/A 14479-2026 artfynd.xlsx", "A 14479-2026")</f>
        <v/>
      </c>
      <c r="X57">
        <f>HYPERLINK("https://klasma.github.io/Logging_2101/kartor/A 14479-2026 karta.png", "A 14479-2026")</f>
        <v/>
      </c>
      <c r="Y57">
        <f>HYPERLINK("https://klasma.github.io/Logging_2101/kartor_geotiff/A 14479-2026 georefererad karta.tif", "A 14479-2026")</f>
        <v/>
      </c>
      <c r="AA57">
        <f>HYPERLINK("https://klasma.github.io/Logging_2101/klagomål/A 14479-2026 FSC-klagomål.docx", "A 14479-2026")</f>
        <v/>
      </c>
      <c r="AB57">
        <f>HYPERLINK("https://klasma.github.io/Logging_2101/klagomålsmail/A 14479-2026 FSC-klagomål mail.docx", "A 14479-2026")</f>
        <v/>
      </c>
      <c r="AC57">
        <f>HYPERLINK("https://klasma.github.io/Logging_2101/tillsyn/A 14479-2026 tillsynsbegäran.docx", "A 14479-2026")</f>
        <v/>
      </c>
      <c r="AD57">
        <f>HYPERLINK("https://klasma.github.io/Logging_2101/tillsynsmail/A 14479-2026 tillsynsbegäran mail.docx", "A 14479-2026")</f>
        <v/>
      </c>
    </row>
    <row r="58" ht="15" customHeight="1">
      <c r="A58" t="inlineStr">
        <is>
          <t>A 14664-2026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46101</v>
      </c>
      <c r="E58" s="1" t="n">
        <v>46284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Tjäder</t>
        </is>
      </c>
      <c r="W58">
        <f>HYPERLINK("https://klasma.github.io/Logging_2101/artfynd/A 14664-2026 artfynd.xlsx", "A 14664-2026")</f>
        <v/>
      </c>
      <c r="X58">
        <f>HYPERLINK("https://klasma.github.io/Logging_2101/kartor/A 14664-2026 karta.png", "A 14664-2026")</f>
        <v/>
      </c>
      <c r="Y58">
        <f>HYPERLINK("https://klasma.github.io/Logging_2101/kartor_geotiff/A 14664-2026 georefererad karta.tif", "A 14664-2026")</f>
        <v/>
      </c>
      <c r="AA58">
        <f>HYPERLINK("https://klasma.github.io/Logging_2101/klagomål/A 14664-2026 FSC-klagomål.docx", "A 14664-2026")</f>
        <v/>
      </c>
      <c r="AB58">
        <f>HYPERLINK("https://klasma.github.io/Logging_2101/klagomålsmail/A 14664-2026 FSC-klagomål mail.docx", "A 14664-2026")</f>
        <v/>
      </c>
      <c r="AC58">
        <f>HYPERLINK("https://klasma.github.io/Logging_2101/tillsyn/A 14664-2026 tillsynsbegäran.docx", "A 14664-2026")</f>
        <v/>
      </c>
      <c r="AD58">
        <f>HYPERLINK("https://klasma.github.io/Logging_2101/tillsynsmail/A 14664-2026 tillsynsbegäran mail.docx", "A 14664-2026")</f>
        <v/>
      </c>
      <c r="AE58">
        <f>HYPERLINK("https://klasma.github.io/Logging_2101/fåglar/A 14664-2026 prioriterade fågelarter.docx", "A 14664-2026")</f>
        <v/>
      </c>
    </row>
    <row r="59" ht="15" customHeight="1">
      <c r="A59" t="inlineStr">
        <is>
          <t>A 18188-2026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46125</v>
      </c>
      <c r="E59" s="1" t="n">
        <v>46284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32.9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18188-2026 artfynd.xlsx", "A 18188-2026")</f>
        <v/>
      </c>
      <c r="X59">
        <f>HYPERLINK("https://klasma.github.io/Logging_2101/kartor/A 18188-2026 karta.png", "A 18188-2026")</f>
        <v/>
      </c>
      <c r="Y59">
        <f>HYPERLINK("https://klasma.github.io/Logging_2101/kartor_geotiff/A 18188-2026 georefererad karta.tif", "A 18188-2026")</f>
        <v/>
      </c>
      <c r="AA59">
        <f>HYPERLINK("https://klasma.github.io/Logging_2101/klagomål/A 18188-2026 FSC-klagomål.docx", "A 18188-2026")</f>
        <v/>
      </c>
      <c r="AB59">
        <f>HYPERLINK("https://klasma.github.io/Logging_2101/klagomålsmail/A 18188-2026 FSC-klagomål mail.docx", "A 18188-2026")</f>
        <v/>
      </c>
      <c r="AC59">
        <f>HYPERLINK("https://klasma.github.io/Logging_2101/tillsyn/A 18188-2026 tillsynsbegäran.docx", "A 18188-2026")</f>
        <v/>
      </c>
      <c r="AD59">
        <f>HYPERLINK("https://klasma.github.io/Logging_2101/tillsynsmail/A 18188-2026 tillsynsbegäran mail.docx", "A 18188-2026")</f>
        <v/>
      </c>
      <c r="AE59">
        <f>HYPERLINK("https://klasma.github.io/Logging_2101/fåglar/A 18188-2026 prioriterade fågelarter.docx", "A 18188-2026")</f>
        <v/>
      </c>
    </row>
    <row r="60" ht="15" customHeight="1">
      <c r="A60" t="inlineStr">
        <is>
          <t>A 12777-2026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46091</v>
      </c>
      <c r="E60" s="1" t="n">
        <v>46284</v>
      </c>
      <c r="F60" t="inlineStr">
        <is>
          <t>GÄVLEBORGS LÄN</t>
        </is>
      </c>
      <c r="G60" t="inlineStr">
        <is>
          <t>OCKELBO</t>
        </is>
      </c>
      <c r="I60" t="n">
        <v>4.2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HYPERLINK("https://klasma.github.io/Logging_2101/artfynd/A 12777-2026 artfynd.xlsx", "A 12777-2026")</f>
        <v/>
      </c>
      <c r="X60">
        <f>HYPERLINK("https://klasma.github.io/Logging_2101/kartor/A 12777-2026 karta.png", "A 12777-2026")</f>
        <v/>
      </c>
      <c r="Y60">
        <f>HYPERLINK("https://klasma.github.io/Logging_2101/kartor_geotiff/A 12777-2026 georefererad karta.tif", "A 12777-2026")</f>
        <v/>
      </c>
      <c r="AA60">
        <f>HYPERLINK("https://klasma.github.io/Logging_2101/klagomål/A 12777-2026 FSC-klagomål.docx", "A 12777-2026")</f>
        <v/>
      </c>
      <c r="AB60">
        <f>HYPERLINK("https://klasma.github.io/Logging_2101/klagomålsmail/A 12777-2026 FSC-klagomål mail.docx", "A 12777-2026")</f>
        <v/>
      </c>
      <c r="AC60">
        <f>HYPERLINK("https://klasma.github.io/Logging_2101/tillsyn/A 12777-2026 tillsynsbegäran.docx", "A 12777-2026")</f>
        <v/>
      </c>
      <c r="AD60">
        <f>HYPERLINK("https://klasma.github.io/Logging_2101/tillsynsmail/A 12777-2026 tillsynsbegäran mail.docx", "A 12777-2026")</f>
        <v/>
      </c>
      <c r="AE60">
        <f>HYPERLINK("https://klasma.github.io/Logging_2101/fåglar/A 12777-2026 prioriterade fågelarter.docx", "A 12777-2026")</f>
        <v/>
      </c>
    </row>
    <row r="61" ht="15" customHeight="1">
      <c r="A61" t="inlineStr">
        <is>
          <t>A 10145-2026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46284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öst AB</t>
        </is>
      </c>
      <c r="I61" t="n">
        <v>10.5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Fläcknycklar</t>
        </is>
      </c>
      <c r="W61">
        <f>HYPERLINK("https://klasma.github.io/Logging_2101/artfynd/A 10145-2026 artfynd.xlsx", "A 10145-2026")</f>
        <v/>
      </c>
      <c r="X61">
        <f>HYPERLINK("https://klasma.github.io/Logging_2101/kartor/A 10145-2026 karta.png", "A 10145-2026")</f>
        <v/>
      </c>
      <c r="Y61">
        <f>HYPERLINK("https://klasma.github.io/Logging_2101/kartor_geotiff/A 10145-2026 georefererad karta.tif", "A 10145-2026")</f>
        <v/>
      </c>
      <c r="Z61">
        <f>HYPERLINK("https://klasma.github.io/Logging_2101/knärot/A 10145-2026 karta knärot.png", "A 10145-2026")</f>
        <v/>
      </c>
      <c r="AA61">
        <f>HYPERLINK("https://klasma.github.io/Logging_2101/klagomål/A 10145-2026 FSC-klagomål.docx", "A 10145-2026")</f>
        <v/>
      </c>
      <c r="AB61">
        <f>HYPERLINK("https://klasma.github.io/Logging_2101/klagomålsmail/A 10145-2026 FSC-klagomål mail.docx", "A 10145-2026")</f>
        <v/>
      </c>
      <c r="AC61">
        <f>HYPERLINK("https://klasma.github.io/Logging_2101/tillsyn/A 10145-2026 tillsynsbegäran.docx", "A 10145-2026")</f>
        <v/>
      </c>
      <c r="AD61">
        <f>HYPERLINK("https://klasma.github.io/Logging_2101/tillsynsmail/A 10145-2026 tillsynsbegäran mail.docx", "A 10145-2026")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46284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46284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A 38583-2026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46284</v>
      </c>
      <c r="F64" t="inlineStr">
        <is>
          <t>GÄVLEBORGS LÄN</t>
        </is>
      </c>
      <c r="G64" t="inlineStr">
        <is>
          <t>OCKELBO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Månlåsbräken</t>
        </is>
      </c>
      <c r="W64">
        <f>HYPERLINK("https://klasma.github.io/Logging_2101/artfynd/A 38583-2026 artfynd.xlsx", "A 38583-2026")</f>
        <v/>
      </c>
      <c r="X64">
        <f>HYPERLINK("https://klasma.github.io/Logging_2101/kartor/A 38583-2026 karta.png", "A 38583-2026")</f>
        <v/>
      </c>
      <c r="Y64">
        <f>HYPERLINK("https://klasma.github.io/Logging_2101/kartor_geotiff/A 38583-2026 georefererad karta.tif", "A 38583-2026")</f>
        <v/>
      </c>
      <c r="AA64">
        <f>HYPERLINK("https://klasma.github.io/Logging_2101/klagomål/A 38583-2026 FSC-klagomål.docx", "A 38583-2026")</f>
        <v/>
      </c>
      <c r="AB64">
        <f>HYPERLINK("https://klasma.github.io/Logging_2101/klagomålsmail/A 38583-2026 FSC-klagomål mail.docx", "A 38583-2026")</f>
        <v/>
      </c>
      <c r="AC64">
        <f>HYPERLINK("https://klasma.github.io/Logging_2101/tillsyn/A 38583-2026 tillsynsbegäran.docx", "A 38583-2026")</f>
        <v/>
      </c>
      <c r="AD64">
        <f>HYPERLINK("https://klasma.github.io/Logging_2101/tillsynsmail/A 38583-2026 tillsynsbegäran mail.docx", "A 38583-2026")</f>
        <v/>
      </c>
    </row>
    <row r="65" ht="15" customHeight="1">
      <c r="A65" t="inlineStr">
        <is>
          <t>A 38351-2026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46282</v>
      </c>
      <c r="E65" s="1" t="n">
        <v>46284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12.1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Orre</t>
        </is>
      </c>
      <c r="W65">
        <f>HYPERLINK("https://klasma.github.io/Logging_2101/artfynd/A 38351-2026 artfynd.xlsx", "A 38351-2026")</f>
        <v/>
      </c>
      <c r="X65">
        <f>HYPERLINK("https://klasma.github.io/Logging_2101/kartor/A 38351-2026 karta.png", "A 38351-2026")</f>
        <v/>
      </c>
      <c r="Y65">
        <f>HYPERLINK("https://klasma.github.io/Logging_2101/kartor_geotiff/A 38351-2026 georefererad karta.tif", "A 38351-2026")</f>
        <v/>
      </c>
      <c r="AA65">
        <f>HYPERLINK("https://klasma.github.io/Logging_2101/klagomål/A 38351-2026 FSC-klagomål.docx", "A 38351-2026")</f>
        <v/>
      </c>
      <c r="AB65">
        <f>HYPERLINK("https://klasma.github.io/Logging_2101/klagomålsmail/A 38351-2026 FSC-klagomål mail.docx", "A 38351-2026")</f>
        <v/>
      </c>
      <c r="AC65">
        <f>HYPERLINK("https://klasma.github.io/Logging_2101/tillsyn/A 38351-2026 tillsynsbegäran.docx", "A 38351-2026")</f>
        <v/>
      </c>
      <c r="AD65">
        <f>HYPERLINK("https://klasma.github.io/Logging_2101/tillsynsmail/A 38351-2026 tillsynsbegäran mail.docx", "A 38351-2026")</f>
        <v/>
      </c>
      <c r="AE65">
        <f>HYPERLINK("https://klasma.github.io/Logging_2101/fåglar/A 38351-2026 prioriterade fågelarter.docx", "A 38351-2026")</f>
        <v/>
      </c>
    </row>
    <row r="66" ht="15" customHeight="1">
      <c r="A66" t="inlineStr">
        <is>
          <t>A 38355-2026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46282</v>
      </c>
      <c r="E66" s="1" t="n">
        <v>46284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Orre</t>
        </is>
      </c>
      <c r="W66">
        <f>HYPERLINK("https://klasma.github.io/Logging_2101/artfynd/A 38355-2026 artfynd.xlsx", "A 38355-2026")</f>
        <v/>
      </c>
      <c r="X66">
        <f>HYPERLINK("https://klasma.github.io/Logging_2101/kartor/A 38355-2026 karta.png", "A 38355-2026")</f>
        <v/>
      </c>
      <c r="Y66">
        <f>HYPERLINK("https://klasma.github.io/Logging_2101/kartor_geotiff/A 38355-2026 georefererad karta.tif", "A 38355-2026")</f>
        <v/>
      </c>
      <c r="AA66">
        <f>HYPERLINK("https://klasma.github.io/Logging_2101/klagomål/A 38355-2026 FSC-klagomål.docx", "A 38355-2026")</f>
        <v/>
      </c>
      <c r="AB66">
        <f>HYPERLINK("https://klasma.github.io/Logging_2101/klagomålsmail/A 38355-2026 FSC-klagomål mail.docx", "A 38355-2026")</f>
        <v/>
      </c>
      <c r="AC66">
        <f>HYPERLINK("https://klasma.github.io/Logging_2101/tillsyn/A 38355-2026 tillsynsbegäran.docx", "A 38355-2026")</f>
        <v/>
      </c>
      <c r="AD66">
        <f>HYPERLINK("https://klasma.github.io/Logging_2101/tillsynsmail/A 38355-2026 tillsynsbegäran mail.docx", "A 38355-2026")</f>
        <v/>
      </c>
      <c r="AE66">
        <f>HYPERLINK("https://klasma.github.io/Logging_2101/fåglar/A 38355-2026 prioriterade fågelarter.docx", "A 38355-2026")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46284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46284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46284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46284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46284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46284</v>
      </c>
      <c r="F72" t="inlineStr">
        <is>
          <t>GÄVLEBORGS LÄN</t>
        </is>
      </c>
      <c r="G72" t="inlineStr">
        <is>
          <t>OCKELBO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34712-2022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44795</v>
      </c>
      <c r="E73" s="1" t="n">
        <v>46284</v>
      </c>
      <c r="F73" t="inlineStr">
        <is>
          <t>GÄVLEBORGS LÄN</t>
        </is>
      </c>
      <c r="G73" t="inlineStr">
        <is>
          <t>OCKELBO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51206-2021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44460</v>
      </c>
      <c r="E74" s="1" t="n">
        <v>46284</v>
      </c>
      <c r="F74" t="inlineStr">
        <is>
          <t>GÄVLEBORGS LÄN</t>
        </is>
      </c>
      <c r="G74" t="inlineStr">
        <is>
          <t>OCKELBO</t>
        </is>
      </c>
      <c r="I74" t="n">
        <v>16.8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56282-2021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44479</v>
      </c>
      <c r="E75" s="1" t="n">
        <v>46284</v>
      </c>
      <c r="F75" t="inlineStr">
        <is>
          <t>GÄVLEBORGS LÄN</t>
        </is>
      </c>
      <c r="G75" t="inlineStr">
        <is>
          <t>OCKELBO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68541-2021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46284</v>
      </c>
      <c r="F76" t="inlineStr">
        <is>
          <t>GÄVLEBORGS LÄN</t>
        </is>
      </c>
      <c r="G76" t="inlineStr">
        <is>
          <t>OCKELBO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69833-2021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44532</v>
      </c>
      <c r="E77" s="1" t="n">
        <v>46284</v>
      </c>
      <c r="F77" t="inlineStr">
        <is>
          <t>GÄVLEBORGS LÄN</t>
        </is>
      </c>
      <c r="G77" t="inlineStr">
        <is>
          <t>OCKELBO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46284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34718-2022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44795</v>
      </c>
      <c r="E79" s="1" t="n">
        <v>46284</v>
      </c>
      <c r="F79" t="inlineStr">
        <is>
          <t>GÄVLEBORGS LÄN</t>
        </is>
      </c>
      <c r="G79" t="inlineStr">
        <is>
          <t>OCKELBO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44509</v>
      </c>
      <c r="E80" s="1" t="n">
        <v>46284</v>
      </c>
      <c r="F80" t="inlineStr">
        <is>
          <t>GÄVLEBORGS LÄN</t>
        </is>
      </c>
      <c r="G80" t="inlineStr">
        <is>
          <t>OCKELBO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51250-2021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46284</v>
      </c>
      <c r="F81" t="inlineStr">
        <is>
          <t>GÄVLEBORGS LÄN</t>
        </is>
      </c>
      <c r="G81" t="inlineStr">
        <is>
          <t>OCKELBO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46284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59629-2021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44492</v>
      </c>
      <c r="E83" s="1" t="n">
        <v>46284</v>
      </c>
      <c r="F83" t="inlineStr">
        <is>
          <t>GÄVLEBORGS LÄN</t>
        </is>
      </c>
      <c r="G83" t="inlineStr">
        <is>
          <t>OCKELBO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22035-2022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44711</v>
      </c>
      <c r="E84" s="1" t="n">
        <v>46284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34709-2022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44795</v>
      </c>
      <c r="E85" s="1" t="n">
        <v>46284</v>
      </c>
      <c r="F85" t="inlineStr">
        <is>
          <t>GÄVLEBORGS LÄN</t>
        </is>
      </c>
      <c r="G85" t="inlineStr">
        <is>
          <t>OCKELBO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46284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46284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46284</v>
      </c>
      <c r="F88" t="inlineStr">
        <is>
          <t>GÄVLEBORGS LÄN</t>
        </is>
      </c>
      <c r="G88" t="inlineStr">
        <is>
          <t>OCKELBO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44881</v>
      </c>
      <c r="E89" s="1" t="n">
        <v>46284</v>
      </c>
      <c r="F89" t="inlineStr">
        <is>
          <t>GÄVLEBORGS LÄN</t>
        </is>
      </c>
      <c r="G89" t="inlineStr">
        <is>
          <t>OCKELBO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44705</v>
      </c>
      <c r="E90" s="1" t="n">
        <v>46284</v>
      </c>
      <c r="F90" t="inlineStr">
        <is>
          <t>GÄVLEBORGS LÄN</t>
        </is>
      </c>
      <c r="G90" t="inlineStr">
        <is>
          <t>OCKELBO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46284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69580-2021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46284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12987-2022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46284</v>
      </c>
      <c r="F93" t="inlineStr">
        <is>
          <t>GÄVLEBORGS LÄN</t>
        </is>
      </c>
      <c r="G93" t="inlineStr">
        <is>
          <t>OCKELBO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15705-2022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44663</v>
      </c>
      <c r="E94" s="1" t="n">
        <v>46284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44460</v>
      </c>
      <c r="E95" s="1" t="n">
        <v>46284</v>
      </c>
      <c r="F95" t="inlineStr">
        <is>
          <t>GÄVLEBORGS LÄN</t>
        </is>
      </c>
      <c r="G95" t="inlineStr">
        <is>
          <t>OCKELBO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44460</v>
      </c>
      <c r="E96" s="1" t="n">
        <v>46284</v>
      </c>
      <c r="F96" t="inlineStr">
        <is>
          <t>GÄVLEBORGS LÄN</t>
        </is>
      </c>
      <c r="G96" t="inlineStr">
        <is>
          <t>OCKELBO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46284</v>
      </c>
      <c r="F97" t="inlineStr">
        <is>
          <t>GÄVLEBORGS LÄN</t>
        </is>
      </c>
      <c r="G97" t="inlineStr">
        <is>
          <t>OCKELBO</t>
        </is>
      </c>
      <c r="I97" t="n">
        <v>10.8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44889</v>
      </c>
      <c r="E98" s="1" t="n">
        <v>46284</v>
      </c>
      <c r="F98" t="inlineStr">
        <is>
          <t>GÄVLEBORGS LÄN</t>
        </is>
      </c>
      <c r="G98" t="inlineStr">
        <is>
          <t>OCKELBO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46284</v>
      </c>
      <c r="F99" t="inlineStr">
        <is>
          <t>GÄVLEBORGS LÄN</t>
        </is>
      </c>
      <c r="G99" t="inlineStr">
        <is>
          <t>OCKELBO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36521-2022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44804</v>
      </c>
      <c r="E100" s="1" t="n">
        <v>46284</v>
      </c>
      <c r="F100" t="inlineStr">
        <is>
          <t>GÄVLEBORGS LÄN</t>
        </is>
      </c>
      <c r="G100" t="inlineStr">
        <is>
          <t>OCKELBO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37386-2023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45156</v>
      </c>
      <c r="E101" s="1" t="n">
        <v>46284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45611</v>
      </c>
      <c r="E102" s="1" t="n">
        <v>46284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56232-2022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44890</v>
      </c>
      <c r="E103" s="1" t="n">
        <v>46284</v>
      </c>
      <c r="F103" t="inlineStr">
        <is>
          <t>GÄVLEBORGS LÄN</t>
        </is>
      </c>
      <c r="G103" t="inlineStr">
        <is>
          <t>OCKELBO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45548</v>
      </c>
      <c r="E104" s="1" t="n">
        <v>46284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53393-2022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46284</v>
      </c>
      <c r="F105" t="inlineStr">
        <is>
          <t>GÄVLEBORGS LÄN</t>
        </is>
      </c>
      <c r="G105" t="inlineStr">
        <is>
          <t>OCKELBO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46284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46284</v>
      </c>
      <c r="F107" t="inlineStr">
        <is>
          <t>GÄVLEBORGS LÄN</t>
        </is>
      </c>
      <c r="G107" t="inlineStr">
        <is>
          <t>OCKELBO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45167</v>
      </c>
      <c r="E108" s="1" t="n">
        <v>46284</v>
      </c>
      <c r="F108" t="inlineStr">
        <is>
          <t>GÄVLEBORGS LÄN</t>
        </is>
      </c>
      <c r="G108" t="inlineStr">
        <is>
          <t>OCKELBO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36210-2024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45534</v>
      </c>
      <c r="E109" s="1" t="n">
        <v>46284</v>
      </c>
      <c r="F109" t="inlineStr">
        <is>
          <t>GÄVLEBORGS LÄN</t>
        </is>
      </c>
      <c r="G109" t="inlineStr">
        <is>
          <t>OCKELBO</t>
        </is>
      </c>
      <c r="H109" t="inlineStr">
        <is>
          <t>Kyrkan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54309-2024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45617</v>
      </c>
      <c r="E110" s="1" t="n">
        <v>46284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60962-2024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45645</v>
      </c>
      <c r="E111" s="1" t="n">
        <v>46284</v>
      </c>
      <c r="F111" t="inlineStr">
        <is>
          <t>GÄVLEBORGS LÄN</t>
        </is>
      </c>
      <c r="G111" t="inlineStr">
        <is>
          <t>OCKELBO</t>
        </is>
      </c>
      <c r="H111" t="inlineStr">
        <is>
          <t>Kyrkan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45341</v>
      </c>
      <c r="E112" s="1" t="n">
        <v>46284</v>
      </c>
      <c r="F112" t="inlineStr">
        <is>
          <t>GÄVLEBORGS LÄN</t>
        </is>
      </c>
      <c r="G112" t="inlineStr">
        <is>
          <t>OCKELBO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44950</v>
      </c>
      <c r="E113" s="1" t="n">
        <v>46284</v>
      </c>
      <c r="F113" t="inlineStr">
        <is>
          <t>GÄVLEBORGS LÄN</t>
        </is>
      </c>
      <c r="G113" t="inlineStr">
        <is>
          <t>OCKELBO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45772</v>
      </c>
      <c r="E114" s="1" t="n">
        <v>46284</v>
      </c>
      <c r="F114" t="inlineStr">
        <is>
          <t>GÄVLEBORGS LÄN</t>
        </is>
      </c>
      <c r="G114" t="inlineStr">
        <is>
          <t>OCKELBO</t>
        </is>
      </c>
      <c r="I114" t="n">
        <v>14.8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46284</v>
      </c>
      <c r="F115" t="inlineStr">
        <is>
          <t>GÄVLEBORGS LÄN</t>
        </is>
      </c>
      <c r="G115" t="inlineStr">
        <is>
          <t>OCKELBO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20231-2024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45434</v>
      </c>
      <c r="E116" s="1" t="n">
        <v>46284</v>
      </c>
      <c r="F116" t="inlineStr">
        <is>
          <t>GÄVLEBORGS LÄN</t>
        </is>
      </c>
      <c r="G116" t="inlineStr">
        <is>
          <t>OCKELBO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35054-2022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44797</v>
      </c>
      <c r="E117" s="1" t="n">
        <v>46284</v>
      </c>
      <c r="F117" t="inlineStr">
        <is>
          <t>GÄVLEBORGS LÄN</t>
        </is>
      </c>
      <c r="G117" t="inlineStr">
        <is>
          <t>OCKELBO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44986</v>
      </c>
      <c r="E118" s="1" t="n">
        <v>46284</v>
      </c>
      <c r="F118" t="inlineStr">
        <is>
          <t>GÄVLEBORGS LÄN</t>
        </is>
      </c>
      <c r="G118" t="inlineStr">
        <is>
          <t>OCKELBO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33617-2023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45132</v>
      </c>
      <c r="E119" s="1" t="n">
        <v>46284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45611</v>
      </c>
      <c r="E120" s="1" t="n">
        <v>46284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46284</v>
      </c>
      <c r="F121" t="inlineStr">
        <is>
          <t>GÄVLEBORGS LÄN</t>
        </is>
      </c>
      <c r="G121" t="inlineStr">
        <is>
          <t>OCKELBO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45618</v>
      </c>
      <c r="E122" s="1" t="n">
        <v>46284</v>
      </c>
      <c r="F122" t="inlineStr">
        <is>
          <t>GÄVLEBORGS LÄN</t>
        </is>
      </c>
      <c r="G122" t="inlineStr">
        <is>
          <t>OCKELBO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45432</v>
      </c>
      <c r="E123" s="1" t="n">
        <v>46284</v>
      </c>
      <c r="F123" t="inlineStr">
        <is>
          <t>GÄVLEBORGS LÄN</t>
        </is>
      </c>
      <c r="G123" t="inlineStr">
        <is>
          <t>OCKELBO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46284</v>
      </c>
      <c r="F124" t="inlineStr">
        <is>
          <t>GÄVLEBORGS LÄN</t>
        </is>
      </c>
      <c r="G124" t="inlineStr">
        <is>
          <t>OCKELBO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40218-2023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46284</v>
      </c>
      <c r="F125" t="inlineStr">
        <is>
          <t>GÄVLEBORGS LÄN</t>
        </is>
      </c>
      <c r="G125" t="inlineStr">
        <is>
          <t>OCKELBO</t>
        </is>
      </c>
      <c r="I125" t="n">
        <v>13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55422-2022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44887</v>
      </c>
      <c r="E126" s="1" t="n">
        <v>46284</v>
      </c>
      <c r="F126" t="inlineStr">
        <is>
          <t>GÄVLEBORGS LÄN</t>
        </is>
      </c>
      <c r="G126" t="inlineStr">
        <is>
          <t>OCKELBO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45757</v>
      </c>
      <c r="E127" s="1" t="n">
        <v>46284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45488</v>
      </c>
      <c r="E128" s="1" t="n">
        <v>46284</v>
      </c>
      <c r="F128" t="inlineStr">
        <is>
          <t>GÄVLEBORGS LÄN</t>
        </is>
      </c>
      <c r="G128" t="inlineStr">
        <is>
          <t>OCKELBO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46074-2024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46284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18291-2023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46284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45048</v>
      </c>
      <c r="E131" s="1" t="n">
        <v>46284</v>
      </c>
      <c r="F131" t="inlineStr">
        <is>
          <t>GÄVLEBORGS LÄN</t>
        </is>
      </c>
      <c r="G131" t="inlineStr">
        <is>
          <t>OCKELBO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32011-2024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45510</v>
      </c>
      <c r="E132" s="1" t="n">
        <v>46284</v>
      </c>
      <c r="F132" t="inlineStr">
        <is>
          <t>GÄVLEBORGS LÄN</t>
        </is>
      </c>
      <c r="G132" t="inlineStr">
        <is>
          <t>OCKELBO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46284</v>
      </c>
      <c r="F133" t="inlineStr">
        <is>
          <t>GÄVLEBORGS LÄN</t>
        </is>
      </c>
      <c r="G133" t="inlineStr">
        <is>
          <t>OCKELBO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45223</v>
      </c>
      <c r="E134" s="1" t="n">
        <v>46284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46284</v>
      </c>
      <c r="F135" t="inlineStr">
        <is>
          <t>GÄVLEBORGS LÄN</t>
        </is>
      </c>
      <c r="G135" t="inlineStr">
        <is>
          <t>OCKELBO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36604-2025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45870</v>
      </c>
      <c r="E136" s="1" t="n">
        <v>46284</v>
      </c>
      <c r="F136" t="inlineStr">
        <is>
          <t>GÄVLEBORGS LÄN</t>
        </is>
      </c>
      <c r="G136" t="inlineStr">
        <is>
          <t>OCKELBO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45799</v>
      </c>
      <c r="E137" s="1" t="n">
        <v>46284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45184</v>
      </c>
      <c r="E138" s="1" t="n">
        <v>46284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46050</v>
      </c>
      <c r="E139" s="1" t="n">
        <v>46284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45490</v>
      </c>
      <c r="E140" s="1" t="n">
        <v>46284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46284</v>
      </c>
      <c r="F141" t="inlineStr">
        <is>
          <t>GÄVLEBORGS LÄN</t>
        </is>
      </c>
      <c r="G141" t="inlineStr">
        <is>
          <t>OCKELBO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45139</v>
      </c>
      <c r="E142" s="1" t="n">
        <v>46284</v>
      </c>
      <c r="F142" t="inlineStr">
        <is>
          <t>GÄVLEBORGS LÄN</t>
        </is>
      </c>
      <c r="G142" t="inlineStr">
        <is>
          <t>OCKELBO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46137</v>
      </c>
      <c r="E143" s="1" t="n">
        <v>46284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7.3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46137</v>
      </c>
      <c r="E144" s="1" t="n">
        <v>46284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45705</v>
      </c>
      <c r="E145" s="1" t="n">
        <v>46284</v>
      </c>
      <c r="F145" t="inlineStr">
        <is>
          <t>GÄVLEBORGS LÄN</t>
        </is>
      </c>
      <c r="G145" t="inlineStr">
        <is>
          <t>OCKELBO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46043</v>
      </c>
      <c r="E146" s="1" t="n">
        <v>46284</v>
      </c>
      <c r="F146" t="inlineStr">
        <is>
          <t>GÄVLEBORGS LÄN</t>
        </is>
      </c>
      <c r="G146" t="inlineStr">
        <is>
          <t>OCKELBO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46284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11.7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45800</v>
      </c>
      <c r="E148" s="1" t="n">
        <v>46284</v>
      </c>
      <c r="F148" t="inlineStr">
        <is>
          <t>GÄVLEBORGS LÄN</t>
        </is>
      </c>
      <c r="G148" t="inlineStr">
        <is>
          <t>OCKELBO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46052</v>
      </c>
      <c r="E149" s="1" t="n">
        <v>46284</v>
      </c>
      <c r="F149" t="inlineStr">
        <is>
          <t>GÄVLEBORGS LÄN</t>
        </is>
      </c>
      <c r="G149" t="inlineStr">
        <is>
          <t>OCKELBO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5974-2026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46052</v>
      </c>
      <c r="E150" s="1" t="n">
        <v>46284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45181</v>
      </c>
      <c r="E151" s="1" t="n">
        <v>46284</v>
      </c>
      <c r="F151" t="inlineStr">
        <is>
          <t>GÄVLEBORGS LÄN</t>
        </is>
      </c>
      <c r="G151" t="inlineStr">
        <is>
          <t>OCKELBO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61335-2022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44915</v>
      </c>
      <c r="E152" s="1" t="n">
        <v>46284</v>
      </c>
      <c r="F152" t="inlineStr">
        <is>
          <t>GÄVLEBORGS LÄN</t>
        </is>
      </c>
      <c r="G152" t="inlineStr">
        <is>
          <t>OCKELBO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45821</v>
      </c>
      <c r="E153" s="1" t="n">
        <v>46284</v>
      </c>
      <c r="F153" t="inlineStr">
        <is>
          <t>GÄVLEBORGS LÄN</t>
        </is>
      </c>
      <c r="G153" t="inlineStr">
        <is>
          <t>OCKELBO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45608</v>
      </c>
      <c r="E154" s="1" t="n">
        <v>46284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46284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46284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46284</v>
      </c>
      <c r="F157" t="inlineStr">
        <is>
          <t>GÄVLEBORGS LÄN</t>
        </is>
      </c>
      <c r="G157" t="inlineStr">
        <is>
          <t>OCKELBO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46284</v>
      </c>
      <c r="F158" t="inlineStr">
        <is>
          <t>GÄVLEBORGS LÄN</t>
        </is>
      </c>
      <c r="G158" t="inlineStr">
        <is>
          <t>OCKELBO</t>
        </is>
      </c>
      <c r="H158" t="inlineStr">
        <is>
          <t>Kyrkan</t>
        </is>
      </c>
      <c r="I158" t="n">
        <v>12.5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46284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46284</v>
      </c>
      <c r="F160" t="inlineStr">
        <is>
          <t>GÄVLEBORGS LÄN</t>
        </is>
      </c>
      <c r="G160" t="inlineStr">
        <is>
          <t>OCKELBO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46284</v>
      </c>
      <c r="F161" t="inlineStr">
        <is>
          <t>GÄVLEBORGS LÄN</t>
        </is>
      </c>
      <c r="G161" t="inlineStr">
        <is>
          <t>OCKELBO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46284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46284</v>
      </c>
      <c r="F163" t="inlineStr">
        <is>
          <t>GÄVLEBORGS LÄN</t>
        </is>
      </c>
      <c r="G163" t="inlineStr">
        <is>
          <t>OCKELBO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46284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46284</v>
      </c>
      <c r="F165" t="inlineStr">
        <is>
          <t>GÄVLEBORGS LÄN</t>
        </is>
      </c>
      <c r="G165" t="inlineStr">
        <is>
          <t>OCKELBO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46284</v>
      </c>
      <c r="F166" t="inlineStr">
        <is>
          <t>GÄVLEBORGS LÄN</t>
        </is>
      </c>
      <c r="G166" t="inlineStr">
        <is>
          <t>OCKELBO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63977-2025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46021</v>
      </c>
      <c r="E167" s="1" t="n">
        <v>46284</v>
      </c>
      <c r="F167" t="inlineStr">
        <is>
          <t>GÄVLEBORGS LÄN</t>
        </is>
      </c>
      <c r="G167" t="inlineStr">
        <is>
          <t>OCKELBO</t>
        </is>
      </c>
      <c r="I167" t="n">
        <v>18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46284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5571-2024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45334</v>
      </c>
      <c r="E169" s="1" t="n">
        <v>46284</v>
      </c>
      <c r="F169" t="inlineStr">
        <is>
          <t>GÄVLEBORGS LÄN</t>
        </is>
      </c>
      <c r="G169" t="inlineStr">
        <is>
          <t>OCKELBO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40148-2025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46284</v>
      </c>
      <c r="F170" t="inlineStr">
        <is>
          <t>GÄVLEBORGS LÄN</t>
        </is>
      </c>
      <c r="G170" t="inlineStr">
        <is>
          <t>OCKELBO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46107</v>
      </c>
      <c r="E171" s="1" t="n">
        <v>46284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20.4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46284</v>
      </c>
      <c r="F172" t="inlineStr">
        <is>
          <t>GÄVLEBORGS LÄN</t>
        </is>
      </c>
      <c r="G172" t="inlineStr">
        <is>
          <t>OCKELBO</t>
        </is>
      </c>
      <c r="H172" t="inlineStr">
        <is>
          <t>Kyrkan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46284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46284</v>
      </c>
      <c r="F174" t="inlineStr">
        <is>
          <t>GÄVLEBORGS LÄN</t>
        </is>
      </c>
      <c r="G174" t="inlineStr">
        <is>
          <t>OCKELBO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46136</v>
      </c>
      <c r="E175" s="1" t="n">
        <v>46284</v>
      </c>
      <c r="F175" t="inlineStr">
        <is>
          <t>GÄVLEBORGS LÄN</t>
        </is>
      </c>
      <c r="G175" t="inlineStr">
        <is>
          <t>OCKELBO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46284</v>
      </c>
      <c r="F176" t="inlineStr">
        <is>
          <t>GÄVLEBORGS LÄN</t>
        </is>
      </c>
      <c r="G176" t="inlineStr">
        <is>
          <t>OCKELBO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45254</v>
      </c>
      <c r="E177" s="1" t="n">
        <v>46284</v>
      </c>
      <c r="F177" t="inlineStr">
        <is>
          <t>GÄVLEBORGS LÄN</t>
        </is>
      </c>
      <c r="G177" t="inlineStr">
        <is>
          <t>OCKELBO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46284</v>
      </c>
      <c r="F178" t="inlineStr">
        <is>
          <t>GÄVLEBORGS LÄN</t>
        </is>
      </c>
      <c r="G178" t="inlineStr">
        <is>
          <t>OCKELBO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46064</v>
      </c>
      <c r="E179" s="1" t="n">
        <v>46284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20155-2026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46138</v>
      </c>
      <c r="E180" s="1" t="n">
        <v>46284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12.7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46042</v>
      </c>
      <c r="E181" s="1" t="n">
        <v>46284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8521-2026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46065</v>
      </c>
      <c r="E182" s="1" t="n">
        <v>46284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12.5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45450</v>
      </c>
      <c r="E183" s="1" t="n">
        <v>46284</v>
      </c>
      <c r="F183" t="inlineStr">
        <is>
          <t>GÄVLEBORGS LÄN</t>
        </is>
      </c>
      <c r="G183" t="inlineStr">
        <is>
          <t>OCKELBO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45366</v>
      </c>
      <c r="E184" s="1" t="n">
        <v>46284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45712</v>
      </c>
      <c r="E185" s="1" t="n">
        <v>46284</v>
      </c>
      <c r="F185" t="inlineStr">
        <is>
          <t>GÄVLEBORGS LÄN</t>
        </is>
      </c>
      <c r="G185" t="inlineStr">
        <is>
          <t>OCKELBO</t>
        </is>
      </c>
      <c r="I185" t="n">
        <v>14.7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46284</v>
      </c>
      <c r="F186" t="inlineStr">
        <is>
          <t>GÄVLEBORGS LÄN</t>
        </is>
      </c>
      <c r="G186" t="inlineStr">
        <is>
          <t>OCKELBO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45903</v>
      </c>
      <c r="E187" s="1" t="n">
        <v>46284</v>
      </c>
      <c r="F187" t="inlineStr">
        <is>
          <t>GÄVLEBORGS LÄN</t>
        </is>
      </c>
      <c r="G187" t="inlineStr">
        <is>
          <t>OCKELBO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41899-2025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45903</v>
      </c>
      <c r="E188" s="1" t="n">
        <v>46284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46284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33079-2025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45840</v>
      </c>
      <c r="E190" s="1" t="n">
        <v>46284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46052</v>
      </c>
      <c r="E191" s="1" t="n">
        <v>46284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45817</v>
      </c>
      <c r="E192" s="1" t="n">
        <v>46284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46284</v>
      </c>
      <c r="F193" t="inlineStr">
        <is>
          <t>GÄVLEBORGS LÄN</t>
        </is>
      </c>
      <c r="G193" t="inlineStr">
        <is>
          <t>OCKELBO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46284</v>
      </c>
      <c r="F194" t="inlineStr">
        <is>
          <t>GÄVLEBORGS LÄN</t>
        </is>
      </c>
      <c r="G194" t="inlineStr">
        <is>
          <t>OCKELBO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46284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46284</v>
      </c>
      <c r="F196" t="inlineStr">
        <is>
          <t>GÄVLEBORGS LÄN</t>
        </is>
      </c>
      <c r="G196" t="inlineStr">
        <is>
          <t>OCKELBO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45488</v>
      </c>
      <c r="E197" s="1" t="n">
        <v>46284</v>
      </c>
      <c r="F197" t="inlineStr">
        <is>
          <t>GÄVLEBORGS LÄN</t>
        </is>
      </c>
      <c r="G197" t="inlineStr">
        <is>
          <t>OCKELBO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46284</v>
      </c>
      <c r="F198" t="inlineStr">
        <is>
          <t>GÄVLEBORGS LÄN</t>
        </is>
      </c>
      <c r="G198" t="inlineStr">
        <is>
          <t>OCKELBO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8348-2026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46064</v>
      </c>
      <c r="E199" s="1" t="n">
        <v>46284</v>
      </c>
      <c r="F199" t="inlineStr">
        <is>
          <t>GÄVLEBORGS LÄN</t>
        </is>
      </c>
      <c r="G199" t="inlineStr">
        <is>
          <t>OCKELBO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46035</v>
      </c>
      <c r="E200" s="1" t="n">
        <v>46284</v>
      </c>
      <c r="F200" t="inlineStr">
        <is>
          <t>GÄVLEBORGS LÄN</t>
        </is>
      </c>
      <c r="G200" t="inlineStr">
        <is>
          <t>OCKELBO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22151-2022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44712</v>
      </c>
      <c r="E201" s="1" t="n">
        <v>46284</v>
      </c>
      <c r="F201" t="inlineStr">
        <is>
          <t>GÄVLEBORGS LÄN</t>
        </is>
      </c>
      <c r="G201" t="inlineStr">
        <is>
          <t>OCKELBO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9556-2026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46284</v>
      </c>
      <c r="F202" t="inlineStr">
        <is>
          <t>GÄVLEBORGS LÄN</t>
        </is>
      </c>
      <c r="G202" t="inlineStr">
        <is>
          <t>OCKELBO</t>
        </is>
      </c>
      <c r="I202" t="n">
        <v>11.9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45301</v>
      </c>
      <c r="E203" s="1" t="n">
        <v>46284</v>
      </c>
      <c r="F203" t="inlineStr">
        <is>
          <t>GÄVLEBORGS LÄN</t>
        </is>
      </c>
      <c r="G203" t="inlineStr">
        <is>
          <t>OCKELBO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46284</v>
      </c>
      <c r="F204" t="inlineStr">
        <is>
          <t>GÄVLEBORGS LÄN</t>
        </is>
      </c>
      <c r="G204" t="inlineStr">
        <is>
          <t>OCKELBO</t>
        </is>
      </c>
      <c r="I204" t="n">
        <v>36.1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20467-2026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46140</v>
      </c>
      <c r="E205" s="1" t="n">
        <v>46284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20571-2026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46284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46284</v>
      </c>
      <c r="F207" t="inlineStr">
        <is>
          <t>GÄVLEBORGS LÄN</t>
        </is>
      </c>
      <c r="G207" t="inlineStr">
        <is>
          <t>OCKELBO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45111</v>
      </c>
      <c r="E208" s="1" t="n">
        <v>46284</v>
      </c>
      <c r="F208" t="inlineStr">
        <is>
          <t>GÄVLEBORGS LÄN</t>
        </is>
      </c>
      <c r="G208" t="inlineStr">
        <is>
          <t>OCKELBO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46027</v>
      </c>
      <c r="E209" s="1" t="n">
        <v>46284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46284</v>
      </c>
      <c r="F210" t="inlineStr">
        <is>
          <t>GÄVLEBORGS LÄN</t>
        </is>
      </c>
      <c r="G210" t="inlineStr">
        <is>
          <t>OCKELBO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45777</v>
      </c>
      <c r="E211" s="1" t="n">
        <v>46284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46056</v>
      </c>
      <c r="E212" s="1" t="n">
        <v>46284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46284</v>
      </c>
      <c r="F213" t="inlineStr">
        <is>
          <t>GÄVLEBORGS LÄN</t>
        </is>
      </c>
      <c r="G213" t="inlineStr">
        <is>
          <t>OCKELBO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46284</v>
      </c>
      <c r="F214" t="inlineStr">
        <is>
          <t>GÄVLEBORGS LÄN</t>
        </is>
      </c>
      <c r="G214" t="inlineStr">
        <is>
          <t>OCKELBO</t>
        </is>
      </c>
      <c r="I214" t="n">
        <v>11.5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46284</v>
      </c>
      <c r="F215" t="inlineStr">
        <is>
          <t>GÄVLEBORGS LÄN</t>
        </is>
      </c>
      <c r="G215" t="inlineStr">
        <is>
          <t>OCKELBO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46140</v>
      </c>
      <c r="E216" s="1" t="n">
        <v>46284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11.2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55112-2023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45237</v>
      </c>
      <c r="E217" s="1" t="n">
        <v>46284</v>
      </c>
      <c r="F217" t="inlineStr">
        <is>
          <t>GÄVLEBORGS LÄN</t>
        </is>
      </c>
      <c r="G217" t="inlineStr">
        <is>
          <t>OCKELBO</t>
        </is>
      </c>
      <c r="I217" t="n">
        <v>14.6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46284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24.8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46141</v>
      </c>
      <c r="E219" s="1" t="n">
        <v>46284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46284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9401-2026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46284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45488</v>
      </c>
      <c r="E222" s="1" t="n">
        <v>46284</v>
      </c>
      <c r="F222" t="inlineStr">
        <is>
          <t>GÄVLEBORGS LÄN</t>
        </is>
      </c>
      <c r="G222" t="inlineStr">
        <is>
          <t>OCKELBO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46098</v>
      </c>
      <c r="E223" s="1" t="n">
        <v>46284</v>
      </c>
      <c r="F223" t="inlineStr">
        <is>
          <t>GÄVLEBORGS LÄN</t>
        </is>
      </c>
      <c r="G223" t="inlineStr">
        <is>
          <t>OCKELBO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45526</v>
      </c>
      <c r="E224" s="1" t="n">
        <v>46284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46284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11116-2026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46284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46125</v>
      </c>
      <c r="E227" s="1" t="n">
        <v>46284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12708-2026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46284</v>
      </c>
      <c r="F228" t="inlineStr">
        <is>
          <t>GÄVLEBORGS LÄN</t>
        </is>
      </c>
      <c r="G228" t="inlineStr">
        <is>
          <t>OCKELBO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45747</v>
      </c>
      <c r="E229" s="1" t="n">
        <v>46284</v>
      </c>
      <c r="F229" t="inlineStr">
        <is>
          <t>GÄVLEBORGS LÄN</t>
        </is>
      </c>
      <c r="G229" t="inlineStr">
        <is>
          <t>OCKELBO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710-2026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46029</v>
      </c>
      <c r="E230" s="1" t="n">
        <v>46284</v>
      </c>
      <c r="F230" t="inlineStr">
        <is>
          <t>GÄVLEBORGS LÄN</t>
        </is>
      </c>
      <c r="G230" t="inlineStr">
        <is>
          <t>OCKELBO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46284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23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46043</v>
      </c>
      <c r="E232" s="1" t="n">
        <v>46284</v>
      </c>
      <c r="F232" t="inlineStr">
        <is>
          <t>GÄVLEBORGS LÄN</t>
        </is>
      </c>
      <c r="G232" t="inlineStr">
        <is>
          <t>OCKELBO</t>
        </is>
      </c>
      <c r="I232" t="n">
        <v>10.3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45488</v>
      </c>
      <c r="E233" s="1" t="n">
        <v>46284</v>
      </c>
      <c r="F233" t="inlineStr">
        <is>
          <t>GÄVLEBORGS LÄN</t>
        </is>
      </c>
      <c r="G233" t="inlineStr">
        <is>
          <t>OCKELBO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2584-2026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46037</v>
      </c>
      <c r="E234" s="1" t="n">
        <v>46284</v>
      </c>
      <c r="F234" t="inlineStr">
        <is>
          <t>GÄVLEBORGS LÄN</t>
        </is>
      </c>
      <c r="G234" t="inlineStr">
        <is>
          <t>OCKELBO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10083-2026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46073</v>
      </c>
      <c r="E235" s="1" t="n">
        <v>46284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6499-2026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46284</v>
      </c>
      <c r="F236" t="inlineStr">
        <is>
          <t>GÄVLEBORGS LÄN</t>
        </is>
      </c>
      <c r="G236" t="inlineStr">
        <is>
          <t>OCKELBO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6518-2026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46052</v>
      </c>
      <c r="E237" s="1" t="n">
        <v>46284</v>
      </c>
      <c r="F237" t="inlineStr">
        <is>
          <t>GÄVLEBORGS LÄN</t>
        </is>
      </c>
      <c r="G237" t="inlineStr">
        <is>
          <t>OCKELBO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46034</v>
      </c>
      <c r="E238" s="1" t="n">
        <v>46284</v>
      </c>
      <c r="F238" t="inlineStr">
        <is>
          <t>GÄVLEBORGS LÄN</t>
        </is>
      </c>
      <c r="G238" t="inlineStr">
        <is>
          <t>OCKELBO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46077</v>
      </c>
      <c r="E239" s="1" t="n">
        <v>46284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46320-2025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46284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60699-2024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45644</v>
      </c>
      <c r="E241" s="1" t="n">
        <v>46284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50693-2024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45602</v>
      </c>
      <c r="E242" s="1" t="n">
        <v>46284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45027</v>
      </c>
      <c r="E243" s="1" t="n">
        <v>46284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50689-2024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45602</v>
      </c>
      <c r="E244" s="1" t="n">
        <v>46284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45602</v>
      </c>
      <c r="E245" s="1" t="n">
        <v>46284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20481-2026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46284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7949-2026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46063</v>
      </c>
      <c r="E247" s="1" t="n">
        <v>46284</v>
      </c>
      <c r="F247" t="inlineStr">
        <is>
          <t>GÄVLEBORGS LÄN</t>
        </is>
      </c>
      <c r="G247" t="inlineStr">
        <is>
          <t>OCKELBO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45608</v>
      </c>
      <c r="E248" s="1" t="n">
        <v>46284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46284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66825-2021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44522</v>
      </c>
      <c r="E250" s="1" t="n">
        <v>46284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46284</v>
      </c>
      <c r="F251" t="inlineStr">
        <is>
          <t>GÄVLEBORGS LÄN</t>
        </is>
      </c>
      <c r="G251" t="inlineStr">
        <is>
          <t>OCKELBO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45846</v>
      </c>
      <c r="E252" s="1" t="n">
        <v>46284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40283-2024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46284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45216</v>
      </c>
      <c r="E254" s="1" t="n">
        <v>46284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40281-2024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45554</v>
      </c>
      <c r="E255" s="1" t="n">
        <v>46284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44816</v>
      </c>
      <c r="E256" s="1" t="n">
        <v>46284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45590</v>
      </c>
      <c r="E257" s="1" t="n">
        <v>46284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46284</v>
      </c>
      <c r="F258" t="inlineStr">
        <is>
          <t>GÄVLEBORGS LÄN</t>
        </is>
      </c>
      <c r="G258" t="inlineStr">
        <is>
          <t>OCKELBO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46284</v>
      </c>
      <c r="F259" t="inlineStr">
        <is>
          <t>GÄVLEBORGS LÄN</t>
        </is>
      </c>
      <c r="G259" t="inlineStr">
        <is>
          <t>OCKELBO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61622-2021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44501</v>
      </c>
      <c r="E260" s="1" t="n">
        <v>46284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45617</v>
      </c>
      <c r="E261" s="1" t="n">
        <v>46284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45519-2022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44845</v>
      </c>
      <c r="E262" s="1" t="n">
        <v>46284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67768-2021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44525</v>
      </c>
      <c r="E263" s="1" t="n">
        <v>46284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46485-2024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46284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46284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20984-2026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46142</v>
      </c>
      <c r="E266" s="1" t="n">
        <v>46284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47267-2025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46284</v>
      </c>
      <c r="F267" t="inlineStr">
        <is>
          <t>GÄVLEBORGS LÄN</t>
        </is>
      </c>
      <c r="G267" t="inlineStr">
        <is>
          <t>OCKELBO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6742-2024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45342</v>
      </c>
      <c r="E268" s="1" t="n">
        <v>46284</v>
      </c>
      <c r="F268" t="inlineStr">
        <is>
          <t>GÄVLEBORGS LÄN</t>
        </is>
      </c>
      <c r="G268" t="inlineStr">
        <is>
          <t>OCKELBO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14905-2026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46104</v>
      </c>
      <c r="E269" s="1" t="n">
        <v>46284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46284</v>
      </c>
      <c r="F270" t="inlineStr">
        <is>
          <t>GÄVLEBORGS LÄN</t>
        </is>
      </c>
      <c r="G270" t="inlineStr">
        <is>
          <t>OCKELBO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47987-2025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46284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7276-2023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44970</v>
      </c>
      <c r="E272" s="1" t="n">
        <v>46284</v>
      </c>
      <c r="F272" t="inlineStr">
        <is>
          <t>GÄVLEBORGS LÄN</t>
        </is>
      </c>
      <c r="G272" t="inlineStr">
        <is>
          <t>OCKELBO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46146</v>
      </c>
      <c r="E273" s="1" t="n">
        <v>46284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18549-2026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46127</v>
      </c>
      <c r="E274" s="1" t="n">
        <v>46284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17951-2026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46122</v>
      </c>
      <c r="E275" s="1" t="n">
        <v>46284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16629-2025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45754</v>
      </c>
      <c r="E276" s="1" t="n">
        <v>46284</v>
      </c>
      <c r="F276" t="inlineStr">
        <is>
          <t>GÄVLEBORGS LÄN</t>
        </is>
      </c>
      <c r="G276" t="inlineStr">
        <is>
          <t>OCKELBO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5131-2024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45330</v>
      </c>
      <c r="E277" s="1" t="n">
        <v>46284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49027-2025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46284</v>
      </c>
      <c r="F278" t="inlineStr">
        <is>
          <t>GÄVLEBORGS LÄN</t>
        </is>
      </c>
      <c r="G278" t="inlineStr">
        <is>
          <t>OCKELBO</t>
        </is>
      </c>
      <c r="I278" t="n">
        <v>11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46284</v>
      </c>
      <c r="F279" t="inlineStr">
        <is>
          <t>GÄVLEBORGS LÄN</t>
        </is>
      </c>
      <c r="G279" t="inlineStr">
        <is>
          <t>OCKELBO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46284</v>
      </c>
      <c r="F280" t="inlineStr">
        <is>
          <t>GÄVLEBORGS LÄN</t>
        </is>
      </c>
      <c r="G280" t="inlineStr">
        <is>
          <t>OCKELBO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18097-2026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46125</v>
      </c>
      <c r="E281" s="1" t="n">
        <v>46284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21280-2026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46147</v>
      </c>
      <c r="E282" s="1" t="n">
        <v>46284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öst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21277-2026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46147</v>
      </c>
      <c r="E283" s="1" t="n">
        <v>46284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öst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48996-2025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46284</v>
      </c>
      <c r="F284" t="inlineStr">
        <is>
          <t>GÄVLEBORGS LÄN</t>
        </is>
      </c>
      <c r="G284" t="inlineStr">
        <is>
          <t>OCKELBO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46284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49032-2025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46284</v>
      </c>
      <c r="F286" t="inlineStr">
        <is>
          <t>GÄVLEBORGS LÄN</t>
        </is>
      </c>
      <c r="G286" t="inlineStr">
        <is>
          <t>OCKELBO</t>
        </is>
      </c>
      <c r="I286" t="n">
        <v>11.1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15908-2026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46284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öst AB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45106</v>
      </c>
      <c r="E288" s="1" t="n">
        <v>46284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46148</v>
      </c>
      <c r="E289" s="1" t="n">
        <v>46284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21500-2026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46148</v>
      </c>
      <c r="E290" s="1" t="n">
        <v>46284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31822-2025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45834</v>
      </c>
      <c r="E291" s="1" t="n">
        <v>46284</v>
      </c>
      <c r="F291" t="inlineStr">
        <is>
          <t>GÄVLEBORGS LÄN</t>
        </is>
      </c>
      <c r="G291" t="inlineStr">
        <is>
          <t>OCKELBO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46134</v>
      </c>
      <c r="E292" s="1" t="n">
        <v>46284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21640-2026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46149</v>
      </c>
      <c r="E293" s="1" t="n">
        <v>46284</v>
      </c>
      <c r="F293" t="inlineStr">
        <is>
          <t>GÄVLEBORGS LÄN</t>
        </is>
      </c>
      <c r="G293" t="inlineStr">
        <is>
          <t>OCKELBO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21459-2026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46148</v>
      </c>
      <c r="E294" s="1" t="n">
        <v>46284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21468-2026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46284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46284</v>
      </c>
      <c r="F296" t="inlineStr">
        <is>
          <t>GÄVLEBORGS LÄN</t>
        </is>
      </c>
      <c r="G296" t="inlineStr">
        <is>
          <t>OCKELBO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46100</v>
      </c>
      <c r="E297" s="1" t="n">
        <v>46284</v>
      </c>
      <c r="F297" t="inlineStr">
        <is>
          <t>GÄVLEBORGS LÄN</t>
        </is>
      </c>
      <c r="G297" t="inlineStr">
        <is>
          <t>OCKELBO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17233-2026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46119</v>
      </c>
      <c r="E298" s="1" t="n">
        <v>46284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8865-2026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46284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45674</v>
      </c>
      <c r="E300" s="1" t="n">
        <v>46284</v>
      </c>
      <c r="F300" t="inlineStr">
        <is>
          <t>GÄVLEBORGS LÄN</t>
        </is>
      </c>
      <c r="G300" t="inlineStr">
        <is>
          <t>OCKELBO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46153</v>
      </c>
      <c r="E301" s="1" t="n">
        <v>46284</v>
      </c>
      <c r="F301" t="inlineStr">
        <is>
          <t>GÄVLEBORGS LÄN</t>
        </is>
      </c>
      <c r="G301" t="inlineStr">
        <is>
          <t>OCKELBO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46284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9.1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46284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45258</v>
      </c>
      <c r="E304" s="1" t="n">
        <v>46284</v>
      </c>
      <c r="F304" t="inlineStr">
        <is>
          <t>GÄVLEBORGS LÄN</t>
        </is>
      </c>
      <c r="G304" t="inlineStr">
        <is>
          <t>OCKELBO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52259-2025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46284</v>
      </c>
      <c r="F305" t="inlineStr">
        <is>
          <t>GÄVLEBORGS LÄN</t>
        </is>
      </c>
      <c r="G305" t="inlineStr">
        <is>
          <t>OCKELBO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51892-2025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45952</v>
      </c>
      <c r="E306" s="1" t="n">
        <v>46284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52241-2025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45953</v>
      </c>
      <c r="E307" s="1" t="n">
        <v>46284</v>
      </c>
      <c r="F307" t="inlineStr">
        <is>
          <t>GÄVLEBORGS LÄN</t>
        </is>
      </c>
      <c r="G307" t="inlineStr">
        <is>
          <t>OCKELBO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46284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46284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22057-2026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46284</v>
      </c>
      <c r="F310" t="inlineStr">
        <is>
          <t>GÄVLEBORGS LÄN</t>
        </is>
      </c>
      <c r="G310" t="inlineStr">
        <is>
          <t>OCKELBO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52461-2025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46284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65259-2023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45291</v>
      </c>
      <c r="E312" s="1" t="n">
        <v>46284</v>
      </c>
      <c r="F312" t="inlineStr">
        <is>
          <t>GÄVLEBORGS LÄN</t>
        </is>
      </c>
      <c r="G312" t="inlineStr">
        <is>
          <t>OCKELBO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9542-2026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46284</v>
      </c>
      <c r="F313" t="inlineStr">
        <is>
          <t>GÄVLEBORGS LÄN</t>
        </is>
      </c>
      <c r="G313" t="inlineStr">
        <is>
          <t>OCKELBO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56352-2024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45624</v>
      </c>
      <c r="E314" s="1" t="n">
        <v>46284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46284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39430-2024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45551</v>
      </c>
      <c r="E316" s="1" t="n">
        <v>46284</v>
      </c>
      <c r="F316" t="inlineStr">
        <is>
          <t>GÄVLEBORGS LÄN</t>
        </is>
      </c>
      <c r="G316" t="inlineStr">
        <is>
          <t>OCKELBO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46284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46284</v>
      </c>
      <c r="F318" t="inlineStr">
        <is>
          <t>GÄVLEBORGS LÄN</t>
        </is>
      </c>
      <c r="G318" t="inlineStr">
        <is>
          <t>OCKELBO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54879-2025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45967</v>
      </c>
      <c r="E319" s="1" t="n">
        <v>46284</v>
      </c>
      <c r="F319" t="inlineStr">
        <is>
          <t>GÄVLEBORGS LÄN</t>
        </is>
      </c>
      <c r="G319" t="inlineStr">
        <is>
          <t>OCKELBO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54880-2025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45967</v>
      </c>
      <c r="E320" s="1" t="n">
        <v>46284</v>
      </c>
      <c r="F320" t="inlineStr">
        <is>
          <t>GÄVLEBORGS LÄN</t>
        </is>
      </c>
      <c r="G320" t="inlineStr">
        <is>
          <t>OCKELBO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58718-2025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46284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46043</v>
      </c>
      <c r="E322" s="1" t="n">
        <v>46284</v>
      </c>
      <c r="F322" t="inlineStr">
        <is>
          <t>GÄVLEBORGS LÄN</t>
        </is>
      </c>
      <c r="G322" t="inlineStr">
        <is>
          <t>OCKELBO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46284</v>
      </c>
      <c r="F323" t="inlineStr">
        <is>
          <t>GÄVLEBORGS LÄN</t>
        </is>
      </c>
      <c r="G323" t="inlineStr">
        <is>
          <t>OCKELBO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45972</v>
      </c>
      <c r="E324" s="1" t="n">
        <v>46284</v>
      </c>
      <c r="F324" t="inlineStr">
        <is>
          <t>GÄVLEBORGS LÄN</t>
        </is>
      </c>
      <c r="G324" t="inlineStr">
        <is>
          <t>OCKELBO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46284</v>
      </c>
      <c r="F325" t="inlineStr">
        <is>
          <t>GÄVLEBORGS LÄN</t>
        </is>
      </c>
      <c r="G325" t="inlineStr">
        <is>
          <t>OCKELBO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46284</v>
      </c>
      <c r="F326" t="inlineStr">
        <is>
          <t>GÄVLEBORGS LÄN</t>
        </is>
      </c>
      <c r="G326" t="inlineStr">
        <is>
          <t>OCKELBO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55632-2025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45972</v>
      </c>
      <c r="E327" s="1" t="n">
        <v>46284</v>
      </c>
      <c r="F327" t="inlineStr">
        <is>
          <t>GÄVLEBORGS LÄN</t>
        </is>
      </c>
      <c r="G327" t="inlineStr">
        <is>
          <t>OCKELBO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22569-2026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46155</v>
      </c>
      <c r="E328" s="1" t="n">
        <v>46284</v>
      </c>
      <c r="F328" t="inlineStr">
        <is>
          <t>GÄVLEBORGS LÄN</t>
        </is>
      </c>
      <c r="G328" t="inlineStr">
        <is>
          <t>OCKELBO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46284</v>
      </c>
      <c r="F329" t="inlineStr">
        <is>
          <t>GÄVLEBORGS LÄN</t>
        </is>
      </c>
      <c r="G329" t="inlineStr">
        <is>
          <t>OCKELBO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46284</v>
      </c>
      <c r="F330" t="inlineStr">
        <is>
          <t>GÄVLEBORGS LÄN</t>
        </is>
      </c>
      <c r="G330" t="inlineStr">
        <is>
          <t>OCKELBO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46284</v>
      </c>
      <c r="F331" t="inlineStr">
        <is>
          <t>GÄVLEBORGS LÄN</t>
        </is>
      </c>
      <c r="G331" t="inlineStr">
        <is>
          <t>OCKELBO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45972</v>
      </c>
      <c r="E332" s="1" t="n">
        <v>46284</v>
      </c>
      <c r="F332" t="inlineStr">
        <is>
          <t>GÄVLEBORGS LÄN</t>
        </is>
      </c>
      <c r="G332" t="inlineStr">
        <is>
          <t>OCKELBO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45649</v>
      </c>
      <c r="E333" s="1" t="n">
        <v>46284</v>
      </c>
      <c r="F333" t="inlineStr">
        <is>
          <t>GÄVLEBORGS LÄN</t>
        </is>
      </c>
      <c r="G333" t="inlineStr">
        <is>
          <t>OCKELBO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55911-2025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45973</v>
      </c>
      <c r="E334" s="1" t="n">
        <v>46284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46284</v>
      </c>
      <c r="F335" t="inlineStr">
        <is>
          <t>GÄVLEBORGS LÄN</t>
        </is>
      </c>
      <c r="G335" t="inlineStr">
        <is>
          <t>OCKELBO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46284</v>
      </c>
      <c r="F336" t="inlineStr">
        <is>
          <t>GÄVLEBORGS LÄN</t>
        </is>
      </c>
      <c r="G336" t="inlineStr">
        <is>
          <t>OCKELBO</t>
        </is>
      </c>
      <c r="I336" t="n">
        <v>7.7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22329-2026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46154</v>
      </c>
      <c r="E337" s="1" t="n">
        <v>46284</v>
      </c>
      <c r="F337" t="inlineStr">
        <is>
          <t>GÄVLEBORGS LÄN</t>
        </is>
      </c>
      <c r="G337" t="inlineStr">
        <is>
          <t>OCKELBO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46284</v>
      </c>
      <c r="F338" t="inlineStr">
        <is>
          <t>GÄVLEBORGS LÄN</t>
        </is>
      </c>
      <c r="G338" t="inlineStr">
        <is>
          <t>OCKELBO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56888-2025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46284</v>
      </c>
      <c r="F339" t="inlineStr">
        <is>
          <t>GÄVLEBORGS LÄN</t>
        </is>
      </c>
      <c r="G339" t="inlineStr">
        <is>
          <t>OCKELBO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46284</v>
      </c>
      <c r="F340" t="inlineStr">
        <is>
          <t>GÄVLEBORGS LÄN</t>
        </is>
      </c>
      <c r="G340" t="inlineStr">
        <is>
          <t>OCKELBO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56921-2025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46284</v>
      </c>
      <c r="F341" t="inlineStr">
        <is>
          <t>GÄVLEBORGS LÄN</t>
        </is>
      </c>
      <c r="G341" t="inlineStr">
        <is>
          <t>OCKELBO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56882-2025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45978</v>
      </c>
      <c r="E342" s="1" t="n">
        <v>46284</v>
      </c>
      <c r="F342" t="inlineStr">
        <is>
          <t>GÄVLEBORGS LÄN</t>
        </is>
      </c>
      <c r="G342" t="inlineStr">
        <is>
          <t>OCKELBO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22460-2026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46284</v>
      </c>
      <c r="F343" t="inlineStr">
        <is>
          <t>GÄVLEBORGS LÄN</t>
        </is>
      </c>
      <c r="G343" t="inlineStr">
        <is>
          <t>OCKELBO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46284</v>
      </c>
      <c r="F344" t="inlineStr">
        <is>
          <t>GÄVLEBORGS LÄN</t>
        </is>
      </c>
      <c r="G344" t="inlineStr">
        <is>
          <t>OCKELBO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17221-2026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46119</v>
      </c>
      <c r="E345" s="1" t="n">
        <v>46284</v>
      </c>
      <c r="F345" t="inlineStr">
        <is>
          <t>GÄVLEBORGS LÄN</t>
        </is>
      </c>
      <c r="G345" t="inlineStr">
        <is>
          <t>OCKELBO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46284</v>
      </c>
      <c r="F346" t="inlineStr">
        <is>
          <t>GÄVLEBORGS LÄN</t>
        </is>
      </c>
      <c r="G346" t="inlineStr">
        <is>
          <t>OCKELBO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43071-2025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45909</v>
      </c>
      <c r="E347" s="1" t="n">
        <v>46284</v>
      </c>
      <c r="F347" t="inlineStr">
        <is>
          <t>GÄVLEBORGS LÄN</t>
        </is>
      </c>
      <c r="G347" t="inlineStr">
        <is>
          <t>OCKELBO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56876-2025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46284</v>
      </c>
      <c r="F348" t="inlineStr">
        <is>
          <t>GÄVLEBORGS LÄN</t>
        </is>
      </c>
      <c r="G348" t="inlineStr">
        <is>
          <t>OCKELBO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46284</v>
      </c>
      <c r="F349" t="inlineStr">
        <is>
          <t>GÄVLEBORGS LÄN</t>
        </is>
      </c>
      <c r="G349" t="inlineStr">
        <is>
          <t>OCKELBO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46284</v>
      </c>
      <c r="F350" t="inlineStr">
        <is>
          <t>GÄVLEBORGS LÄN</t>
        </is>
      </c>
      <c r="G350" t="inlineStr">
        <is>
          <t>OCKELBO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22594-2026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46155</v>
      </c>
      <c r="E351" s="1" t="n">
        <v>46284</v>
      </c>
      <c r="F351" t="inlineStr">
        <is>
          <t>GÄVLEBORGS LÄN</t>
        </is>
      </c>
      <c r="G351" t="inlineStr">
        <is>
          <t>OCKELBO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15034-2026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46104</v>
      </c>
      <c r="E352" s="1" t="n">
        <v>46284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12352-2026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46088</v>
      </c>
      <c r="E353" s="1" t="n">
        <v>46284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9.199999999999999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4179-2026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46284</v>
      </c>
      <c r="F354" t="inlineStr">
        <is>
          <t>GÄVLEBORGS LÄN</t>
        </is>
      </c>
      <c r="G354" t="inlineStr">
        <is>
          <t>OCKELBO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46284</v>
      </c>
      <c r="F355" t="inlineStr">
        <is>
          <t>GÄVLEBORGS LÄN</t>
        </is>
      </c>
      <c r="G355" t="inlineStr">
        <is>
          <t>OCKELBO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58295-2025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45985</v>
      </c>
      <c r="E356" s="1" t="n">
        <v>46284</v>
      </c>
      <c r="F356" t="inlineStr">
        <is>
          <t>GÄVLEBORGS LÄN</t>
        </is>
      </c>
      <c r="G356" t="inlineStr">
        <is>
          <t>OCKELBO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13182-2026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46093</v>
      </c>
      <c r="E357" s="1" t="n">
        <v>46284</v>
      </c>
      <c r="F357" t="inlineStr">
        <is>
          <t>GÄVLEBORGS LÄN</t>
        </is>
      </c>
      <c r="G357" t="inlineStr">
        <is>
          <t>OCKELBO</t>
        </is>
      </c>
      <c r="I357" t="n">
        <v>8.199999999999999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46284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46284</v>
      </c>
      <c r="F359" t="inlineStr">
        <is>
          <t>GÄVLEBORGS LÄN</t>
        </is>
      </c>
      <c r="G359" t="inlineStr">
        <is>
          <t>OCKELBO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60122-2025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46284</v>
      </c>
      <c r="F360" t="inlineStr">
        <is>
          <t>GÄVLEBORGS LÄN</t>
        </is>
      </c>
      <c r="G360" t="inlineStr">
        <is>
          <t>OCKELBO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58770-2025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45986</v>
      </c>
      <c r="E361" s="1" t="n">
        <v>46284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60120-2025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46284</v>
      </c>
      <c r="F362" t="inlineStr">
        <is>
          <t>GÄVLEBORGS LÄN</t>
        </is>
      </c>
      <c r="G362" t="inlineStr">
        <is>
          <t>OCKELBO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22712-2026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46156</v>
      </c>
      <c r="E363" s="1" t="n">
        <v>46284</v>
      </c>
      <c r="F363" t="inlineStr">
        <is>
          <t>GÄVLEBORGS LÄN</t>
        </is>
      </c>
      <c r="G363" t="inlineStr">
        <is>
          <t>OCKELBO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46122</v>
      </c>
      <c r="E364" s="1" t="n">
        <v>46284</v>
      </c>
      <c r="F364" t="inlineStr">
        <is>
          <t>GÄVLEBORGS LÄN</t>
        </is>
      </c>
      <c r="G364" t="inlineStr">
        <is>
          <t>OCKELBO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46284</v>
      </c>
      <c r="F365" t="inlineStr">
        <is>
          <t>GÄVLEBORGS LÄN</t>
        </is>
      </c>
      <c r="G365" t="inlineStr">
        <is>
          <t>OCKELBO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23772-2024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45455</v>
      </c>
      <c r="E366" s="1" t="n">
        <v>46284</v>
      </c>
      <c r="F366" t="inlineStr">
        <is>
          <t>GÄVLEBORGS LÄN</t>
        </is>
      </c>
      <c r="G366" t="inlineStr">
        <is>
          <t>OCKELBO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23040-2026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46161</v>
      </c>
      <c r="E367" s="1" t="n">
        <v>46284</v>
      </c>
      <c r="F367" t="inlineStr">
        <is>
          <t>GÄVLEBORGS LÄN</t>
        </is>
      </c>
      <c r="G367" t="inlineStr">
        <is>
          <t>OCKELBO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58727-2025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45986</v>
      </c>
      <c r="E368" s="1" t="n">
        <v>46284</v>
      </c>
      <c r="F368" t="inlineStr">
        <is>
          <t>GÄVLEBORGS LÄN</t>
        </is>
      </c>
      <c r="G368" t="inlineStr">
        <is>
          <t>OCKELBO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46161</v>
      </c>
      <c r="E369" s="1" t="n">
        <v>46284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46284</v>
      </c>
      <c r="F370" t="inlineStr">
        <is>
          <t>GÄVLEBORGS LÄN</t>
        </is>
      </c>
      <c r="G370" t="inlineStr">
        <is>
          <t>OCKELBO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59086-2025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46284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22843-2026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46284</v>
      </c>
      <c r="F372" t="inlineStr">
        <is>
          <t>GÄVLEBORGS LÄN</t>
        </is>
      </c>
      <c r="G372" t="inlineStr">
        <is>
          <t>OCKELBO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54817-2022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44883</v>
      </c>
      <c r="E373" s="1" t="n">
        <v>46284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23149-2026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46284</v>
      </c>
      <c r="F374" t="inlineStr">
        <is>
          <t>GÄVLEBORGS LÄN</t>
        </is>
      </c>
      <c r="G374" t="inlineStr">
        <is>
          <t>OCKELBO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46284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14.7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40196-2024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45554</v>
      </c>
      <c r="E376" s="1" t="n">
        <v>46284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45716</v>
      </c>
      <c r="E377" s="1" t="n">
        <v>46284</v>
      </c>
      <c r="F377" t="inlineStr">
        <is>
          <t>GÄVLEBORGS LÄN</t>
        </is>
      </c>
      <c r="G377" t="inlineStr">
        <is>
          <t>OCKELBO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60527-2025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45995</v>
      </c>
      <c r="E378" s="1" t="n">
        <v>46284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54977-2024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45620</v>
      </c>
      <c r="E379" s="1" t="n">
        <v>46284</v>
      </c>
      <c r="F379" t="inlineStr">
        <is>
          <t>GÄVLEBORGS LÄN</t>
        </is>
      </c>
      <c r="G379" t="inlineStr">
        <is>
          <t>OCKELBO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47674-2023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45203</v>
      </c>
      <c r="E380" s="1" t="n">
        <v>46284</v>
      </c>
      <c r="F380" t="inlineStr">
        <is>
          <t>GÄVLEBORGS LÄN</t>
        </is>
      </c>
      <c r="G380" t="inlineStr">
        <is>
          <t>OCKELBO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60487-2025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46284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60183-2025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45994</v>
      </c>
      <c r="E382" s="1" t="n">
        <v>46284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45996</v>
      </c>
      <c r="E383" s="1" t="n">
        <v>46284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61148-2025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46000</v>
      </c>
      <c r="E384" s="1" t="n">
        <v>46284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23663-2026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46164</v>
      </c>
      <c r="E385" s="1" t="n">
        <v>46284</v>
      </c>
      <c r="F385" t="inlineStr">
        <is>
          <t>GÄVLEBORGS LÄN</t>
        </is>
      </c>
      <c r="G385" t="inlineStr">
        <is>
          <t>OCKELBO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14937-2024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45398</v>
      </c>
      <c r="E386" s="1" t="n">
        <v>46284</v>
      </c>
      <c r="F386" t="inlineStr">
        <is>
          <t>GÄVLEBORGS LÄN</t>
        </is>
      </c>
      <c r="G386" t="inlineStr">
        <is>
          <t>OCKELBO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33880-2023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45134</v>
      </c>
      <c r="E387" s="1" t="n">
        <v>46284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45134</v>
      </c>
      <c r="E388" s="1" t="n">
        <v>46284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61456-2024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45646</v>
      </c>
      <c r="E389" s="1" t="n">
        <v>46284</v>
      </c>
      <c r="F389" t="inlineStr">
        <is>
          <t>GÄVLEBORGS LÄN</t>
        </is>
      </c>
      <c r="G389" t="inlineStr">
        <is>
          <t>OCKELBO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62196-2025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46006</v>
      </c>
      <c r="E390" s="1" t="n">
        <v>46284</v>
      </c>
      <c r="F390" t="inlineStr">
        <is>
          <t>GÄVLEBORGS LÄN</t>
        </is>
      </c>
      <c r="G390" t="inlineStr">
        <is>
          <t>OCKELBO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59383-2025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46284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23786-2026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46284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46284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44281-2022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44839</v>
      </c>
      <c r="E394" s="1" t="n">
        <v>46284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62914-2025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46284</v>
      </c>
      <c r="F395" t="inlineStr">
        <is>
          <t>GÄVLEBORGS LÄN</t>
        </is>
      </c>
      <c r="G395" t="inlineStr">
        <is>
          <t>OCKELBO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46284</v>
      </c>
      <c r="F396" t="inlineStr">
        <is>
          <t>GÄVLEBORGS LÄN</t>
        </is>
      </c>
      <c r="G396" t="inlineStr">
        <is>
          <t>OCKELBO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63459-2025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46013</v>
      </c>
      <c r="E397" s="1" t="n">
        <v>46284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63464-2025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46013</v>
      </c>
      <c r="E398" s="1" t="n">
        <v>46284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63224-2025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46010</v>
      </c>
      <c r="E399" s="1" t="n">
        <v>46284</v>
      </c>
      <c r="F399" t="inlineStr">
        <is>
          <t>GÄVLEBORGS LÄN</t>
        </is>
      </c>
      <c r="G399" t="inlineStr">
        <is>
          <t>OCKELBO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46169</v>
      </c>
      <c r="E400" s="1" t="n">
        <v>46284</v>
      </c>
      <c r="F400" t="inlineStr">
        <is>
          <t>GÄVLEBORGS LÄN</t>
        </is>
      </c>
      <c r="G400" t="inlineStr">
        <is>
          <t>OCKELBO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24267-2026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46169</v>
      </c>
      <c r="E401" s="1" t="n">
        <v>46284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60497-2021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44496</v>
      </c>
      <c r="E402" s="1" t="n">
        <v>46284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24333-2026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46284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24063-2026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46284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46284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63616-2025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46014</v>
      </c>
      <c r="E406" s="1" t="n">
        <v>46284</v>
      </c>
      <c r="F406" t="inlineStr">
        <is>
          <t>GÄVLEBORGS LÄN</t>
        </is>
      </c>
      <c r="G406" t="inlineStr">
        <is>
          <t>OCKELBO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46169</v>
      </c>
      <c r="E407" s="1" t="n">
        <v>46284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24185-2026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46168</v>
      </c>
      <c r="E408" s="1" t="n">
        <v>46284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6396-2025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45699</v>
      </c>
      <c r="E409" s="1" t="n">
        <v>46284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46169</v>
      </c>
      <c r="E410" s="1" t="n">
        <v>46284</v>
      </c>
      <c r="F410" t="inlineStr">
        <is>
          <t>GÄVLEBORGS LÄN</t>
        </is>
      </c>
      <c r="G410" t="inlineStr">
        <is>
          <t>OCKELBO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24059-2026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46284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24569-2026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46170</v>
      </c>
      <c r="E412" s="1" t="n">
        <v>46284</v>
      </c>
      <c r="F412" t="inlineStr">
        <is>
          <t>GÄVLEBORGS LÄN</t>
        </is>
      </c>
      <c r="G412" t="inlineStr">
        <is>
          <t>OCKELBO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64006-2025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46021</v>
      </c>
      <c r="E413" s="1" t="n">
        <v>46284</v>
      </c>
      <c r="F413" t="inlineStr">
        <is>
          <t>GÄVLEBORGS LÄN</t>
        </is>
      </c>
      <c r="G413" t="inlineStr">
        <is>
          <t>OCKELBO</t>
        </is>
      </c>
      <c r="I413" t="n">
        <v>13.6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46284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46170</v>
      </c>
      <c r="E415" s="1" t="n">
        <v>46284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43550-2023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45184</v>
      </c>
      <c r="E416" s="1" t="n">
        <v>46284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46284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46027</v>
      </c>
      <c r="E418" s="1" t="n">
        <v>46284</v>
      </c>
      <c r="F418" t="inlineStr">
        <is>
          <t>GÄVLEBORGS LÄN</t>
        </is>
      </c>
      <c r="G418" t="inlineStr">
        <is>
          <t>OCKELBO</t>
        </is>
      </c>
      <c r="I418" t="n">
        <v>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46027</v>
      </c>
      <c r="E419" s="1" t="n">
        <v>46284</v>
      </c>
      <c r="F419" t="inlineStr">
        <is>
          <t>GÄVLEBORGS LÄN</t>
        </is>
      </c>
      <c r="G419" t="inlineStr">
        <is>
          <t>OCKELBO</t>
        </is>
      </c>
      <c r="I419" t="n">
        <v>16.2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46027</v>
      </c>
      <c r="E420" s="1" t="n">
        <v>46284</v>
      </c>
      <c r="F420" t="inlineStr">
        <is>
          <t>GÄVLEBORGS LÄN</t>
        </is>
      </c>
      <c r="G420" t="inlineStr">
        <is>
          <t>OCKELBO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46027</v>
      </c>
      <c r="E421" s="1" t="n">
        <v>46284</v>
      </c>
      <c r="F421" t="inlineStr">
        <is>
          <t>GÄVLEBORGS LÄN</t>
        </is>
      </c>
      <c r="G421" t="inlineStr">
        <is>
          <t>OCKELBO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46027</v>
      </c>
      <c r="E422" s="1" t="n">
        <v>46284</v>
      </c>
      <c r="F422" t="inlineStr">
        <is>
          <t>GÄVLEBORGS LÄN</t>
        </is>
      </c>
      <c r="G422" t="inlineStr">
        <is>
          <t>OCKELBO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46024</v>
      </c>
      <c r="E423" s="1" t="n">
        <v>46284</v>
      </c>
      <c r="F423" t="inlineStr">
        <is>
          <t>GÄVLEBORGS LÄN</t>
        </is>
      </c>
      <c r="G423" t="inlineStr">
        <is>
          <t>OCKELBO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46027</v>
      </c>
      <c r="E424" s="1" t="n">
        <v>46284</v>
      </c>
      <c r="F424" t="inlineStr">
        <is>
          <t>GÄVLEBORGS LÄN</t>
        </is>
      </c>
      <c r="G424" t="inlineStr">
        <is>
          <t>OCKELBO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46284</v>
      </c>
      <c r="F425" t="inlineStr">
        <is>
          <t>GÄVLEBORGS LÄN</t>
        </is>
      </c>
      <c r="G425" t="inlineStr">
        <is>
          <t>OCKELBO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24598-2026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46170</v>
      </c>
      <c r="E426" s="1" t="n">
        <v>46284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46028</v>
      </c>
      <c r="E427" s="1" t="n">
        <v>46284</v>
      </c>
      <c r="F427" t="inlineStr">
        <is>
          <t>GÄVLEBORGS LÄN</t>
        </is>
      </c>
      <c r="G427" t="inlineStr">
        <is>
          <t>OCKELBO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46028</v>
      </c>
      <c r="E428" s="1" t="n">
        <v>46284</v>
      </c>
      <c r="F428" t="inlineStr">
        <is>
          <t>GÄVLEBORGS LÄN</t>
        </is>
      </c>
      <c r="G428" t="inlineStr">
        <is>
          <t>OCKELBO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46284</v>
      </c>
      <c r="F429" t="inlineStr">
        <is>
          <t>GÄVLEBORGS LÄN</t>
        </is>
      </c>
      <c r="G429" t="inlineStr">
        <is>
          <t>OCKELBO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46024</v>
      </c>
      <c r="E430" s="1" t="n">
        <v>46284</v>
      </c>
      <c r="F430" t="inlineStr">
        <is>
          <t>GÄVLEBORGS LÄN</t>
        </is>
      </c>
      <c r="G430" t="inlineStr">
        <is>
          <t>OCKELBO</t>
        </is>
      </c>
      <c r="I430" t="n">
        <v>12.9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46284</v>
      </c>
      <c r="F431" t="inlineStr">
        <is>
          <t>GÄVLEBORGS LÄN</t>
        </is>
      </c>
      <c r="G431" t="inlineStr">
        <is>
          <t>OCKELBO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46029</v>
      </c>
      <c r="E432" s="1" t="n">
        <v>46284</v>
      </c>
      <c r="F432" t="inlineStr">
        <is>
          <t>GÄVLEBORGS LÄN</t>
        </is>
      </c>
      <c r="G432" t="inlineStr">
        <is>
          <t>OCKELBO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24578-2026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46170</v>
      </c>
      <c r="E433" s="1" t="n">
        <v>46284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46031</v>
      </c>
      <c r="E434" s="1" t="n">
        <v>46284</v>
      </c>
      <c r="F434" t="inlineStr">
        <is>
          <t>GÄVLEBORGS LÄN</t>
        </is>
      </c>
      <c r="G434" t="inlineStr">
        <is>
          <t>OCKELBO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46031</v>
      </c>
      <c r="E435" s="1" t="n">
        <v>46284</v>
      </c>
      <c r="F435" t="inlineStr">
        <is>
          <t>GÄVLEBORGS LÄN</t>
        </is>
      </c>
      <c r="G435" t="inlineStr">
        <is>
          <t>OCKELBO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46170</v>
      </c>
      <c r="E436" s="1" t="n">
        <v>46284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46034</v>
      </c>
      <c r="E437" s="1" t="n">
        <v>46284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46034</v>
      </c>
      <c r="E438" s="1" t="n">
        <v>46284</v>
      </c>
      <c r="F438" t="inlineStr">
        <is>
          <t>GÄVLEBORGS LÄN</t>
        </is>
      </c>
      <c r="G438" t="inlineStr">
        <is>
          <t>OCKELBO</t>
        </is>
      </c>
      <c r="I438" t="n">
        <v>9.4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46033</v>
      </c>
      <c r="E439" s="1" t="n">
        <v>46284</v>
      </c>
      <c r="F439" t="inlineStr">
        <is>
          <t>GÄVLEBORGS LÄN</t>
        </is>
      </c>
      <c r="G439" t="inlineStr">
        <is>
          <t>OCKELBO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46035</v>
      </c>
      <c r="E440" s="1" t="n">
        <v>46284</v>
      </c>
      <c r="F440" t="inlineStr">
        <is>
          <t>GÄVLEBORGS LÄN</t>
        </is>
      </c>
      <c r="G440" t="inlineStr">
        <is>
          <t>OCKELBO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1981-2026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46035</v>
      </c>
      <c r="E441" s="1" t="n">
        <v>46284</v>
      </c>
      <c r="F441" t="inlineStr">
        <is>
          <t>GÄVLEBORGS LÄN</t>
        </is>
      </c>
      <c r="G441" t="inlineStr">
        <is>
          <t>OCKELBO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46085</v>
      </c>
      <c r="E442" s="1" t="n">
        <v>46284</v>
      </c>
      <c r="F442" t="inlineStr">
        <is>
          <t>GÄVLEBORGS LÄN</t>
        </is>
      </c>
      <c r="G442" t="inlineStr">
        <is>
          <t>OCKELBO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32123-2024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45511</v>
      </c>
      <c r="E443" s="1" t="n">
        <v>46284</v>
      </c>
      <c r="F443" t="inlineStr">
        <is>
          <t>GÄVLEBORGS LÄN</t>
        </is>
      </c>
      <c r="G443" t="inlineStr">
        <is>
          <t>OCKELBO</t>
        </is>
      </c>
      <c r="I443" t="n">
        <v>11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46035</v>
      </c>
      <c r="E444" s="1" t="n">
        <v>46284</v>
      </c>
      <c r="F444" t="inlineStr">
        <is>
          <t>GÄVLEBORGS LÄN</t>
        </is>
      </c>
      <c r="G444" t="inlineStr">
        <is>
          <t>OCKELBO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40140-2022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44820</v>
      </c>
      <c r="E445" s="1" t="n">
        <v>46284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2550-2026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46037</v>
      </c>
      <c r="E446" s="1" t="n">
        <v>46284</v>
      </c>
      <c r="F446" t="inlineStr">
        <is>
          <t>GÄVLEBORGS LÄN</t>
        </is>
      </c>
      <c r="G446" t="inlineStr">
        <is>
          <t>OCKELBO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36343-2023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45152</v>
      </c>
      <c r="E447" s="1" t="n">
        <v>46284</v>
      </c>
      <c r="F447" t="inlineStr">
        <is>
          <t>GÄVLEBORGS LÄN</t>
        </is>
      </c>
      <c r="G447" t="inlineStr">
        <is>
          <t>OCKELBO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46023</v>
      </c>
      <c r="E448" s="1" t="n">
        <v>46284</v>
      </c>
      <c r="F448" t="inlineStr">
        <is>
          <t>GÄVLEBORGS LÄN</t>
        </is>
      </c>
      <c r="G448" t="inlineStr">
        <is>
          <t>OCKELBO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46284</v>
      </c>
      <c r="F449" t="inlineStr">
        <is>
          <t>GÄVLEBORGS LÄN</t>
        </is>
      </c>
      <c r="G449" t="inlineStr">
        <is>
          <t>OCKELBO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46036</v>
      </c>
      <c r="E450" s="1" t="n">
        <v>46284</v>
      </c>
      <c r="F450" t="inlineStr">
        <is>
          <t>GÄVLEBORGS LÄN</t>
        </is>
      </c>
      <c r="G450" t="inlineStr">
        <is>
          <t>OCKELBO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46036</v>
      </c>
      <c r="E451" s="1" t="n">
        <v>46284</v>
      </c>
      <c r="F451" t="inlineStr">
        <is>
          <t>GÄVLEBORGS LÄN</t>
        </is>
      </c>
      <c r="G451" t="inlineStr">
        <is>
          <t>OCKELBO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46284</v>
      </c>
      <c r="F452" t="inlineStr">
        <is>
          <t>GÄVLEBORGS LÄN</t>
        </is>
      </c>
      <c r="G452" t="inlineStr">
        <is>
          <t>OCKELBO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46174</v>
      </c>
      <c r="E453" s="1" t="n">
        <v>46284</v>
      </c>
      <c r="F453" t="inlineStr">
        <is>
          <t>GÄVLEBORGS LÄN</t>
        </is>
      </c>
      <c r="G453" t="inlineStr">
        <is>
          <t>OCKELBO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12983-2022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44643</v>
      </c>
      <c r="E454" s="1" t="n">
        <v>46284</v>
      </c>
      <c r="F454" t="inlineStr">
        <is>
          <t>GÄVLEBORGS LÄN</t>
        </is>
      </c>
      <c r="G454" t="inlineStr">
        <is>
          <t>OCKELBO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56631-2022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44893</v>
      </c>
      <c r="E455" s="1" t="n">
        <v>46284</v>
      </c>
      <c r="F455" t="inlineStr">
        <is>
          <t>GÄVLEBORGS LÄN</t>
        </is>
      </c>
      <c r="G455" t="inlineStr">
        <is>
          <t>OCKELBO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46284</v>
      </c>
      <c r="F456" t="inlineStr">
        <is>
          <t>GÄVLEBORGS LÄN</t>
        </is>
      </c>
      <c r="G456" t="inlineStr">
        <is>
          <t>OCKELBO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29687-2023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45107</v>
      </c>
      <c r="E457" s="1" t="n">
        <v>46284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46284</v>
      </c>
      <c r="F458" t="inlineStr">
        <is>
          <t>GÄVLEBORGS LÄN</t>
        </is>
      </c>
      <c r="G458" t="inlineStr">
        <is>
          <t>OCKELBO</t>
        </is>
      </c>
      <c r="I458" t="n">
        <v>16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46041</v>
      </c>
      <c r="E459" s="1" t="n">
        <v>46284</v>
      </c>
      <c r="F459" t="inlineStr">
        <is>
          <t>GÄVLEBORGS LÄN</t>
        </is>
      </c>
      <c r="G459" t="inlineStr">
        <is>
          <t>OCKELBO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56634-2023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45243</v>
      </c>
      <c r="E460" s="1" t="n">
        <v>46284</v>
      </c>
      <c r="F460" t="inlineStr">
        <is>
          <t>GÄVLEBORGS LÄN</t>
        </is>
      </c>
      <c r="G460" t="inlineStr">
        <is>
          <t>OCKELBO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46284</v>
      </c>
      <c r="F461" t="inlineStr">
        <is>
          <t>GÄVLEBORGS LÄN</t>
        </is>
      </c>
      <c r="G461" t="inlineStr">
        <is>
          <t>OCKELBO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54944-2025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45967</v>
      </c>
      <c r="E462" s="1" t="n">
        <v>46284</v>
      </c>
      <c r="F462" t="inlineStr">
        <is>
          <t>GÄVLEBORGS LÄN</t>
        </is>
      </c>
      <c r="G462" t="inlineStr">
        <is>
          <t>OCKELBO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46284</v>
      </c>
      <c r="F463" t="inlineStr">
        <is>
          <t>GÄVLEBORGS LÄN</t>
        </is>
      </c>
      <c r="G463" t="inlineStr">
        <is>
          <t>OCKELBO</t>
        </is>
      </c>
      <c r="I463" t="n">
        <v>7.9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46284</v>
      </c>
      <c r="F464" t="inlineStr">
        <is>
          <t>GÄVLEBORGS LÄN</t>
        </is>
      </c>
      <c r="G464" t="inlineStr">
        <is>
          <t>OCKELBO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2858-2026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46038</v>
      </c>
      <c r="E465" s="1" t="n">
        <v>46284</v>
      </c>
      <c r="F465" t="inlineStr">
        <is>
          <t>GÄVLEBORGS LÄN</t>
        </is>
      </c>
      <c r="G465" t="inlineStr">
        <is>
          <t>OCKELBO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46038</v>
      </c>
      <c r="E466" s="1" t="n">
        <v>46284</v>
      </c>
      <c r="F466" t="inlineStr">
        <is>
          <t>GÄVLEBORGS LÄN</t>
        </is>
      </c>
      <c r="G466" t="inlineStr">
        <is>
          <t>OCKELBO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45671</v>
      </c>
      <c r="E467" s="1" t="n">
        <v>46284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3653-2026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46043</v>
      </c>
      <c r="E468" s="1" t="n">
        <v>46284</v>
      </c>
      <c r="F468" t="inlineStr">
        <is>
          <t>GÄVLEBORGS LÄN</t>
        </is>
      </c>
      <c r="G468" t="inlineStr">
        <is>
          <t>OCKELBO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46284</v>
      </c>
      <c r="F469" t="inlineStr">
        <is>
          <t>GÄVLEBORGS LÄN</t>
        </is>
      </c>
      <c r="G469" t="inlineStr">
        <is>
          <t>OCKELBO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49207-2023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45210</v>
      </c>
      <c r="E470" s="1" t="n">
        <v>46284</v>
      </c>
      <c r="F470" t="inlineStr">
        <is>
          <t>GÄVLEBORGS LÄN</t>
        </is>
      </c>
      <c r="G470" t="inlineStr">
        <is>
          <t>OCKELBO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24974-2026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46174</v>
      </c>
      <c r="E471" s="1" t="n">
        <v>46284</v>
      </c>
      <c r="F471" t="inlineStr">
        <is>
          <t>GÄVLEBORGS LÄN</t>
        </is>
      </c>
      <c r="G471" t="inlineStr">
        <is>
          <t>OCKELBO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46284</v>
      </c>
      <c r="F472" t="inlineStr">
        <is>
          <t>GÄVLEBORGS LÄN</t>
        </is>
      </c>
      <c r="G472" t="inlineStr">
        <is>
          <t>OCKELBO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46044</v>
      </c>
      <c r="E473" s="1" t="n">
        <v>46284</v>
      </c>
      <c r="F473" t="inlineStr">
        <is>
          <t>GÄVLEBORGS LÄN</t>
        </is>
      </c>
      <c r="G473" t="inlineStr">
        <is>
          <t>OCKELBO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46045</v>
      </c>
      <c r="E474" s="1" t="n">
        <v>46284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46284</v>
      </c>
      <c r="F475" t="inlineStr">
        <is>
          <t>GÄVLEBORGS LÄN</t>
        </is>
      </c>
      <c r="G475" t="inlineStr">
        <is>
          <t>OCKELBO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3999-2026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46044</v>
      </c>
      <c r="E476" s="1" t="n">
        <v>46284</v>
      </c>
      <c r="F476" t="inlineStr">
        <is>
          <t>GÄVLEBORGS LÄN</t>
        </is>
      </c>
      <c r="G476" t="inlineStr">
        <is>
          <t>OCKELBO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46284</v>
      </c>
      <c r="F477" t="inlineStr">
        <is>
          <t>GÄVLEBORGS LÄN</t>
        </is>
      </c>
      <c r="G477" t="inlineStr">
        <is>
          <t>OCKELBO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24624-2026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46171</v>
      </c>
      <c r="E478" s="1" t="n">
        <v>46284</v>
      </c>
      <c r="F478" t="inlineStr">
        <is>
          <t>GÄVLEBORGS LÄN</t>
        </is>
      </c>
      <c r="G478" t="inlineStr">
        <is>
          <t>OCKELBO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46284</v>
      </c>
      <c r="F479" t="inlineStr">
        <is>
          <t>GÄVLEBORGS LÄN</t>
        </is>
      </c>
      <c r="G479" t="inlineStr">
        <is>
          <t>OCKELBO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46284</v>
      </c>
      <c r="F480" t="inlineStr">
        <is>
          <t>GÄVLEBORGS LÄN</t>
        </is>
      </c>
      <c r="G480" t="inlineStr">
        <is>
          <t>OCKELBO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2919-2026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46038</v>
      </c>
      <c r="E481" s="1" t="n">
        <v>46284</v>
      </c>
      <c r="F481" t="inlineStr">
        <is>
          <t>GÄVLEBORGS LÄN</t>
        </is>
      </c>
      <c r="G481" t="inlineStr">
        <is>
          <t>OCKELBO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46049</v>
      </c>
      <c r="E482" s="1" t="n">
        <v>46284</v>
      </c>
      <c r="F482" t="inlineStr">
        <is>
          <t>GÄVLEBORGS LÄN</t>
        </is>
      </c>
      <c r="G482" t="inlineStr">
        <is>
          <t>OCKELBO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46284</v>
      </c>
      <c r="F483" t="inlineStr">
        <is>
          <t>GÄVLEBORGS LÄN</t>
        </is>
      </c>
      <c r="G483" t="inlineStr">
        <is>
          <t>OCKELBO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46048</v>
      </c>
      <c r="E484" s="1" t="n">
        <v>46284</v>
      </c>
      <c r="F484" t="inlineStr">
        <is>
          <t>GÄVLEBORGS LÄN</t>
        </is>
      </c>
      <c r="G484" t="inlineStr">
        <is>
          <t>OCKELBO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46050</v>
      </c>
      <c r="E485" s="1" t="n">
        <v>46284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48804-2024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45593</v>
      </c>
      <c r="E486" s="1" t="n">
        <v>46284</v>
      </c>
      <c r="F486" t="inlineStr">
        <is>
          <t>GÄVLEBORGS LÄN</t>
        </is>
      </c>
      <c r="G486" t="inlineStr">
        <is>
          <t>OCKELBO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46284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25133-2026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46284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5596-2026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46051</v>
      </c>
      <c r="E489" s="1" t="n">
        <v>46284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5337-2026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46050</v>
      </c>
      <c r="E490" s="1" t="n">
        <v>46284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46051</v>
      </c>
      <c r="E491" s="1" t="n">
        <v>46284</v>
      </c>
      <c r="F491" t="inlineStr">
        <is>
          <t>GÄVLEBORGS LÄN</t>
        </is>
      </c>
      <c r="G491" t="inlineStr">
        <is>
          <t>OCKELBO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46284</v>
      </c>
      <c r="F492" t="inlineStr">
        <is>
          <t>GÄVLEBORGS LÄN</t>
        </is>
      </c>
      <c r="G492" t="inlineStr">
        <is>
          <t>OCKELBO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6120-2026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46053</v>
      </c>
      <c r="E493" s="1" t="n">
        <v>46284</v>
      </c>
      <c r="F493" t="inlineStr">
        <is>
          <t>GÄVLEBORGS LÄN</t>
        </is>
      </c>
      <c r="G493" t="inlineStr">
        <is>
          <t>OCKELBO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6529-2026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46284</v>
      </c>
      <c r="F494" t="inlineStr">
        <is>
          <t>GÄVLEBORGS LÄN</t>
        </is>
      </c>
      <c r="G494" t="inlineStr">
        <is>
          <t>OCKELBO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6531-2026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46284</v>
      </c>
      <c r="F495" t="inlineStr">
        <is>
          <t>GÄVLEBORGS LÄN</t>
        </is>
      </c>
      <c r="G495" t="inlineStr">
        <is>
          <t>OCKELBO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50968-2024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45603</v>
      </c>
      <c r="E496" s="1" t="n">
        <v>46284</v>
      </c>
      <c r="F496" t="inlineStr">
        <is>
          <t>GÄVLEBORGS LÄN</t>
        </is>
      </c>
      <c r="G496" t="inlineStr">
        <is>
          <t>OCKELBO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46055</v>
      </c>
      <c r="E497" s="1" t="n">
        <v>46284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3034-2025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45678</v>
      </c>
      <c r="E498" s="1" t="n">
        <v>46284</v>
      </c>
      <c r="F498" t="inlineStr">
        <is>
          <t>GÄVLEBORGS LÄN</t>
        </is>
      </c>
      <c r="G498" t="inlineStr">
        <is>
          <t>OCKELBO</t>
        </is>
      </c>
      <c r="I498" t="n">
        <v>8.1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46284</v>
      </c>
      <c r="F499" t="inlineStr">
        <is>
          <t>GÄVLEBORGS LÄN</t>
        </is>
      </c>
      <c r="G499" t="inlineStr">
        <is>
          <t>OCKELBO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46056</v>
      </c>
      <c r="E500" s="1" t="n">
        <v>46284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9.4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6665-2026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46284</v>
      </c>
      <c r="F501" t="inlineStr">
        <is>
          <t>GÄVLEBORGS LÄN</t>
        </is>
      </c>
      <c r="G501" t="inlineStr">
        <is>
          <t>OCKELBO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6862-2026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46057</v>
      </c>
      <c r="E502" s="1" t="n">
        <v>46284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37438-2023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45156</v>
      </c>
      <c r="E503" s="1" t="n">
        <v>46284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6698-2026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46056</v>
      </c>
      <c r="E504" s="1" t="n">
        <v>46284</v>
      </c>
      <c r="F504" t="inlineStr">
        <is>
          <t>GÄVLEBORGS LÄN</t>
        </is>
      </c>
      <c r="G504" t="inlineStr">
        <is>
          <t>OCKELBO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46056</v>
      </c>
      <c r="E505" s="1" t="n">
        <v>46284</v>
      </c>
      <c r="F505" t="inlineStr">
        <is>
          <t>GÄVLEBORGS LÄN</t>
        </is>
      </c>
      <c r="G505" t="inlineStr">
        <is>
          <t>OCKELBO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6590-2026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46056</v>
      </c>
      <c r="E506" s="1" t="n">
        <v>46284</v>
      </c>
      <c r="F506" t="inlineStr">
        <is>
          <t>GÄVLEBORGS LÄN</t>
        </is>
      </c>
      <c r="G506" t="inlineStr">
        <is>
          <t>OCKELBO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46056</v>
      </c>
      <c r="E507" s="1" t="n">
        <v>46284</v>
      </c>
      <c r="F507" t="inlineStr">
        <is>
          <t>GÄVLEBORGS LÄN</t>
        </is>
      </c>
      <c r="G507" t="inlineStr">
        <is>
          <t>OCKELBO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46056</v>
      </c>
      <c r="E508" s="1" t="n">
        <v>46284</v>
      </c>
      <c r="F508" t="inlineStr">
        <is>
          <t>GÄVLEBORGS LÄN</t>
        </is>
      </c>
      <c r="G508" t="inlineStr">
        <is>
          <t>OCKELBO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6598-2026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46284</v>
      </c>
      <c r="F509" t="inlineStr">
        <is>
          <t>GÄVLEBORGS LÄN</t>
        </is>
      </c>
      <c r="G509" t="inlineStr">
        <is>
          <t>OCKELBO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2555-2025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45674</v>
      </c>
      <c r="E510" s="1" t="n">
        <v>46284</v>
      </c>
      <c r="F510" t="inlineStr">
        <is>
          <t>GÄVLEBORGS LÄN</t>
        </is>
      </c>
      <c r="G510" t="inlineStr">
        <is>
          <t>OCKELBO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7544-2026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46284</v>
      </c>
      <c r="F511" t="inlineStr">
        <is>
          <t>GÄVLEBORGS LÄN</t>
        </is>
      </c>
      <c r="G511" t="inlineStr">
        <is>
          <t>OCKELBO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25525-2026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46284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9.4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46284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7765-2026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46284</v>
      </c>
      <c r="F514" t="inlineStr">
        <is>
          <t>GÄVLEBORGS LÄN</t>
        </is>
      </c>
      <c r="G514" t="inlineStr">
        <is>
          <t>OCKELBO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7769-2026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46062</v>
      </c>
      <c r="E515" s="1" t="n">
        <v>46284</v>
      </c>
      <c r="F515" t="inlineStr">
        <is>
          <t>GÄVLEBORGS LÄN</t>
        </is>
      </c>
      <c r="G515" t="inlineStr">
        <is>
          <t>OCKELBO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7639-2026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46062</v>
      </c>
      <c r="E516" s="1" t="n">
        <v>46284</v>
      </c>
      <c r="F516" t="inlineStr">
        <is>
          <t>GÄVLEBORGS LÄN</t>
        </is>
      </c>
      <c r="G516" t="inlineStr">
        <is>
          <t>OCKELBO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7681-2026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46062</v>
      </c>
      <c r="E517" s="1" t="n">
        <v>46284</v>
      </c>
      <c r="F517" t="inlineStr">
        <is>
          <t>GÄVLEBORGS LÄN</t>
        </is>
      </c>
      <c r="G517" t="inlineStr">
        <is>
          <t>OCKELBO</t>
        </is>
      </c>
      <c r="H517" t="inlineStr">
        <is>
          <t>Kyrkan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8402-2026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46065</v>
      </c>
      <c r="E518" s="1" t="n">
        <v>46284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46064</v>
      </c>
      <c r="E519" s="1" t="n">
        <v>46284</v>
      </c>
      <c r="F519" t="inlineStr">
        <is>
          <t>GÄVLEBORGS LÄN</t>
        </is>
      </c>
      <c r="G519" t="inlineStr">
        <is>
          <t>OCKELBO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8351-2026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46064</v>
      </c>
      <c r="E520" s="1" t="n">
        <v>46284</v>
      </c>
      <c r="F520" t="inlineStr">
        <is>
          <t>GÄVLEBORGS LÄN</t>
        </is>
      </c>
      <c r="G520" t="inlineStr">
        <is>
          <t>OCKELBO</t>
        </is>
      </c>
      <c r="I520" t="n">
        <v>17.4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8429-2026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46065</v>
      </c>
      <c r="E521" s="1" t="n">
        <v>46284</v>
      </c>
      <c r="F521" t="inlineStr">
        <is>
          <t>GÄVLEBORGS LÄN</t>
        </is>
      </c>
      <c r="G521" t="inlineStr">
        <is>
          <t>OCKELBO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8354-2026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46284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22692-2026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46156</v>
      </c>
      <c r="E523" s="1" t="n">
        <v>46284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46284</v>
      </c>
      <c r="F524" t="inlineStr">
        <is>
          <t>GÄVLEBORGS LÄN</t>
        </is>
      </c>
      <c r="G524" t="inlineStr">
        <is>
          <t>OCKELBO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9464-2026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46071</v>
      </c>
      <c r="E525" s="1" t="n">
        <v>46284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9470-2026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46071</v>
      </c>
      <c r="E526" s="1" t="n">
        <v>46284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9507-2026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46284</v>
      </c>
      <c r="F527" t="inlineStr">
        <is>
          <t>GÄVLEBORGS LÄN</t>
        </is>
      </c>
      <c r="G527" t="inlineStr">
        <is>
          <t>OCKELBO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9416-2026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46071</v>
      </c>
      <c r="E528" s="1" t="n">
        <v>46284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9554-2026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46284</v>
      </c>
      <c r="F529" t="inlineStr">
        <is>
          <t>GÄVLEBORGS LÄN</t>
        </is>
      </c>
      <c r="G529" t="inlineStr">
        <is>
          <t>OCKELBO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9557-2026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46284</v>
      </c>
      <c r="F530" t="inlineStr">
        <is>
          <t>GÄVLEBORGS LÄN</t>
        </is>
      </c>
      <c r="G530" t="inlineStr">
        <is>
          <t>OCKELBO</t>
        </is>
      </c>
      <c r="I530" t="n">
        <v>10.4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9414-2026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46284</v>
      </c>
      <c r="F531" t="inlineStr">
        <is>
          <t>GÄVLEBORGS LÄN</t>
        </is>
      </c>
      <c r="G531" t="inlineStr">
        <is>
          <t>OCKELBO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9505-2026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46284</v>
      </c>
      <c r="F532" t="inlineStr">
        <is>
          <t>GÄVLEBORGS LÄN</t>
        </is>
      </c>
      <c r="G532" t="inlineStr">
        <is>
          <t>OCKELBO</t>
        </is>
      </c>
      <c r="I532" t="n">
        <v>8.1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26131-2026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46181</v>
      </c>
      <c r="E533" s="1" t="n">
        <v>46284</v>
      </c>
      <c r="F533" t="inlineStr">
        <is>
          <t>GÄVLEBORGS LÄN</t>
        </is>
      </c>
      <c r="G533" t="inlineStr">
        <is>
          <t>OCKELBO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34944-2024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45527</v>
      </c>
      <c r="E534" s="1" t="n">
        <v>46284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12.2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6764-2026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46284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46284</v>
      </c>
      <c r="F536" t="inlineStr">
        <is>
          <t>GÄVLEBORGS LÄN</t>
        </is>
      </c>
      <c r="G536" t="inlineStr">
        <is>
          <t>OCKELBO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9675-2026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46072</v>
      </c>
      <c r="E537" s="1" t="n">
        <v>46284</v>
      </c>
      <c r="F537" t="inlineStr">
        <is>
          <t>GÄVLEBORGS LÄN</t>
        </is>
      </c>
      <c r="G537" t="inlineStr">
        <is>
          <t>OCKELBO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9681-2026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46072</v>
      </c>
      <c r="E538" s="1" t="n">
        <v>46284</v>
      </c>
      <c r="F538" t="inlineStr">
        <is>
          <t>GÄVLEBORGS LÄN</t>
        </is>
      </c>
      <c r="G538" t="inlineStr">
        <is>
          <t>OCKELBO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9727-2026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46072</v>
      </c>
      <c r="E539" s="1" t="n">
        <v>46284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9732-2026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46072</v>
      </c>
      <c r="E540" s="1" t="n">
        <v>46284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9997-2026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46073</v>
      </c>
      <c r="E541" s="1" t="n">
        <v>46284</v>
      </c>
      <c r="F541" t="inlineStr">
        <is>
          <t>GÄVLEBORGS LÄN</t>
        </is>
      </c>
      <c r="G541" t="inlineStr">
        <is>
          <t>OCKELBO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10501-2026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46077</v>
      </c>
      <c r="E542" s="1" t="n">
        <v>46284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10682-2026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46078</v>
      </c>
      <c r="E543" s="1" t="n">
        <v>46284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10529-2026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46077</v>
      </c>
      <c r="E544" s="1" t="n">
        <v>46284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öst AB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10437-2026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46077</v>
      </c>
      <c r="E545" s="1" t="n">
        <v>46284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10454-2026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46077</v>
      </c>
      <c r="E546" s="1" t="n">
        <v>46284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10456-2026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46077</v>
      </c>
      <c r="E547" s="1" t="n">
        <v>46284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öst AB</t>
        </is>
      </c>
      <c r="I547" t="n">
        <v>45.7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46031</v>
      </c>
      <c r="E548" s="1" t="n">
        <v>46284</v>
      </c>
      <c r="F548" t="inlineStr">
        <is>
          <t>GÄVLEBORGS LÄN</t>
        </is>
      </c>
      <c r="G548" t="inlineStr">
        <is>
          <t>OCKELBO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32301-2022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44781</v>
      </c>
      <c r="E549" s="1" t="n">
        <v>46284</v>
      </c>
      <c r="F549" t="inlineStr">
        <is>
          <t>GÄVLEBORGS LÄN</t>
        </is>
      </c>
      <c r="G549" t="inlineStr">
        <is>
          <t>OCKELBO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46076</v>
      </c>
      <c r="E550" s="1" t="n">
        <v>46284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10535-2026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46077</v>
      </c>
      <c r="E551" s="1" t="n">
        <v>46284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öst AB</t>
        </is>
      </c>
      <c r="I551" t="n">
        <v>6.2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10418-2026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46077</v>
      </c>
      <c r="E552" s="1" t="n">
        <v>46284</v>
      </c>
      <c r="F552" t="inlineStr">
        <is>
          <t>GÄVLEBORGS LÄN</t>
        </is>
      </c>
      <c r="G552" t="inlineStr">
        <is>
          <t>OCKELBO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46079</v>
      </c>
      <c r="E553" s="1" t="n">
        <v>46284</v>
      </c>
      <c r="F553" t="inlineStr">
        <is>
          <t>GÄVLEBORGS LÄN</t>
        </is>
      </c>
      <c r="G553" t="inlineStr">
        <is>
          <t>OCKELBO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61116-2023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45261</v>
      </c>
      <c r="E554" s="1" t="n">
        <v>46284</v>
      </c>
      <c r="F554" t="inlineStr">
        <is>
          <t>GÄVLEBORGS LÄN</t>
        </is>
      </c>
      <c r="G554" t="inlineStr">
        <is>
          <t>OCKELBO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11237-2026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46080</v>
      </c>
      <c r="E555" s="1" t="n">
        <v>46284</v>
      </c>
      <c r="F555" t="inlineStr">
        <is>
          <t>GÄVLEBORGS LÄN</t>
        </is>
      </c>
      <c r="G555" t="inlineStr">
        <is>
          <t>OCKELBO</t>
        </is>
      </c>
      <c r="I555" t="n">
        <v>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11234-2026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46080</v>
      </c>
      <c r="E556" s="1" t="n">
        <v>46284</v>
      </c>
      <c r="F556" t="inlineStr">
        <is>
          <t>GÄVLEBORGS LÄN</t>
        </is>
      </c>
      <c r="G556" t="inlineStr">
        <is>
          <t>OCKELBO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11300-2026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46080</v>
      </c>
      <c r="E557" s="1" t="n">
        <v>46284</v>
      </c>
      <c r="F557" t="inlineStr">
        <is>
          <t>GÄVLEBORGS LÄN</t>
        </is>
      </c>
      <c r="G557" t="inlineStr">
        <is>
          <t>OCKELBO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46079</v>
      </c>
      <c r="E558" s="1" t="n">
        <v>46284</v>
      </c>
      <c r="F558" t="inlineStr">
        <is>
          <t>GÄVLEBORGS LÄN</t>
        </is>
      </c>
      <c r="G558" t="inlineStr">
        <is>
          <t>OCKELBO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18326-2026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46126</v>
      </c>
      <c r="E559" s="1" t="n">
        <v>46284</v>
      </c>
      <c r="F559" t="inlineStr">
        <is>
          <t>GÄVLEBORGS LÄN</t>
        </is>
      </c>
      <c r="G559" t="inlineStr">
        <is>
          <t>OCKELBO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11496-2026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46083</v>
      </c>
      <c r="E560" s="1" t="n">
        <v>46284</v>
      </c>
      <c r="F560" t="inlineStr">
        <is>
          <t>GÄVLEBORGS LÄN</t>
        </is>
      </c>
      <c r="G560" t="inlineStr">
        <is>
          <t>OCKELBO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11432-2026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46083</v>
      </c>
      <c r="E561" s="1" t="n">
        <v>46284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11423-2026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46083</v>
      </c>
      <c r="E562" s="1" t="n">
        <v>46284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öst AB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11810-2026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46085</v>
      </c>
      <c r="E563" s="1" t="n">
        <v>46284</v>
      </c>
      <c r="F563" t="inlineStr">
        <is>
          <t>GÄVLEBORGS LÄN</t>
        </is>
      </c>
      <c r="G563" t="inlineStr">
        <is>
          <t>OCKELBO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46284</v>
      </c>
      <c r="F564" t="inlineStr">
        <is>
          <t>GÄVLEBORGS LÄN</t>
        </is>
      </c>
      <c r="G564" t="inlineStr">
        <is>
          <t>OCKELBO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26861-2026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46284</v>
      </c>
      <c r="F565" t="inlineStr">
        <is>
          <t>GÄVLEBORGS LÄN</t>
        </is>
      </c>
      <c r="G565" t="inlineStr">
        <is>
          <t>OCKELBO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27231-2026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46188</v>
      </c>
      <c r="E566" s="1" t="n">
        <v>46284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12341-2026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46087</v>
      </c>
      <c r="E567" s="1" t="n">
        <v>46284</v>
      </c>
      <c r="F567" t="inlineStr">
        <is>
          <t>GÄVLEBORGS LÄN</t>
        </is>
      </c>
      <c r="G567" t="inlineStr">
        <is>
          <t>OCKELBO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46284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12.8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26924-2026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46185</v>
      </c>
      <c r="E569" s="1" t="n">
        <v>46284</v>
      </c>
      <c r="F569" t="inlineStr">
        <is>
          <t>GÄVLEBORGS LÄN</t>
        </is>
      </c>
      <c r="G569" t="inlineStr">
        <is>
          <t>OCKELBO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46284</v>
      </c>
      <c r="F570" t="inlineStr">
        <is>
          <t>GÄVLEBORGS LÄN</t>
        </is>
      </c>
      <c r="G570" t="inlineStr">
        <is>
          <t>OCKELBO</t>
        </is>
      </c>
      <c r="I570" t="n">
        <v>14.6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26845-2026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46284</v>
      </c>
      <c r="F571" t="inlineStr">
        <is>
          <t>GÄVLEBORGS LÄN</t>
        </is>
      </c>
      <c r="G571" t="inlineStr">
        <is>
          <t>OCKELBO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27562-2026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46190</v>
      </c>
      <c r="E572" s="1" t="n">
        <v>46284</v>
      </c>
      <c r="F572" t="inlineStr">
        <is>
          <t>GÄVLEBORGS LÄN</t>
        </is>
      </c>
      <c r="G572" t="inlineStr">
        <is>
          <t>OCKELBO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12370-2026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46089</v>
      </c>
      <c r="E573" s="1" t="n">
        <v>46284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29.9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12807-2026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46284</v>
      </c>
      <c r="F574" t="inlineStr">
        <is>
          <t>GÄVLEBORGS LÄN</t>
        </is>
      </c>
      <c r="G574" t="inlineStr">
        <is>
          <t>OCKELBO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12716-2026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46091</v>
      </c>
      <c r="E575" s="1" t="n">
        <v>46284</v>
      </c>
      <c r="F575" t="inlineStr">
        <is>
          <t>GÄVLEBORGS LÄN</t>
        </is>
      </c>
      <c r="G575" t="inlineStr">
        <is>
          <t>OCKELBO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57614-2025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45981</v>
      </c>
      <c r="E576" s="1" t="n">
        <v>46284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10.4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13271-2026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46284</v>
      </c>
      <c r="F577" t="inlineStr">
        <is>
          <t>GÄVLEBORGS LÄN</t>
        </is>
      </c>
      <c r="G577" t="inlineStr">
        <is>
          <t>OCKELBO</t>
        </is>
      </c>
      <c r="I577" t="n">
        <v>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10184-2026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46076</v>
      </c>
      <c r="E578" s="1" t="n">
        <v>46284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13481-2026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46284</v>
      </c>
      <c r="F579" t="inlineStr">
        <is>
          <t>GÄVLEBORGS LÄN</t>
        </is>
      </c>
      <c r="G579" t="inlineStr">
        <is>
          <t>OCKELBO</t>
        </is>
      </c>
      <c r="H579" t="inlineStr">
        <is>
          <t>Naturvårdsverket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27620-2026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46190</v>
      </c>
      <c r="E580" s="1" t="n">
        <v>46284</v>
      </c>
      <c r="F580" t="inlineStr">
        <is>
          <t>GÄVLEBORGS LÄN</t>
        </is>
      </c>
      <c r="G580" t="inlineStr">
        <is>
          <t>OCKELBO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46190</v>
      </c>
      <c r="E581" s="1" t="n">
        <v>46284</v>
      </c>
      <c r="F581" t="inlineStr">
        <is>
          <t>GÄVLEBORGS LÄN</t>
        </is>
      </c>
      <c r="G581" t="inlineStr">
        <is>
          <t>OCKELBO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46284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10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53702-2024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45615</v>
      </c>
      <c r="E583" s="1" t="n">
        <v>46284</v>
      </c>
      <c r="F583" t="inlineStr">
        <is>
          <t>GÄVLEBORGS LÄN</t>
        </is>
      </c>
      <c r="G583" t="inlineStr">
        <is>
          <t>OCKELBO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13441-2026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46094</v>
      </c>
      <c r="E584" s="1" t="n">
        <v>46284</v>
      </c>
      <c r="F584" t="inlineStr">
        <is>
          <t>GÄVLEBORGS LÄN</t>
        </is>
      </c>
      <c r="G584" t="inlineStr">
        <is>
          <t>OCKELBO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13216-2026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46093</v>
      </c>
      <c r="E585" s="1" t="n">
        <v>46284</v>
      </c>
      <c r="F585" t="inlineStr">
        <is>
          <t>GÄVLEBORGS LÄN</t>
        </is>
      </c>
      <c r="G585" t="inlineStr">
        <is>
          <t>OCKELBO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13321-2026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46284</v>
      </c>
      <c r="F586" t="inlineStr">
        <is>
          <t>GÄVLEBORGS LÄN</t>
        </is>
      </c>
      <c r="G586" t="inlineStr">
        <is>
          <t>OCKELBO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27381-2026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46189</v>
      </c>
      <c r="E587" s="1" t="n">
        <v>46284</v>
      </c>
      <c r="F587" t="inlineStr">
        <is>
          <t>GÄVLEBORGS LÄN</t>
        </is>
      </c>
      <c r="G587" t="inlineStr">
        <is>
          <t>OCKELBO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27383-2026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46284</v>
      </c>
      <c r="F588" t="inlineStr">
        <is>
          <t>GÄVLEBORGS LÄN</t>
        </is>
      </c>
      <c r="G588" t="inlineStr">
        <is>
          <t>OCKELBO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46189</v>
      </c>
      <c r="E589" s="1" t="n">
        <v>46284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13162-2026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46093</v>
      </c>
      <c r="E590" s="1" t="n">
        <v>46284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12.1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27379-2026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46189</v>
      </c>
      <c r="E591" s="1" t="n">
        <v>46284</v>
      </c>
      <c r="F591" t="inlineStr">
        <is>
          <t>GÄVLEBORGS LÄN</t>
        </is>
      </c>
      <c r="G591" t="inlineStr">
        <is>
          <t>OCKELBO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27382-2026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46189</v>
      </c>
      <c r="E592" s="1" t="n">
        <v>46284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13882-2026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46284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13825-2026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46284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13972-2026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46098</v>
      </c>
      <c r="E595" s="1" t="n">
        <v>46284</v>
      </c>
      <c r="F595" t="inlineStr">
        <is>
          <t>GÄVLEBORGS LÄN</t>
        </is>
      </c>
      <c r="G595" t="inlineStr">
        <is>
          <t>OCKELBO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12947-2026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46092</v>
      </c>
      <c r="E596" s="1" t="n">
        <v>46284</v>
      </c>
      <c r="F596" t="inlineStr">
        <is>
          <t>GÄVLEBORGS LÄN</t>
        </is>
      </c>
      <c r="G596" t="inlineStr">
        <is>
          <t>OCKELBO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27889-2026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46191</v>
      </c>
      <c r="E597" s="1" t="n">
        <v>46284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13962-2026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46098</v>
      </c>
      <c r="E598" s="1" t="n">
        <v>46284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13621-2026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46284</v>
      </c>
      <c r="F599" t="inlineStr">
        <is>
          <t>GÄVLEBORGS LÄN</t>
        </is>
      </c>
      <c r="G599" t="inlineStr">
        <is>
          <t>OCKELBO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46098</v>
      </c>
      <c r="E600" s="1" t="n">
        <v>46284</v>
      </c>
      <c r="F600" t="inlineStr">
        <is>
          <t>GÄVLEBORGS LÄN</t>
        </is>
      </c>
      <c r="G600" t="inlineStr">
        <is>
          <t>OCKELBO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14232-2026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46099</v>
      </c>
      <c r="E601" s="1" t="n">
        <v>46284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6377-2026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46284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28318-2026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46196</v>
      </c>
      <c r="E603" s="1" t="n">
        <v>46284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28289-2026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46196</v>
      </c>
      <c r="E604" s="1" t="n">
        <v>46284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28317-2026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46284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27995-2026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46284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14037-2026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46098</v>
      </c>
      <c r="E607" s="1" t="n">
        <v>46284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14038-2026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46098</v>
      </c>
      <c r="E608" s="1" t="n">
        <v>46284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14439-2026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46100</v>
      </c>
      <c r="E609" s="1" t="n">
        <v>46284</v>
      </c>
      <c r="F609" t="inlineStr">
        <is>
          <t>GÄVLEBORGS LÄN</t>
        </is>
      </c>
      <c r="G609" t="inlineStr">
        <is>
          <t>OCKELBO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14441-2026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46100</v>
      </c>
      <c r="E610" s="1" t="n">
        <v>46284</v>
      </c>
      <c r="F610" t="inlineStr">
        <is>
          <t>GÄVLEBORGS LÄN</t>
        </is>
      </c>
      <c r="G610" t="inlineStr">
        <is>
          <t>OCKELBO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14100-2026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46284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15018-2026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46104</v>
      </c>
      <c r="E612" s="1" t="n">
        <v>46284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14973-2026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46104</v>
      </c>
      <c r="E613" s="1" t="n">
        <v>46284</v>
      </c>
      <c r="F613" t="inlineStr">
        <is>
          <t>GÄVLEBORGS LÄN</t>
        </is>
      </c>
      <c r="G613" t="inlineStr">
        <is>
          <t>OCKELBO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15052-2026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46104</v>
      </c>
      <c r="E614" s="1" t="n">
        <v>46284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15043-2026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46104</v>
      </c>
      <c r="E615" s="1" t="n">
        <v>46284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46101</v>
      </c>
      <c r="E616" s="1" t="n">
        <v>46284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15029-2026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46104</v>
      </c>
      <c r="E617" s="1" t="n">
        <v>46284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34.1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46104</v>
      </c>
      <c r="E618" s="1" t="n">
        <v>46284</v>
      </c>
      <c r="F618" t="inlineStr">
        <is>
          <t>GÄVLEBORGS LÄN</t>
        </is>
      </c>
      <c r="G618" t="inlineStr">
        <is>
          <t>OCKELBO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15067-2026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46104</v>
      </c>
      <c r="E619" s="1" t="n">
        <v>46284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14756-2026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46101</v>
      </c>
      <c r="E620" s="1" t="n">
        <v>46284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15042-2026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46104</v>
      </c>
      <c r="E621" s="1" t="n">
        <v>46284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6.2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15648-2026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46106</v>
      </c>
      <c r="E622" s="1" t="n">
        <v>46284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17730-2025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45758</v>
      </c>
      <c r="E623" s="1" t="n">
        <v>46284</v>
      </c>
      <c r="F623" t="inlineStr">
        <is>
          <t>GÄVLEBORGS LÄN</t>
        </is>
      </c>
      <c r="G623" t="inlineStr">
        <is>
          <t>OCKELBO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15575-2026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46106</v>
      </c>
      <c r="E624" s="1" t="n">
        <v>46284</v>
      </c>
      <c r="F624" t="inlineStr">
        <is>
          <t>GÄVLEBORGS LÄN</t>
        </is>
      </c>
      <c r="G624" t="inlineStr">
        <is>
          <t>OCKELBO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36362-2024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45534</v>
      </c>
      <c r="E625" s="1" t="n">
        <v>46284</v>
      </c>
      <c r="F625" t="inlineStr">
        <is>
          <t>GÄVLEBORGS LÄN</t>
        </is>
      </c>
      <c r="G625" t="inlineStr">
        <is>
          <t>OCKELBO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5558-2024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45334</v>
      </c>
      <c r="E626" s="1" t="n">
        <v>46284</v>
      </c>
      <c r="F626" t="inlineStr">
        <is>
          <t>GÄVLEBORGS LÄN</t>
        </is>
      </c>
      <c r="G626" t="inlineStr">
        <is>
          <t>OCKELBO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15572-2026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46106</v>
      </c>
      <c r="E627" s="1" t="n">
        <v>46284</v>
      </c>
      <c r="F627" t="inlineStr">
        <is>
          <t>GÄVLEBORGS LÄN</t>
        </is>
      </c>
      <c r="G627" t="inlineStr">
        <is>
          <t>OCKELBO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28672-2026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46284</v>
      </c>
      <c r="F628" t="inlineStr">
        <is>
          <t>GÄVLEBORGS LÄN</t>
        </is>
      </c>
      <c r="G628" t="inlineStr">
        <is>
          <t>OCKELBO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14168-2026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46099</v>
      </c>
      <c r="E629" s="1" t="n">
        <v>46284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14169-2026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46284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15151-2026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46105</v>
      </c>
      <c r="E631" s="1" t="n">
        <v>46284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öst AB</t>
        </is>
      </c>
      <c r="I631" t="n">
        <v>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28725-2026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46198</v>
      </c>
      <c r="E632" s="1" t="n">
        <v>46284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52335-2024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45609</v>
      </c>
      <c r="E633" s="1" t="n">
        <v>46284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28681-2026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46198</v>
      </c>
      <c r="E634" s="1" t="n">
        <v>46284</v>
      </c>
      <c r="F634" t="inlineStr">
        <is>
          <t>GÄVLEBORGS LÄN</t>
        </is>
      </c>
      <c r="G634" t="inlineStr">
        <is>
          <t>OCKELBO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15678-2026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46106</v>
      </c>
      <c r="E635" s="1" t="n">
        <v>46284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15.4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15679-2026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46106</v>
      </c>
      <c r="E636" s="1" t="n">
        <v>46284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6.2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15966-2023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45022</v>
      </c>
      <c r="E637" s="1" t="n">
        <v>46284</v>
      </c>
      <c r="F637" t="inlineStr">
        <is>
          <t>GÄVLEBORGS LÄN</t>
        </is>
      </c>
      <c r="G637" t="inlineStr">
        <is>
          <t>OCKELBO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34444-2023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45139</v>
      </c>
      <c r="E638" s="1" t="n">
        <v>46284</v>
      </c>
      <c r="F638" t="inlineStr">
        <is>
          <t>GÄVLEBORGS LÄN</t>
        </is>
      </c>
      <c r="G638" t="inlineStr">
        <is>
          <t>OCKELBO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16006-2026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46108</v>
      </c>
      <c r="E639" s="1" t="n">
        <v>46284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9.699999999999999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16054-2026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46108</v>
      </c>
      <c r="E640" s="1" t="n">
        <v>46284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16296-2026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46111</v>
      </c>
      <c r="E641" s="1" t="n">
        <v>46284</v>
      </c>
      <c r="F641" t="inlineStr">
        <is>
          <t>GÄVLEBORGS LÄN</t>
        </is>
      </c>
      <c r="G641" t="inlineStr">
        <is>
          <t>OCKELBO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16535-2026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46112</v>
      </c>
      <c r="E642" s="1" t="n">
        <v>46284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14.3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16667-2026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46112</v>
      </c>
      <c r="E643" s="1" t="n">
        <v>46284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29078-2026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46199</v>
      </c>
      <c r="E644" s="1" t="n">
        <v>46284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47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16481-2026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46112</v>
      </c>
      <c r="E645" s="1" t="n">
        <v>46284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16388-2026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46111</v>
      </c>
      <c r="E646" s="1" t="n">
        <v>46284</v>
      </c>
      <c r="F646" t="inlineStr">
        <is>
          <t>GÄVLEBORGS LÄN</t>
        </is>
      </c>
      <c r="G646" t="inlineStr">
        <is>
          <t>OCKELBO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55070-2023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45237</v>
      </c>
      <c r="E647" s="1" t="n">
        <v>46284</v>
      </c>
      <c r="F647" t="inlineStr">
        <is>
          <t>GÄVLEBORGS LÄN</t>
        </is>
      </c>
      <c r="G647" t="inlineStr">
        <is>
          <t>OCKELBO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6194-2025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45698</v>
      </c>
      <c r="E648" s="1" t="n">
        <v>46284</v>
      </c>
      <c r="F648" t="inlineStr">
        <is>
          <t>GÄVLEBORGS LÄN</t>
        </is>
      </c>
      <c r="G648" t="inlineStr">
        <is>
          <t>OCKELBO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16981-2026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46114</v>
      </c>
      <c r="E649" s="1" t="n">
        <v>46284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9.4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16991-2026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46114</v>
      </c>
      <c r="E650" s="1" t="n">
        <v>46284</v>
      </c>
      <c r="F650" t="inlineStr">
        <is>
          <t>GÄVLEBORGS LÄN</t>
        </is>
      </c>
      <c r="G650" t="inlineStr">
        <is>
          <t>OCKELBO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11734-2025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45727</v>
      </c>
      <c r="E651" s="1" t="n">
        <v>46284</v>
      </c>
      <c r="F651" t="inlineStr">
        <is>
          <t>GÄVLEBORGS LÄN</t>
        </is>
      </c>
      <c r="G651" t="inlineStr">
        <is>
          <t>OCKELBO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17115-2026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46114</v>
      </c>
      <c r="E652" s="1" t="n">
        <v>46284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16989-2026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46114</v>
      </c>
      <c r="E653" s="1" t="n">
        <v>46284</v>
      </c>
      <c r="F653" t="inlineStr">
        <is>
          <t>GÄVLEBORGS LÄN</t>
        </is>
      </c>
      <c r="G653" t="inlineStr">
        <is>
          <t>OCKELBO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13428-2026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46094</v>
      </c>
      <c r="E654" s="1" t="n">
        <v>46284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10268-2026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46076</v>
      </c>
      <c r="E655" s="1" t="n">
        <v>46284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öst AB</t>
        </is>
      </c>
      <c r="I655" t="n">
        <v>7.7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10290-2026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46076</v>
      </c>
      <c r="E656" s="1" t="n">
        <v>46284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öst AB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10457-2026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46077</v>
      </c>
      <c r="E657" s="1" t="n">
        <v>46284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öst AB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17224-2026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46119</v>
      </c>
      <c r="E658" s="1" t="n">
        <v>46284</v>
      </c>
      <c r="F658" t="inlineStr">
        <is>
          <t>GÄVLEBORGS LÄN</t>
        </is>
      </c>
      <c r="G658" t="inlineStr">
        <is>
          <t>OCKELBO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10326-2026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46076</v>
      </c>
      <c r="E659" s="1" t="n">
        <v>46284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öst AB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17241-2026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46119</v>
      </c>
      <c r="E660" s="1" t="n">
        <v>46284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17202-2026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46118</v>
      </c>
      <c r="E661" s="1" t="n">
        <v>46284</v>
      </c>
      <c r="F661" t="inlineStr">
        <is>
          <t>GÄVLEBORGS LÄN</t>
        </is>
      </c>
      <c r="G661" t="inlineStr">
        <is>
          <t>OCKELBO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10309-2026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46076</v>
      </c>
      <c r="E662" s="1" t="n">
        <v>46284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öst AB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17709-2026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46121</v>
      </c>
      <c r="E663" s="1" t="n">
        <v>46284</v>
      </c>
      <c r="F663" t="inlineStr">
        <is>
          <t>GÄVLEBORGS LÄN</t>
        </is>
      </c>
      <c r="G663" t="inlineStr">
        <is>
          <t>OCKELBO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17589-2026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46121</v>
      </c>
      <c r="E664" s="1" t="n">
        <v>46284</v>
      </c>
      <c r="F664" t="inlineStr">
        <is>
          <t>GÄVLEBORGS LÄN</t>
        </is>
      </c>
      <c r="G664" t="inlineStr">
        <is>
          <t>OCKELBO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17600-2026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46121</v>
      </c>
      <c r="E665" s="1" t="n">
        <v>46284</v>
      </c>
      <c r="F665" t="inlineStr">
        <is>
          <t>GÄVLEBORGS LÄN</t>
        </is>
      </c>
      <c r="G665" t="inlineStr">
        <is>
          <t>OCKELBO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30798-2024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45497</v>
      </c>
      <c r="E666" s="1" t="n">
        <v>46284</v>
      </c>
      <c r="F666" t="inlineStr">
        <is>
          <t>GÄVLEBORGS LÄN</t>
        </is>
      </c>
      <c r="G666" t="inlineStr">
        <is>
          <t>OCKELBO</t>
        </is>
      </c>
      <c r="I666" t="n">
        <v>8.699999999999999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46049</v>
      </c>
      <c r="E667" s="1" t="n">
        <v>46284</v>
      </c>
      <c r="F667" t="inlineStr">
        <is>
          <t>GÄVLEBORGS LÄN</t>
        </is>
      </c>
      <c r="G667" t="inlineStr">
        <is>
          <t>OCKELBO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46125</v>
      </c>
      <c r="E668" s="1" t="n">
        <v>46284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29001-2026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46199</v>
      </c>
      <c r="E669" s="1" t="n">
        <v>46284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18234-2026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46126</v>
      </c>
      <c r="E670" s="1" t="n">
        <v>46284</v>
      </c>
      <c r="F670" t="inlineStr">
        <is>
          <t>GÄVLEBORGS LÄN</t>
        </is>
      </c>
      <c r="G670" t="inlineStr">
        <is>
          <t>OCKELBO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18248-2026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46126</v>
      </c>
      <c r="E671" s="1" t="n">
        <v>46284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13855-2026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46098</v>
      </c>
      <c r="E672" s="1" t="n">
        <v>46284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18426-2026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46127</v>
      </c>
      <c r="E673" s="1" t="n">
        <v>46284</v>
      </c>
      <c r="F673" t="inlineStr">
        <is>
          <t>GÄVLEBORGS LÄN</t>
        </is>
      </c>
      <c r="G673" t="inlineStr">
        <is>
          <t>OCKELBO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15255-2026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46105</v>
      </c>
      <c r="E674" s="1" t="n">
        <v>46284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18513-2026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46127</v>
      </c>
      <c r="E675" s="1" t="n">
        <v>46284</v>
      </c>
      <c r="F675" t="inlineStr">
        <is>
          <t>GÄVLEBORGS LÄN</t>
        </is>
      </c>
      <c r="G675" t="inlineStr">
        <is>
          <t>OCKELBO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16572-2026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46112</v>
      </c>
      <c r="E676" s="1" t="n">
        <v>46284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18705-2026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46128</v>
      </c>
      <c r="E677" s="1" t="n">
        <v>46284</v>
      </c>
      <c r="F677" t="inlineStr">
        <is>
          <t>GÄVLEBORGS LÄN</t>
        </is>
      </c>
      <c r="G677" t="inlineStr">
        <is>
          <t>OCKELBO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16530-2026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46112</v>
      </c>
      <c r="E678" s="1" t="n">
        <v>46284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43799-2022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44838</v>
      </c>
      <c r="E679" s="1" t="n">
        <v>46284</v>
      </c>
      <c r="F679" t="inlineStr">
        <is>
          <t>GÄVLEBORGS LÄN</t>
        </is>
      </c>
      <c r="G679" t="inlineStr">
        <is>
          <t>OCKELBO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18669-2026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46128</v>
      </c>
      <c r="E680" s="1" t="n">
        <v>46284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15581-2026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46106</v>
      </c>
      <c r="E681" s="1" t="n">
        <v>46284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öst AB</t>
        </is>
      </c>
      <c r="I681" t="n">
        <v>7.6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18457-2026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46127</v>
      </c>
      <c r="E682" s="1" t="n">
        <v>46284</v>
      </c>
      <c r="F682" t="inlineStr">
        <is>
          <t>GÄVLEBORGS LÄN</t>
        </is>
      </c>
      <c r="G682" t="inlineStr">
        <is>
          <t>OCKELBO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46045</v>
      </c>
      <c r="E683" s="1" t="n">
        <v>46284</v>
      </c>
      <c r="F683" t="inlineStr">
        <is>
          <t>GÄVLEBORGS LÄN</t>
        </is>
      </c>
      <c r="G683" t="inlineStr">
        <is>
          <t>OCKELBO</t>
        </is>
      </c>
      <c r="I683" t="n">
        <v>6.8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33176-2026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46245</v>
      </c>
      <c r="E684" s="1" t="n">
        <v>46284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37391-2023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45156</v>
      </c>
      <c r="E685" s="1" t="n">
        <v>46284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26481-2026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46183</v>
      </c>
      <c r="E686" s="1" t="n">
        <v>46284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14827-2026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46104</v>
      </c>
      <c r="E687" s="1" t="n">
        <v>46284</v>
      </c>
      <c r="F687" t="inlineStr">
        <is>
          <t>GÄVLEBORGS LÄN</t>
        </is>
      </c>
      <c r="G687" t="inlineStr">
        <is>
          <t>OCKELBO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29611-2026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46204</v>
      </c>
      <c r="E688" s="1" t="n">
        <v>46284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19213-2026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46132</v>
      </c>
      <c r="E689" s="1" t="n">
        <v>46284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19271-2026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46133</v>
      </c>
      <c r="E690" s="1" t="n">
        <v>46284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19068-2026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46132</v>
      </c>
      <c r="E691" s="1" t="n">
        <v>46284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13.8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19277-2026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46133</v>
      </c>
      <c r="E692" s="1" t="n">
        <v>46284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29437-2026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46203</v>
      </c>
      <c r="E693" s="1" t="n">
        <v>46284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19138-2026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46132</v>
      </c>
      <c r="E694" s="1" t="n">
        <v>46284</v>
      </c>
      <c r="F694" t="inlineStr">
        <is>
          <t>GÄVLEBORGS LÄN</t>
        </is>
      </c>
      <c r="G694" t="inlineStr">
        <is>
          <t>OCKELBO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19040-2026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46132</v>
      </c>
      <c r="E695" s="1" t="n">
        <v>46284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11.9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19139-2026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46132</v>
      </c>
      <c r="E696" s="1" t="n">
        <v>46284</v>
      </c>
      <c r="F696" t="inlineStr">
        <is>
          <t>GÄVLEBORGS LÄN</t>
        </is>
      </c>
      <c r="G696" t="inlineStr">
        <is>
          <t>OCKELBO</t>
        </is>
      </c>
      <c r="I696" t="n">
        <v>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33987-2023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45134</v>
      </c>
      <c r="E697" s="1" t="n">
        <v>46284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29386-2026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46203</v>
      </c>
      <c r="E698" s="1" t="n">
        <v>46284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19424-2026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46133</v>
      </c>
      <c r="E699" s="1" t="n">
        <v>46284</v>
      </c>
      <c r="F699" t="inlineStr">
        <is>
          <t>GÄVLEBORGS LÄN</t>
        </is>
      </c>
      <c r="G699" t="inlineStr">
        <is>
          <t>OCKELBO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19038-2026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46284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17.7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33879-2023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45134</v>
      </c>
      <c r="E701" s="1" t="n">
        <v>46284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19146-2026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46284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19142-2026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46284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49529-2024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45596</v>
      </c>
      <c r="E704" s="1" t="n">
        <v>46284</v>
      </c>
      <c r="F704" t="inlineStr">
        <is>
          <t>GÄVLEBORGS LÄN</t>
        </is>
      </c>
      <c r="G704" t="inlineStr">
        <is>
          <t>OCKELBO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19491-2026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46284</v>
      </c>
      <c r="F705" t="inlineStr">
        <is>
          <t>GÄVLEBORGS LÄN</t>
        </is>
      </c>
      <c r="G705" t="inlineStr">
        <is>
          <t>OCKELBO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19603-2026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46284</v>
      </c>
      <c r="F706" t="inlineStr">
        <is>
          <t>GÄVLEBORGS LÄN</t>
        </is>
      </c>
      <c r="G706" t="inlineStr">
        <is>
          <t>OCKELBO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17117-2026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46114</v>
      </c>
      <c r="E707" s="1" t="n">
        <v>46284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17208-2026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46119</v>
      </c>
      <c r="E708" s="1" t="n">
        <v>46284</v>
      </c>
      <c r="F708" t="inlineStr">
        <is>
          <t>GÄVLEBORGS LÄN</t>
        </is>
      </c>
      <c r="G708" t="inlineStr">
        <is>
          <t>OCKELBO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19431-2026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46133</v>
      </c>
      <c r="E709" s="1" t="n">
        <v>46284</v>
      </c>
      <c r="F709" t="inlineStr">
        <is>
          <t>GÄVLEBORGS LÄN</t>
        </is>
      </c>
      <c r="G709" t="inlineStr">
        <is>
          <t>OCKELBO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19531-2026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46284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56034-2023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45240</v>
      </c>
      <c r="E711" s="1" t="n">
        <v>46284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17682-2026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46121</v>
      </c>
      <c r="E712" s="1" t="n">
        <v>46284</v>
      </c>
      <c r="F712" t="inlineStr">
        <is>
          <t>GÄVLEBORGS LÄN</t>
        </is>
      </c>
      <c r="G712" t="inlineStr">
        <is>
          <t>OCKELBO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52330-2024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45609</v>
      </c>
      <c r="E713" s="1" t="n">
        <v>46284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5.6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34449-2023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45139</v>
      </c>
      <c r="E714" s="1" t="n">
        <v>46284</v>
      </c>
      <c r="F714" t="inlineStr">
        <is>
          <t>GÄVLEBORGS LÄN</t>
        </is>
      </c>
      <c r="G714" t="inlineStr">
        <is>
          <t>OCKELBO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3720-2026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46043</v>
      </c>
      <c r="E715" s="1" t="n">
        <v>46284</v>
      </c>
      <c r="F715" t="inlineStr">
        <is>
          <t>GÄVLEBORGS LÄN</t>
        </is>
      </c>
      <c r="G715" t="inlineStr">
        <is>
          <t>OCKELBO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8343-2026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46064</v>
      </c>
      <c r="E716" s="1" t="n">
        <v>46284</v>
      </c>
      <c r="F716" t="inlineStr">
        <is>
          <t>GÄVLEBORGS LÄN</t>
        </is>
      </c>
      <c r="G716" t="inlineStr">
        <is>
          <t>OCKELBO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20151-2026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46137</v>
      </c>
      <c r="E717" s="1" t="n">
        <v>46284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25404-2025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45800</v>
      </c>
      <c r="E718" s="1" t="n">
        <v>46284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11.1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5234-2026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46049</v>
      </c>
      <c r="E719" s="1" t="n">
        <v>46284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17.1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15542-2026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46106</v>
      </c>
      <c r="E720" s="1" t="n">
        <v>46284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50742-2025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45946</v>
      </c>
      <c r="E721" s="1" t="n">
        <v>46284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15694-2022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44663</v>
      </c>
      <c r="E722" s="1" t="n">
        <v>46284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37845-2024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45544</v>
      </c>
      <c r="E723" s="1" t="n">
        <v>46284</v>
      </c>
      <c r="F723" t="inlineStr">
        <is>
          <t>GÄVLEBORGS LÄN</t>
        </is>
      </c>
      <c r="G723" t="inlineStr">
        <is>
          <t>OCKELBO</t>
        </is>
      </c>
      <c r="I723" t="n">
        <v>5.1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46316-2025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45925</v>
      </c>
      <c r="E724" s="1" t="n">
        <v>46284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5.4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4675-2026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46048</v>
      </c>
      <c r="E725" s="1" t="n">
        <v>46284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9.1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46055</v>
      </c>
      <c r="E726" s="1" t="n">
        <v>46284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29415-2026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46284</v>
      </c>
      <c r="F727" t="inlineStr">
        <is>
          <t>GÄVLEBORGS LÄN</t>
        </is>
      </c>
      <c r="G727" t="inlineStr">
        <is>
          <t>OCKELBO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29849-2026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46205</v>
      </c>
      <c r="E728" s="1" t="n">
        <v>46284</v>
      </c>
      <c r="F728" t="inlineStr">
        <is>
          <t>GÄVLEBORGS LÄN</t>
        </is>
      </c>
      <c r="G728" t="inlineStr">
        <is>
          <t>OCKELBO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28965-2024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45481</v>
      </c>
      <c r="E729" s="1" t="n">
        <v>46284</v>
      </c>
      <c r="F729" t="inlineStr">
        <is>
          <t>GÄVLEBORGS LÄN</t>
        </is>
      </c>
      <c r="G729" t="inlineStr">
        <is>
          <t>OCKELBO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55906-2024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45623</v>
      </c>
      <c r="E730" s="1" t="n">
        <v>46284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30031-2026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46206</v>
      </c>
      <c r="E731" s="1" t="n">
        <v>46284</v>
      </c>
      <c r="F731" t="inlineStr">
        <is>
          <t>GÄVLEBORGS LÄN</t>
        </is>
      </c>
      <c r="G731" t="inlineStr">
        <is>
          <t>OCKELBO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29789-2026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46205</v>
      </c>
      <c r="E732" s="1" t="n">
        <v>46284</v>
      </c>
      <c r="F732" t="inlineStr">
        <is>
          <t>GÄVLEBORGS LÄN</t>
        </is>
      </c>
      <c r="G732" t="inlineStr">
        <is>
          <t>OCKELBO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24228-2022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44725</v>
      </c>
      <c r="E733" s="1" t="n">
        <v>46284</v>
      </c>
      <c r="F733" t="inlineStr">
        <is>
          <t>GÄVLEBORGS LÄN</t>
        </is>
      </c>
      <c r="G733" t="inlineStr">
        <is>
          <t>OCKELBO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29835-2026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46205</v>
      </c>
      <c r="E734" s="1" t="n">
        <v>46284</v>
      </c>
      <c r="F734" t="inlineStr">
        <is>
          <t>GÄVLEBORGS LÄN</t>
        </is>
      </c>
      <c r="G734" t="inlineStr">
        <is>
          <t>OCKELBO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64609-2023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45281</v>
      </c>
      <c r="E735" s="1" t="n">
        <v>46284</v>
      </c>
      <c r="F735" t="inlineStr">
        <is>
          <t>GÄVLEBORGS LÄN</t>
        </is>
      </c>
      <c r="G735" t="inlineStr">
        <is>
          <t>OCKELBO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3626-2023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44950</v>
      </c>
      <c r="E736" s="1" t="n">
        <v>46284</v>
      </c>
      <c r="F736" t="inlineStr">
        <is>
          <t>GÄVLEBORGS LÄN</t>
        </is>
      </c>
      <c r="G736" t="inlineStr">
        <is>
          <t>OCKELBO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21900-2023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45068</v>
      </c>
      <c r="E737" s="1" t="n">
        <v>46284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19774-2025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45771</v>
      </c>
      <c r="E738" s="1" t="n">
        <v>46284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21878-2023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45068</v>
      </c>
      <c r="E739" s="1" t="n">
        <v>46284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36295-2024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45534</v>
      </c>
      <c r="E740" s="1" t="n">
        <v>46284</v>
      </c>
      <c r="F740" t="inlineStr">
        <is>
          <t>GÄVLEBORGS LÄN</t>
        </is>
      </c>
      <c r="G740" t="inlineStr">
        <is>
          <t>OCKELBO</t>
        </is>
      </c>
      <c r="I740" t="n">
        <v>7.9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34391-2026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46254</v>
      </c>
      <c r="E741" s="1" t="n">
        <v>46284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53488-2023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45230</v>
      </c>
      <c r="E742" s="1" t="n">
        <v>46284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37442-2023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45156</v>
      </c>
      <c r="E743" s="1" t="n">
        <v>46284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22385-2023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45070</v>
      </c>
      <c r="E744" s="1" t="n">
        <v>46284</v>
      </c>
      <c r="F744" t="inlineStr">
        <is>
          <t>GÄVLEBORGS LÄN</t>
        </is>
      </c>
      <c r="G744" t="inlineStr">
        <is>
          <t>OCKELBO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56741-2024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45628</v>
      </c>
      <c r="E745" s="1" t="n">
        <v>46284</v>
      </c>
      <c r="F745" t="inlineStr">
        <is>
          <t>GÄVLEBORGS LÄN</t>
        </is>
      </c>
      <c r="G745" t="inlineStr">
        <is>
          <t>OCKELBO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19772-2025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45771</v>
      </c>
      <c r="E746" s="1" t="n">
        <v>46284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29567-2024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45484</v>
      </c>
      <c r="E747" s="1" t="n">
        <v>46284</v>
      </c>
      <c r="F747" t="inlineStr">
        <is>
          <t>GÄVLEBORGS LÄN</t>
        </is>
      </c>
      <c r="G747" t="inlineStr">
        <is>
          <t>OCKELBO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64367-2023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45280</v>
      </c>
      <c r="E748" s="1" t="n">
        <v>46284</v>
      </c>
      <c r="F748" t="inlineStr">
        <is>
          <t>GÄVLEBORGS LÄN</t>
        </is>
      </c>
      <c r="G748" t="inlineStr">
        <is>
          <t>OCKELBO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31083-2026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46216</v>
      </c>
      <c r="E749" s="1" t="n">
        <v>46284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34765-2026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46258</v>
      </c>
      <c r="E750" s="1" t="n">
        <v>46284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55715-2023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45239</v>
      </c>
      <c r="E751" s="1" t="n">
        <v>46284</v>
      </c>
      <c r="F751" t="inlineStr">
        <is>
          <t>GÄVLEBORGS LÄN</t>
        </is>
      </c>
      <c r="G751" t="inlineStr">
        <is>
          <t>OCKELBO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5898-2026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46284</v>
      </c>
      <c r="F752" t="inlineStr">
        <is>
          <t>GÄVLEBORGS LÄN</t>
        </is>
      </c>
      <c r="G752" t="inlineStr">
        <is>
          <t>OCKELBO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30990-2026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46213</v>
      </c>
      <c r="E753" s="1" t="n">
        <v>46284</v>
      </c>
      <c r="F753" t="inlineStr">
        <is>
          <t>GÄVLEBORGS LÄN</t>
        </is>
      </c>
      <c r="G753" t="inlineStr">
        <is>
          <t>OCKELBO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50194-2024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45600</v>
      </c>
      <c r="E754" s="1" t="n">
        <v>46284</v>
      </c>
      <c r="F754" t="inlineStr">
        <is>
          <t>GÄVLEBORGS LÄN</t>
        </is>
      </c>
      <c r="G754" t="inlineStr">
        <is>
          <t>OCKELBO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15247-2025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45744</v>
      </c>
      <c r="E755" s="1" t="n">
        <v>46284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35155-2026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46260</v>
      </c>
      <c r="E756" s="1" t="n">
        <v>46284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22952-2023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45072</v>
      </c>
      <c r="E757" s="1" t="n">
        <v>46284</v>
      </c>
      <c r="F757" t="inlineStr">
        <is>
          <t>GÄVLEBORGS LÄN</t>
        </is>
      </c>
      <c r="G757" t="inlineStr">
        <is>
          <t>OCKELBO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31277-2026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46218</v>
      </c>
      <c r="E758" s="1" t="n">
        <v>46284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9461-2026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46071</v>
      </c>
      <c r="E759" s="1" t="n">
        <v>46284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31443-2026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46220</v>
      </c>
      <c r="E760" s="1" t="n">
        <v>46284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13931-2026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46098</v>
      </c>
      <c r="E761" s="1" t="n">
        <v>46284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58156-2025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45982</v>
      </c>
      <c r="E762" s="1" t="n">
        <v>46284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22824-2024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45448</v>
      </c>
      <c r="E763" s="1" t="n">
        <v>46284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36097-2026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46267</v>
      </c>
      <c r="E764" s="1" t="n">
        <v>46284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1143-2025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45666</v>
      </c>
      <c r="E765" s="1" t="n">
        <v>46284</v>
      </c>
      <c r="F765" t="inlineStr">
        <is>
          <t>GÄVLEBORGS LÄN</t>
        </is>
      </c>
      <c r="G765" t="inlineStr">
        <is>
          <t>OCKELBO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31519-2026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46223</v>
      </c>
      <c r="E766" s="1" t="n">
        <v>46284</v>
      </c>
      <c r="F766" t="inlineStr">
        <is>
          <t>GÄVLEBORGS LÄN</t>
        </is>
      </c>
      <c r="G766" t="inlineStr">
        <is>
          <t>OCKELBO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31517-2026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46223</v>
      </c>
      <c r="E767" s="1" t="n">
        <v>46284</v>
      </c>
      <c r="F767" t="inlineStr">
        <is>
          <t>GÄVLEBORGS LÄN</t>
        </is>
      </c>
      <c r="G767" t="inlineStr">
        <is>
          <t>OCKELBO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61750-2023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45265</v>
      </c>
      <c r="E768" s="1" t="n">
        <v>46284</v>
      </c>
      <c r="F768" t="inlineStr">
        <is>
          <t>GÄVLEBORGS LÄN</t>
        </is>
      </c>
      <c r="G768" t="inlineStr">
        <is>
          <t>OCKELBO</t>
        </is>
      </c>
      <c r="I768" t="n">
        <v>11.2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31591-2026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46224</v>
      </c>
      <c r="E769" s="1" t="n">
        <v>46284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31530-2026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46223</v>
      </c>
      <c r="E770" s="1" t="n">
        <v>46284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33985-2023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45134</v>
      </c>
      <c r="E771" s="1" t="n">
        <v>46284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31571-2026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46224</v>
      </c>
      <c r="E772" s="1" t="n">
        <v>46284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36280-2026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46268</v>
      </c>
      <c r="E773" s="1" t="n">
        <v>46284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36562-2026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46269</v>
      </c>
      <c r="E774" s="1" t="n">
        <v>46284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36467-2026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46269</v>
      </c>
      <c r="E775" s="1" t="n">
        <v>46284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3628-2023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44950</v>
      </c>
      <c r="E776" s="1" t="n">
        <v>46284</v>
      </c>
      <c r="F776" t="inlineStr">
        <is>
          <t>GÄVLEBORGS LÄN</t>
        </is>
      </c>
      <c r="G776" t="inlineStr">
        <is>
          <t>OCKELBO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36380-2026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46268</v>
      </c>
      <c r="E777" s="1" t="n">
        <v>46284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20775-2025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45776</v>
      </c>
      <c r="E778" s="1" t="n">
        <v>46284</v>
      </c>
      <c r="F778" t="inlineStr">
        <is>
          <t>GÄVLEBORGS LÄN</t>
        </is>
      </c>
      <c r="G778" t="inlineStr">
        <is>
          <t>OCKELBO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31804-2026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46230</v>
      </c>
      <c r="E779" s="1" t="n">
        <v>46284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23780-2024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45455</v>
      </c>
      <c r="E780" s="1" t="n">
        <v>46284</v>
      </c>
      <c r="F780" t="inlineStr">
        <is>
          <t>GÄVLEBORGS LÄN</t>
        </is>
      </c>
      <c r="G780" t="inlineStr">
        <is>
          <t>OCKELBO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31971-2026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46232</v>
      </c>
      <c r="E781" s="1" t="n">
        <v>46284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37321-2026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46275</v>
      </c>
      <c r="E782" s="1" t="n">
        <v>46284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37110-2026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46274</v>
      </c>
      <c r="E783" s="1" t="n">
        <v>46284</v>
      </c>
      <c r="F783" t="inlineStr">
        <is>
          <t>GÄVLEBORGS LÄN</t>
        </is>
      </c>
      <c r="G783" t="inlineStr">
        <is>
          <t>OCKELBO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52273-2024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45608</v>
      </c>
      <c r="E784" s="1" t="n">
        <v>46284</v>
      </c>
      <c r="F784" t="inlineStr">
        <is>
          <t>GÄVLEBORGS LÄN</t>
        </is>
      </c>
      <c r="G784" t="inlineStr">
        <is>
          <t>OCKELBO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37848-2024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45544</v>
      </c>
      <c r="E785" s="1" t="n">
        <v>46284</v>
      </c>
      <c r="F785" t="inlineStr">
        <is>
          <t>GÄVLEBORGS LÄN</t>
        </is>
      </c>
      <c r="G785" t="inlineStr">
        <is>
          <t>OCKELBO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37487-2026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46275</v>
      </c>
      <c r="E786" s="1" t="n">
        <v>46284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20605-2026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46140</v>
      </c>
      <c r="E787" s="1" t="n">
        <v>46284</v>
      </c>
      <c r="F787" t="inlineStr">
        <is>
          <t>GÄVLEBORGS LÄN</t>
        </is>
      </c>
      <c r="G787" t="inlineStr">
        <is>
          <t>OCKELBO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60253-2023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45258</v>
      </c>
      <c r="E788" s="1" t="n">
        <v>46284</v>
      </c>
      <c r="F788" t="inlineStr">
        <is>
          <t>GÄVLEBORGS LÄN</t>
        </is>
      </c>
      <c r="G788" t="inlineStr">
        <is>
          <t>OCKELBO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37841-2026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46279</v>
      </c>
      <c r="E789" s="1" t="n">
        <v>46284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20408-2026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46140</v>
      </c>
      <c r="E790" s="1" t="n">
        <v>46284</v>
      </c>
      <c r="F790" t="inlineStr">
        <is>
          <t>GÄVLEBORGS LÄN</t>
        </is>
      </c>
      <c r="G790" t="inlineStr">
        <is>
          <t>OCKELBO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22385-2025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45786</v>
      </c>
      <c r="E791" s="1" t="n">
        <v>46284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22387-2025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45786</v>
      </c>
      <c r="E792" s="1" t="n">
        <v>46284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28584-2024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45478</v>
      </c>
      <c r="E793" s="1" t="n">
        <v>46284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54323-2024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45617</v>
      </c>
      <c r="E794" s="1" t="n">
        <v>46284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28181-2022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44746</v>
      </c>
      <c r="E795" s="1" t="n">
        <v>46284</v>
      </c>
      <c r="F795" t="inlineStr">
        <is>
          <t>GÄVLEBORGS LÄN</t>
        </is>
      </c>
      <c r="G795" t="inlineStr">
        <is>
          <t>OCKELBO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20689-2025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45776</v>
      </c>
      <c r="E796" s="1" t="n">
        <v>46284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16.2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23004-2025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45790</v>
      </c>
      <c r="E797" s="1" t="n">
        <v>46284</v>
      </c>
      <c r="F797" t="inlineStr">
        <is>
          <t>GÄVLEBORGS LÄN</t>
        </is>
      </c>
      <c r="G797" t="inlineStr">
        <is>
          <t>OCKELBO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55011-2024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45621</v>
      </c>
      <c r="E798" s="1" t="n">
        <v>46284</v>
      </c>
      <c r="F798" t="inlineStr">
        <is>
          <t>GÄVLEBORGS LÄN</t>
        </is>
      </c>
      <c r="G798" t="inlineStr">
        <is>
          <t>OCKELBO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26085-2024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45468</v>
      </c>
      <c r="E799" s="1" t="n">
        <v>46284</v>
      </c>
      <c r="F799" t="inlineStr">
        <is>
          <t>GÄVLEBORGS LÄN</t>
        </is>
      </c>
      <c r="G799" t="inlineStr">
        <is>
          <t>OCKELBO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48803-2024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45593</v>
      </c>
      <c r="E800" s="1" t="n">
        <v>46284</v>
      </c>
      <c r="F800" t="inlineStr">
        <is>
          <t>GÄVLEBORGS LÄN</t>
        </is>
      </c>
      <c r="G800" t="inlineStr">
        <is>
          <t>OCKELBO</t>
        </is>
      </c>
      <c r="I800" t="n">
        <v>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16752-2025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45754</v>
      </c>
      <c r="E801" s="1" t="n">
        <v>46284</v>
      </c>
      <c r="F801" t="inlineStr">
        <is>
          <t>GÄVLEBORGS LÄN</t>
        </is>
      </c>
      <c r="G801" t="inlineStr">
        <is>
          <t>OCKELBO</t>
        </is>
      </c>
      <c r="I801" t="n">
        <v>4.5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15403-2022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44659</v>
      </c>
      <c r="E802" s="1" t="n">
        <v>46284</v>
      </c>
      <c r="F802" t="inlineStr">
        <is>
          <t>GÄVLEBORGS LÄN</t>
        </is>
      </c>
      <c r="G802" t="inlineStr">
        <is>
          <t>OCKELBO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64924-2023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45282</v>
      </c>
      <c r="E803" s="1" t="n">
        <v>46284</v>
      </c>
      <c r="F803" t="inlineStr">
        <is>
          <t>GÄVLEBORGS LÄN</t>
        </is>
      </c>
      <c r="G803" t="inlineStr">
        <is>
          <t>OCKELBO</t>
        </is>
      </c>
      <c r="I803" t="n">
        <v>6.8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20207-2024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45434</v>
      </c>
      <c r="E804" s="1" t="n">
        <v>46284</v>
      </c>
      <c r="F804" t="inlineStr">
        <is>
          <t>GÄVLEBORGS LÄN</t>
        </is>
      </c>
      <c r="G804" t="inlineStr">
        <is>
          <t>OCKELBO</t>
        </is>
      </c>
      <c r="I804" t="n">
        <v>7.6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38648-2026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46283</v>
      </c>
      <c r="E805" s="1" t="n">
        <v>46284</v>
      </c>
      <c r="F805" t="inlineStr">
        <is>
          <t>GÄVLEBORGS LÄN</t>
        </is>
      </c>
      <c r="G805" t="inlineStr">
        <is>
          <t>OCKELBO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38668-2026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46283</v>
      </c>
      <c r="E806" s="1" t="n">
        <v>46284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49470-2024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45596</v>
      </c>
      <c r="E807" s="1" t="n">
        <v>46284</v>
      </c>
      <c r="F807" t="inlineStr">
        <is>
          <t>GÄVLEBORGS LÄN</t>
        </is>
      </c>
      <c r="G807" t="inlineStr">
        <is>
          <t>OCKELBO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15502-2025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45747</v>
      </c>
      <c r="E808" s="1" t="n">
        <v>46284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5.7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25640-2025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45803</v>
      </c>
      <c r="E809" s="1" t="n">
        <v>46284</v>
      </c>
      <c r="F809" t="inlineStr">
        <is>
          <t>GÄVLEBORGS LÄN</t>
        </is>
      </c>
      <c r="G809" t="inlineStr">
        <is>
          <t>OCKELBO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25233-2025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45800</v>
      </c>
      <c r="E810" s="1" t="n">
        <v>46284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6.1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25246-2025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45800</v>
      </c>
      <c r="E811" s="1" t="n">
        <v>46284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25248-2025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45800</v>
      </c>
      <c r="E812" s="1" t="n">
        <v>46284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25191-2025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45800</v>
      </c>
      <c r="E813" s="1" t="n">
        <v>46284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25234-2025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46284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25250-2025</t>
        </is>
      </c>
      <c r="B815" t="inlineStr">
        <is>
          <t>avverkningsanmälan</t>
        </is>
      </c>
      <c r="C815" t="inlineStr">
        <is>
          <t>Avverkning för att bevara och utveckla /försöksver</t>
        </is>
      </c>
      <c r="D815" s="1" t="n">
        <v>45800</v>
      </c>
      <c r="E815" s="1" t="n">
        <v>46284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26195-2025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45805</v>
      </c>
      <c r="E816" s="1" t="n">
        <v>46284</v>
      </c>
      <c r="F816" t="inlineStr">
        <is>
          <t>GÄVLEBORGS LÄN</t>
        </is>
      </c>
      <c r="G816" t="inlineStr">
        <is>
          <t>OCKELBO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27990-2025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45817</v>
      </c>
      <c r="E817" s="1" t="n">
        <v>46284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7.8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28080-2025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45817</v>
      </c>
      <c r="E818" s="1" t="n">
        <v>46284</v>
      </c>
      <c r="F818" t="inlineStr">
        <is>
          <t>GÄVLEBORGS LÄN</t>
        </is>
      </c>
      <c r="G818" t="inlineStr">
        <is>
          <t>OCKELBO</t>
        </is>
      </c>
      <c r="I818" t="n">
        <v>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28006-2025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45817</v>
      </c>
      <c r="E819" s="1" t="n">
        <v>46284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8.1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28669-2025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45819</v>
      </c>
      <c r="E820" s="1" t="n">
        <v>46284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28576-2025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45819</v>
      </c>
      <c r="E821" s="1" t="n">
        <v>46284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29158-2025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45821</v>
      </c>
      <c r="E822" s="1" t="n">
        <v>46284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29274-2025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45824</v>
      </c>
      <c r="E823" s="1" t="n">
        <v>46284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30179-2025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45827</v>
      </c>
      <c r="E824" s="1" t="n">
        <v>46284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30331-2025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45827</v>
      </c>
      <c r="E825" s="1" t="n">
        <v>46284</v>
      </c>
      <c r="F825" t="inlineStr">
        <is>
          <t>GÄVLEBORGS LÄN</t>
        </is>
      </c>
      <c r="G825" t="inlineStr">
        <is>
          <t>OCKELBO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30229-2025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45827</v>
      </c>
      <c r="E826" s="1" t="n">
        <v>46284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30152-2025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45827</v>
      </c>
      <c r="E827" s="1" t="n">
        <v>46284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6.5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32449-2025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45838</v>
      </c>
      <c r="E828" s="1" t="n">
        <v>46284</v>
      </c>
      <c r="F828" t="inlineStr">
        <is>
          <t>GÄVLEBORGS LÄN</t>
        </is>
      </c>
      <c r="G828" t="inlineStr">
        <is>
          <t>OCKELBO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33231-2025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45840</v>
      </c>
      <c r="E829" s="1" t="n">
        <v>46284</v>
      </c>
      <c r="F829" t="inlineStr">
        <is>
          <t>GÄVLEBORGS LÄN</t>
        </is>
      </c>
      <c r="G829" t="inlineStr">
        <is>
          <t>OCKELBO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33228-2025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45840</v>
      </c>
      <c r="E830" s="1" t="n">
        <v>46284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30011-2023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45109</v>
      </c>
      <c r="E831" s="1" t="n">
        <v>46284</v>
      </c>
      <c r="F831" t="inlineStr">
        <is>
          <t>GÄVLEBORGS LÄN</t>
        </is>
      </c>
      <c r="G831" t="inlineStr">
        <is>
          <t>OCKELBO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10149-2025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45719</v>
      </c>
      <c r="E832" s="1" t="n">
        <v>46284</v>
      </c>
      <c r="F832" t="inlineStr">
        <is>
          <t>GÄVLEBORGS LÄN</t>
        </is>
      </c>
      <c r="G832" t="inlineStr">
        <is>
          <t>OCKELBO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23006-2023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45073</v>
      </c>
      <c r="E833" s="1" t="n">
        <v>46284</v>
      </c>
      <c r="F833" t="inlineStr">
        <is>
          <t>GÄVLEBORGS LÄN</t>
        </is>
      </c>
      <c r="G833" t="inlineStr">
        <is>
          <t>OCKELBO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35017-2025</t>
        </is>
      </c>
      <c r="B834" t="inlineStr">
        <is>
          <t>avverkningsanmälan</t>
        </is>
      </c>
      <c r="C834" t="inlineStr">
        <is>
          <t>Avverkning för att bevara och utveckla /försöksver</t>
        </is>
      </c>
      <c r="D834" s="1" t="n">
        <v>45851</v>
      </c>
      <c r="E834" s="1" t="n">
        <v>46284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27.8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9964-2025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45719</v>
      </c>
      <c r="E835" s="1" t="n">
        <v>46284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öst AB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39424-2024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45551</v>
      </c>
      <c r="E836" s="1" t="n">
        <v>46284</v>
      </c>
      <c r="F836" t="inlineStr">
        <is>
          <t>GÄVLEBORGS LÄN</t>
        </is>
      </c>
      <c r="G836" t="inlineStr">
        <is>
          <t>OCKELBO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47100-2024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45586</v>
      </c>
      <c r="E837" s="1" t="n">
        <v>46284</v>
      </c>
      <c r="F837" t="inlineStr">
        <is>
          <t>GÄVLEBORGS LÄN</t>
        </is>
      </c>
      <c r="G837" t="inlineStr">
        <is>
          <t>OCKELBO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282-2024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45323</v>
      </c>
      <c r="E838" s="1" t="n">
        <v>46284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14.5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5063-2024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45638</v>
      </c>
      <c r="E839" s="1" t="n">
        <v>46284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154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195-2024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45315</v>
      </c>
      <c r="E840" s="1" t="n">
        <v>46284</v>
      </c>
      <c r="F840" t="inlineStr">
        <is>
          <t>GÄVLEBORGS LÄN</t>
        </is>
      </c>
      <c r="G840" t="inlineStr">
        <is>
          <t>OCKELBO</t>
        </is>
      </c>
      <c r="H840" t="inlineStr">
        <is>
          <t>Bergvik skog öst AB</t>
        </is>
      </c>
      <c r="I840" t="n">
        <v>46.4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411-2025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45699</v>
      </c>
      <c r="E841" s="1" t="n">
        <v>46284</v>
      </c>
      <c r="F841" t="inlineStr">
        <is>
          <t>GÄVLEBORGS LÄN</t>
        </is>
      </c>
      <c r="G841" t="inlineStr">
        <is>
          <t>OCKELBO</t>
        </is>
      </c>
      <c r="H841" t="inlineStr">
        <is>
          <t>Bergvik skog öst AB</t>
        </is>
      </c>
      <c r="I841" t="n">
        <v>24.3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7041-2022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44904</v>
      </c>
      <c r="E842" s="1" t="n">
        <v>46284</v>
      </c>
      <c r="F842" t="inlineStr">
        <is>
          <t>GÄVLEBORGS LÄN</t>
        </is>
      </c>
      <c r="G842" t="inlineStr">
        <is>
          <t>OCKELBO</t>
        </is>
      </c>
      <c r="H842" t="inlineStr">
        <is>
          <t>Bergvik skog väst AB</t>
        </is>
      </c>
      <c r="I842" t="n">
        <v>22.8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297-2026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46058</v>
      </c>
      <c r="E843" s="1" t="n">
        <v>46284</v>
      </c>
      <c r="F843" t="inlineStr">
        <is>
          <t>GÄVLEBORGS LÄN</t>
        </is>
      </c>
      <c r="G843" t="inlineStr">
        <is>
          <t>OCKELBO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657-2026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46089</v>
      </c>
      <c r="E844" s="1" t="n">
        <v>46284</v>
      </c>
      <c r="F844" t="inlineStr">
        <is>
          <t>GÄVLEBORGS LÄN</t>
        </is>
      </c>
      <c r="G844" t="inlineStr">
        <is>
          <t>OCKELBO</t>
        </is>
      </c>
      <c r="H844" t="inlineStr">
        <is>
          <t>Bergvik skog öst AB</t>
        </is>
      </c>
      <c r="I844" t="n">
        <v>131.3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1344-2026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46148</v>
      </c>
      <c r="E845" s="1" t="n">
        <v>46284</v>
      </c>
      <c r="F845" t="inlineStr">
        <is>
          <t>GÄVLEBORGS LÄN</t>
        </is>
      </c>
      <c r="G845" t="inlineStr">
        <is>
          <t>OCKELBO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1345-2026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46148</v>
      </c>
      <c r="E846" s="1" t="n">
        <v>46284</v>
      </c>
      <c r="F846" t="inlineStr">
        <is>
          <t>GÄVLEBORGS LÄN</t>
        </is>
      </c>
      <c r="G846" t="inlineStr">
        <is>
          <t>OCKELBO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>
      <c r="A847" t="inlineStr">
        <is>
          <t>S 190-2026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46048</v>
      </c>
      <c r="E847" s="1" t="n">
        <v>46284</v>
      </c>
      <c r="F847" t="inlineStr">
        <is>
          <t>GÄVLEBORGS LÄN</t>
        </is>
      </c>
      <c r="G847" t="inlineStr">
        <is>
          <t>OCKELBO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2026-09-19T02:04:04Z</dcterms:created>
  <dcterms:modified xmlns:dcterms="http://purl.org/dc/terms/" xmlns:xsi="http://www.w3.org/2001/XMLSchema-instance" xsi:type="dcterms:W3CDTF">2026-09-19T02:04:05Z</dcterms:modified>
</cp:coreProperties>
</file>