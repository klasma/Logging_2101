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46253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46253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46253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46253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46253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46253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46253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46253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46253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46253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46253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46253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46253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46253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46253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46253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46253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46253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46253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Tjäder
Revlummer</t>
        </is>
      </c>
      <c r="W27">
        <f>HYPERLINK("https://klasma.github.io/Logging_2101/artfynd/A 4180-2026 artfynd.xlsx", "A 4180-2026")</f>
        <v/>
      </c>
      <c r="X27">
        <f>HYPERLINK("https://klasma.github.io/Logging_2101/kartor/A 4180-2026 karta.png", "A 4180-2026")</f>
        <v/>
      </c>
      <c r="Y27">
        <f>HYPERLINK("https://klasma.github.io/Logging_2101/kartor_geotiff/A 4180-2026 georefererad karta.tif", "A 4180-2026")</f>
        <v/>
      </c>
      <c r="AA27">
        <f>HYPERLINK("https://klasma.github.io/Logging_2101/klagomål/A 4180-2026 FSC-klagomål.docx", "A 4180-2026")</f>
        <v/>
      </c>
      <c r="AB27">
        <f>HYPERLINK("https://klasma.github.io/Logging_2101/klagomålsmail/A 4180-2026 FSC-klagomål mail.docx", "A 4180-2026")</f>
        <v/>
      </c>
      <c r="AC27">
        <f>HYPERLINK("https://klasma.github.io/Logging_2101/tillsyn/A 4180-2026 tillsynsbegäran.docx", "A 4180-2026")</f>
        <v/>
      </c>
      <c r="AD27">
        <f>HYPERLINK("https://klasma.github.io/Logging_2101/tillsynsmail/A 4180-2026 tillsynsbegäran mail.docx", "A 4180-2026")</f>
        <v/>
      </c>
      <c r="AE27">
        <f>HYPERLINK("https://klasma.github.io/Logging_2101/fåglar/A 4180-2026 prioriterade fågelarter.docx", "A 4180-2026")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46253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Fläcknycklar
Revlummer</t>
        </is>
      </c>
      <c r="W28">
        <f>HYPERLINK("https://klasma.github.io/Logging_2101/artfynd/A 17107-2026 artfynd.xlsx", "A 17107-2026")</f>
        <v/>
      </c>
      <c r="X28">
        <f>HYPERLINK("https://klasma.github.io/Logging_2101/kartor/A 17107-2026 karta.png", "A 17107-2026")</f>
        <v/>
      </c>
      <c r="Y28">
        <f>HYPERLINK("https://klasma.github.io/Logging_2101/kartor_geotiff/A 17107-2026 georefererad karta.tif", "A 17107-2026")</f>
        <v/>
      </c>
      <c r="AA28">
        <f>HYPERLINK("https://klasma.github.io/Logging_2101/klagomål/A 17107-2026 FSC-klagomål.docx", "A 17107-2026")</f>
        <v/>
      </c>
      <c r="AB28">
        <f>HYPERLINK("https://klasma.github.io/Logging_2101/klagomålsmail/A 17107-2026 FSC-klagomål mail.docx", "A 17107-2026")</f>
        <v/>
      </c>
      <c r="AC28">
        <f>HYPERLINK("https://klasma.github.io/Logging_2101/tillsyn/A 17107-2026 tillsynsbegäran.docx", "A 17107-2026")</f>
        <v/>
      </c>
      <c r="AD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46253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18117-2026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46253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14.1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Vanlig groda
Fläcknycklar</t>
        </is>
      </c>
      <c r="W30">
        <f>HYPERLINK("https://klasma.github.io/Logging_2101/artfynd/A 18117-2026 artfynd.xlsx", "A 18117-2026")</f>
        <v/>
      </c>
      <c r="X30">
        <f>HYPERLINK("https://klasma.github.io/Logging_2101/kartor/A 18117-2026 karta.png", "A 18117-2026")</f>
        <v/>
      </c>
      <c r="Y30">
        <f>HYPERLINK("https://klasma.github.io/Logging_2101/kartor_geotiff/A 18117-2026 georefererad karta.tif", "A 18117-2026")</f>
        <v/>
      </c>
      <c r="AA30">
        <f>HYPERLINK("https://klasma.github.io/Logging_2101/klagomål/A 18117-2026 FSC-klagomål.docx", "A 18117-2026")</f>
        <v/>
      </c>
      <c r="AB30">
        <f>HYPERLINK("https://klasma.github.io/Logging_2101/klagomålsmail/A 18117-2026 FSC-klagomål mail.docx", "A 18117-2026")</f>
        <v/>
      </c>
      <c r="AC30">
        <f>HYPERLINK("https://klasma.github.io/Logging_2101/tillsyn/A 18117-2026 tillsynsbegäran.docx", "A 18117-2026")</f>
        <v/>
      </c>
      <c r="AD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46253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5.8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Vanlig padda
Fläcknycklar</t>
        </is>
      </c>
      <c r="W31">
        <f>HYPERLINK("https://klasma.github.io/Logging_2101/artfynd/A 18120-2026 artfynd.xlsx", "A 18120-2026")</f>
        <v/>
      </c>
      <c r="X31">
        <f>HYPERLINK("https://klasma.github.io/Logging_2101/kartor/A 18120-2026 karta.png", "A 18120-2026")</f>
        <v/>
      </c>
      <c r="Y31">
        <f>HYPERLINK("https://klasma.github.io/Logging_2101/kartor_geotiff/A 18120-2026 georefererad karta.tif", "A 18120-2026")</f>
        <v/>
      </c>
      <c r="AA31">
        <f>HYPERLINK("https://klasma.github.io/Logging_2101/klagomål/A 18120-2026 FSC-klagomål.docx", "A 18120-2026")</f>
        <v/>
      </c>
      <c r="AB31">
        <f>HYPERLINK("https://klasma.github.io/Logging_2101/klagomålsmail/A 18120-2026 FSC-klagomål mail.docx", "A 18120-2026")</f>
        <v/>
      </c>
      <c r="AC31">
        <f>HYPERLINK("https://klasma.github.io/Logging_2101/tillsyn/A 18120-2026 tillsynsbegäran.docx", "A 18120-2026")</f>
        <v/>
      </c>
      <c r="AD31">
        <f>HYPERLINK("https://klasma.github.io/Logging_2101/tillsynsmail/A 18120-2026 tillsynsbegäran mail.docx", "A 18120-2026")</f>
        <v/>
      </c>
    </row>
    <row r="32" ht="15" customHeight="1">
      <c r="A32" t="inlineStr">
        <is>
          <t>A 20299-2026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46253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6.5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Lopplummer (aggregat)</t>
        </is>
      </c>
      <c r="W32">
        <f>HYPERLINK("https://klasma.github.io/Logging_2101/artfynd/A 20299-2026 artfynd.xlsx", "A 20299-2026")</f>
        <v/>
      </c>
      <c r="X32">
        <f>HYPERLINK("https://klasma.github.io/Logging_2101/kartor/A 20299-2026 karta.png", "A 20299-2026")</f>
        <v/>
      </c>
      <c r="Y32">
        <f>HYPERLINK("https://klasma.github.io/Logging_2101/kartor_geotiff/A 20299-2026 georefererad karta.tif", "A 20299-2026")</f>
        <v/>
      </c>
      <c r="AA32">
        <f>HYPERLINK("https://klasma.github.io/Logging_2101/klagomål/A 20299-2026 FSC-klagomål.docx", "A 20299-2026")</f>
        <v/>
      </c>
      <c r="AB32">
        <f>HYPERLINK("https://klasma.github.io/Logging_2101/klagomålsmail/A 20299-2026 FSC-klagomål mail.docx", "A 20299-2026")</f>
        <v/>
      </c>
      <c r="AC32">
        <f>HYPERLINK("https://klasma.github.io/Logging_2101/tillsyn/A 20299-2026 tillsynsbegäran.docx", "A 20299-2026")</f>
        <v/>
      </c>
      <c r="AD32">
        <f>HYPERLINK("https://klasma.github.io/Logging_2101/tillsynsmail/A 20299-2026 tillsynsbegäran mail.docx", "A 20299-2026")</f>
        <v/>
      </c>
    </row>
    <row r="33" ht="15" customHeight="1">
      <c r="A33" t="inlineStr">
        <is>
          <t>A 2201-2026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46253</v>
      </c>
      <c r="F33" t="inlineStr">
        <is>
          <t>GÄVLEBORGS LÄN</t>
        </is>
      </c>
      <c r="G33" t="inlineStr">
        <is>
          <t>OCKELBO</t>
        </is>
      </c>
      <c r="I33" t="n">
        <v>2.4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Korallrot
Revlummer</t>
        </is>
      </c>
      <c r="W33">
        <f>HYPERLINK("https://klasma.github.io/Logging_2101/artfynd/A 2201-2026 artfynd.xlsx", "A 2201-2026")</f>
        <v/>
      </c>
      <c r="X33">
        <f>HYPERLINK("https://klasma.github.io/Logging_2101/kartor/A 2201-2026 karta.png", "A 2201-2026")</f>
        <v/>
      </c>
      <c r="Y33">
        <f>HYPERLINK("https://klasma.github.io/Logging_2101/kartor_geotiff/A 2201-2026 georefererad karta.tif", "A 2201-2026")</f>
        <v/>
      </c>
      <c r="AA33">
        <f>HYPERLINK("https://klasma.github.io/Logging_2101/klagomål/A 2201-2026 FSC-klagomål.docx", "A 2201-2026")</f>
        <v/>
      </c>
      <c r="AB33">
        <f>HYPERLINK("https://klasma.github.io/Logging_2101/klagomålsmail/A 2201-2026 FSC-klagomål mail.docx", "A 2201-2026")</f>
        <v/>
      </c>
      <c r="AC33">
        <f>HYPERLINK("https://klasma.github.io/Logging_2101/tillsyn/A 2201-2026 tillsynsbegäran.docx", "A 2201-2026")</f>
        <v/>
      </c>
      <c r="AD33">
        <f>HYPERLINK("https://klasma.github.io/Logging_2101/tillsynsmail/A 2201-2026 tillsynsbegäran mail.docx", "A 2201-2026")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46253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6121-2026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46053</v>
      </c>
      <c r="E37" s="1" t="n">
        <v>46253</v>
      </c>
      <c r="F37" t="inlineStr">
        <is>
          <t>GÄVLEBORGS LÄN</t>
        </is>
      </c>
      <c r="G37" t="inlineStr">
        <is>
          <t>OCKELBO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HYPERLINK("https://klasma.github.io/Logging_2101/artfynd/A 6121-2026 artfynd.xlsx", "A 6121-2026")</f>
        <v/>
      </c>
      <c r="X37">
        <f>HYPERLINK("https://klasma.github.io/Logging_2101/kartor/A 6121-2026 karta.png", "A 6121-2026")</f>
        <v/>
      </c>
      <c r="Y37">
        <f>HYPERLINK("https://klasma.github.io/Logging_2101/kartor_geotiff/A 6121-2026 georefererad karta.tif", "A 6121-2026")</f>
        <v/>
      </c>
      <c r="AA37">
        <f>HYPERLINK("https://klasma.github.io/Logging_2101/klagomål/A 6121-2026 FSC-klagomål.docx", "A 6121-2026")</f>
        <v/>
      </c>
      <c r="AB37">
        <f>HYPERLINK("https://klasma.github.io/Logging_2101/klagomålsmail/A 6121-2026 FSC-klagomål mail.docx", "A 6121-2026")</f>
        <v/>
      </c>
      <c r="AC37">
        <f>HYPERLINK("https://klasma.github.io/Logging_2101/tillsyn/A 6121-2026 tillsynsbegäran.docx", "A 6121-2026")</f>
        <v/>
      </c>
      <c r="AD37">
        <f>HYPERLINK("https://klasma.github.io/Logging_2101/tillsynsmail/A 6121-2026 tillsynsbegäran mail.docx", "A 6121-2026")</f>
        <v/>
      </c>
      <c r="AE37">
        <f>HYPERLINK("https://klasma.github.io/Logging_2101/fåglar/A 6121-2026 prioriterade fågelarter.docx", "A 6121-2026")</f>
        <v/>
      </c>
    </row>
    <row r="38" ht="15" customHeight="1">
      <c r="A38" t="inlineStr">
        <is>
          <t>A 6586-2026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46253</v>
      </c>
      <c r="F38" t="inlineStr">
        <is>
          <t>GÄVLEBORGS LÄN</t>
        </is>
      </c>
      <c r="G38" t="inlineStr">
        <is>
          <t>OCKELBO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HYPERLINK("https://klasma.github.io/Logging_2101/artfynd/A 6586-2026 artfynd.xlsx", "A 6586-2026")</f>
        <v/>
      </c>
      <c r="X38">
        <f>HYPERLINK("https://klasma.github.io/Logging_2101/kartor/A 6586-2026 karta.png", "A 6586-2026")</f>
        <v/>
      </c>
      <c r="Y38">
        <f>HYPERLINK("https://klasma.github.io/Logging_2101/kartor_geotiff/A 6586-2026 georefererad karta.tif", "A 6586-2026")</f>
        <v/>
      </c>
      <c r="AA38">
        <f>HYPERLINK("https://klasma.github.io/Logging_2101/klagomål/A 6586-2026 FSC-klagomål.docx", "A 6586-2026")</f>
        <v/>
      </c>
      <c r="AB38">
        <f>HYPERLINK("https://klasma.github.io/Logging_2101/klagomålsmail/A 6586-2026 FSC-klagomål mail.docx", "A 6586-2026")</f>
        <v/>
      </c>
      <c r="AC38">
        <f>HYPERLINK("https://klasma.github.io/Logging_2101/tillsyn/A 6586-2026 tillsynsbegäran.docx", "A 6586-2026")</f>
        <v/>
      </c>
      <c r="AD38">
        <f>HYPERLINK("https://klasma.github.io/Logging_2101/tillsynsmail/A 6586-2026 tillsynsbegäran mail.docx", "A 6586-2026")</f>
        <v/>
      </c>
    </row>
    <row r="39" ht="15" customHeight="1">
      <c r="A39" t="inlineStr">
        <is>
          <t>A 10484-2026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46077</v>
      </c>
      <c r="E39" s="1" t="n">
        <v>46253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Ullticka</t>
        </is>
      </c>
      <c r="W39">
        <f>HYPERLINK("https://klasma.github.io/Logging_2101/artfynd/A 10484-2026 artfynd.xlsx", "A 10484-2026")</f>
        <v/>
      </c>
      <c r="X39">
        <f>HYPERLINK("https://klasma.github.io/Logging_2101/kartor/A 10484-2026 karta.png", "A 10484-2026")</f>
        <v/>
      </c>
      <c r="Y39">
        <f>HYPERLINK("https://klasma.github.io/Logging_2101/kartor_geotiff/A 10484-2026 georefererad karta.tif", "A 10484-2026")</f>
        <v/>
      </c>
      <c r="AA39">
        <f>HYPERLINK("https://klasma.github.io/Logging_2101/klagomål/A 10484-2026 FSC-klagomål.docx", "A 10484-2026")</f>
        <v/>
      </c>
      <c r="AB39">
        <f>HYPERLINK("https://klasma.github.io/Logging_2101/klagomålsmail/A 10484-2026 FSC-klagomål mail.docx", "A 10484-2026")</f>
        <v/>
      </c>
      <c r="AC39">
        <f>HYPERLINK("https://klasma.github.io/Logging_2101/tillsyn/A 10484-2026 tillsynsbegäran.docx", "A 10484-2026")</f>
        <v/>
      </c>
      <c r="AD39">
        <f>HYPERLINK("https://klasma.github.io/Logging_2101/tillsynsmail/A 10484-2026 tillsynsbegäran mail.docx", "A 10484-2026")</f>
        <v/>
      </c>
    </row>
    <row r="40" ht="15" customHeight="1">
      <c r="A40" t="inlineStr">
        <is>
          <t>A 13640-2026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46253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HYPERLINK("https://klasma.github.io/Logging_2101/artfynd/A 13640-2026 artfynd.xlsx", "A 13640-2026")</f>
        <v/>
      </c>
      <c r="X40">
        <f>HYPERLINK("https://klasma.github.io/Logging_2101/kartor/A 13640-2026 karta.png", "A 13640-2026")</f>
        <v/>
      </c>
      <c r="Y40">
        <f>HYPERLINK("https://klasma.github.io/Logging_2101/kartor_geotiff/A 13640-2026 georefererad karta.tif", "A 13640-2026")</f>
        <v/>
      </c>
      <c r="AA40">
        <f>HYPERLINK("https://klasma.github.io/Logging_2101/klagomål/A 13640-2026 FSC-klagomål.docx", "A 13640-2026")</f>
        <v/>
      </c>
      <c r="AB40">
        <f>HYPERLINK("https://klasma.github.io/Logging_2101/klagomålsmail/A 13640-2026 FSC-klagomål mail.docx", "A 13640-2026")</f>
        <v/>
      </c>
      <c r="AC40">
        <f>HYPERLINK("https://klasma.github.io/Logging_2101/tillsyn/A 13640-2026 tillsynsbegäran.docx", "A 13640-2026")</f>
        <v/>
      </c>
      <c r="AD40">
        <f>HYPERLINK("https://klasma.github.io/Logging_2101/tillsynsmail/A 13640-2026 tillsynsbegäran mail.docx", "A 13640-2026")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46253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46253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46253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14479-2026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46253</v>
      </c>
      <c r="F44" t="inlineStr">
        <is>
          <t>GÄVLEBORGS LÄN</t>
        </is>
      </c>
      <c r="G44" t="inlineStr">
        <is>
          <t>OCKELBO</t>
        </is>
      </c>
      <c r="I44" t="n">
        <v>4.8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14479-2026 artfynd.xlsx", "A 14479-2026")</f>
        <v/>
      </c>
      <c r="X44">
        <f>HYPERLINK("https://klasma.github.io/Logging_2101/kartor/A 14479-2026 karta.png", "A 14479-2026")</f>
        <v/>
      </c>
      <c r="Y44">
        <f>HYPERLINK("https://klasma.github.io/Logging_2101/kartor_geotiff/A 14479-2026 georefererad karta.tif", "A 14479-2026")</f>
        <v/>
      </c>
      <c r="AA44">
        <f>HYPERLINK("https://klasma.github.io/Logging_2101/klagomål/A 14479-2026 FSC-klagomål.docx", "A 14479-2026")</f>
        <v/>
      </c>
      <c r="AB44">
        <f>HYPERLINK("https://klasma.github.io/Logging_2101/klagomålsmail/A 14479-2026 FSC-klagomål mail.docx", "A 14479-2026")</f>
        <v/>
      </c>
      <c r="AC44">
        <f>HYPERLINK("https://klasma.github.io/Logging_2101/tillsyn/A 14479-2026 tillsynsbegäran.docx", "A 14479-2026")</f>
        <v/>
      </c>
      <c r="AD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46101</v>
      </c>
      <c r="E45" s="1" t="n">
        <v>46253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Tjäder</t>
        </is>
      </c>
      <c r="W45">
        <f>HYPERLINK("https://klasma.github.io/Logging_2101/artfynd/A 14664-2026 artfynd.xlsx", "A 14664-2026")</f>
        <v/>
      </c>
      <c r="X45">
        <f>HYPERLINK("https://klasma.github.io/Logging_2101/kartor/A 14664-2026 karta.png", "A 14664-2026")</f>
        <v/>
      </c>
      <c r="Y45">
        <f>HYPERLINK("https://klasma.github.io/Logging_2101/kartor_geotiff/A 14664-2026 georefererad karta.tif", "A 14664-2026")</f>
        <v/>
      </c>
      <c r="AA45">
        <f>HYPERLINK("https://klasma.github.io/Logging_2101/klagomål/A 14664-2026 FSC-klagomål.docx", "A 14664-2026")</f>
        <v/>
      </c>
      <c r="AB45">
        <f>HYPERLINK("https://klasma.github.io/Logging_2101/klagomålsmail/A 14664-2026 FSC-klagomål mail.docx", "A 14664-2026")</f>
        <v/>
      </c>
      <c r="AC45">
        <f>HYPERLINK("https://klasma.github.io/Logging_2101/tillsyn/A 14664-2026 tillsynsbegäran.docx", "A 14664-2026")</f>
        <v/>
      </c>
      <c r="AD45">
        <f>HYPERLINK("https://klasma.github.io/Logging_2101/tillsynsmail/A 14664-2026 tillsynsbegäran mail.docx", "A 14664-2026")</f>
        <v/>
      </c>
      <c r="AE45">
        <f>HYPERLINK("https://klasma.github.io/Logging_2101/fåglar/A 14664-2026 prioriterade fågelarter.docx", "A 14664-2026")</f>
        <v/>
      </c>
    </row>
    <row r="46" ht="15" customHeight="1">
      <c r="A46" t="inlineStr">
        <is>
          <t>A 18188-2026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46253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HYPERLINK("https://klasma.github.io/Logging_2101/artfynd/A 18188-2026 artfynd.xlsx", "A 18188-2026")</f>
        <v/>
      </c>
      <c r="X46">
        <f>HYPERLINK("https://klasma.github.io/Logging_2101/kartor/A 18188-2026 karta.png", "A 18188-2026")</f>
        <v/>
      </c>
      <c r="Y46">
        <f>HYPERLINK("https://klasma.github.io/Logging_2101/kartor_geotiff/A 18188-2026 georefererad karta.tif", "A 18188-2026")</f>
        <v/>
      </c>
      <c r="AA46">
        <f>HYPERLINK("https://klasma.github.io/Logging_2101/klagomål/A 18188-2026 FSC-klagomål.docx", "A 18188-2026")</f>
        <v/>
      </c>
      <c r="AB46">
        <f>HYPERLINK("https://klasma.github.io/Logging_2101/klagomålsmail/A 18188-2026 FSC-klagomål mail.docx", "A 18188-2026")</f>
        <v/>
      </c>
      <c r="AC46">
        <f>HYPERLINK("https://klasma.github.io/Logging_2101/tillsyn/A 18188-2026 tillsynsbegäran.docx", "A 18188-2026")</f>
        <v/>
      </c>
      <c r="AD46">
        <f>HYPERLINK("https://klasma.github.io/Logging_2101/tillsynsmail/A 18188-2026 tillsynsbegäran mail.docx", "A 18188-2026")</f>
        <v/>
      </c>
      <c r="AE46">
        <f>HYPERLINK("https://klasma.github.io/Logging_2101/fåglar/A 18188-2026 prioriterade fågelarter.docx", "A 18188-2026")</f>
        <v/>
      </c>
    </row>
    <row r="47" ht="15" customHeight="1">
      <c r="A47" t="inlineStr">
        <is>
          <t>A 12777-2026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46253</v>
      </c>
      <c r="F47" t="inlineStr">
        <is>
          <t>GÄVLEBORGS LÄN</t>
        </is>
      </c>
      <c r="G47" t="inlineStr">
        <is>
          <t>OCKELBO</t>
        </is>
      </c>
      <c r="I47" t="n">
        <v>4.2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HYPERLINK("https://klasma.github.io/Logging_2101/artfynd/A 12777-2026 artfynd.xlsx", "A 12777-2026")</f>
        <v/>
      </c>
      <c r="X47">
        <f>HYPERLINK("https://klasma.github.io/Logging_2101/kartor/A 12777-2026 karta.png", "A 12777-2026")</f>
        <v/>
      </c>
      <c r="Y47">
        <f>HYPERLINK("https://klasma.github.io/Logging_2101/kartor_geotiff/A 12777-2026 georefererad karta.tif", "A 12777-2026")</f>
        <v/>
      </c>
      <c r="AA47">
        <f>HYPERLINK("https://klasma.github.io/Logging_2101/klagomål/A 12777-2026 FSC-klagomål.docx", "A 12777-2026")</f>
        <v/>
      </c>
      <c r="AB47">
        <f>HYPERLINK("https://klasma.github.io/Logging_2101/klagomålsmail/A 12777-2026 FSC-klagomål mail.docx", "A 12777-2026")</f>
        <v/>
      </c>
      <c r="AC47">
        <f>HYPERLINK("https://klasma.github.io/Logging_2101/tillsyn/A 12777-2026 tillsynsbegäran.docx", "A 12777-2026")</f>
        <v/>
      </c>
      <c r="AD47">
        <f>HYPERLINK("https://klasma.github.io/Logging_2101/tillsynsmail/A 12777-2026 tillsynsbegäran mail.docx", "A 12777-2026")</f>
        <v/>
      </c>
      <c r="AE47">
        <f>HYPERLINK("https://klasma.github.io/Logging_2101/fåglar/A 12777-2026 prioriterade fågelarter.docx", "A 12777-2026")</f>
        <v/>
      </c>
    </row>
    <row r="48" ht="15" customHeight="1">
      <c r="A48" t="inlineStr">
        <is>
          <t>A 10145-2026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46253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öst AB</t>
        </is>
      </c>
      <c r="I48" t="n">
        <v>10.5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Fläcknycklar</t>
        </is>
      </c>
      <c r="W48">
        <f>HYPERLINK("https://klasma.github.io/Logging_2101/artfynd/A 10145-2026 artfynd.xlsx", "A 10145-2026")</f>
        <v/>
      </c>
      <c r="X48">
        <f>HYPERLINK("https://klasma.github.io/Logging_2101/kartor/A 10145-2026 karta.png", "A 10145-2026")</f>
        <v/>
      </c>
      <c r="Y48">
        <f>HYPERLINK("https://klasma.github.io/Logging_2101/kartor_geotiff/A 10145-2026 georefererad karta.tif", "A 10145-2026")</f>
        <v/>
      </c>
      <c r="Z48">
        <f>HYPERLINK("https://klasma.github.io/Logging_2101/knärot/A 10145-2026 karta knärot.png", "A 10145-2026")</f>
        <v/>
      </c>
      <c r="AA48">
        <f>HYPERLINK("https://klasma.github.io/Logging_2101/klagomål/A 10145-2026 FSC-klagomål.docx", "A 10145-2026")</f>
        <v/>
      </c>
      <c r="AB48">
        <f>HYPERLINK("https://klasma.github.io/Logging_2101/klagomålsmail/A 10145-2026 FSC-klagomål mail.docx", "A 10145-2026")</f>
        <v/>
      </c>
      <c r="AC48">
        <f>HYPERLINK("https://klasma.github.io/Logging_2101/tillsyn/A 10145-2026 tillsynsbegäran.docx", "A 10145-2026")</f>
        <v/>
      </c>
      <c r="AD48">
        <f>HYPERLINK("https://klasma.github.io/Logging_2101/tillsynsmail/A 10145-2026 tillsynsbegäran mail.docx", "A 10145-2026")</f>
        <v/>
      </c>
    </row>
    <row r="49" ht="15" customHeight="1">
      <c r="A49" t="inlineStr">
        <is>
          <t>A 15841-2023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45022</v>
      </c>
      <c r="E49" s="1" t="n">
        <v>46253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Havsörn</t>
        </is>
      </c>
      <c r="W49">
        <f>HYPERLINK("https://klasma.github.io/Logging_2101/artfynd/A 15841-2023 artfynd.xlsx", "A 15841-2023")</f>
        <v/>
      </c>
      <c r="X49">
        <f>HYPERLINK("https://klasma.github.io/Logging_2101/kartor/A 15841-2023 karta.png", "A 15841-2023")</f>
        <v/>
      </c>
      <c r="Y49">
        <f>HYPERLINK("https://klasma.github.io/Logging_2101/kartor_geotiff/A 15841-2023 georefererad karta.tif", "A 15841-2023")</f>
        <v/>
      </c>
      <c r="AA49">
        <f>HYPERLINK("https://klasma.github.io/Logging_2101/klagomål/A 15841-2023 FSC-klagomål.docx", "A 15841-2023")</f>
        <v/>
      </c>
      <c r="AB49">
        <f>HYPERLINK("https://klasma.github.io/Logging_2101/klagomålsmail/A 15841-2023 FSC-klagomål mail.docx", "A 15841-2023")</f>
        <v/>
      </c>
      <c r="AC49">
        <f>HYPERLINK("https://klasma.github.io/Logging_2101/tillsyn/A 15841-2023 tillsynsbegäran.docx", "A 15841-2023")</f>
        <v/>
      </c>
      <c r="AD49">
        <f>HYPERLINK("https://klasma.github.io/Logging_2101/tillsynsmail/A 15841-2023 tillsynsbegäran mail.docx", "A 15841-2023")</f>
        <v/>
      </c>
      <c r="AE49">
        <f>HYPERLINK("https://klasma.github.io/Logging_2101/fåglar/A 15841-2023 prioriterade fågelarter.docx", "A 15841-2023")</f>
        <v/>
      </c>
    </row>
    <row r="50" ht="15" customHeight="1">
      <c r="A50" t="inlineStr">
        <is>
          <t>A 55778-2025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46253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HYPERLINK("https://klasma.github.io/Logging_2101/artfynd/A 55778-2025 artfynd.xlsx", "A 55778-2025")</f>
        <v/>
      </c>
      <c r="X50">
        <f>HYPERLINK("https://klasma.github.io/Logging_2101/kartor/A 55778-2025 karta.png", "A 55778-2025")</f>
        <v/>
      </c>
      <c r="Y50">
        <f>HYPERLINK("https://klasma.github.io/Logging_2101/kartor_geotiff/A 55778-2025 georefererad karta.tif", "A 55778-2025")</f>
        <v/>
      </c>
      <c r="AA50">
        <f>HYPERLINK("https://klasma.github.io/Logging_2101/klagomål/A 55778-2025 FSC-klagomål.docx", "A 55778-2025")</f>
        <v/>
      </c>
      <c r="AB50">
        <f>HYPERLINK("https://klasma.github.io/Logging_2101/klagomålsmail/A 55778-2025 FSC-klagomål mail.docx", "A 55778-2025")</f>
        <v/>
      </c>
      <c r="AC50">
        <f>HYPERLINK("https://klasma.github.io/Logging_2101/tillsyn/A 55778-2025 tillsynsbegäran.docx", "A 55778-2025")</f>
        <v/>
      </c>
      <c r="AD50">
        <f>HYPERLINK("https://klasma.github.io/Logging_2101/tillsynsmail/A 55778-2025 tillsynsbegäran mail.docx", "A 55778-2025")</f>
        <v/>
      </c>
    </row>
    <row r="51" ht="15" customHeight="1">
      <c r="A51" t="inlineStr">
        <is>
          <t>A 9155-2026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46253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HYPERLINK("https://klasma.github.io/Logging_2101/artfynd/A 9155-2026 artfynd.xlsx", "A 9155-2026")</f>
        <v/>
      </c>
      <c r="X51">
        <f>HYPERLINK("https://klasma.github.io/Logging_2101/kartor/A 9155-2026 karta.png", "A 9155-2026")</f>
        <v/>
      </c>
      <c r="Y51">
        <f>HYPERLINK("https://klasma.github.io/Logging_2101/kartor_geotiff/A 9155-2026 georefererad karta.tif", "A 9155-2026")</f>
        <v/>
      </c>
      <c r="AA51">
        <f>HYPERLINK("https://klasma.github.io/Logging_2101/klagomål/A 9155-2026 FSC-klagomål.docx", "A 9155-2026")</f>
        <v/>
      </c>
      <c r="AB51">
        <f>HYPERLINK("https://klasma.github.io/Logging_2101/klagomålsmail/A 9155-2026 FSC-klagomål mail.docx", "A 9155-2026")</f>
        <v/>
      </c>
      <c r="AC51">
        <f>HYPERLINK("https://klasma.github.io/Logging_2101/tillsyn/A 9155-2026 tillsynsbegäran.docx", "A 9155-2026")</f>
        <v/>
      </c>
      <c r="AD51">
        <f>HYPERLINK("https://klasma.github.io/Logging_2101/tillsynsmail/A 9155-2026 tillsynsbegäran mail.docx", "A 9155-2026")</f>
        <v/>
      </c>
    </row>
    <row r="52" ht="15" customHeight="1">
      <c r="A52" t="inlineStr">
        <is>
          <t>A 20233-2026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46253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17.9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Tibast</t>
        </is>
      </c>
      <c r="W52">
        <f>HYPERLINK("https://klasma.github.io/Logging_2101/artfynd/A 20233-2026 artfynd.xlsx", "A 20233-2026")</f>
        <v/>
      </c>
      <c r="X52">
        <f>HYPERLINK("https://klasma.github.io/Logging_2101/kartor/A 20233-2026 karta.png", "A 20233-2026")</f>
        <v/>
      </c>
      <c r="Y52">
        <f>HYPERLINK("https://klasma.github.io/Logging_2101/kartor_geotiff/A 20233-2026 georefererad karta.tif", "A 20233-2026")</f>
        <v/>
      </c>
      <c r="AA52">
        <f>HYPERLINK("https://klasma.github.io/Logging_2101/klagomål/A 20233-2026 FSC-klagomål.docx", "A 20233-2026")</f>
        <v/>
      </c>
      <c r="AB52">
        <f>HYPERLINK("https://klasma.github.io/Logging_2101/klagomålsmail/A 20233-2026 FSC-klagomål mail.docx", "A 20233-2026")</f>
        <v/>
      </c>
      <c r="AC52">
        <f>HYPERLINK("https://klasma.github.io/Logging_2101/tillsyn/A 20233-2026 tillsynsbegäran.docx", "A 20233-2026")</f>
        <v/>
      </c>
      <c r="AD52">
        <f>HYPERLINK("https://klasma.github.io/Logging_2101/tillsynsmail/A 20233-2026 tillsynsbegäran mail.docx", "A 20233-2026")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46253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46253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15039-2026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46104</v>
      </c>
      <c r="E55" s="1" t="n">
        <v>46253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18.2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HYPERLINK("https://klasma.github.io/Logging_2101/artfynd/A 15039-2026 artfynd.xlsx", "A 15039-2026")</f>
        <v/>
      </c>
      <c r="X55">
        <f>HYPERLINK("https://klasma.github.io/Logging_2101/kartor/A 15039-2026 karta.png", "A 15039-2026")</f>
        <v/>
      </c>
      <c r="Y55">
        <f>HYPERLINK("https://klasma.github.io/Logging_2101/kartor_geotiff/A 15039-2026 georefererad karta.tif", "A 15039-2026")</f>
        <v/>
      </c>
      <c r="AA55">
        <f>HYPERLINK("https://klasma.github.io/Logging_2101/klagomål/A 15039-2026 FSC-klagomål.docx", "A 15039-2026")</f>
        <v/>
      </c>
      <c r="AB55">
        <f>HYPERLINK("https://klasma.github.io/Logging_2101/klagomålsmail/A 15039-2026 FSC-klagomål mail.docx", "A 15039-2026")</f>
        <v/>
      </c>
      <c r="AC55">
        <f>HYPERLINK("https://klasma.github.io/Logging_2101/tillsyn/A 15039-2026 tillsynsbegäran.docx", "A 15039-2026")</f>
        <v/>
      </c>
      <c r="AD55">
        <f>HYPERLINK("https://klasma.github.io/Logging_2101/tillsynsmail/A 15039-2026 tillsynsbegäran mail.docx", "A 15039-2026")</f>
        <v/>
      </c>
      <c r="AE55">
        <f>HYPERLINK("https://klasma.github.io/Logging_2101/fåglar/A 15039-2026 prioriterade fågelarter.docx", "A 15039-2026")</f>
        <v/>
      </c>
    </row>
    <row r="56" ht="15" customHeight="1">
      <c r="A56" t="inlineStr">
        <is>
          <t>A 11970-2026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46085</v>
      </c>
      <c r="E56" s="1" t="n">
        <v>46253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HYPERLINK("https://klasma.github.io/Logging_2101/artfynd/A 11970-2026 artfynd.xlsx", "A 11970-2026")</f>
        <v/>
      </c>
      <c r="X56">
        <f>HYPERLINK("https://klasma.github.io/Logging_2101/kartor/A 11970-2026 karta.png", "A 11970-2026")</f>
        <v/>
      </c>
      <c r="Y56">
        <f>HYPERLINK("https://klasma.github.io/Logging_2101/kartor_geotiff/A 11970-2026 georefererad karta.tif", "A 11970-2026")</f>
        <v/>
      </c>
      <c r="AA56">
        <f>HYPERLINK("https://klasma.github.io/Logging_2101/klagomål/A 11970-2026 FSC-klagomål.docx", "A 11970-2026")</f>
        <v/>
      </c>
      <c r="AB56">
        <f>HYPERLINK("https://klasma.github.io/Logging_2101/klagomålsmail/A 11970-2026 FSC-klagomål mail.docx", "A 11970-2026")</f>
        <v/>
      </c>
      <c r="AC56">
        <f>HYPERLINK("https://klasma.github.io/Logging_2101/tillsyn/A 11970-2026 tillsynsbegäran.docx", "A 11970-2026")</f>
        <v/>
      </c>
      <c r="AD56">
        <f>HYPERLINK("https://klasma.github.io/Logging_2101/tillsynsmail/A 11970-2026 tillsynsbegäran mail.docx", "A 11970-2026")</f>
        <v/>
      </c>
      <c r="AE56">
        <f>HYPERLINK("https://klasma.github.io/Logging_2101/fåglar/A 11970-2026 prioriterade fågelarter.docx", "A 11970-2026")</f>
        <v/>
      </c>
    </row>
    <row r="57" ht="15" customHeight="1">
      <c r="A57" t="inlineStr">
        <is>
          <t>A 10448-2026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46077</v>
      </c>
      <c r="E57" s="1" t="n">
        <v>46253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3.6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HYPERLINK("https://klasma.github.io/Logging_2101/artfynd/A 10448-2026 artfynd.xlsx", "A 10448-2026")</f>
        <v/>
      </c>
      <c r="X57">
        <f>HYPERLINK("https://klasma.github.io/Logging_2101/kartor/A 10448-2026 karta.png", "A 10448-2026")</f>
        <v/>
      </c>
      <c r="Y57">
        <f>HYPERLINK("https://klasma.github.io/Logging_2101/kartor_geotiff/A 10448-2026 georefererad karta.tif", "A 10448-2026")</f>
        <v/>
      </c>
      <c r="AA57">
        <f>HYPERLINK("https://klasma.github.io/Logging_2101/klagomål/A 10448-2026 FSC-klagomål.docx", "A 10448-2026")</f>
        <v/>
      </c>
      <c r="AB57">
        <f>HYPERLINK("https://klasma.github.io/Logging_2101/klagomålsmail/A 10448-2026 FSC-klagomål mail.docx", "A 10448-2026")</f>
        <v/>
      </c>
      <c r="AC57">
        <f>HYPERLINK("https://klasma.github.io/Logging_2101/tillsyn/A 10448-2026 tillsynsbegäran.docx", "A 10448-2026")</f>
        <v/>
      </c>
      <c r="AD57">
        <f>HYPERLINK("https://klasma.github.io/Logging_2101/tillsynsmail/A 10448-2026 tillsynsbegäran mail.docx", "A 10448-2026")</f>
        <v/>
      </c>
    </row>
    <row r="58" ht="15" customHeight="1">
      <c r="A58" t="inlineStr">
        <is>
          <t>A 62989-2025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46253</v>
      </c>
      <c r="F58" t="inlineStr">
        <is>
          <t>GÄVLEBORGS LÄN</t>
        </is>
      </c>
      <c r="G58" t="inlineStr">
        <is>
          <t>OCKELBO</t>
        </is>
      </c>
      <c r="I58" t="n">
        <v>1.7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Kortskaftad ärgspik</t>
        </is>
      </c>
      <c r="W58">
        <f>HYPERLINK("https://klasma.github.io/Logging_2101/artfynd/A 62989-2025 artfynd.xlsx", "A 62989-2025")</f>
        <v/>
      </c>
      <c r="X58">
        <f>HYPERLINK("https://klasma.github.io/Logging_2101/kartor/A 62989-2025 karta.png", "A 62989-2025")</f>
        <v/>
      </c>
      <c r="Y58">
        <f>HYPERLINK("https://klasma.github.io/Logging_2101/kartor_geotiff/A 62989-2025 georefererad karta.tif", "A 62989-2025")</f>
        <v/>
      </c>
      <c r="AA58">
        <f>HYPERLINK("https://klasma.github.io/Logging_2101/klagomål/A 62989-2025 FSC-klagomål.docx", "A 62989-2025")</f>
        <v/>
      </c>
      <c r="AB58">
        <f>HYPERLINK("https://klasma.github.io/Logging_2101/klagomålsmail/A 62989-2025 FSC-klagomål mail.docx", "A 62989-2025")</f>
        <v/>
      </c>
      <c r="AC58">
        <f>HYPERLINK("https://klasma.github.io/Logging_2101/tillsyn/A 62989-2025 tillsynsbegäran.docx", "A 62989-2025")</f>
        <v/>
      </c>
      <c r="AD58">
        <f>HYPERLINK("https://klasma.github.io/Logging_2101/tillsynsmail/A 62989-2025 tillsynsbegäran mail.docx", "A 62989-2025")</f>
        <v/>
      </c>
    </row>
    <row r="59" ht="15" customHeight="1">
      <c r="A59" t="inlineStr">
        <is>
          <t>A 2923-2026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46038</v>
      </c>
      <c r="E59" s="1" t="n">
        <v>46253</v>
      </c>
      <c r="F59" t="inlineStr">
        <is>
          <t>GÄVLEBORGS LÄN</t>
        </is>
      </c>
      <c r="G59" t="inlineStr">
        <is>
          <t>OCKELBO</t>
        </is>
      </c>
      <c r="I59" t="n">
        <v>2.8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HYPERLINK("https://klasma.github.io/Logging_2101/artfynd/A 2923-2026 artfynd.xlsx", "A 2923-2026")</f>
        <v/>
      </c>
      <c r="X59">
        <f>HYPERLINK("https://klasma.github.io/Logging_2101/kartor/A 2923-2026 karta.png", "A 2923-2026")</f>
        <v/>
      </c>
      <c r="Y59">
        <f>HYPERLINK("https://klasma.github.io/Logging_2101/kartor_geotiff/A 2923-2026 georefererad karta.tif", "A 2923-2026")</f>
        <v/>
      </c>
      <c r="Z59">
        <f>HYPERLINK("https://klasma.github.io/Logging_2101/knärot/A 2923-2026 karta knärot.png", "A 2923-2026")</f>
        <v/>
      </c>
      <c r="AA59">
        <f>HYPERLINK("https://klasma.github.io/Logging_2101/klagomål/A 2923-2026 FSC-klagomål.docx", "A 2923-2026")</f>
        <v/>
      </c>
      <c r="AB59">
        <f>HYPERLINK("https://klasma.github.io/Logging_2101/klagomålsmail/A 2923-2026 FSC-klagomål mail.docx", "A 2923-2026")</f>
        <v/>
      </c>
      <c r="AC59">
        <f>HYPERLINK("https://klasma.github.io/Logging_2101/tillsyn/A 2923-2026 tillsynsbegäran.docx", "A 2923-2026")</f>
        <v/>
      </c>
      <c r="AD59">
        <f>HYPERLINK("https://klasma.github.io/Logging_2101/tillsynsmail/A 2923-2026 tillsynsbegäran mail.docx", "A 2923-2026")</f>
        <v/>
      </c>
    </row>
    <row r="60" ht="15" customHeight="1">
      <c r="A60" t="inlineStr">
        <is>
          <t>A 16738-2025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46253</v>
      </c>
      <c r="F60" t="inlineStr">
        <is>
          <t>GÄVLEBORGS LÄN</t>
        </is>
      </c>
      <c r="G60" t="inlineStr">
        <is>
          <t>OCKELBO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16738-2025 artfynd.xlsx", "A 16738-2025")</f>
        <v/>
      </c>
      <c r="X60">
        <f>HYPERLINK("https://klasma.github.io/Logging_2101/kartor/A 16738-2025 karta.png", "A 16738-2025")</f>
        <v/>
      </c>
      <c r="Y60">
        <f>HYPERLINK("https://klasma.github.io/Logging_2101/kartor_geotiff/A 16738-2025 georefererad karta.tif", "A 16738-2025")</f>
        <v/>
      </c>
      <c r="AA60">
        <f>HYPERLINK("https://klasma.github.io/Logging_2101/klagomål/A 16738-2025 FSC-klagomål.docx", "A 16738-2025")</f>
        <v/>
      </c>
      <c r="AB60">
        <f>HYPERLINK("https://klasma.github.io/Logging_2101/klagomålsmail/A 16738-2025 FSC-klagomål mail.docx", "A 16738-2025")</f>
        <v/>
      </c>
      <c r="AC60">
        <f>HYPERLINK("https://klasma.github.io/Logging_2101/tillsyn/A 16738-2025 tillsynsbegäran.docx", "A 16738-2025")</f>
        <v/>
      </c>
      <c r="AD60">
        <f>HYPERLINK("https://klasma.github.io/Logging_2101/tillsynsmail/A 16738-2025 tillsynsbegäran mail.docx", "A 16738-2025")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46253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46253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46253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46253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46253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46253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46253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46253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46253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46253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46253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46253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46253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46253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46253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46253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46253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46253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46253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46253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46253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46253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46253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46253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46253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46253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46253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46253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46253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46253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46253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46253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46253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46253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46253</v>
      </c>
      <c r="F95" t="inlineStr">
        <is>
          <t>GÄVLEBORGS LÄN</t>
        </is>
      </c>
      <c r="G95" t="inlineStr">
        <is>
          <t>OCKELBO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46253</v>
      </c>
      <c r="F96" t="inlineStr">
        <is>
          <t>GÄVLEBORGS LÄN</t>
        </is>
      </c>
      <c r="G96" t="inlineStr">
        <is>
          <t>OCKELBO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45527</v>
      </c>
      <c r="E97" s="1" t="n">
        <v>46253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12.2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46253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46253</v>
      </c>
      <c r="F99" t="inlineStr">
        <is>
          <t>GÄVLEBORGS LÄN</t>
        </is>
      </c>
      <c r="G99" t="inlineStr">
        <is>
          <t>OCKELBO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44893</v>
      </c>
      <c r="E100" s="1" t="n">
        <v>46253</v>
      </c>
      <c r="F100" t="inlineStr">
        <is>
          <t>GÄVLEBORGS LÄN</t>
        </is>
      </c>
      <c r="G100" t="inlineStr">
        <is>
          <t>OCKELBO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46253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20231-2024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45434</v>
      </c>
      <c r="E102" s="1" t="n">
        <v>46253</v>
      </c>
      <c r="F102" t="inlineStr">
        <is>
          <t>GÄVLEBORGS LÄN</t>
        </is>
      </c>
      <c r="G102" t="inlineStr">
        <is>
          <t>OCKELBO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44887</v>
      </c>
      <c r="E103" s="1" t="n">
        <v>46253</v>
      </c>
      <c r="F103" t="inlineStr">
        <is>
          <t>GÄVLEBORGS LÄN</t>
        </is>
      </c>
      <c r="G103" t="inlineStr">
        <is>
          <t>OCKELBO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46253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46253</v>
      </c>
      <c r="F105" t="inlineStr">
        <is>
          <t>GÄVLEBORGS LÄN</t>
        </is>
      </c>
      <c r="G105" t="inlineStr">
        <is>
          <t>OCKELBO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45450</v>
      </c>
      <c r="E106" s="1" t="n">
        <v>46253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46253</v>
      </c>
      <c r="F107" t="inlineStr">
        <is>
          <t>GÄVLEBORGS LÄN</t>
        </is>
      </c>
      <c r="G107" t="inlineStr">
        <is>
          <t>OCKELBO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45334</v>
      </c>
      <c r="E108" s="1" t="n">
        <v>46253</v>
      </c>
      <c r="F108" t="inlineStr">
        <is>
          <t>GÄVLEBORGS LÄN</t>
        </is>
      </c>
      <c r="G108" t="inlineStr">
        <is>
          <t>OCKELBO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46253</v>
      </c>
      <c r="F109" t="inlineStr">
        <is>
          <t>GÄVLEBORGS LÄN</t>
        </is>
      </c>
      <c r="G109" t="inlineStr">
        <is>
          <t>OCKELBO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46253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45366</v>
      </c>
      <c r="E111" s="1" t="n">
        <v>46253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30242-2024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45490</v>
      </c>
      <c r="E112" s="1" t="n">
        <v>46253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45478</v>
      </c>
      <c r="E113" s="1" t="n">
        <v>46253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46253</v>
      </c>
      <c r="F114" t="inlineStr">
        <is>
          <t>GÄVLEBORGS LÄN</t>
        </is>
      </c>
      <c r="G114" t="inlineStr">
        <is>
          <t>OCKELBO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46253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36295-2024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45534</v>
      </c>
      <c r="E116" s="1" t="n">
        <v>46253</v>
      </c>
      <c r="F116" t="inlineStr">
        <is>
          <t>GÄVLEBORGS LÄN</t>
        </is>
      </c>
      <c r="G116" t="inlineStr">
        <is>
          <t>OCKELBO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46253</v>
      </c>
      <c r="F117" t="inlineStr">
        <is>
          <t>GÄVLEBORGS LÄN</t>
        </is>
      </c>
      <c r="G117" t="inlineStr">
        <is>
          <t>OCKELBO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46253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46253</v>
      </c>
      <c r="F119" t="inlineStr">
        <is>
          <t>GÄVLEBORGS LÄN</t>
        </is>
      </c>
      <c r="G119" t="inlineStr">
        <is>
          <t>OCKELBO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45488</v>
      </c>
      <c r="E120" s="1" t="n">
        <v>46253</v>
      </c>
      <c r="F120" t="inlineStr">
        <is>
          <t>GÄVLEBORGS LÄN</t>
        </is>
      </c>
      <c r="G120" t="inlineStr">
        <is>
          <t>OCKELBO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46253</v>
      </c>
      <c r="F121" t="inlineStr">
        <is>
          <t>GÄVLEBORGS LÄN</t>
        </is>
      </c>
      <c r="G121" t="inlineStr">
        <is>
          <t>OCKELBO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46253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45184</v>
      </c>
      <c r="E123" s="1" t="n">
        <v>46253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64367-2023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46253</v>
      </c>
      <c r="F124" t="inlineStr">
        <is>
          <t>GÄVLEBORGS LÄN</t>
        </is>
      </c>
      <c r="G124" t="inlineStr">
        <is>
          <t>OCKELBO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46253</v>
      </c>
      <c r="F125" t="inlineStr">
        <is>
          <t>GÄVLEBORGS LÄN</t>
        </is>
      </c>
      <c r="G125" t="inlineStr">
        <is>
          <t>OCKELBO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45554</v>
      </c>
      <c r="E126" s="1" t="n">
        <v>46253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27990-2025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45817</v>
      </c>
      <c r="E127" s="1" t="n">
        <v>46253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45817</v>
      </c>
      <c r="E128" s="1" t="n">
        <v>46253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45817</v>
      </c>
      <c r="E129" s="1" t="n">
        <v>46253</v>
      </c>
      <c r="F129" t="inlineStr">
        <is>
          <t>GÄVLEBORGS LÄN</t>
        </is>
      </c>
      <c r="G129" t="inlineStr">
        <is>
          <t>OCKELBO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46253</v>
      </c>
      <c r="F130" t="inlineStr">
        <is>
          <t>GÄVLEBORGS LÄN</t>
        </is>
      </c>
      <c r="G130" t="inlineStr">
        <is>
          <t>OCKELBO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46253</v>
      </c>
      <c r="F131" t="inlineStr">
        <is>
          <t>GÄVLEBORGS LÄN</t>
        </is>
      </c>
      <c r="G131" t="inlineStr">
        <is>
          <t>OCKELBO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46253</v>
      </c>
      <c r="F132" t="inlineStr">
        <is>
          <t>GÄVLEBORGS LÄN</t>
        </is>
      </c>
      <c r="G132" t="inlineStr">
        <is>
          <t>OCKELBO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46253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45819</v>
      </c>
      <c r="E134" s="1" t="n">
        <v>46253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3216-2026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46041</v>
      </c>
      <c r="E135" s="1" t="n">
        <v>46253</v>
      </c>
      <c r="F135" t="inlineStr">
        <is>
          <t>GÄVLEBORGS LÄN</t>
        </is>
      </c>
      <c r="G135" t="inlineStr">
        <is>
          <t>OCKELBO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46253</v>
      </c>
      <c r="F136" t="inlineStr">
        <is>
          <t>GÄVLEBORGS LÄN</t>
        </is>
      </c>
      <c r="G136" t="inlineStr">
        <is>
          <t>OCKELBO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46253</v>
      </c>
      <c r="F137" t="inlineStr">
        <is>
          <t>GÄVLEBORGS LÄN</t>
        </is>
      </c>
      <c r="G137" t="inlineStr">
        <is>
          <t>OCKELBO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46043</v>
      </c>
      <c r="E138" s="1" t="n">
        <v>46253</v>
      </c>
      <c r="F138" t="inlineStr">
        <is>
          <t>GÄVLEBORGS LÄN</t>
        </is>
      </c>
      <c r="G138" t="inlineStr">
        <is>
          <t>OCKELBO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46253</v>
      </c>
      <c r="F139" t="inlineStr">
        <is>
          <t>GÄVLEBORGS LÄN</t>
        </is>
      </c>
      <c r="G139" t="inlineStr">
        <is>
          <t>OCKELBO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46253</v>
      </c>
      <c r="F140" t="inlineStr">
        <is>
          <t>GÄVLEBORGS LÄN</t>
        </is>
      </c>
      <c r="G140" t="inlineStr">
        <is>
          <t>OCKELBO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46253</v>
      </c>
      <c r="F141" t="inlineStr">
        <is>
          <t>GÄVLEBORGS LÄN</t>
        </is>
      </c>
      <c r="G141" t="inlineStr">
        <is>
          <t>OCKELBO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46253</v>
      </c>
      <c r="F142" t="inlineStr">
        <is>
          <t>GÄVLEBORGS LÄN</t>
        </is>
      </c>
      <c r="G142" t="inlineStr">
        <is>
          <t>OCKELBO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46253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46048</v>
      </c>
      <c r="E144" s="1" t="n">
        <v>46253</v>
      </c>
      <c r="F144" t="inlineStr">
        <is>
          <t>GÄVLEBORGS LÄN</t>
        </is>
      </c>
      <c r="G144" t="inlineStr">
        <is>
          <t>OCKELBO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46253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45497</v>
      </c>
      <c r="E146" s="1" t="n">
        <v>46253</v>
      </c>
      <c r="F146" t="inlineStr">
        <is>
          <t>GÄVLEBORGS LÄN</t>
        </is>
      </c>
      <c r="G146" t="inlineStr">
        <is>
          <t>OCKELBO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46253</v>
      </c>
      <c r="F147" t="inlineStr">
        <is>
          <t>GÄVLEBORGS LÄN</t>
        </is>
      </c>
      <c r="G147" t="inlineStr">
        <is>
          <t>OCKELBO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46253</v>
      </c>
      <c r="F148" t="inlineStr">
        <is>
          <t>GÄVLEBORGS LÄN</t>
        </is>
      </c>
      <c r="G148" t="inlineStr">
        <is>
          <t>OCKELBO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46253</v>
      </c>
      <c r="F149" t="inlineStr">
        <is>
          <t>GÄVLEBORGS LÄN</t>
        </is>
      </c>
      <c r="G149" t="inlineStr">
        <is>
          <t>OCKELBO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46045</v>
      </c>
      <c r="E150" s="1" t="n">
        <v>46253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46253</v>
      </c>
      <c r="F151" t="inlineStr">
        <is>
          <t>GÄVLEBORGS LÄN</t>
        </is>
      </c>
      <c r="G151" t="inlineStr">
        <is>
          <t>OCKELBO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46050</v>
      </c>
      <c r="E152" s="1" t="n">
        <v>46253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46253</v>
      </c>
      <c r="F153" t="inlineStr">
        <is>
          <t>GÄVLEBORGS LÄN</t>
        </is>
      </c>
      <c r="G153" t="inlineStr">
        <is>
          <t>OCKELBO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46050</v>
      </c>
      <c r="E154" s="1" t="n">
        <v>46253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46253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46253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46253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46253</v>
      </c>
      <c r="F158" t="inlineStr">
        <is>
          <t>GÄVLEBORGS LÄN</t>
        </is>
      </c>
      <c r="G158" t="inlineStr">
        <is>
          <t>OCKELBO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46253</v>
      </c>
      <c r="F159" t="inlineStr">
        <is>
          <t>GÄVLEBORGS LÄN</t>
        </is>
      </c>
      <c r="G159" t="inlineStr">
        <is>
          <t>OCKELBO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46253</v>
      </c>
      <c r="F160" t="inlineStr">
        <is>
          <t>GÄVLEBORGS LÄN</t>
        </is>
      </c>
      <c r="G160" t="inlineStr">
        <is>
          <t>OCKELBO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6531-2026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46253</v>
      </c>
      <c r="F161" t="inlineStr">
        <is>
          <t>GÄVLEBORGS LÄN</t>
        </is>
      </c>
      <c r="G161" t="inlineStr">
        <is>
          <t>OCKELBO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46253</v>
      </c>
      <c r="F162" t="inlineStr">
        <is>
          <t>GÄVLEBORGS LÄN</t>
        </is>
      </c>
      <c r="G162" t="inlineStr">
        <is>
          <t>OCKELBO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46253</v>
      </c>
      <c r="F163" t="inlineStr">
        <is>
          <t>GÄVLEBORGS LÄN</t>
        </is>
      </c>
      <c r="G163" t="inlineStr">
        <is>
          <t>OCKELBO</t>
        </is>
      </c>
      <c r="H163" t="inlineStr">
        <is>
          <t>Kyrkan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46051</v>
      </c>
      <c r="E164" s="1" t="n">
        <v>46253</v>
      </c>
      <c r="F164" t="inlineStr">
        <is>
          <t>GÄVLEBORGS LÄN</t>
        </is>
      </c>
      <c r="G164" t="inlineStr">
        <is>
          <t>OCKELBO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46253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46253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46253</v>
      </c>
      <c r="F167" t="inlineStr">
        <is>
          <t>GÄVLEBORGS LÄN</t>
        </is>
      </c>
      <c r="G167" t="inlineStr">
        <is>
          <t>OCKELBO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46053</v>
      </c>
      <c r="E168" s="1" t="n">
        <v>46253</v>
      </c>
      <c r="F168" t="inlineStr">
        <is>
          <t>GÄVLEBORGS LÄN</t>
        </is>
      </c>
      <c r="G168" t="inlineStr">
        <is>
          <t>OCKELBO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46253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46253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46056</v>
      </c>
      <c r="E171" s="1" t="n">
        <v>46253</v>
      </c>
      <c r="F171" t="inlineStr">
        <is>
          <t>GÄVLEBORGS LÄN</t>
        </is>
      </c>
      <c r="G171" t="inlineStr">
        <is>
          <t>OCKELBO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46056</v>
      </c>
      <c r="E172" s="1" t="n">
        <v>46253</v>
      </c>
      <c r="F172" t="inlineStr">
        <is>
          <t>GÄVLEBORGS LÄN</t>
        </is>
      </c>
      <c r="G172" t="inlineStr">
        <is>
          <t>OCKELBO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46056</v>
      </c>
      <c r="E173" s="1" t="n">
        <v>46253</v>
      </c>
      <c r="F173" t="inlineStr">
        <is>
          <t>GÄVLEBORGS LÄN</t>
        </is>
      </c>
      <c r="G173" t="inlineStr">
        <is>
          <t>OCKELBO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49207-2023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45210</v>
      </c>
      <c r="E174" s="1" t="n">
        <v>46253</v>
      </c>
      <c r="F174" t="inlineStr">
        <is>
          <t>GÄVLEBORGS LÄN</t>
        </is>
      </c>
      <c r="G174" t="inlineStr">
        <is>
          <t>OCKELBO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46056</v>
      </c>
      <c r="E175" s="1" t="n">
        <v>46253</v>
      </c>
      <c r="F175" t="inlineStr">
        <is>
          <t>GÄVLEBORGS LÄN</t>
        </is>
      </c>
      <c r="G175" t="inlineStr">
        <is>
          <t>OCKELBO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46253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46253</v>
      </c>
      <c r="F177" t="inlineStr">
        <is>
          <t>GÄVLEBORGS LÄN</t>
        </is>
      </c>
      <c r="G177" t="inlineStr">
        <is>
          <t>OCKELBO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46253</v>
      </c>
      <c r="F178" t="inlineStr">
        <is>
          <t>GÄVLEBORGS LÄN</t>
        </is>
      </c>
      <c r="G178" t="inlineStr">
        <is>
          <t>OCKELBO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46253</v>
      </c>
      <c r="F179" t="inlineStr">
        <is>
          <t>GÄVLEBORGS LÄN</t>
        </is>
      </c>
      <c r="G179" t="inlineStr">
        <is>
          <t>OCKELBO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46253</v>
      </c>
      <c r="F180" t="inlineStr">
        <is>
          <t>GÄVLEBORGS LÄN</t>
        </is>
      </c>
      <c r="G180" t="inlineStr">
        <is>
          <t>OCKELBO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46056</v>
      </c>
      <c r="E181" s="1" t="n">
        <v>46253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46253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46253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44950</v>
      </c>
      <c r="E184" s="1" t="n">
        <v>46253</v>
      </c>
      <c r="F184" t="inlineStr">
        <is>
          <t>GÄVLEBORGS LÄN</t>
        </is>
      </c>
      <c r="G184" t="inlineStr">
        <is>
          <t>OCKELBO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46253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46253</v>
      </c>
      <c r="F186" t="inlineStr">
        <is>
          <t>GÄVLEBORGS LÄN</t>
        </is>
      </c>
      <c r="G186" t="inlineStr">
        <is>
          <t>OCKELBO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40148-2025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46253</v>
      </c>
      <c r="F187" t="inlineStr">
        <is>
          <t>GÄVLEBORGS LÄN</t>
        </is>
      </c>
      <c r="G187" t="inlineStr">
        <is>
          <t>OCKELBO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46253</v>
      </c>
      <c r="F188" t="inlineStr">
        <is>
          <t>GÄVLEBORGS LÄN</t>
        </is>
      </c>
      <c r="G188" t="inlineStr">
        <is>
          <t>OCKELBO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46253</v>
      </c>
      <c r="F189" t="inlineStr">
        <is>
          <t>GÄVLEBORGS LÄN</t>
        </is>
      </c>
      <c r="G189" t="inlineStr">
        <is>
          <t>OCKELBO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46253</v>
      </c>
      <c r="F190" t="inlineStr">
        <is>
          <t>GÄVLEBORGS LÄN</t>
        </is>
      </c>
      <c r="G190" t="inlineStr">
        <is>
          <t>OCKELBO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46253</v>
      </c>
      <c r="F191" t="inlineStr">
        <is>
          <t>GÄVLEBORGS LÄN</t>
        </is>
      </c>
      <c r="G191" t="inlineStr">
        <is>
          <t>OCKELBO</t>
        </is>
      </c>
      <c r="H191" t="inlineStr">
        <is>
          <t>Kyrkan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46253</v>
      </c>
      <c r="F192" t="inlineStr">
        <is>
          <t>GÄVLEBORGS LÄN</t>
        </is>
      </c>
      <c r="G192" t="inlineStr">
        <is>
          <t>OCKELBO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46253</v>
      </c>
      <c r="F193" t="inlineStr">
        <is>
          <t>GÄVLEBORGS LÄN</t>
        </is>
      </c>
      <c r="G193" t="inlineStr">
        <is>
          <t>OCKELBO</t>
        </is>
      </c>
      <c r="I193" t="n">
        <v>17.4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46064</v>
      </c>
      <c r="E194" s="1" t="n">
        <v>46253</v>
      </c>
      <c r="F194" t="inlineStr">
        <is>
          <t>GÄVLEBORGS LÄN</t>
        </is>
      </c>
      <c r="G194" t="inlineStr">
        <is>
          <t>OCKELBO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46253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14937-2024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46253</v>
      </c>
      <c r="F196" t="inlineStr">
        <is>
          <t>GÄVLEBORGS LÄN</t>
        </is>
      </c>
      <c r="G196" t="inlineStr">
        <is>
          <t>OCKELBO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22824-2024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45448</v>
      </c>
      <c r="E197" s="1" t="n">
        <v>46253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46065</v>
      </c>
      <c r="E198" s="1" t="n">
        <v>46253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46065</v>
      </c>
      <c r="E199" s="1" t="n">
        <v>46253</v>
      </c>
      <c r="F199" t="inlineStr">
        <is>
          <t>GÄVLEBORGS LÄN</t>
        </is>
      </c>
      <c r="G199" t="inlineStr">
        <is>
          <t>OCKELBO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46253</v>
      </c>
      <c r="F200" t="inlineStr">
        <is>
          <t>GÄVLEBORGS LÄN</t>
        </is>
      </c>
      <c r="G200" t="inlineStr">
        <is>
          <t>OCKELBO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46253</v>
      </c>
      <c r="F201" t="inlineStr">
        <is>
          <t>GÄVLEBORGS LÄN</t>
        </is>
      </c>
      <c r="G201" t="inlineStr">
        <is>
          <t>OCKELBO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46253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46253</v>
      </c>
      <c r="F203" t="inlineStr">
        <is>
          <t>GÄVLEBORGS LÄN</t>
        </is>
      </c>
      <c r="G203" t="inlineStr">
        <is>
          <t>OCKELBO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46253</v>
      </c>
      <c r="F204" t="inlineStr">
        <is>
          <t>GÄVLEBORGS LÄN</t>
        </is>
      </c>
      <c r="G204" t="inlineStr">
        <is>
          <t>OCKELBO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46253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46253</v>
      </c>
      <c r="F206" t="inlineStr">
        <is>
          <t>GÄVLEBORGS LÄN</t>
        </is>
      </c>
      <c r="G206" t="inlineStr">
        <is>
          <t>OCKELBO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9414-2026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46253</v>
      </c>
      <c r="F207" t="inlineStr">
        <is>
          <t>GÄVLEBORGS LÄN</t>
        </is>
      </c>
      <c r="G207" t="inlineStr">
        <is>
          <t>OCKELBO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46253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46253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46253</v>
      </c>
      <c r="F210" t="inlineStr">
        <is>
          <t>GÄVLEBORGS LÄN</t>
        </is>
      </c>
      <c r="G210" t="inlineStr">
        <is>
          <t>OCKELBO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46072</v>
      </c>
      <c r="E211" s="1" t="n">
        <v>46253</v>
      </c>
      <c r="F211" t="inlineStr">
        <is>
          <t>GÄVLEBORGS LÄN</t>
        </is>
      </c>
      <c r="G211" t="inlineStr">
        <is>
          <t>OCKELBO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9681-2026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46072</v>
      </c>
      <c r="E212" s="1" t="n">
        <v>46253</v>
      </c>
      <c r="F212" t="inlineStr">
        <is>
          <t>GÄVLEBORGS LÄN</t>
        </is>
      </c>
      <c r="G212" t="inlineStr">
        <is>
          <t>OCKELBO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46072</v>
      </c>
      <c r="E213" s="1" t="n">
        <v>46253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46072</v>
      </c>
      <c r="E214" s="1" t="n">
        <v>46253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9554-2026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46253</v>
      </c>
      <c r="F215" t="inlineStr">
        <is>
          <t>GÄVLEBORGS LÄN</t>
        </is>
      </c>
      <c r="G215" t="inlineStr">
        <is>
          <t>OCKELBO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9557-2026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46253</v>
      </c>
      <c r="F216" t="inlineStr">
        <is>
          <t>GÄVLEBORGS LÄN</t>
        </is>
      </c>
      <c r="G216" t="inlineStr">
        <is>
          <t>OCKELBO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46253</v>
      </c>
      <c r="F217" t="inlineStr">
        <is>
          <t>GÄVLEBORGS LÄN</t>
        </is>
      </c>
      <c r="G217" t="inlineStr">
        <is>
          <t>OCKELBO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46253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45835</v>
      </c>
      <c r="E219" s="1" t="n">
        <v>46253</v>
      </c>
      <c r="F219" t="inlineStr">
        <is>
          <t>GÄVLEBORGS LÄN</t>
        </is>
      </c>
      <c r="G219" t="inlineStr">
        <is>
          <t>OCKELBO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46253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46076</v>
      </c>
      <c r="E221" s="1" t="n">
        <v>46253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46253</v>
      </c>
      <c r="F222" t="inlineStr">
        <is>
          <t>GÄVLEBORGS LÄN</t>
        </is>
      </c>
      <c r="G222" t="inlineStr">
        <is>
          <t>OCKELBO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10437-2026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46253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64609-2023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46253</v>
      </c>
      <c r="F224" t="inlineStr">
        <is>
          <t>GÄVLEBORGS LÄN</t>
        </is>
      </c>
      <c r="G224" t="inlineStr">
        <is>
          <t>OCKELBO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46077</v>
      </c>
      <c r="E225" s="1" t="n">
        <v>46253</v>
      </c>
      <c r="F225" t="inlineStr">
        <is>
          <t>GÄVLEBORGS LÄN</t>
        </is>
      </c>
      <c r="G225" t="inlineStr">
        <is>
          <t>OCKELBO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46077</v>
      </c>
      <c r="E226" s="1" t="n">
        <v>46253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46077</v>
      </c>
      <c r="E227" s="1" t="n">
        <v>46253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9997-2026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46253</v>
      </c>
      <c r="F228" t="inlineStr">
        <is>
          <t>GÄVLEBORGS LÄN</t>
        </is>
      </c>
      <c r="G228" t="inlineStr">
        <is>
          <t>OCKELBO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46253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46253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46077</v>
      </c>
      <c r="E231" s="1" t="n">
        <v>46253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öst AB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46253</v>
      </c>
      <c r="F232" t="inlineStr">
        <is>
          <t>GÄVLEBORGS LÄN</t>
        </is>
      </c>
      <c r="G232" t="inlineStr">
        <is>
          <t>OCKELBO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46077</v>
      </c>
      <c r="E233" s="1" t="n">
        <v>46253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öst AB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46253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46253</v>
      </c>
      <c r="F235" t="inlineStr">
        <is>
          <t>GÄVLEBORGS LÄN</t>
        </is>
      </c>
      <c r="G235" t="inlineStr">
        <is>
          <t>OCKELBO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65259-2023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45291</v>
      </c>
      <c r="E236" s="1" t="n">
        <v>46253</v>
      </c>
      <c r="F236" t="inlineStr">
        <is>
          <t>GÄVLEBORGS LÄN</t>
        </is>
      </c>
      <c r="G236" t="inlineStr">
        <is>
          <t>OCKELBO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46077</v>
      </c>
      <c r="E237" s="1" t="n">
        <v>46253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öst AB</t>
        </is>
      </c>
      <c r="I237" t="n">
        <v>45.7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46078</v>
      </c>
      <c r="E238" s="1" t="n">
        <v>46253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46079</v>
      </c>
      <c r="E239" s="1" t="n">
        <v>46253</v>
      </c>
      <c r="F239" t="inlineStr">
        <is>
          <t>GÄVLEBORGS LÄN</t>
        </is>
      </c>
      <c r="G239" t="inlineStr">
        <is>
          <t>OCKELBO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46253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46253</v>
      </c>
      <c r="F241" t="inlineStr">
        <is>
          <t>GÄVLEBORGS LÄN</t>
        </is>
      </c>
      <c r="G241" t="inlineStr">
        <is>
          <t>OCKELBO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46253</v>
      </c>
      <c r="F242" t="inlineStr">
        <is>
          <t>GÄVLEBORGS LÄN</t>
        </is>
      </c>
      <c r="G242" t="inlineStr">
        <is>
          <t>OCKELBO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46253</v>
      </c>
      <c r="F243" t="inlineStr">
        <is>
          <t>GÄVLEBORGS LÄN</t>
        </is>
      </c>
      <c r="G243" t="inlineStr">
        <is>
          <t>OCKELBO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46253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46253</v>
      </c>
      <c r="F245" t="inlineStr">
        <is>
          <t>GÄVLEBORGS LÄN</t>
        </is>
      </c>
      <c r="G245" t="inlineStr">
        <is>
          <t>OCKELBO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46080</v>
      </c>
      <c r="E246" s="1" t="n">
        <v>46253</v>
      </c>
      <c r="F246" t="inlineStr">
        <is>
          <t>GÄVLEBORGS LÄN</t>
        </is>
      </c>
      <c r="G246" t="inlineStr">
        <is>
          <t>OCKELBO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11423-2026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46083</v>
      </c>
      <c r="E247" s="1" t="n">
        <v>46253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öst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46253</v>
      </c>
      <c r="F248" t="inlineStr">
        <is>
          <t>GÄVLEBORGS LÄN</t>
        </is>
      </c>
      <c r="G248" t="inlineStr">
        <is>
          <t>OCKELBO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46253</v>
      </c>
      <c r="F249" t="inlineStr">
        <is>
          <t>GÄVLEBORGS LÄN</t>
        </is>
      </c>
      <c r="G249" t="inlineStr">
        <is>
          <t>OCKELBO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46253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46080</v>
      </c>
      <c r="E251" s="1" t="n">
        <v>46253</v>
      </c>
      <c r="F251" t="inlineStr">
        <is>
          <t>GÄVLEBORGS LÄN</t>
        </is>
      </c>
      <c r="G251" t="inlineStr">
        <is>
          <t>OCKELBO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45106</v>
      </c>
      <c r="E252" s="1" t="n">
        <v>46253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52335-2024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45609</v>
      </c>
      <c r="E253" s="1" t="n">
        <v>46253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18326-2026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46126</v>
      </c>
      <c r="E254" s="1" t="n">
        <v>46253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46253</v>
      </c>
      <c r="F255" t="inlineStr">
        <is>
          <t>GÄVLEBORGS LÄN</t>
        </is>
      </c>
      <c r="G255" t="inlineStr">
        <is>
          <t>OCKELBO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46253</v>
      </c>
      <c r="F256" t="inlineStr">
        <is>
          <t>GÄVLEBORGS LÄN</t>
        </is>
      </c>
      <c r="G256" t="inlineStr">
        <is>
          <t>OCKELBO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45611</v>
      </c>
      <c r="E257" s="1" t="n">
        <v>46253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46089</v>
      </c>
      <c r="E258" s="1" t="n">
        <v>46253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45674</v>
      </c>
      <c r="E259" s="1" t="n">
        <v>46253</v>
      </c>
      <c r="F259" t="inlineStr">
        <is>
          <t>GÄVLEBORGS LÄN</t>
        </is>
      </c>
      <c r="G259" t="inlineStr">
        <is>
          <t>OCKELBO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46253</v>
      </c>
      <c r="F260" t="inlineStr">
        <is>
          <t>GÄVLEBORGS LÄN</t>
        </is>
      </c>
      <c r="G260" t="inlineStr">
        <is>
          <t>OCKELBO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12716-2026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46253</v>
      </c>
      <c r="F261" t="inlineStr">
        <is>
          <t>GÄVLEBORGS LÄN</t>
        </is>
      </c>
      <c r="G261" t="inlineStr">
        <is>
          <t>OCKELBO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46093</v>
      </c>
      <c r="E262" s="1" t="n">
        <v>46253</v>
      </c>
      <c r="F262" t="inlineStr">
        <is>
          <t>GÄVLEBORGS LÄN</t>
        </is>
      </c>
      <c r="G262" t="inlineStr">
        <is>
          <t>OCKELBO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46253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46253</v>
      </c>
      <c r="F264" t="inlineStr">
        <is>
          <t>GÄVLEBORGS LÄN</t>
        </is>
      </c>
      <c r="G264" t="inlineStr">
        <is>
          <t>OCKELBO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45109</v>
      </c>
      <c r="E265" s="1" t="n">
        <v>46253</v>
      </c>
      <c r="F265" t="inlineStr">
        <is>
          <t>GÄVLEBORGS LÄN</t>
        </is>
      </c>
      <c r="G265" t="inlineStr">
        <is>
          <t>OCKELBO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46253</v>
      </c>
      <c r="F266" t="inlineStr">
        <is>
          <t>GÄVLEBORGS LÄN</t>
        </is>
      </c>
      <c r="G266" t="inlineStr">
        <is>
          <t>OCKELBO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46253</v>
      </c>
      <c r="F267" t="inlineStr">
        <is>
          <t>GÄVLEBORGS LÄN</t>
        </is>
      </c>
      <c r="G267" t="inlineStr">
        <is>
          <t>OCKELBO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32011-2024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45510</v>
      </c>
      <c r="E268" s="1" t="n">
        <v>46253</v>
      </c>
      <c r="F268" t="inlineStr">
        <is>
          <t>GÄVLEBORGS LÄN</t>
        </is>
      </c>
      <c r="G268" t="inlineStr">
        <is>
          <t>OCKELBO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46253</v>
      </c>
      <c r="F269" t="inlineStr">
        <is>
          <t>GÄVLEBORGS LÄN</t>
        </is>
      </c>
      <c r="G269" t="inlineStr">
        <is>
          <t>OCKELBO</t>
        </is>
      </c>
      <c r="H269" t="inlineStr">
        <is>
          <t>Naturvårdsverket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46253</v>
      </c>
      <c r="F270" t="inlineStr">
        <is>
          <t>GÄVLEBORGS LÄN</t>
        </is>
      </c>
      <c r="G270" t="inlineStr">
        <is>
          <t>OCKELBO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46253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46253</v>
      </c>
      <c r="F272" t="inlineStr">
        <is>
          <t>GÄVLEBORGS LÄN</t>
        </is>
      </c>
      <c r="G272" t="inlineStr">
        <is>
          <t>OCKELBO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13441-2026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46253</v>
      </c>
      <c r="F273" t="inlineStr">
        <is>
          <t>GÄVLEBORGS LÄN</t>
        </is>
      </c>
      <c r="G273" t="inlineStr">
        <is>
          <t>OCKELBO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45511</v>
      </c>
      <c r="E274" s="1" t="n">
        <v>46253</v>
      </c>
      <c r="F274" t="inlineStr">
        <is>
          <t>GÄVLEBORGS LÄN</t>
        </is>
      </c>
      <c r="G274" t="inlineStr">
        <is>
          <t>OCKELBO</t>
        </is>
      </c>
      <c r="I274" t="n">
        <v>11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46253</v>
      </c>
      <c r="F275" t="inlineStr">
        <is>
          <t>GÄVLEBORGS LÄN</t>
        </is>
      </c>
      <c r="G275" t="inlineStr">
        <is>
          <t>OCKELBO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45070</v>
      </c>
      <c r="E276" s="1" t="n">
        <v>46253</v>
      </c>
      <c r="F276" t="inlineStr">
        <is>
          <t>GÄVLEBORGS LÄN</t>
        </is>
      </c>
      <c r="G276" t="inlineStr">
        <is>
          <t>OCKELBO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46253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46253</v>
      </c>
      <c r="F278" t="inlineStr">
        <is>
          <t>GÄVLEBORGS LÄN</t>
        </is>
      </c>
      <c r="G278" t="inlineStr">
        <is>
          <t>OCKELBO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46253</v>
      </c>
      <c r="F279" t="inlineStr">
        <is>
          <t>GÄVLEBORGS LÄN</t>
        </is>
      </c>
      <c r="G279" t="inlineStr">
        <is>
          <t>OCKELBO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46253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46098</v>
      </c>
      <c r="E281" s="1" t="n">
        <v>46253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60962-2024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45645</v>
      </c>
      <c r="E282" s="1" t="n">
        <v>46253</v>
      </c>
      <c r="F282" t="inlineStr">
        <is>
          <t>GÄVLEBORGS LÄN</t>
        </is>
      </c>
      <c r="G282" t="inlineStr">
        <is>
          <t>OCKELBO</t>
        </is>
      </c>
      <c r="H282" t="inlineStr">
        <is>
          <t>Kyrkan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46253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29768-2023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45107</v>
      </c>
      <c r="E284" s="1" t="n">
        <v>46253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47267-2025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46253</v>
      </c>
      <c r="F285" t="inlineStr">
        <is>
          <t>GÄVLEBORGS LÄN</t>
        </is>
      </c>
      <c r="G285" t="inlineStr">
        <is>
          <t>OCKELBO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46253</v>
      </c>
      <c r="F286" t="inlineStr">
        <is>
          <t>GÄVLEBORGS LÄN</t>
        </is>
      </c>
      <c r="G286" t="inlineStr">
        <is>
          <t>OCKELBO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46098</v>
      </c>
      <c r="E287" s="1" t="n">
        <v>46253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36.6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45519-2022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44845</v>
      </c>
      <c r="E288" s="1" t="n">
        <v>46253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46253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54454-2024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46253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46098</v>
      </c>
      <c r="E291" s="1" t="n">
        <v>46253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45719</v>
      </c>
      <c r="E292" s="1" t="n">
        <v>46253</v>
      </c>
      <c r="F292" t="inlineStr">
        <is>
          <t>GÄVLEBORGS LÄN</t>
        </is>
      </c>
      <c r="G292" t="inlineStr">
        <is>
          <t>OCKELBO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45073</v>
      </c>
      <c r="E293" s="1" t="n">
        <v>46253</v>
      </c>
      <c r="F293" t="inlineStr">
        <is>
          <t>GÄVLEBORGS LÄN</t>
        </is>
      </c>
      <c r="G293" t="inlineStr">
        <is>
          <t>OCKELBO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61622-2021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44501</v>
      </c>
      <c r="E294" s="1" t="n">
        <v>46253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46098</v>
      </c>
      <c r="E295" s="1" t="n">
        <v>46253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14038-2026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46098</v>
      </c>
      <c r="E296" s="1" t="n">
        <v>46253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14100-2026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46253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46253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45162</v>
      </c>
      <c r="E299" s="1" t="n">
        <v>46253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67768-2021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44525</v>
      </c>
      <c r="E300" s="1" t="n">
        <v>46253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45727</v>
      </c>
      <c r="E301" s="1" t="n">
        <v>46253</v>
      </c>
      <c r="F301" t="inlineStr">
        <is>
          <t>GÄVLEBORGS LÄN</t>
        </is>
      </c>
      <c r="G301" t="inlineStr">
        <is>
          <t>OCKELBO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45582</v>
      </c>
      <c r="E302" s="1" t="n">
        <v>46253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46100</v>
      </c>
      <c r="E303" s="1" t="n">
        <v>46253</v>
      </c>
      <c r="F303" t="inlineStr">
        <is>
          <t>GÄVLEBORGS LÄN</t>
        </is>
      </c>
      <c r="G303" t="inlineStr">
        <is>
          <t>OCKELBO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46253</v>
      </c>
      <c r="F304" t="inlineStr">
        <is>
          <t>GÄVLEBORGS LÄN</t>
        </is>
      </c>
      <c r="G304" t="inlineStr">
        <is>
          <t>OCKELBO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47011-2025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45929</v>
      </c>
      <c r="E305" s="1" t="n">
        <v>46253</v>
      </c>
      <c r="F305" t="inlineStr">
        <is>
          <t>GÄVLEBORGS LÄN</t>
        </is>
      </c>
      <c r="G305" t="inlineStr">
        <is>
          <t>OCKELBO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47016-2025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46253</v>
      </c>
      <c r="F306" t="inlineStr">
        <is>
          <t>GÄVLEBORGS LÄN</t>
        </is>
      </c>
      <c r="G306" t="inlineStr">
        <is>
          <t>OCKELBO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46253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46253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45602</v>
      </c>
      <c r="E309" s="1" t="n">
        <v>46253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38893-2022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44816</v>
      </c>
      <c r="E310" s="1" t="n">
        <v>46253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45027</v>
      </c>
      <c r="E311" s="1" t="n">
        <v>46253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45608</v>
      </c>
      <c r="E312" s="1" t="n">
        <v>46253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40281-2024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45554</v>
      </c>
      <c r="E313" s="1" t="n">
        <v>46253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45644</v>
      </c>
      <c r="E314" s="1" t="n">
        <v>46253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46253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66825-2021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44522</v>
      </c>
      <c r="E316" s="1" t="n">
        <v>46253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46101</v>
      </c>
      <c r="E317" s="1" t="n">
        <v>46253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14756-2026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46253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45699</v>
      </c>
      <c r="E319" s="1" t="n">
        <v>46253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46253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46253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öst AB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46253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46253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14972-2026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46253</v>
      </c>
      <c r="F324" t="inlineStr">
        <is>
          <t>GÄVLEBORGS LÄN</t>
        </is>
      </c>
      <c r="G324" t="inlineStr">
        <is>
          <t>OCKELBO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46253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34.1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46104</v>
      </c>
      <c r="E326" s="1" t="n">
        <v>46253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29567-2024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45484</v>
      </c>
      <c r="E327" s="1" t="n">
        <v>46253</v>
      </c>
      <c r="F327" t="inlineStr">
        <is>
          <t>GÄVLEBORGS LÄN</t>
        </is>
      </c>
      <c r="G327" t="inlineStr">
        <is>
          <t>OCKELBO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46253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46104</v>
      </c>
      <c r="E329" s="1" t="n">
        <v>46253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46104</v>
      </c>
      <c r="E330" s="1" t="n">
        <v>46253</v>
      </c>
      <c r="F330" t="inlineStr">
        <is>
          <t>GÄVLEBORGS LÄN</t>
        </is>
      </c>
      <c r="G330" t="inlineStr">
        <is>
          <t>OCKELBO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46253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46253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46253</v>
      </c>
      <c r="F333" t="inlineStr">
        <is>
          <t>GÄVLEBORGS LÄN</t>
        </is>
      </c>
      <c r="G333" t="inlineStr">
        <is>
          <t>OCKELBO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46253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46253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15.4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15648-2026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46253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45534</v>
      </c>
      <c r="E337" s="1" t="n">
        <v>46253</v>
      </c>
      <c r="F337" t="inlineStr">
        <is>
          <t>GÄVLEBORGS LÄN</t>
        </is>
      </c>
      <c r="G337" t="inlineStr">
        <is>
          <t>OCKELBO</t>
        </is>
      </c>
      <c r="H337" t="inlineStr">
        <is>
          <t>Kyrkan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48855-2025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46253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46253</v>
      </c>
      <c r="F339" t="inlineStr">
        <is>
          <t>GÄVLEBORGS LÄN</t>
        </is>
      </c>
      <c r="G339" t="inlineStr">
        <is>
          <t>OCKELBO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46253</v>
      </c>
      <c r="F340" t="inlineStr">
        <is>
          <t>GÄVLEBORGS LÄN</t>
        </is>
      </c>
      <c r="G340" t="inlineStr">
        <is>
          <t>OCKELBO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46253</v>
      </c>
      <c r="F341" t="inlineStr">
        <is>
          <t>GÄVLEBORGS LÄN</t>
        </is>
      </c>
      <c r="G341" t="inlineStr">
        <is>
          <t>OCKELBO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46111</v>
      </c>
      <c r="E342" s="1" t="n">
        <v>46253</v>
      </c>
      <c r="F342" t="inlineStr">
        <is>
          <t>GÄVLEBORGS LÄN</t>
        </is>
      </c>
      <c r="G342" t="inlineStr">
        <is>
          <t>OCKELBO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45937</v>
      </c>
      <c r="E343" s="1" t="n">
        <v>46253</v>
      </c>
      <c r="F343" t="inlineStr">
        <is>
          <t>GÄVLEBORGS LÄN</t>
        </is>
      </c>
      <c r="G343" t="inlineStr">
        <is>
          <t>OCKELBO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16054-2026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46253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46253</v>
      </c>
      <c r="F345" t="inlineStr">
        <is>
          <t>GÄVLEBORGS LÄN</t>
        </is>
      </c>
      <c r="G345" t="inlineStr">
        <is>
          <t>OCKELBO</t>
        </is>
      </c>
      <c r="I345" t="n">
        <v>11.1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45937</v>
      </c>
      <c r="E346" s="1" t="n">
        <v>46253</v>
      </c>
      <c r="F346" t="inlineStr">
        <is>
          <t>GÄVLEBORGS LÄN</t>
        </is>
      </c>
      <c r="G346" t="inlineStr">
        <is>
          <t>OCKELBO</t>
        </is>
      </c>
      <c r="I346" t="n">
        <v>11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35017-2025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45851</v>
      </c>
      <c r="E347" s="1" t="n">
        <v>46253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46253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9.699999999999999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46253</v>
      </c>
      <c r="F349" t="inlineStr">
        <is>
          <t>GÄVLEBORGS LÄN</t>
        </is>
      </c>
      <c r="G349" t="inlineStr">
        <is>
          <t>OCKELBO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46253</v>
      </c>
      <c r="F350" t="inlineStr">
        <is>
          <t>GÄVLEBORGS LÄN</t>
        </is>
      </c>
      <c r="G350" t="inlineStr">
        <is>
          <t>OCKELBO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46253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46112</v>
      </c>
      <c r="E352" s="1" t="n">
        <v>46253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46253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45698</v>
      </c>
      <c r="E354" s="1" t="n">
        <v>46253</v>
      </c>
      <c r="F354" t="inlineStr">
        <is>
          <t>GÄVLEBORGS LÄN</t>
        </is>
      </c>
      <c r="G354" t="inlineStr">
        <is>
          <t>OCKELBO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16981-2026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46114</v>
      </c>
      <c r="E355" s="1" t="n">
        <v>46253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46114</v>
      </c>
      <c r="E356" s="1" t="n">
        <v>46253</v>
      </c>
      <c r="F356" t="inlineStr">
        <is>
          <t>GÄVLEBORGS LÄN</t>
        </is>
      </c>
      <c r="G356" t="inlineStr">
        <is>
          <t>OCKELBO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16991-2026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46114</v>
      </c>
      <c r="E357" s="1" t="n">
        <v>46253</v>
      </c>
      <c r="F357" t="inlineStr">
        <is>
          <t>GÄVLEBORGS LÄN</t>
        </is>
      </c>
      <c r="G357" t="inlineStr">
        <is>
          <t>OCKELBO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46253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46114</v>
      </c>
      <c r="E359" s="1" t="n">
        <v>46253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46119</v>
      </c>
      <c r="E360" s="1" t="n">
        <v>46253</v>
      </c>
      <c r="F360" t="inlineStr">
        <is>
          <t>GÄVLEBORGS LÄN</t>
        </is>
      </c>
      <c r="G360" t="inlineStr">
        <is>
          <t>OCKELBO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46119</v>
      </c>
      <c r="E361" s="1" t="n">
        <v>46253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46118</v>
      </c>
      <c r="E362" s="1" t="n">
        <v>46253</v>
      </c>
      <c r="F362" t="inlineStr">
        <is>
          <t>GÄVLEBORGS LÄN</t>
        </is>
      </c>
      <c r="G362" t="inlineStr">
        <is>
          <t>OCKELBO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46121</v>
      </c>
      <c r="E363" s="1" t="n">
        <v>46253</v>
      </c>
      <c r="F363" t="inlineStr">
        <is>
          <t>GÄVLEBORGS LÄN</t>
        </is>
      </c>
      <c r="G363" t="inlineStr">
        <is>
          <t>OCKELBO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46253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öst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10326-2026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46253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öst AB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10457-2026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46077</v>
      </c>
      <c r="E366" s="1" t="n">
        <v>46253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öst AB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46076</v>
      </c>
      <c r="E367" s="1" t="n">
        <v>46253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öst AB</t>
        </is>
      </c>
      <c r="I367" t="n">
        <v>7.7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46121</v>
      </c>
      <c r="E368" s="1" t="n">
        <v>46253</v>
      </c>
      <c r="F368" t="inlineStr">
        <is>
          <t>GÄVLEBORGS LÄN</t>
        </is>
      </c>
      <c r="G368" t="inlineStr">
        <is>
          <t>OCKELBO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46253</v>
      </c>
      <c r="F369" t="inlineStr">
        <is>
          <t>GÄVLEBORGS LÄN</t>
        </is>
      </c>
      <c r="G369" t="inlineStr">
        <is>
          <t>OCKELBO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45111</v>
      </c>
      <c r="E370" s="1" t="n">
        <v>46253</v>
      </c>
      <c r="F370" t="inlineStr">
        <is>
          <t>GÄVLEBORGS LÄN</t>
        </is>
      </c>
      <c r="G370" t="inlineStr">
        <is>
          <t>OCKELBO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46253</v>
      </c>
      <c r="F371" t="inlineStr">
        <is>
          <t>GÄVLEBORGS LÄN</t>
        </is>
      </c>
      <c r="G371" t="inlineStr">
        <is>
          <t>OCKELBO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46253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öst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45952</v>
      </c>
      <c r="E373" s="1" t="n">
        <v>46253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45022</v>
      </c>
      <c r="E374" s="1" t="n">
        <v>46253</v>
      </c>
      <c r="F374" t="inlineStr">
        <is>
          <t>GÄVLEBORGS LÄN</t>
        </is>
      </c>
      <c r="G374" t="inlineStr">
        <is>
          <t>OCKELBO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46253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56232-2022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44890</v>
      </c>
      <c r="E376" s="1" t="n">
        <v>46253</v>
      </c>
      <c r="F376" t="inlineStr">
        <is>
          <t>GÄVLEBORGS LÄN</t>
        </is>
      </c>
      <c r="G376" t="inlineStr">
        <is>
          <t>OCKELBO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52635-2025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46253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46253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öst AB</t>
        </is>
      </c>
      <c r="I378" t="n">
        <v>7.6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46253</v>
      </c>
      <c r="F379" t="inlineStr">
        <is>
          <t>GÄVLEBORGS LÄN</t>
        </is>
      </c>
      <c r="G379" t="inlineStr">
        <is>
          <t>OCKELBO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18248-2026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46126</v>
      </c>
      <c r="E380" s="1" t="n">
        <v>46253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15255-2026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46253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52461-2025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46253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46126</v>
      </c>
      <c r="E383" s="1" t="n">
        <v>46253</v>
      </c>
      <c r="F383" t="inlineStr">
        <is>
          <t>GÄVLEBORGS LÄN</t>
        </is>
      </c>
      <c r="G383" t="inlineStr">
        <is>
          <t>OCKELBO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52241-2025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45953</v>
      </c>
      <c r="E384" s="1" t="n">
        <v>46253</v>
      </c>
      <c r="F384" t="inlineStr">
        <is>
          <t>GÄVLEBORGS LÄN</t>
        </is>
      </c>
      <c r="G384" t="inlineStr">
        <is>
          <t>OCKELBO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46253</v>
      </c>
      <c r="F385" t="inlineStr">
        <is>
          <t>GÄVLEBORGS LÄN</t>
        </is>
      </c>
      <c r="G385" t="inlineStr">
        <is>
          <t>OCKELBO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47849-2021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44448</v>
      </c>
      <c r="E386" s="1" t="n">
        <v>46253</v>
      </c>
      <c r="F386" t="inlineStr">
        <is>
          <t>GÄVLEBORGS LÄN</t>
        </is>
      </c>
      <c r="G386" t="inlineStr">
        <is>
          <t>OCKELBO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46253</v>
      </c>
      <c r="F387" t="inlineStr">
        <is>
          <t>GÄVLEBORGS LÄN</t>
        </is>
      </c>
      <c r="G387" t="inlineStr">
        <is>
          <t>OCKELBO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46253</v>
      </c>
      <c r="F388" t="inlineStr">
        <is>
          <t>GÄVLEBORGS LÄN</t>
        </is>
      </c>
      <c r="G388" t="inlineStr">
        <is>
          <t>OCKELBO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44883</v>
      </c>
      <c r="E389" s="1" t="n">
        <v>46253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46253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46253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17.7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46253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13.8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46253</v>
      </c>
      <c r="F393" t="inlineStr">
        <is>
          <t>GÄVLEBORGS LÄN</t>
        </is>
      </c>
      <c r="G393" t="inlineStr">
        <is>
          <t>OCKELBO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44712</v>
      </c>
      <c r="E394" s="1" t="n">
        <v>46253</v>
      </c>
      <c r="F394" t="inlineStr">
        <is>
          <t>GÄVLEBORGS LÄN</t>
        </is>
      </c>
      <c r="G394" t="inlineStr">
        <is>
          <t>OCKELBO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46253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18705-2026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46128</v>
      </c>
      <c r="E396" s="1" t="n">
        <v>46253</v>
      </c>
      <c r="F396" t="inlineStr">
        <is>
          <t>GÄVLEBORGS LÄN</t>
        </is>
      </c>
      <c r="G396" t="inlineStr">
        <is>
          <t>OCKELBO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46253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46253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45134</v>
      </c>
      <c r="E399" s="1" t="n">
        <v>46253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52880-2025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45957</v>
      </c>
      <c r="E400" s="1" t="n">
        <v>46253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46253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19139-2026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46132</v>
      </c>
      <c r="E402" s="1" t="n">
        <v>46253</v>
      </c>
      <c r="F402" t="inlineStr">
        <is>
          <t>GÄVLEBORGS LÄN</t>
        </is>
      </c>
      <c r="G402" t="inlineStr">
        <is>
          <t>OCKELBO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18669-2026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46128</v>
      </c>
      <c r="E403" s="1" t="n">
        <v>46253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46253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46253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46253</v>
      </c>
      <c r="F406" t="inlineStr">
        <is>
          <t>GÄVLEBORGS LÄN</t>
        </is>
      </c>
      <c r="G406" t="inlineStr">
        <is>
          <t>OCKELBO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36362-2024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46253</v>
      </c>
      <c r="F407" t="inlineStr">
        <is>
          <t>GÄVLEBORGS LÄN</t>
        </is>
      </c>
      <c r="G407" t="inlineStr">
        <is>
          <t>OCKELBO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19603-2026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46134</v>
      </c>
      <c r="E408" s="1" t="n">
        <v>46253</v>
      </c>
      <c r="F408" t="inlineStr">
        <is>
          <t>GÄVLEBORGS LÄN</t>
        </is>
      </c>
      <c r="G408" t="inlineStr">
        <is>
          <t>OCKELBO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46134</v>
      </c>
      <c r="E409" s="1" t="n">
        <v>46253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19431-2026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46133</v>
      </c>
      <c r="E410" s="1" t="n">
        <v>46253</v>
      </c>
      <c r="F410" t="inlineStr">
        <is>
          <t>GÄVLEBORGS LÄN</t>
        </is>
      </c>
      <c r="G410" t="inlineStr">
        <is>
          <t>OCKELBO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45959</v>
      </c>
      <c r="E411" s="1" t="n">
        <v>46253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19271-2026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46253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19277-2026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46133</v>
      </c>
      <c r="E413" s="1" t="n">
        <v>46253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46133</v>
      </c>
      <c r="E414" s="1" t="n">
        <v>46253</v>
      </c>
      <c r="F414" t="inlineStr">
        <is>
          <t>GÄVLEBORGS LÄN</t>
        </is>
      </c>
      <c r="G414" t="inlineStr">
        <is>
          <t>OCKELBO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19924-2026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46136</v>
      </c>
      <c r="E415" s="1" t="n">
        <v>46253</v>
      </c>
      <c r="F415" t="inlineStr">
        <is>
          <t>GÄVLEBORGS LÄN</t>
        </is>
      </c>
      <c r="G415" t="inlineStr">
        <is>
          <t>OCKELBO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45966</v>
      </c>
      <c r="E416" s="1" t="n">
        <v>46253</v>
      </c>
      <c r="F416" t="inlineStr">
        <is>
          <t>GÄVLEBORGS LÄN</t>
        </is>
      </c>
      <c r="G416" t="inlineStr">
        <is>
          <t>OCKELBO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62096-2024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45656</v>
      </c>
      <c r="E417" s="1" t="n">
        <v>46253</v>
      </c>
      <c r="F417" t="inlineStr">
        <is>
          <t>GÄVLEBORGS LÄN</t>
        </is>
      </c>
      <c r="G417" t="inlineStr">
        <is>
          <t>OCKELBO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54879-2025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45967</v>
      </c>
      <c r="E418" s="1" t="n">
        <v>46253</v>
      </c>
      <c r="F418" t="inlineStr">
        <is>
          <t>GÄVLEBORGS LÄN</t>
        </is>
      </c>
      <c r="G418" t="inlineStr">
        <is>
          <t>OCKELBO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54880-2025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45967</v>
      </c>
      <c r="E419" s="1" t="n">
        <v>46253</v>
      </c>
      <c r="F419" t="inlineStr">
        <is>
          <t>GÄVLEBORGS LÄN</t>
        </is>
      </c>
      <c r="G419" t="inlineStr">
        <is>
          <t>OCKELBO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46253</v>
      </c>
      <c r="F420" t="inlineStr">
        <is>
          <t>GÄVLEBORGS LÄN</t>
        </is>
      </c>
      <c r="G420" t="inlineStr">
        <is>
          <t>OCKELBO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55632-2025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45972</v>
      </c>
      <c r="E421" s="1" t="n">
        <v>46253</v>
      </c>
      <c r="F421" t="inlineStr">
        <is>
          <t>GÄVLEBORGS LÄN</t>
        </is>
      </c>
      <c r="G421" t="inlineStr">
        <is>
          <t>OCKELBO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46136</v>
      </c>
      <c r="E422" s="1" t="n">
        <v>46253</v>
      </c>
      <c r="F422" t="inlineStr">
        <is>
          <t>GÄVLEBORGS LÄN</t>
        </is>
      </c>
      <c r="G422" t="inlineStr">
        <is>
          <t>OCKELBO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46121</v>
      </c>
      <c r="E423" s="1" t="n">
        <v>46253</v>
      </c>
      <c r="F423" t="inlineStr">
        <is>
          <t>GÄVLEBORGS LÄN</t>
        </is>
      </c>
      <c r="G423" t="inlineStr">
        <is>
          <t>OCKELBO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45972</v>
      </c>
      <c r="E424" s="1" t="n">
        <v>46253</v>
      </c>
      <c r="F424" t="inlineStr">
        <is>
          <t>GÄVLEBORGS LÄN</t>
        </is>
      </c>
      <c r="G424" t="inlineStr">
        <is>
          <t>OCKELBO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46253</v>
      </c>
      <c r="F425" t="inlineStr">
        <is>
          <t>GÄVLEBORGS LÄN</t>
        </is>
      </c>
      <c r="G425" t="inlineStr">
        <is>
          <t>OCKELBO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46253</v>
      </c>
      <c r="F426" t="inlineStr">
        <is>
          <t>GÄVLEBORGS LÄN</t>
        </is>
      </c>
      <c r="G426" t="inlineStr">
        <is>
          <t>OCKELBO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46119</v>
      </c>
      <c r="E427" s="1" t="n">
        <v>46253</v>
      </c>
      <c r="F427" t="inlineStr">
        <is>
          <t>GÄVLEBORGS LÄN</t>
        </is>
      </c>
      <c r="G427" t="inlineStr">
        <is>
          <t>OCKELBO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46114</v>
      </c>
      <c r="E428" s="1" t="n">
        <v>46253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8662-2025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45712</v>
      </c>
      <c r="E429" s="1" t="n">
        <v>46253</v>
      </c>
      <c r="F429" t="inlineStr">
        <is>
          <t>GÄVLEBORGS LÄN</t>
        </is>
      </c>
      <c r="G429" t="inlineStr">
        <is>
          <t>OCKELBO</t>
        </is>
      </c>
      <c r="I429" t="n">
        <v>14.7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46253</v>
      </c>
      <c r="F430" t="inlineStr">
        <is>
          <t>GÄVLEBORGS LÄN</t>
        </is>
      </c>
      <c r="G430" t="inlineStr">
        <is>
          <t>OCKELBO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55926-2025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46253</v>
      </c>
      <c r="F431" t="inlineStr">
        <is>
          <t>GÄVLEBORGS LÄN</t>
        </is>
      </c>
      <c r="G431" t="inlineStr">
        <is>
          <t>OCKELBO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46253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9556-2026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46253</v>
      </c>
      <c r="F433" t="inlineStr">
        <is>
          <t>GÄVLEBORGS LÄN</t>
        </is>
      </c>
      <c r="G433" t="inlineStr">
        <is>
          <t>OCKELBO</t>
        </is>
      </c>
      <c r="I433" t="n">
        <v>11.9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46253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46253</v>
      </c>
      <c r="F435" t="inlineStr">
        <is>
          <t>GÄVLEBORGS LÄN</t>
        </is>
      </c>
      <c r="G435" t="inlineStr">
        <is>
          <t>OCKELBO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55866-2025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46253</v>
      </c>
      <c r="F436" t="inlineStr">
        <is>
          <t>GÄVLEBORGS LÄN</t>
        </is>
      </c>
      <c r="G436" t="inlineStr">
        <is>
          <t>OCKELBO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55911-2025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45973</v>
      </c>
      <c r="E437" s="1" t="n">
        <v>46253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45758</v>
      </c>
      <c r="E438" s="1" t="n">
        <v>46253</v>
      </c>
      <c r="F438" t="inlineStr">
        <is>
          <t>GÄVLEBORGS LÄN</t>
        </is>
      </c>
      <c r="G438" t="inlineStr">
        <is>
          <t>OCKELBO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46253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46253</v>
      </c>
      <c r="F440" t="inlineStr">
        <is>
          <t>GÄVLEBORGS LÄN</t>
        </is>
      </c>
      <c r="G440" t="inlineStr">
        <is>
          <t>OCKELBO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46253</v>
      </c>
      <c r="F441" t="inlineStr">
        <is>
          <t>GÄVLEBORGS LÄN</t>
        </is>
      </c>
      <c r="G441" t="inlineStr">
        <is>
          <t>OCKELBO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46253</v>
      </c>
      <c r="F442" t="inlineStr">
        <is>
          <t>GÄVLEBORGS LÄN</t>
        </is>
      </c>
      <c r="G442" t="inlineStr">
        <is>
          <t>OCKELBO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46253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46253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46253</v>
      </c>
      <c r="F445" t="inlineStr">
        <is>
          <t>GÄVLEBORGS LÄN</t>
        </is>
      </c>
      <c r="G445" t="inlineStr">
        <is>
          <t>OCKELBO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46253</v>
      </c>
      <c r="F446" t="inlineStr">
        <is>
          <t>GÄVLEBORGS LÄN</t>
        </is>
      </c>
      <c r="G446" t="inlineStr">
        <is>
          <t>OCKELBO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46253</v>
      </c>
      <c r="F447" t="inlineStr">
        <is>
          <t>GÄVLEBORGS LÄN</t>
        </is>
      </c>
      <c r="G447" t="inlineStr">
        <is>
          <t>OCKELBO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46137</v>
      </c>
      <c r="E448" s="1" t="n">
        <v>46253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20150-2026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46137</v>
      </c>
      <c r="E449" s="1" t="n">
        <v>46253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56876-2025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46253</v>
      </c>
      <c r="F450" t="inlineStr">
        <is>
          <t>GÄVLEBORGS LÄN</t>
        </is>
      </c>
      <c r="G450" t="inlineStr">
        <is>
          <t>OCKELBO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46253</v>
      </c>
      <c r="F451" t="inlineStr">
        <is>
          <t>GÄVLEBORGS LÄN</t>
        </is>
      </c>
      <c r="G451" t="inlineStr">
        <is>
          <t>OCKELBO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56877-2025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46253</v>
      </c>
      <c r="F452" t="inlineStr">
        <is>
          <t>GÄVLEBORGS LÄN</t>
        </is>
      </c>
      <c r="G452" t="inlineStr">
        <is>
          <t>OCKELBO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46253</v>
      </c>
      <c r="F453" t="inlineStr">
        <is>
          <t>GÄVLEBORGS LÄN</t>
        </is>
      </c>
      <c r="G453" t="inlineStr">
        <is>
          <t>OCKELBO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20502-2026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46253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30422-2023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45111</v>
      </c>
      <c r="E455" s="1" t="n">
        <v>46253</v>
      </c>
      <c r="F455" t="inlineStr">
        <is>
          <t>GÄVLEBORGS LÄN</t>
        </is>
      </c>
      <c r="G455" t="inlineStr">
        <is>
          <t>OCKELBO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20251-2026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46139</v>
      </c>
      <c r="E456" s="1" t="n">
        <v>46253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46253</v>
      </c>
      <c r="F457" t="inlineStr">
        <is>
          <t>GÄVLEBORGS LÄN</t>
        </is>
      </c>
      <c r="G457" t="inlineStr">
        <is>
          <t>OCKELBO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46253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45821</v>
      </c>
      <c r="E459" s="1" t="n">
        <v>46253</v>
      </c>
      <c r="F459" t="inlineStr">
        <is>
          <t>GÄVLEBORGS LÄN</t>
        </is>
      </c>
      <c r="G459" t="inlineStr">
        <is>
          <t>OCKELBO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46253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46253</v>
      </c>
      <c r="F461" t="inlineStr">
        <is>
          <t>GÄVLEBORGS LÄN</t>
        </is>
      </c>
      <c r="G461" t="inlineStr">
        <is>
          <t>OCKELBO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46253</v>
      </c>
      <c r="F462" t="inlineStr">
        <is>
          <t>GÄVLEBORGS LÄN</t>
        </is>
      </c>
      <c r="G462" t="inlineStr">
        <is>
          <t>OCKELBO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45719</v>
      </c>
      <c r="E463" s="1" t="n">
        <v>46253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öst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46253</v>
      </c>
      <c r="F464" t="inlineStr">
        <is>
          <t>GÄVLEBORGS LÄN</t>
        </is>
      </c>
      <c r="G464" t="inlineStr">
        <is>
          <t>OCKELBO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46253</v>
      </c>
      <c r="F465" t="inlineStr">
        <is>
          <t>GÄVLEBORGS LÄN</t>
        </is>
      </c>
      <c r="G465" t="inlineStr">
        <is>
          <t>OCKELBO</t>
        </is>
      </c>
      <c r="I465" t="n">
        <v>11.5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46253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46253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46253</v>
      </c>
      <c r="F468" t="inlineStr">
        <is>
          <t>GÄVLEBORGS LÄN</t>
        </is>
      </c>
      <c r="G468" t="inlineStr">
        <is>
          <t>OCKELBO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46253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46063</v>
      </c>
      <c r="E470" s="1" t="n">
        <v>46253</v>
      </c>
      <c r="F470" t="inlineStr">
        <is>
          <t>GÄVLEBORGS LÄN</t>
        </is>
      </c>
      <c r="G470" t="inlineStr">
        <is>
          <t>OCKELBO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58295-2025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46253</v>
      </c>
      <c r="F471" t="inlineStr">
        <is>
          <t>GÄVLEBORGS LÄN</t>
        </is>
      </c>
      <c r="G471" t="inlineStr">
        <is>
          <t>OCKELBO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46253</v>
      </c>
      <c r="F472" t="inlineStr">
        <is>
          <t>GÄVLEBORGS LÄN</t>
        </is>
      </c>
      <c r="G472" t="inlineStr">
        <is>
          <t>OCKELBO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15542-2026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46253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46138</v>
      </c>
      <c r="E474" s="1" t="n">
        <v>46253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46052</v>
      </c>
      <c r="E475" s="1" t="n">
        <v>46253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46048</v>
      </c>
      <c r="E476" s="1" t="n">
        <v>46253</v>
      </c>
      <c r="F476" t="inlineStr">
        <is>
          <t>GÄVLEBORGS LÄN</t>
        </is>
      </c>
      <c r="G476" t="inlineStr">
        <is>
          <t>OCKELBO</t>
        </is>
      </c>
      <c r="I476" t="n">
        <v>36.1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45586</v>
      </c>
      <c r="E477" s="1" t="n">
        <v>46253</v>
      </c>
      <c r="F477" t="inlineStr">
        <is>
          <t>GÄVLEBORGS LÄN</t>
        </is>
      </c>
      <c r="G477" t="inlineStr">
        <is>
          <t>OCKELBO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45526</v>
      </c>
      <c r="E478" s="1" t="n">
        <v>46253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46253</v>
      </c>
      <c r="F479" t="inlineStr">
        <is>
          <t>GÄVLEBORGS LÄN</t>
        </is>
      </c>
      <c r="G479" t="inlineStr">
        <is>
          <t>OCKELBO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39424-2024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45551</v>
      </c>
      <c r="E480" s="1" t="n">
        <v>46253</v>
      </c>
      <c r="F480" t="inlineStr">
        <is>
          <t>GÄVLEBORGS LÄN</t>
        </is>
      </c>
      <c r="G480" t="inlineStr">
        <is>
          <t>OCKELBO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46253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11116-2026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46079</v>
      </c>
      <c r="E482" s="1" t="n">
        <v>46253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46253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15739-2026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46253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20.4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45817</v>
      </c>
      <c r="E485" s="1" t="n">
        <v>46253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45803</v>
      </c>
      <c r="E486" s="1" t="n">
        <v>46253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46050</v>
      </c>
      <c r="E487" s="1" t="n">
        <v>46253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63977-2025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46021</v>
      </c>
      <c r="E488" s="1" t="n">
        <v>46253</v>
      </c>
      <c r="F488" t="inlineStr">
        <is>
          <t>GÄVLEBORGS LÄN</t>
        </is>
      </c>
      <c r="G488" t="inlineStr">
        <is>
          <t>OCKELBO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46253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46253</v>
      </c>
      <c r="F490" t="inlineStr">
        <is>
          <t>GÄVLEBORGS LÄN</t>
        </is>
      </c>
      <c r="G490" t="inlineStr">
        <is>
          <t>OCKELBO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46253</v>
      </c>
      <c r="F491" t="inlineStr">
        <is>
          <t>GÄVLEBORGS LÄN</t>
        </is>
      </c>
      <c r="G491" t="inlineStr">
        <is>
          <t>OCKELBO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36604-2025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45870</v>
      </c>
      <c r="E492" s="1" t="n">
        <v>46253</v>
      </c>
      <c r="F492" t="inlineStr">
        <is>
          <t>GÄVLEBORGS LÄN</t>
        </is>
      </c>
      <c r="G492" t="inlineStr">
        <is>
          <t>OCKELBO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45800</v>
      </c>
      <c r="E493" s="1" t="n">
        <v>46253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46253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45884</v>
      </c>
      <c r="E495" s="1" t="n">
        <v>46253</v>
      </c>
      <c r="F495" t="inlineStr">
        <is>
          <t>GÄVLEBORGS LÄN</t>
        </is>
      </c>
      <c r="G495" t="inlineStr">
        <is>
          <t>OCKELBO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45800</v>
      </c>
      <c r="E496" s="1" t="n">
        <v>46253</v>
      </c>
      <c r="F496" t="inlineStr">
        <is>
          <t>GÄVLEBORGS LÄN</t>
        </is>
      </c>
      <c r="G496" t="inlineStr">
        <is>
          <t>OCKELBO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46253</v>
      </c>
      <c r="F497" t="inlineStr">
        <is>
          <t>GÄVLEBORGS LÄN</t>
        </is>
      </c>
      <c r="G497" t="inlineStr">
        <is>
          <t>OCKELBO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60183-2025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45994</v>
      </c>
      <c r="E498" s="1" t="n">
        <v>46253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46253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20151-2026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46137</v>
      </c>
      <c r="E500" s="1" t="n">
        <v>46253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46316-2025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45925</v>
      </c>
      <c r="E501" s="1" t="n">
        <v>46253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45996</v>
      </c>
      <c r="E502" s="1" t="n">
        <v>46253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45995</v>
      </c>
      <c r="E503" s="1" t="n">
        <v>46253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46034</v>
      </c>
      <c r="E504" s="1" t="n">
        <v>46253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46253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15694-2022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44663</v>
      </c>
      <c r="E506" s="1" t="n">
        <v>46253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37438-2023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45156</v>
      </c>
      <c r="E507" s="1" t="n">
        <v>46253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8521-2026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46065</v>
      </c>
      <c r="E508" s="1" t="n">
        <v>46253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60527-2025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46253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46253</v>
      </c>
      <c r="F510" t="inlineStr">
        <is>
          <t>GÄVLEBORGS LÄN</t>
        </is>
      </c>
      <c r="G510" t="inlineStr">
        <is>
          <t>OCKELBO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61335-2022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44915</v>
      </c>
      <c r="E511" s="1" t="n">
        <v>46253</v>
      </c>
      <c r="F511" t="inlineStr">
        <is>
          <t>GÄVLEBORGS LÄN</t>
        </is>
      </c>
      <c r="G511" t="inlineStr">
        <is>
          <t>OCKELBO</t>
        </is>
      </c>
      <c r="I511" t="n">
        <v>8.5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46253</v>
      </c>
      <c r="F512" t="inlineStr">
        <is>
          <t>GÄVLEBORGS LÄN</t>
        </is>
      </c>
      <c r="G512" t="inlineStr">
        <is>
          <t>OCKELBO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46253</v>
      </c>
      <c r="F513" t="inlineStr">
        <is>
          <t>GÄVLEBORGS LÄN</t>
        </is>
      </c>
      <c r="G513" t="inlineStr">
        <is>
          <t>OCKELBO</t>
        </is>
      </c>
      <c r="I513" t="n">
        <v>10.3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61148-2025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46000</v>
      </c>
      <c r="E514" s="1" t="n">
        <v>46253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46253</v>
      </c>
      <c r="F515" t="inlineStr">
        <is>
          <t>GÄVLEBORGS LÄN</t>
        </is>
      </c>
      <c r="G515" t="inlineStr">
        <is>
          <t>OCKELBO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46253</v>
      </c>
      <c r="F516" t="inlineStr">
        <is>
          <t>GÄVLEBORGS LÄN</t>
        </is>
      </c>
      <c r="G516" t="inlineStr">
        <is>
          <t>OCKELBO</t>
        </is>
      </c>
      <c r="I516" t="n">
        <v>9.300000000000001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46035</v>
      </c>
      <c r="E517" s="1" t="n">
        <v>46253</v>
      </c>
      <c r="F517" t="inlineStr">
        <is>
          <t>GÄVLEBORGS LÄN</t>
        </is>
      </c>
      <c r="G517" t="inlineStr">
        <is>
          <t>OCKELBO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46091</v>
      </c>
      <c r="E518" s="1" t="n">
        <v>46253</v>
      </c>
      <c r="F518" t="inlineStr">
        <is>
          <t>GÄVLEBORGS LÄN</t>
        </is>
      </c>
      <c r="G518" t="inlineStr">
        <is>
          <t>OCKELBO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46066</v>
      </c>
      <c r="E519" s="1" t="n">
        <v>46253</v>
      </c>
      <c r="F519" t="inlineStr">
        <is>
          <t>GÄVLEBORGS LÄN</t>
        </is>
      </c>
      <c r="G519" t="inlineStr">
        <is>
          <t>OCKELBO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46253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46077</v>
      </c>
      <c r="E521" s="1" t="n">
        <v>46253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45111</v>
      </c>
      <c r="E522" s="1" t="n">
        <v>46253</v>
      </c>
      <c r="F522" t="inlineStr">
        <is>
          <t>GÄVLEBORGS LÄN</t>
        </is>
      </c>
      <c r="G522" t="inlineStr">
        <is>
          <t>OCKELBO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46253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46029</v>
      </c>
      <c r="E524" s="1" t="n">
        <v>46253</v>
      </c>
      <c r="F524" t="inlineStr">
        <is>
          <t>GÄVLEBORGS LÄN</t>
        </is>
      </c>
      <c r="G524" t="inlineStr">
        <is>
          <t>OCKELBO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60117-2025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46253</v>
      </c>
      <c r="F525" t="inlineStr">
        <is>
          <t>GÄVLEBORGS LÄN</t>
        </is>
      </c>
      <c r="G525" t="inlineStr">
        <is>
          <t>OCKELBO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46064</v>
      </c>
      <c r="E526" s="1" t="n">
        <v>46253</v>
      </c>
      <c r="F526" t="inlineStr">
        <is>
          <t>GÄVLEBORGS LÄN</t>
        </is>
      </c>
      <c r="G526" t="inlineStr">
        <is>
          <t>OCKELBO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46037</v>
      </c>
      <c r="E527" s="1" t="n">
        <v>46253</v>
      </c>
      <c r="F527" t="inlineStr">
        <is>
          <t>GÄVLEBORGS LÄN</t>
        </is>
      </c>
      <c r="G527" t="inlineStr">
        <is>
          <t>OCKELBO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62196-2025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46006</v>
      </c>
      <c r="E528" s="1" t="n">
        <v>46253</v>
      </c>
      <c r="F528" t="inlineStr">
        <is>
          <t>GÄVLEBORGS LÄN</t>
        </is>
      </c>
      <c r="G528" t="inlineStr">
        <is>
          <t>OCKELBO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46141</v>
      </c>
      <c r="E529" s="1" t="n">
        <v>46253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18191-2026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46253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46253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46027</v>
      </c>
      <c r="E532" s="1" t="n">
        <v>46253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59383-2025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45989</v>
      </c>
      <c r="E533" s="1" t="n">
        <v>46253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46253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8.300000000000001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46073</v>
      </c>
      <c r="E535" s="1" t="n">
        <v>46253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48804-2024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45593</v>
      </c>
      <c r="E536" s="1" t="n">
        <v>46253</v>
      </c>
      <c r="F536" t="inlineStr">
        <is>
          <t>GÄVLEBORGS LÄN</t>
        </is>
      </c>
      <c r="G536" t="inlineStr">
        <is>
          <t>OCKELBO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20984-2026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46142</v>
      </c>
      <c r="E537" s="1" t="n">
        <v>46253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18291-2023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45041</v>
      </c>
      <c r="E538" s="1" t="n">
        <v>46253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63061-2025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46253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21173-2026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46253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46253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17951-2026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46122</v>
      </c>
      <c r="E542" s="1" t="n">
        <v>46253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62914-2025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46009</v>
      </c>
      <c r="E543" s="1" t="n">
        <v>46253</v>
      </c>
      <c r="F543" t="inlineStr">
        <is>
          <t>GÄVLEBORGS LÄN</t>
        </is>
      </c>
      <c r="G543" t="inlineStr">
        <is>
          <t>OCKELBO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18549-2026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46253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18097-2026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46125</v>
      </c>
      <c r="E545" s="1" t="n">
        <v>46253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63459-2025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46013</v>
      </c>
      <c r="E546" s="1" t="n">
        <v>46253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46253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63616-2025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46014</v>
      </c>
      <c r="E548" s="1" t="n">
        <v>46253</v>
      </c>
      <c r="F548" t="inlineStr">
        <is>
          <t>GÄVLEBORGS LÄN</t>
        </is>
      </c>
      <c r="G548" t="inlineStr">
        <is>
          <t>OCKELBO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63224-2025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46010</v>
      </c>
      <c r="E549" s="1" t="n">
        <v>46253</v>
      </c>
      <c r="F549" t="inlineStr">
        <is>
          <t>GÄVLEBORGS LÄN</t>
        </is>
      </c>
      <c r="G549" t="inlineStr">
        <is>
          <t>OCKELBO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63464-2025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46013</v>
      </c>
      <c r="E550" s="1" t="n">
        <v>46253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46253</v>
      </c>
      <c r="F551" t="inlineStr">
        <is>
          <t>GÄVLEBORGS LÄN</t>
        </is>
      </c>
      <c r="G551" t="inlineStr">
        <is>
          <t>OCKELBO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15908-2026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46107</v>
      </c>
      <c r="E552" s="1" t="n">
        <v>46253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öst AB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46253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46134</v>
      </c>
      <c r="E554" s="1" t="n">
        <v>46253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21280-2026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46253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öst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46253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21277-2026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46253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öst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46253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63017-2025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46009</v>
      </c>
      <c r="E559" s="1" t="n">
        <v>46253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21461-2026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46253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46148</v>
      </c>
      <c r="E561" s="1" t="n">
        <v>46253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46253</v>
      </c>
      <c r="F562" t="inlineStr">
        <is>
          <t>GÄVLEBORGS LÄN</t>
        </is>
      </c>
      <c r="G562" t="inlineStr">
        <is>
          <t>OCKELBO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21640-2026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46149</v>
      </c>
      <c r="E563" s="1" t="n">
        <v>46253</v>
      </c>
      <c r="F563" t="inlineStr">
        <is>
          <t>GÄVLEBORGS LÄN</t>
        </is>
      </c>
      <c r="G563" t="inlineStr">
        <is>
          <t>OCKELBO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46021</v>
      </c>
      <c r="E564" s="1" t="n">
        <v>46253</v>
      </c>
      <c r="F564" t="inlineStr">
        <is>
          <t>GÄVLEBORGS LÄN</t>
        </is>
      </c>
      <c r="G564" t="inlineStr">
        <is>
          <t>OCKELBO</t>
        </is>
      </c>
      <c r="I564" t="n">
        <v>13.6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46024</v>
      </c>
      <c r="E565" s="1" t="n">
        <v>46253</v>
      </c>
      <c r="F565" t="inlineStr">
        <is>
          <t>GÄVLEBORGS LÄN</t>
        </is>
      </c>
      <c r="G565" t="inlineStr">
        <is>
          <t>OCKELBO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46253</v>
      </c>
      <c r="F566" t="inlineStr">
        <is>
          <t>GÄVLEBORGS LÄN</t>
        </is>
      </c>
      <c r="G566" t="inlineStr">
        <is>
          <t>OCKELBO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46027</v>
      </c>
      <c r="E567" s="1" t="n">
        <v>46253</v>
      </c>
      <c r="F567" t="inlineStr">
        <is>
          <t>GÄVLEBORGS LÄN</t>
        </is>
      </c>
      <c r="G567" t="inlineStr">
        <is>
          <t>OCKELBO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46253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46253</v>
      </c>
      <c r="F569" t="inlineStr">
        <is>
          <t>GÄVLEBORGS LÄN</t>
        </is>
      </c>
      <c r="G569" t="inlineStr">
        <is>
          <t>OCKELBO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46253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46027</v>
      </c>
      <c r="E571" s="1" t="n">
        <v>46253</v>
      </c>
      <c r="F571" t="inlineStr">
        <is>
          <t>GÄVLEBORGS LÄN</t>
        </is>
      </c>
      <c r="G571" t="inlineStr">
        <is>
          <t>OCKELBO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46027</v>
      </c>
      <c r="E572" s="1" t="n">
        <v>46253</v>
      </c>
      <c r="F572" t="inlineStr">
        <is>
          <t>GÄVLEBORGS LÄN</t>
        </is>
      </c>
      <c r="G572" t="inlineStr">
        <is>
          <t>OCKELBO</t>
        </is>
      </c>
      <c r="I572" t="n">
        <v>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46027</v>
      </c>
      <c r="E573" s="1" t="n">
        <v>46253</v>
      </c>
      <c r="F573" t="inlineStr">
        <is>
          <t>GÄVLEBORGS LÄN</t>
        </is>
      </c>
      <c r="G573" t="inlineStr">
        <is>
          <t>OCKELBO</t>
        </is>
      </c>
      <c r="I573" t="n">
        <v>16.2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46027</v>
      </c>
      <c r="E574" s="1" t="n">
        <v>46253</v>
      </c>
      <c r="F574" t="inlineStr">
        <is>
          <t>GÄVLEBORGS LÄN</t>
        </is>
      </c>
      <c r="G574" t="inlineStr">
        <is>
          <t>OCKELBO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46027</v>
      </c>
      <c r="E575" s="1" t="n">
        <v>46253</v>
      </c>
      <c r="F575" t="inlineStr">
        <is>
          <t>GÄVLEBORGS LÄN</t>
        </is>
      </c>
      <c r="G575" t="inlineStr">
        <is>
          <t>OCKELBO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17221-2026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46119</v>
      </c>
      <c r="E576" s="1" t="n">
        <v>46253</v>
      </c>
      <c r="F576" t="inlineStr">
        <is>
          <t>GÄVLEBORGS LÄN</t>
        </is>
      </c>
      <c r="G576" t="inlineStr">
        <is>
          <t>OCKELBO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46253</v>
      </c>
      <c r="F577" t="inlineStr">
        <is>
          <t>GÄVLEBORGS LÄN</t>
        </is>
      </c>
      <c r="G577" t="inlineStr">
        <is>
          <t>OCKELBO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46253</v>
      </c>
      <c r="F578" t="inlineStr">
        <is>
          <t>GÄVLEBORGS LÄN</t>
        </is>
      </c>
      <c r="G578" t="inlineStr">
        <is>
          <t>OCKELBO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46088</v>
      </c>
      <c r="E579" s="1" t="n">
        <v>46253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9.199999999999999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9413-2026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46253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9542-2026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46253</v>
      </c>
      <c r="F581" t="inlineStr">
        <is>
          <t>GÄVLEBORGS LÄN</t>
        </is>
      </c>
      <c r="G581" t="inlineStr">
        <is>
          <t>OCKELBO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46028</v>
      </c>
      <c r="E582" s="1" t="n">
        <v>46253</v>
      </c>
      <c r="F582" t="inlineStr">
        <is>
          <t>GÄVLEBORGS LÄN</t>
        </is>
      </c>
      <c r="G582" t="inlineStr">
        <is>
          <t>OCKELBO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43071-2025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45909</v>
      </c>
      <c r="E583" s="1" t="n">
        <v>46253</v>
      </c>
      <c r="F583" t="inlineStr">
        <is>
          <t>GÄVLEBORGS LÄN</t>
        </is>
      </c>
      <c r="G583" t="inlineStr">
        <is>
          <t>OCKELBO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58718-2025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45986</v>
      </c>
      <c r="E584" s="1" t="n">
        <v>46253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46253</v>
      </c>
      <c r="F585" t="inlineStr">
        <is>
          <t>GÄVLEBORGS LÄN</t>
        </is>
      </c>
      <c r="G585" t="inlineStr">
        <is>
          <t>OCKELBO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46028</v>
      </c>
      <c r="E586" s="1" t="n">
        <v>46253</v>
      </c>
      <c r="F586" t="inlineStr">
        <is>
          <t>GÄVLEBORGS LÄN</t>
        </is>
      </c>
      <c r="G586" t="inlineStr">
        <is>
          <t>OCKELBO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46253</v>
      </c>
      <c r="F587" t="inlineStr">
        <is>
          <t>GÄVLEBORGS LÄN</t>
        </is>
      </c>
      <c r="G587" t="inlineStr">
        <is>
          <t>OCKELBO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46029</v>
      </c>
      <c r="E588" s="1" t="n">
        <v>46253</v>
      </c>
      <c r="F588" t="inlineStr">
        <is>
          <t>GÄVLEBORGS LÄN</t>
        </is>
      </c>
      <c r="G588" t="inlineStr">
        <is>
          <t>OCKELBO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46024</v>
      </c>
      <c r="E589" s="1" t="n">
        <v>46253</v>
      </c>
      <c r="F589" t="inlineStr">
        <is>
          <t>GÄVLEBORGS LÄN</t>
        </is>
      </c>
      <c r="G589" t="inlineStr">
        <is>
          <t>OCKELBO</t>
        </is>
      </c>
      <c r="I589" t="n">
        <v>12.9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46253</v>
      </c>
      <c r="F590" t="inlineStr">
        <is>
          <t>GÄVLEBORGS LÄN</t>
        </is>
      </c>
      <c r="G590" t="inlineStr">
        <is>
          <t>OCKELBO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3697-2026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46253</v>
      </c>
      <c r="F591" t="inlineStr">
        <is>
          <t>GÄVLEBORGS LÄN</t>
        </is>
      </c>
      <c r="G591" t="inlineStr">
        <is>
          <t>OCKELBO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46104</v>
      </c>
      <c r="E592" s="1" t="n">
        <v>46253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46154</v>
      </c>
      <c r="E593" s="1" t="n">
        <v>46253</v>
      </c>
      <c r="F593" t="inlineStr">
        <is>
          <t>GÄVLEBORGS LÄN</t>
        </is>
      </c>
      <c r="G593" t="inlineStr">
        <is>
          <t>OCKELBO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8408-2026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46065</v>
      </c>
      <c r="E594" s="1" t="n">
        <v>46253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8865-2026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46066</v>
      </c>
      <c r="E595" s="1" t="n">
        <v>46253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46253</v>
      </c>
      <c r="F596" t="inlineStr">
        <is>
          <t>GÄVLEBORGS LÄN</t>
        </is>
      </c>
      <c r="G596" t="inlineStr">
        <is>
          <t>OCKELBO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46034</v>
      </c>
      <c r="E597" s="1" t="n">
        <v>46253</v>
      </c>
      <c r="F597" t="inlineStr">
        <is>
          <t>GÄVLEBORGS LÄN</t>
        </is>
      </c>
      <c r="G597" t="inlineStr">
        <is>
          <t>OCKELBO</t>
        </is>
      </c>
      <c r="I597" t="n">
        <v>9.4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46049</v>
      </c>
      <c r="E598" s="1" t="n">
        <v>46253</v>
      </c>
      <c r="F598" t="inlineStr">
        <is>
          <t>GÄVLEBORGS LÄN</t>
        </is>
      </c>
      <c r="G598" t="inlineStr">
        <is>
          <t>OCKELBO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46033</v>
      </c>
      <c r="E599" s="1" t="n">
        <v>46253</v>
      </c>
      <c r="F599" t="inlineStr">
        <is>
          <t>GÄVLEBORGS LÄN</t>
        </is>
      </c>
      <c r="G599" t="inlineStr">
        <is>
          <t>OCKELBO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6654-2026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46253</v>
      </c>
      <c r="F600" t="inlineStr">
        <is>
          <t>GÄVLEBORGS LÄN</t>
        </is>
      </c>
      <c r="G600" t="inlineStr">
        <is>
          <t>OCKELBO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46253</v>
      </c>
      <c r="F601" t="inlineStr">
        <is>
          <t>GÄVLEBORGS LÄN</t>
        </is>
      </c>
      <c r="G601" t="inlineStr">
        <is>
          <t>OCKELBO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46034</v>
      </c>
      <c r="E602" s="1" t="n">
        <v>46253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46031</v>
      </c>
      <c r="E603" s="1" t="n">
        <v>46253</v>
      </c>
      <c r="F603" t="inlineStr">
        <is>
          <t>GÄVLEBORGS LÄN</t>
        </is>
      </c>
      <c r="G603" t="inlineStr">
        <is>
          <t>OCKELBO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22569-2026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46253</v>
      </c>
      <c r="F604" t="inlineStr">
        <is>
          <t>GÄVLEBORGS LÄN</t>
        </is>
      </c>
      <c r="G604" t="inlineStr">
        <is>
          <t>OCKELBO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2388-2026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46253</v>
      </c>
      <c r="F605" t="inlineStr">
        <is>
          <t>GÄVLEBORGS LÄN</t>
        </is>
      </c>
      <c r="G605" t="inlineStr">
        <is>
          <t>OCKELBO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2392-2026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46036</v>
      </c>
      <c r="E606" s="1" t="n">
        <v>46253</v>
      </c>
      <c r="F606" t="inlineStr">
        <is>
          <t>GÄVLEBORGS LÄN</t>
        </is>
      </c>
      <c r="G606" t="inlineStr">
        <is>
          <t>OCKELBO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46253</v>
      </c>
      <c r="F607" t="inlineStr">
        <is>
          <t>GÄVLEBORGS LÄN</t>
        </is>
      </c>
      <c r="G607" t="inlineStr">
        <is>
          <t>OCKELBO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22712-2026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46156</v>
      </c>
      <c r="E608" s="1" t="n">
        <v>46253</v>
      </c>
      <c r="F608" t="inlineStr">
        <is>
          <t>GÄVLEBORGS LÄN</t>
        </is>
      </c>
      <c r="G608" t="inlineStr">
        <is>
          <t>OCKELBO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46253</v>
      </c>
      <c r="F609" t="inlineStr">
        <is>
          <t>GÄVLEBORGS LÄN</t>
        </is>
      </c>
      <c r="G609" t="inlineStr">
        <is>
          <t>OCKELBO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60120-2025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46253</v>
      </c>
      <c r="F610" t="inlineStr">
        <is>
          <t>GÄVLEBORGS LÄN</t>
        </is>
      </c>
      <c r="G610" t="inlineStr">
        <is>
          <t>OCKELBO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46035</v>
      </c>
      <c r="E611" s="1" t="n">
        <v>46253</v>
      </c>
      <c r="F611" t="inlineStr">
        <is>
          <t>GÄVLEBORGS LÄN</t>
        </is>
      </c>
      <c r="G611" t="inlineStr">
        <is>
          <t>OCKELBO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46253</v>
      </c>
      <c r="F612" t="inlineStr">
        <is>
          <t>GÄVLEBORGS LÄN</t>
        </is>
      </c>
      <c r="G612" t="inlineStr">
        <is>
          <t>OCKELBO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46036</v>
      </c>
      <c r="E613" s="1" t="n">
        <v>46253</v>
      </c>
      <c r="F613" t="inlineStr">
        <is>
          <t>GÄVLEBORGS LÄN</t>
        </is>
      </c>
      <c r="G613" t="inlineStr">
        <is>
          <t>OCKELBO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46253</v>
      </c>
      <c r="F614" t="inlineStr">
        <is>
          <t>GÄVLEBORGS LÄN</t>
        </is>
      </c>
      <c r="G614" t="inlineStr">
        <is>
          <t>OCKELBO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45926</v>
      </c>
      <c r="E615" s="1" t="n">
        <v>46253</v>
      </c>
      <c r="F615" t="inlineStr">
        <is>
          <t>GÄVLEBORGS LÄN</t>
        </is>
      </c>
      <c r="G615" t="inlineStr">
        <is>
          <t>OCKELBO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46035</v>
      </c>
      <c r="E616" s="1" t="n">
        <v>46253</v>
      </c>
      <c r="F616" t="inlineStr">
        <is>
          <t>GÄVLEBORGS LÄN</t>
        </is>
      </c>
      <c r="G616" t="inlineStr">
        <is>
          <t>OCKELBO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22460-2026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46253</v>
      </c>
      <c r="F617" t="inlineStr">
        <is>
          <t>GÄVLEBORGS LÄN</t>
        </is>
      </c>
      <c r="G617" t="inlineStr">
        <is>
          <t>OCKELBO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46036</v>
      </c>
      <c r="E618" s="1" t="n">
        <v>46253</v>
      </c>
      <c r="F618" t="inlineStr">
        <is>
          <t>GÄVLEBORGS LÄN</t>
        </is>
      </c>
      <c r="G618" t="inlineStr">
        <is>
          <t>OCKELBO</t>
        </is>
      </c>
      <c r="I618" t="n">
        <v>16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7276-2023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44970</v>
      </c>
      <c r="E619" s="1" t="n">
        <v>46253</v>
      </c>
      <c r="F619" t="inlineStr">
        <is>
          <t>GÄVLEBORGS LÄN</t>
        </is>
      </c>
      <c r="G619" t="inlineStr">
        <is>
          <t>OCKELBO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61732-2024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45649</v>
      </c>
      <c r="E620" s="1" t="n">
        <v>46253</v>
      </c>
      <c r="F620" t="inlineStr">
        <is>
          <t>GÄVLEBORGS LÄN</t>
        </is>
      </c>
      <c r="G620" t="inlineStr">
        <is>
          <t>OCKELBO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46038</v>
      </c>
      <c r="E621" s="1" t="n">
        <v>46253</v>
      </c>
      <c r="F621" t="inlineStr">
        <is>
          <t>GÄVLEBORGS LÄN</t>
        </is>
      </c>
      <c r="G621" t="inlineStr">
        <is>
          <t>OCKELBO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46253</v>
      </c>
      <c r="F622" t="inlineStr">
        <is>
          <t>GÄVLEBORGS LÄN</t>
        </is>
      </c>
      <c r="G622" t="inlineStr">
        <is>
          <t>OCKELBO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46038</v>
      </c>
      <c r="E623" s="1" t="n">
        <v>46253</v>
      </c>
      <c r="F623" t="inlineStr">
        <is>
          <t>GÄVLEBORGS LÄN</t>
        </is>
      </c>
      <c r="G623" t="inlineStr">
        <is>
          <t>OCKELBO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46037</v>
      </c>
      <c r="E624" s="1" t="n">
        <v>46253</v>
      </c>
      <c r="F624" t="inlineStr">
        <is>
          <t>GÄVLEBORGS LÄN</t>
        </is>
      </c>
      <c r="G624" t="inlineStr">
        <is>
          <t>OCKELBO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46253</v>
      </c>
      <c r="F625" t="inlineStr">
        <is>
          <t>GÄVLEBORGS LÄN</t>
        </is>
      </c>
      <c r="G625" t="inlineStr">
        <is>
          <t>OCKELBO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14071-2026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46099</v>
      </c>
      <c r="E626" s="1" t="n">
        <v>46253</v>
      </c>
      <c r="F626" t="inlineStr">
        <is>
          <t>GÄVLEBORGS LÄN</t>
        </is>
      </c>
      <c r="G626" t="inlineStr">
        <is>
          <t>OCKELBO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22843-2026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46160</v>
      </c>
      <c r="E627" s="1" t="n">
        <v>46253</v>
      </c>
      <c r="F627" t="inlineStr">
        <is>
          <t>GÄVLEBORGS LÄN</t>
        </is>
      </c>
      <c r="G627" t="inlineStr">
        <is>
          <t>OCKELBO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17862-2026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46122</v>
      </c>
      <c r="E628" s="1" t="n">
        <v>46253</v>
      </c>
      <c r="F628" t="inlineStr">
        <is>
          <t>GÄVLEBORGS LÄN</t>
        </is>
      </c>
      <c r="G628" t="inlineStr">
        <is>
          <t>OCKELBO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23040-2026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46161</v>
      </c>
      <c r="E629" s="1" t="n">
        <v>46253</v>
      </c>
      <c r="F629" t="inlineStr">
        <is>
          <t>GÄVLEBORGS LÄN</t>
        </is>
      </c>
      <c r="G629" t="inlineStr">
        <is>
          <t>OCKELBO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46253</v>
      </c>
      <c r="F630" t="inlineStr">
        <is>
          <t>GÄVLEBORGS LÄN</t>
        </is>
      </c>
      <c r="G630" t="inlineStr">
        <is>
          <t>OCKELBO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22952-2023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45072</v>
      </c>
      <c r="E631" s="1" t="n">
        <v>46253</v>
      </c>
      <c r="F631" t="inlineStr">
        <is>
          <t>GÄVLEBORGS LÄN</t>
        </is>
      </c>
      <c r="G631" t="inlineStr">
        <is>
          <t>OCKELBO</t>
        </is>
      </c>
      <c r="I631" t="n">
        <v>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54977-2024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45620</v>
      </c>
      <c r="E632" s="1" t="n">
        <v>46253</v>
      </c>
      <c r="F632" t="inlineStr">
        <is>
          <t>GÄVLEBORGS LÄN</t>
        </is>
      </c>
      <c r="G632" t="inlineStr">
        <is>
          <t>OCKELBO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49529-2024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45596</v>
      </c>
      <c r="E633" s="1" t="n">
        <v>46253</v>
      </c>
      <c r="F633" t="inlineStr">
        <is>
          <t>GÄVLEBORGS LÄN</t>
        </is>
      </c>
      <c r="G633" t="inlineStr">
        <is>
          <t>OCKELBO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6568-2024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45341</v>
      </c>
      <c r="E634" s="1" t="n">
        <v>46253</v>
      </c>
      <c r="F634" t="inlineStr">
        <is>
          <t>GÄVLEBORGS LÄN</t>
        </is>
      </c>
      <c r="G634" t="inlineStr">
        <is>
          <t>OCKELBO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45716</v>
      </c>
      <c r="E635" s="1" t="n">
        <v>46253</v>
      </c>
      <c r="F635" t="inlineStr">
        <is>
          <t>GÄVLEBORGS LÄN</t>
        </is>
      </c>
      <c r="G635" t="inlineStr">
        <is>
          <t>OCKELBO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23060-2026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46253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50194-2024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45600</v>
      </c>
      <c r="E637" s="1" t="n">
        <v>46253</v>
      </c>
      <c r="F637" t="inlineStr">
        <is>
          <t>GÄVLEBORGS LÄN</t>
        </is>
      </c>
      <c r="G637" t="inlineStr">
        <is>
          <t>OCKELBO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23513-2026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46253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23786-2026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46253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23663-2026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46164</v>
      </c>
      <c r="E640" s="1" t="n">
        <v>46253</v>
      </c>
      <c r="F640" t="inlineStr">
        <is>
          <t>GÄVLEBORGS LÄN</t>
        </is>
      </c>
      <c r="G640" t="inlineStr">
        <is>
          <t>OCKELBO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46253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46253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46044</v>
      </c>
      <c r="E643" s="1" t="n">
        <v>46253</v>
      </c>
      <c r="F643" t="inlineStr">
        <is>
          <t>GÄVLEBORGS LÄN</t>
        </is>
      </c>
      <c r="G643" t="inlineStr">
        <is>
          <t>OCKELBO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54309-2024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45617</v>
      </c>
      <c r="E644" s="1" t="n">
        <v>46253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46253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42585-2023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45181</v>
      </c>
      <c r="E646" s="1" t="n">
        <v>46253</v>
      </c>
      <c r="F646" t="inlineStr">
        <is>
          <t>GÄVLEBORGS LÄN</t>
        </is>
      </c>
      <c r="G646" t="inlineStr">
        <is>
          <t>OCKELBO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56352-2024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45624</v>
      </c>
      <c r="E647" s="1" t="n">
        <v>46253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42313-2023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45180</v>
      </c>
      <c r="E648" s="1" t="n">
        <v>46253</v>
      </c>
      <c r="F648" t="inlineStr">
        <is>
          <t>GÄVLEBORGS LÄN</t>
        </is>
      </c>
      <c r="G648" t="inlineStr">
        <is>
          <t>OCKELBO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46253</v>
      </c>
      <c r="F649" t="inlineStr">
        <is>
          <t>GÄVLEBORGS LÄN</t>
        </is>
      </c>
      <c r="G649" t="inlineStr">
        <is>
          <t>OCKELBO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46169</v>
      </c>
      <c r="E650" s="1" t="n">
        <v>46253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24335-2026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46169</v>
      </c>
      <c r="E651" s="1" t="n">
        <v>46253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24333-2026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46169</v>
      </c>
      <c r="E652" s="1" t="n">
        <v>46253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24409-2026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46169</v>
      </c>
      <c r="E653" s="1" t="n">
        <v>46253</v>
      </c>
      <c r="F653" t="inlineStr">
        <is>
          <t>GÄVLEBORGS LÄN</t>
        </is>
      </c>
      <c r="G653" t="inlineStr">
        <is>
          <t>OCKELBO</t>
        </is>
      </c>
      <c r="I653" t="n">
        <v>8.1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11974-2026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46085</v>
      </c>
      <c r="E654" s="1" t="n">
        <v>46253</v>
      </c>
      <c r="F654" t="inlineStr">
        <is>
          <t>GÄVLEBORGS LÄN</t>
        </is>
      </c>
      <c r="G654" t="inlineStr">
        <is>
          <t>OCKELBO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46023</v>
      </c>
      <c r="E655" s="1" t="n">
        <v>46253</v>
      </c>
      <c r="F655" t="inlineStr">
        <is>
          <t>GÄVLEBORGS LÄN</t>
        </is>
      </c>
      <c r="G655" t="inlineStr">
        <is>
          <t>OCKELBO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46253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24578-2026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46253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54944-2025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45967</v>
      </c>
      <c r="E658" s="1" t="n">
        <v>46253</v>
      </c>
      <c r="F658" t="inlineStr">
        <is>
          <t>GÄVLEBORGS LÄN</t>
        </is>
      </c>
      <c r="G658" t="inlineStr">
        <is>
          <t>OCKELBO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60915-2024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45645</v>
      </c>
      <c r="E659" s="1" t="n">
        <v>46253</v>
      </c>
      <c r="F659" t="inlineStr">
        <is>
          <t>GÄVLEBORGS LÄN</t>
        </is>
      </c>
      <c r="G659" t="inlineStr">
        <is>
          <t>OCKELBO</t>
        </is>
      </c>
      <c r="H659" t="inlineStr">
        <is>
          <t>Kyrkan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24451-2026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46170</v>
      </c>
      <c r="E660" s="1" t="n">
        <v>46253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24569-2026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46170</v>
      </c>
      <c r="E661" s="1" t="n">
        <v>46253</v>
      </c>
      <c r="F661" t="inlineStr">
        <is>
          <t>GÄVLEBORGS LÄN</t>
        </is>
      </c>
      <c r="G661" t="inlineStr">
        <is>
          <t>OCKELBO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31083-2026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46216</v>
      </c>
      <c r="E662" s="1" t="n">
        <v>46253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46253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24521-2026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46170</v>
      </c>
      <c r="E664" s="1" t="n">
        <v>46253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30990-2026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46213</v>
      </c>
      <c r="E665" s="1" t="n">
        <v>46253</v>
      </c>
      <c r="F665" t="inlineStr">
        <is>
          <t>GÄVLEBORGS LÄN</t>
        </is>
      </c>
      <c r="G665" t="inlineStr">
        <is>
          <t>OCKELBO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24624-2026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46171</v>
      </c>
      <c r="E666" s="1" t="n">
        <v>46253</v>
      </c>
      <c r="F666" t="inlineStr">
        <is>
          <t>GÄVLEBORGS LÄN</t>
        </is>
      </c>
      <c r="G666" t="inlineStr">
        <is>
          <t>OCKELBO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46170</v>
      </c>
      <c r="E667" s="1" t="n">
        <v>46253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45152</v>
      </c>
      <c r="E668" s="1" t="n">
        <v>46253</v>
      </c>
      <c r="F668" t="inlineStr">
        <is>
          <t>GÄVLEBORGS LÄN</t>
        </is>
      </c>
      <c r="G668" t="inlineStr">
        <is>
          <t>OCKELBO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25128-2026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46175</v>
      </c>
      <c r="E669" s="1" t="n">
        <v>46253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25133-2026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46253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19762-2024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45432</v>
      </c>
      <c r="E671" s="1" t="n">
        <v>46253</v>
      </c>
      <c r="F671" t="inlineStr">
        <is>
          <t>GÄVLEBORGS LÄN</t>
        </is>
      </c>
      <c r="G671" t="inlineStr">
        <is>
          <t>OCKELBO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21582-2024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45441</v>
      </c>
      <c r="E672" s="1" t="n">
        <v>46253</v>
      </c>
      <c r="F672" t="inlineStr">
        <is>
          <t>GÄVLEBORGS LÄN</t>
        </is>
      </c>
      <c r="G672" t="inlineStr">
        <is>
          <t>OCKELBO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31277-2026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46218</v>
      </c>
      <c r="E673" s="1" t="n">
        <v>46253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24974-2026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46174</v>
      </c>
      <c r="E674" s="1" t="n">
        <v>46253</v>
      </c>
      <c r="F674" t="inlineStr">
        <is>
          <t>GÄVLEBORGS LÄN</t>
        </is>
      </c>
      <c r="G674" t="inlineStr">
        <is>
          <t>OCKELBO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46174</v>
      </c>
      <c r="E675" s="1" t="n">
        <v>46253</v>
      </c>
      <c r="F675" t="inlineStr">
        <is>
          <t>GÄVLEBORGS LÄN</t>
        </is>
      </c>
      <c r="G675" t="inlineStr">
        <is>
          <t>OCKELBO</t>
        </is>
      </c>
      <c r="I675" t="n">
        <v>7.9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45671</v>
      </c>
      <c r="E676" s="1" t="n">
        <v>46253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24968-2026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46174</v>
      </c>
      <c r="E677" s="1" t="n">
        <v>46253</v>
      </c>
      <c r="F677" t="inlineStr">
        <is>
          <t>GÄVLEBORGS LÄN</t>
        </is>
      </c>
      <c r="G677" t="inlineStr">
        <is>
          <t>OCKELBO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50968-2024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45603</v>
      </c>
      <c r="E678" s="1" t="n">
        <v>46253</v>
      </c>
      <c r="F678" t="inlineStr">
        <is>
          <t>GÄVLEBORGS LÄN</t>
        </is>
      </c>
      <c r="G678" t="inlineStr">
        <is>
          <t>OCKELBO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25525-2026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46177</v>
      </c>
      <c r="E679" s="1" t="n">
        <v>46253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9.4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31443-2026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46220</v>
      </c>
      <c r="E680" s="1" t="n">
        <v>46253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46177</v>
      </c>
      <c r="E681" s="1" t="n">
        <v>46253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45757</v>
      </c>
      <c r="E682" s="1" t="n">
        <v>46253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7478-2025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45705</v>
      </c>
      <c r="E683" s="1" t="n">
        <v>46253</v>
      </c>
      <c r="F683" t="inlineStr">
        <is>
          <t>GÄVLEBORGS LÄN</t>
        </is>
      </c>
      <c r="G683" t="inlineStr">
        <is>
          <t>OCKELBO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31591-2026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46224</v>
      </c>
      <c r="E684" s="1" t="n">
        <v>46253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46223</v>
      </c>
      <c r="E685" s="1" t="n">
        <v>46253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12983-2022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44643</v>
      </c>
      <c r="E686" s="1" t="n">
        <v>46253</v>
      </c>
      <c r="F686" t="inlineStr">
        <is>
          <t>GÄVLEBORGS LÄN</t>
        </is>
      </c>
      <c r="G686" t="inlineStr">
        <is>
          <t>OCKELBO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46181</v>
      </c>
      <c r="E687" s="1" t="n">
        <v>46253</v>
      </c>
      <c r="F687" t="inlineStr">
        <is>
          <t>GÄVLEBORGS LÄN</t>
        </is>
      </c>
      <c r="G687" t="inlineStr">
        <is>
          <t>OCKELBO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37391-2023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45156</v>
      </c>
      <c r="E688" s="1" t="n">
        <v>46253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45243</v>
      </c>
      <c r="E689" s="1" t="n">
        <v>46253</v>
      </c>
      <c r="F689" t="inlineStr">
        <is>
          <t>GÄVLEBORGS LÄN</t>
        </is>
      </c>
      <c r="G689" t="inlineStr">
        <is>
          <t>OCKELBO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31571-2026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46224</v>
      </c>
      <c r="E690" s="1" t="n">
        <v>46253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59533-2023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45254</v>
      </c>
      <c r="E691" s="1" t="n">
        <v>46253</v>
      </c>
      <c r="F691" t="inlineStr">
        <is>
          <t>GÄVLEBORGS LÄN</t>
        </is>
      </c>
      <c r="G691" t="inlineStr">
        <is>
          <t>OCKELBO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22692-2026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46156</v>
      </c>
      <c r="E692" s="1" t="n">
        <v>46253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36521-2022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44804</v>
      </c>
      <c r="E693" s="1" t="n">
        <v>46253</v>
      </c>
      <c r="F693" t="inlineStr">
        <is>
          <t>GÄVLEBORGS LÄN</t>
        </is>
      </c>
      <c r="G693" t="inlineStr">
        <is>
          <t>OCKELBO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24228-2022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44725</v>
      </c>
      <c r="E694" s="1" t="n">
        <v>46253</v>
      </c>
      <c r="F694" t="inlineStr">
        <is>
          <t>GÄVLEBORGS LÄN</t>
        </is>
      </c>
      <c r="G694" t="inlineStr">
        <is>
          <t>OCKELBO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32301-2022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44781</v>
      </c>
      <c r="E695" s="1" t="n">
        <v>46253</v>
      </c>
      <c r="F695" t="inlineStr">
        <is>
          <t>GÄVLEBORGS LÄN</t>
        </is>
      </c>
      <c r="G695" t="inlineStr">
        <is>
          <t>OCKELBO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46253</v>
      </c>
      <c r="F696" t="inlineStr">
        <is>
          <t>GÄVLEBORGS LÄN</t>
        </is>
      </c>
      <c r="G696" t="inlineStr">
        <is>
          <t>OCKELBO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26861-2026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46253</v>
      </c>
      <c r="F697" t="inlineStr">
        <is>
          <t>GÄVLEBORGS LÄN</t>
        </is>
      </c>
      <c r="G697" t="inlineStr">
        <is>
          <t>OCKELBO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47841-2023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45204</v>
      </c>
      <c r="E698" s="1" t="n">
        <v>46253</v>
      </c>
      <c r="F698" t="inlineStr">
        <is>
          <t>GÄVLEBORGS LÄN</t>
        </is>
      </c>
      <c r="G698" t="inlineStr">
        <is>
          <t>OCKELBO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46253</v>
      </c>
      <c r="F699" t="inlineStr">
        <is>
          <t>GÄVLEBORGS LÄN</t>
        </is>
      </c>
      <c r="G699" t="inlineStr">
        <is>
          <t>OCKELBO</t>
        </is>
      </c>
      <c r="I699" t="n">
        <v>14.6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26845-2026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46253</v>
      </c>
      <c r="F700" t="inlineStr">
        <is>
          <t>GÄVLEBORGS LÄN</t>
        </is>
      </c>
      <c r="G700" t="inlineStr">
        <is>
          <t>OCKELBO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33985-2023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45134</v>
      </c>
      <c r="E701" s="1" t="n">
        <v>46253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26924-2026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46253</v>
      </c>
      <c r="F702" t="inlineStr">
        <is>
          <t>GÄVLEBORGS LÄN</t>
        </is>
      </c>
      <c r="G702" t="inlineStr">
        <is>
          <t>OCKELBO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31804-2026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46230</v>
      </c>
      <c r="E703" s="1" t="n">
        <v>46253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27416-2026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46189</v>
      </c>
      <c r="E704" s="1" t="n">
        <v>46253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20660-2022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44700</v>
      </c>
      <c r="E705" s="1" t="n">
        <v>46253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61750-2023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45265</v>
      </c>
      <c r="E706" s="1" t="n">
        <v>46253</v>
      </c>
      <c r="F706" t="inlineStr">
        <is>
          <t>GÄVLEBORGS LÄN</t>
        </is>
      </c>
      <c r="G706" t="inlineStr">
        <is>
          <t>OCKELBO</t>
        </is>
      </c>
      <c r="I706" t="n">
        <v>11.2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27381-2026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46189</v>
      </c>
      <c r="E707" s="1" t="n">
        <v>46253</v>
      </c>
      <c r="F707" t="inlineStr">
        <is>
          <t>GÄVLEBORGS LÄN</t>
        </is>
      </c>
      <c r="G707" t="inlineStr">
        <is>
          <t>OCKELBO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46189</v>
      </c>
      <c r="E708" s="1" t="n">
        <v>46253</v>
      </c>
      <c r="F708" t="inlineStr">
        <is>
          <t>GÄVLEBORGS LÄN</t>
        </is>
      </c>
      <c r="G708" t="inlineStr">
        <is>
          <t>OCKELBO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10184-2026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46253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15247-2025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45744</v>
      </c>
      <c r="E710" s="1" t="n">
        <v>46253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53702-2024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45615</v>
      </c>
      <c r="E711" s="1" t="n">
        <v>46253</v>
      </c>
      <c r="F711" t="inlineStr">
        <is>
          <t>GÄVLEBORGS LÄN</t>
        </is>
      </c>
      <c r="G711" t="inlineStr">
        <is>
          <t>OCKELBO</t>
        </is>
      </c>
      <c r="I711" t="n">
        <v>5.8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27272-2026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46253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46189</v>
      </c>
      <c r="E713" s="1" t="n">
        <v>46253</v>
      </c>
      <c r="F713" t="inlineStr">
        <is>
          <t>GÄVLEBORGS LÄN</t>
        </is>
      </c>
      <c r="G713" t="inlineStr">
        <is>
          <t>OCKELBO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27382-2026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46189</v>
      </c>
      <c r="E714" s="1" t="n">
        <v>46253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57614-2025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45981</v>
      </c>
      <c r="E715" s="1" t="n">
        <v>46253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27231-2026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46253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31971-2026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46232</v>
      </c>
      <c r="E717" s="1" t="n">
        <v>46253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35054-2022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44797</v>
      </c>
      <c r="E718" s="1" t="n">
        <v>46253</v>
      </c>
      <c r="F718" t="inlineStr">
        <is>
          <t>GÄVLEBORGS LÄN</t>
        </is>
      </c>
      <c r="G718" t="inlineStr">
        <is>
          <t>OCKELBO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46253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27620-2026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46190</v>
      </c>
      <c r="E720" s="1" t="n">
        <v>46253</v>
      </c>
      <c r="F720" t="inlineStr">
        <is>
          <t>GÄVLEBORGS LÄN</t>
        </is>
      </c>
      <c r="G720" t="inlineStr">
        <is>
          <t>OCKELBO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27623-2026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46190</v>
      </c>
      <c r="E721" s="1" t="n">
        <v>46253</v>
      </c>
      <c r="F721" t="inlineStr">
        <is>
          <t>GÄVLEBORGS LÄN</t>
        </is>
      </c>
      <c r="G721" t="inlineStr">
        <is>
          <t>OCKELBO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27630-2026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46190</v>
      </c>
      <c r="E722" s="1" t="n">
        <v>46253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20059-2025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45772</v>
      </c>
      <c r="E723" s="1" t="n">
        <v>46253</v>
      </c>
      <c r="F723" t="inlineStr">
        <is>
          <t>GÄVLEBORGS LÄN</t>
        </is>
      </c>
      <c r="G723" t="inlineStr">
        <is>
          <t>OCKELBO</t>
        </is>
      </c>
      <c r="I723" t="n">
        <v>14.8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27562-2026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46190</v>
      </c>
      <c r="E724" s="1" t="n">
        <v>46253</v>
      </c>
      <c r="F724" t="inlineStr">
        <is>
          <t>GÄVLEBORGS LÄN</t>
        </is>
      </c>
      <c r="G724" t="inlineStr">
        <is>
          <t>OCKELBO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55112-2023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45237</v>
      </c>
      <c r="E725" s="1" t="n">
        <v>46253</v>
      </c>
      <c r="F725" t="inlineStr">
        <is>
          <t>GÄVLEBORGS LÄN</t>
        </is>
      </c>
      <c r="G725" t="inlineStr">
        <is>
          <t>OCKELBO</t>
        </is>
      </c>
      <c r="I725" t="n">
        <v>14.6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27889-2026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46191</v>
      </c>
      <c r="E726" s="1" t="n">
        <v>46253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59978-2023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45254</v>
      </c>
      <c r="E727" s="1" t="n">
        <v>46253</v>
      </c>
      <c r="F727" t="inlineStr">
        <is>
          <t>GÄVLEBORGS LÄN</t>
        </is>
      </c>
      <c r="G727" t="inlineStr">
        <is>
          <t>OCKELBO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53488-2023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45230</v>
      </c>
      <c r="E728" s="1" t="n">
        <v>46253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27995-2026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46253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56034-2023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45240</v>
      </c>
      <c r="E730" s="1" t="n">
        <v>46253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28289-2026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46253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28318-2026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46196</v>
      </c>
      <c r="E732" s="1" t="n">
        <v>46253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28317-2026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46196</v>
      </c>
      <c r="E733" s="1" t="n">
        <v>46253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46253</v>
      </c>
      <c r="F734" t="inlineStr">
        <is>
          <t>GÄVLEBORGS LÄN</t>
        </is>
      </c>
      <c r="G734" t="inlineStr">
        <is>
          <t>OCKELBO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46045</v>
      </c>
      <c r="E735" s="1" t="n">
        <v>46253</v>
      </c>
      <c r="F735" t="inlineStr">
        <is>
          <t>GÄVLEBORGS LÄN</t>
        </is>
      </c>
      <c r="G735" t="inlineStr">
        <is>
          <t>OCKELBO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46253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46253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47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28725-2026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46253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29001-2026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46199</v>
      </c>
      <c r="E739" s="1" t="n">
        <v>46253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45301</v>
      </c>
      <c r="E740" s="1" t="n">
        <v>46253</v>
      </c>
      <c r="F740" t="inlineStr">
        <is>
          <t>GÄVLEBORGS LÄN</t>
        </is>
      </c>
      <c r="G740" t="inlineStr">
        <is>
          <t>OCKELBO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28672-2026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46253</v>
      </c>
      <c r="F741" t="inlineStr">
        <is>
          <t>GÄVLEBORGS LÄN</t>
        </is>
      </c>
      <c r="G741" t="inlineStr">
        <is>
          <t>OCKELBO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33176-2026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46245</v>
      </c>
      <c r="E742" s="1" t="n">
        <v>46253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31517-2026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46223</v>
      </c>
      <c r="E743" s="1" t="n">
        <v>46253</v>
      </c>
      <c r="F743" t="inlineStr">
        <is>
          <t>GÄVLEBORGS LÄN</t>
        </is>
      </c>
      <c r="G743" t="inlineStr">
        <is>
          <t>OCKELBO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31519-2026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46223</v>
      </c>
      <c r="E744" s="1" t="n">
        <v>46253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29386-2026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46253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29437-2026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46253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39710-2023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45167</v>
      </c>
      <c r="E747" s="1" t="n">
        <v>46253</v>
      </c>
      <c r="F747" t="inlineStr">
        <is>
          <t>GÄVLEBORGS LÄN</t>
        </is>
      </c>
      <c r="G747" t="inlineStr">
        <is>
          <t>OCKELBO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55906-2024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45623</v>
      </c>
      <c r="E748" s="1" t="n">
        <v>46253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29415-2026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46203</v>
      </c>
      <c r="E749" s="1" t="n">
        <v>46253</v>
      </c>
      <c r="F749" t="inlineStr">
        <is>
          <t>GÄVLEBORGS LÄN</t>
        </is>
      </c>
      <c r="G749" t="inlineStr">
        <is>
          <t>OCKELBO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34449-2023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45139</v>
      </c>
      <c r="E750" s="1" t="n">
        <v>46253</v>
      </c>
      <c r="F750" t="inlineStr">
        <is>
          <t>GÄVLEBORGS LÄN</t>
        </is>
      </c>
      <c r="G750" t="inlineStr">
        <is>
          <t>OCKELBO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29835-2026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46253</v>
      </c>
      <c r="F751" t="inlineStr">
        <is>
          <t>GÄVLEBORGS LÄN</t>
        </is>
      </c>
      <c r="G751" t="inlineStr">
        <is>
          <t>OCKELBO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29849-2026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46205</v>
      </c>
      <c r="E752" s="1" t="n">
        <v>46253</v>
      </c>
      <c r="F752" t="inlineStr">
        <is>
          <t>GÄVLEBORGS LÄN</t>
        </is>
      </c>
      <c r="G752" t="inlineStr">
        <is>
          <t>OCKELBO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29611-2026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46204</v>
      </c>
      <c r="E753" s="1" t="n">
        <v>46253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39062-2024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45548</v>
      </c>
      <c r="E754" s="1" t="n">
        <v>46253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29789-2026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46205</v>
      </c>
      <c r="E755" s="1" t="n">
        <v>46253</v>
      </c>
      <c r="F755" t="inlineStr">
        <is>
          <t>GÄVLEBORGS LÄN</t>
        </is>
      </c>
      <c r="G755" t="inlineStr">
        <is>
          <t>OCKELBO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14827-2026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46253</v>
      </c>
      <c r="F756" t="inlineStr">
        <is>
          <t>GÄVLEBORGS LÄN</t>
        </is>
      </c>
      <c r="G756" t="inlineStr">
        <is>
          <t>OCKELBO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33617-2023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45132</v>
      </c>
      <c r="E757" s="1" t="n">
        <v>46253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46253</v>
      </c>
      <c r="F758" t="inlineStr">
        <is>
          <t>GÄVLEBORGS LÄN</t>
        </is>
      </c>
      <c r="G758" t="inlineStr">
        <is>
          <t>OCKELBO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30031-2026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46253</v>
      </c>
      <c r="F759" t="inlineStr">
        <is>
          <t>GÄVLEBORGS LÄN</t>
        </is>
      </c>
      <c r="G759" t="inlineStr">
        <is>
          <t>OCKELBO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3626-2023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44950</v>
      </c>
      <c r="E760" s="1" t="n">
        <v>46253</v>
      </c>
      <c r="F760" t="inlineStr">
        <is>
          <t>GÄVLEBORGS LÄN</t>
        </is>
      </c>
      <c r="G760" t="inlineStr">
        <is>
          <t>OCKELBO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50197-2024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45600</v>
      </c>
      <c r="E761" s="1" t="n">
        <v>46253</v>
      </c>
      <c r="F761" t="inlineStr">
        <is>
          <t>GÄVLEBORGS LÄN</t>
        </is>
      </c>
      <c r="G761" t="inlineStr">
        <is>
          <t>OCKELBO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52330-2024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45609</v>
      </c>
      <c r="E762" s="1" t="n">
        <v>46253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60148-2023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45258</v>
      </c>
      <c r="E763" s="1" t="n">
        <v>46253</v>
      </c>
      <c r="F763" t="inlineStr">
        <is>
          <t>GÄVLEBORGS LÄN</t>
        </is>
      </c>
      <c r="G763" t="inlineStr">
        <is>
          <t>OCKELBO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61116-2023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45261</v>
      </c>
      <c r="E764" s="1" t="n">
        <v>46253</v>
      </c>
      <c r="F764" t="inlineStr">
        <is>
          <t>GÄVLEBORGS LÄN</t>
        </is>
      </c>
      <c r="G764" t="inlineStr">
        <is>
          <t>OCKELBO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44281-2022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44839</v>
      </c>
      <c r="E765" s="1" t="n">
        <v>46253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15325-2025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45747</v>
      </c>
      <c r="E766" s="1" t="n">
        <v>46253</v>
      </c>
      <c r="F766" t="inlineStr">
        <is>
          <t>GÄVLEBORGS LÄN</t>
        </is>
      </c>
      <c r="G766" t="inlineStr">
        <is>
          <t>OCKELBO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29687-2023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46253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37442-2023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45156</v>
      </c>
      <c r="E768" s="1" t="n">
        <v>46253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3620-2023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44950</v>
      </c>
      <c r="E769" s="1" t="n">
        <v>46253</v>
      </c>
      <c r="F769" t="inlineStr">
        <is>
          <t>GÄVLEBORGS LÄN</t>
        </is>
      </c>
      <c r="G769" t="inlineStr">
        <is>
          <t>OCKELBO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33879-2023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45134</v>
      </c>
      <c r="E770" s="1" t="n">
        <v>46253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33987-2023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45134</v>
      </c>
      <c r="E771" s="1" t="n">
        <v>46253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29963-2024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45488</v>
      </c>
      <c r="E772" s="1" t="n">
        <v>46253</v>
      </c>
      <c r="F772" t="inlineStr">
        <is>
          <t>GÄVLEBORGS LÄN</t>
        </is>
      </c>
      <c r="G772" t="inlineStr">
        <is>
          <t>OCKELBO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52241-2024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45608</v>
      </c>
      <c r="E773" s="1" t="n">
        <v>46253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52243-2024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45608</v>
      </c>
      <c r="E774" s="1" t="n">
        <v>46253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34440-2023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45139</v>
      </c>
      <c r="E775" s="1" t="n">
        <v>46253</v>
      </c>
      <c r="F775" t="inlineStr">
        <is>
          <t>GÄVLEBORGS LÄN</t>
        </is>
      </c>
      <c r="G775" t="inlineStr">
        <is>
          <t>OCKELBO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29968-2024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45488</v>
      </c>
      <c r="E776" s="1" t="n">
        <v>46253</v>
      </c>
      <c r="F776" t="inlineStr">
        <is>
          <t>GÄVLEBORGS LÄN</t>
        </is>
      </c>
      <c r="G776" t="inlineStr">
        <is>
          <t>OCKELBO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51989-2023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45223</v>
      </c>
      <c r="E777" s="1" t="n">
        <v>46253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21900-2023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45068</v>
      </c>
      <c r="E778" s="1" t="n">
        <v>46253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3034-2025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45678</v>
      </c>
      <c r="E779" s="1" t="n">
        <v>46253</v>
      </c>
      <c r="F779" t="inlineStr">
        <is>
          <t>GÄVLEBORGS LÄN</t>
        </is>
      </c>
      <c r="G779" t="inlineStr">
        <is>
          <t>OCKELBO</t>
        </is>
      </c>
      <c r="I779" t="n">
        <v>8.1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56741-2024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45628</v>
      </c>
      <c r="E780" s="1" t="n">
        <v>46253</v>
      </c>
      <c r="F780" t="inlineStr">
        <is>
          <t>GÄVLEBORGS LÄN</t>
        </is>
      </c>
      <c r="G780" t="inlineStr">
        <is>
          <t>OCKELBO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49448-2023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45211</v>
      </c>
      <c r="E781" s="1" t="n">
        <v>46253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19772-2025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45771</v>
      </c>
      <c r="E782" s="1" t="n">
        <v>46253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19774-2025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45771</v>
      </c>
      <c r="E783" s="1" t="n">
        <v>46253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46074-2024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45581</v>
      </c>
      <c r="E784" s="1" t="n">
        <v>46253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21878-2023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45068</v>
      </c>
      <c r="E785" s="1" t="n">
        <v>46253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39430-2024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45551</v>
      </c>
      <c r="E786" s="1" t="n">
        <v>46253</v>
      </c>
      <c r="F786" t="inlineStr">
        <is>
          <t>GÄVLEBORGS LÄN</t>
        </is>
      </c>
      <c r="G786" t="inlineStr">
        <is>
          <t>OCKELBO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55070-2023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45237</v>
      </c>
      <c r="E787" s="1" t="n">
        <v>46253</v>
      </c>
      <c r="F787" t="inlineStr">
        <is>
          <t>GÄVLEBORGS LÄN</t>
        </is>
      </c>
      <c r="G787" t="inlineStr">
        <is>
          <t>OCKELBO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40218-2023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45169</v>
      </c>
      <c r="E788" s="1" t="n">
        <v>46253</v>
      </c>
      <c r="F788" t="inlineStr">
        <is>
          <t>GÄVLEBORGS LÄN</t>
        </is>
      </c>
      <c r="G788" t="inlineStr">
        <is>
          <t>OCKELBO</t>
        </is>
      </c>
      <c r="I788" t="n">
        <v>13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19178-2023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45048</v>
      </c>
      <c r="E789" s="1" t="n">
        <v>46253</v>
      </c>
      <c r="F789" t="inlineStr">
        <is>
          <t>GÄVLEBORGS LÄN</t>
        </is>
      </c>
      <c r="G789" t="inlineStr">
        <is>
          <t>OCKELBO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37386-2023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45156</v>
      </c>
      <c r="E790" s="1" t="n">
        <v>46253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2556-2025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45674</v>
      </c>
      <c r="E791" s="1" t="n">
        <v>46253</v>
      </c>
      <c r="F791" t="inlineStr">
        <is>
          <t>GÄVLEBORGS LÄN</t>
        </is>
      </c>
      <c r="G791" t="inlineStr">
        <is>
          <t>OCKELBO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59063-2023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45252</v>
      </c>
      <c r="E792" s="1" t="n">
        <v>46253</v>
      </c>
      <c r="F792" t="inlineStr">
        <is>
          <t>GÄVLEBORGS LÄN</t>
        </is>
      </c>
      <c r="G792" t="inlineStr">
        <is>
          <t>OCKELBO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10150-2023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44986</v>
      </c>
      <c r="E793" s="1" t="n">
        <v>46253</v>
      </c>
      <c r="F793" t="inlineStr">
        <is>
          <t>GÄVLEBORGS LÄN</t>
        </is>
      </c>
      <c r="G793" t="inlineStr">
        <is>
          <t>OCKELBO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37845-2024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45544</v>
      </c>
      <c r="E794" s="1" t="n">
        <v>46253</v>
      </c>
      <c r="F794" t="inlineStr">
        <is>
          <t>GÄVLEBORGS LÄN</t>
        </is>
      </c>
      <c r="G794" t="inlineStr">
        <is>
          <t>OCKELBO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20775-2025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45776</v>
      </c>
      <c r="E795" s="1" t="n">
        <v>46253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52273-2024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45608</v>
      </c>
      <c r="E796" s="1" t="n">
        <v>46253</v>
      </c>
      <c r="F796" t="inlineStr">
        <is>
          <t>GÄVLEBORGS LÄN</t>
        </is>
      </c>
      <c r="G796" t="inlineStr">
        <is>
          <t>OCKELBO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54323-2024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45617</v>
      </c>
      <c r="E797" s="1" t="n">
        <v>46253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60253-2023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45258</v>
      </c>
      <c r="E798" s="1" t="n">
        <v>46253</v>
      </c>
      <c r="F798" t="inlineStr">
        <is>
          <t>GÄVLEBORGS LÄN</t>
        </is>
      </c>
      <c r="G798" t="inlineStr">
        <is>
          <t>OCKELBO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37848-2024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45544</v>
      </c>
      <c r="E799" s="1" t="n">
        <v>46253</v>
      </c>
      <c r="F799" t="inlineStr">
        <is>
          <t>GÄVLEBORGS LÄN</t>
        </is>
      </c>
      <c r="G799" t="inlineStr">
        <is>
          <t>OCKELBO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22387-2025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45786</v>
      </c>
      <c r="E800" s="1" t="n">
        <v>46253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23780-2024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45455</v>
      </c>
      <c r="E801" s="1" t="n">
        <v>46253</v>
      </c>
      <c r="F801" t="inlineStr">
        <is>
          <t>GÄVLEBORGS LÄN</t>
        </is>
      </c>
      <c r="G801" t="inlineStr">
        <is>
          <t>OCKELBO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22385-2025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45786</v>
      </c>
      <c r="E802" s="1" t="n">
        <v>46253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28584-2024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45478</v>
      </c>
      <c r="E803" s="1" t="n">
        <v>46253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28181-2022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44746</v>
      </c>
      <c r="E804" s="1" t="n">
        <v>46253</v>
      </c>
      <c r="F804" t="inlineStr">
        <is>
          <t>GÄVLEBORGS LÄN</t>
        </is>
      </c>
      <c r="G804" t="inlineStr">
        <is>
          <t>OCKELBO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23004-2025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45790</v>
      </c>
      <c r="E805" s="1" t="n">
        <v>46253</v>
      </c>
      <c r="F805" t="inlineStr">
        <is>
          <t>GÄVLEBORGS LÄN</t>
        </is>
      </c>
      <c r="G805" t="inlineStr">
        <is>
          <t>OCKELBO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48803-2024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45593</v>
      </c>
      <c r="E806" s="1" t="n">
        <v>46253</v>
      </c>
      <c r="F806" t="inlineStr">
        <is>
          <t>GÄVLEBORGS LÄN</t>
        </is>
      </c>
      <c r="G806" t="inlineStr">
        <is>
          <t>OCKELBO</t>
        </is>
      </c>
      <c r="I806" t="n">
        <v>9.4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20689-2025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45776</v>
      </c>
      <c r="E807" s="1" t="n">
        <v>46253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16.2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64924-2023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45282</v>
      </c>
      <c r="E808" s="1" t="n">
        <v>46253</v>
      </c>
      <c r="F808" t="inlineStr">
        <is>
          <t>GÄVLEBORGS LÄN</t>
        </is>
      </c>
      <c r="G808" t="inlineStr">
        <is>
          <t>OCKELBO</t>
        </is>
      </c>
      <c r="I808" t="n">
        <v>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20207-2024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45434</v>
      </c>
      <c r="E809" s="1" t="n">
        <v>46253</v>
      </c>
      <c r="F809" t="inlineStr">
        <is>
          <t>GÄVLEBORGS LÄN</t>
        </is>
      </c>
      <c r="G809" t="inlineStr">
        <is>
          <t>OCKELBO</t>
        </is>
      </c>
      <c r="I809" t="n">
        <v>7.6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55011-2024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45621</v>
      </c>
      <c r="E810" s="1" t="n">
        <v>46253</v>
      </c>
      <c r="F810" t="inlineStr">
        <is>
          <t>GÄVLEBORGS LÄN</t>
        </is>
      </c>
      <c r="G810" t="inlineStr">
        <is>
          <t>OCKELBO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15403-2022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44659</v>
      </c>
      <c r="E811" s="1" t="n">
        <v>46253</v>
      </c>
      <c r="F811" t="inlineStr">
        <is>
          <t>GÄVLEBORGS LÄN</t>
        </is>
      </c>
      <c r="G811" t="inlineStr">
        <is>
          <t>OCKELBO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26085-2024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45468</v>
      </c>
      <c r="E812" s="1" t="n">
        <v>46253</v>
      </c>
      <c r="F812" t="inlineStr">
        <is>
          <t>GÄVLEBORGS LÄN</t>
        </is>
      </c>
      <c r="G812" t="inlineStr">
        <is>
          <t>OCKELBO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16752-2025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45754</v>
      </c>
      <c r="E813" s="1" t="n">
        <v>46253</v>
      </c>
      <c r="F813" t="inlineStr">
        <is>
          <t>GÄVLEBORGS LÄN</t>
        </is>
      </c>
      <c r="G813" t="inlineStr">
        <is>
          <t>OCKELBO</t>
        </is>
      </c>
      <c r="I813" t="n">
        <v>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15502-2025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45747</v>
      </c>
      <c r="E814" s="1" t="n">
        <v>46253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49470-2024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45596</v>
      </c>
      <c r="E815" s="1" t="n">
        <v>46253</v>
      </c>
      <c r="F815" t="inlineStr">
        <is>
          <t>GÄVLEBORGS LÄN</t>
        </is>
      </c>
      <c r="G815" t="inlineStr">
        <is>
          <t>OCKELBO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25246-2025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46253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25250-2025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45800</v>
      </c>
      <c r="E817" s="1" t="n">
        <v>46253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25248-2025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45800</v>
      </c>
      <c r="E818" s="1" t="n">
        <v>46253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25191-2025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46253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25233-2025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46253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25234-2025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46253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25640-2025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45803</v>
      </c>
      <c r="E822" s="1" t="n">
        <v>46253</v>
      </c>
      <c r="F822" t="inlineStr">
        <is>
          <t>GÄVLEBORGS LÄN</t>
        </is>
      </c>
      <c r="G822" t="inlineStr">
        <is>
          <t>OCKELBO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46253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46253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46253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46253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46253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46253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46253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46253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46253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2026-08-19T01:47:22Z</dcterms:created>
  <dcterms:modified xmlns:dcterms="http://purl.org/dc/terms/" xmlns:xsi="http://www.w3.org/2001/XMLSchema-instance" xsi:type="dcterms:W3CDTF">2026-08-19T01:47:23Z</dcterms:modified>
</cp:coreProperties>
</file>