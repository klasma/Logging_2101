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46291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46291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46291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46291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46291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46291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46291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46291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46291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46291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46291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46291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46291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46291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46291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46291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46291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46291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46291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46291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46291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46291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46291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46291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46291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46291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46291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46291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46291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46291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46291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46291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46291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46291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46291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2923-2026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46038</v>
      </c>
      <c r="E37" s="1" t="n">
        <v>46291</v>
      </c>
      <c r="F37" t="inlineStr">
        <is>
          <t>GÄVLEBORGS LÄN</t>
        </is>
      </c>
      <c r="G37" t="inlineStr">
        <is>
          <t>OCKELBO</t>
        </is>
      </c>
      <c r="I37" t="n">
        <v>2.8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HYPERLINK("https://klasma.github.io/Logging_2101/artfynd/A 2923-2026 artfynd.xlsx", "A 2923-2026")</f>
        <v/>
      </c>
      <c r="X37">
        <f>HYPERLINK("https://klasma.github.io/Logging_2101/kartor/A 2923-2026 karta.png", "A 2923-2026")</f>
        <v/>
      </c>
      <c r="Y37">
        <f>HYPERLINK("https://klasma.github.io/Logging_2101/kartor_geotiff/A 2923-2026 georefererad karta.tif", "A 2923-2026")</f>
        <v/>
      </c>
      <c r="Z37">
        <f>HYPERLINK("https://klasma.github.io/Logging_2101/knärot/A 2923-2026 karta knärot.png", "A 2923-2026")</f>
        <v/>
      </c>
      <c r="AA37">
        <f>HYPERLINK("https://klasma.github.io/Logging_2101/klagomål/A 2923-2026 FSC-klagomål.docx", "A 2923-2026")</f>
        <v/>
      </c>
      <c r="AB37">
        <f>HYPERLINK("https://klasma.github.io/Logging_2101/klagomålsmail/A 2923-2026 FSC-klagomål mail.docx", "A 2923-2026")</f>
        <v/>
      </c>
      <c r="AC37">
        <f>HYPERLINK("https://klasma.github.io/Logging_2101/tillsyn/A 2923-2026 tillsynsbegäran.docx", "A 2923-2026")</f>
        <v/>
      </c>
      <c r="AD37">
        <f>HYPERLINK("https://klasma.github.io/Logging_2101/tillsynsmail/A 2923-2026 tillsynsbegäran mail.docx", "A 2923-2026")</f>
        <v/>
      </c>
    </row>
    <row r="38" ht="15" customHeight="1">
      <c r="A38" t="inlineStr">
        <is>
          <t>A 64364-2023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45280</v>
      </c>
      <c r="E38" s="1" t="n">
        <v>46291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64364-2023 artfynd.xlsx", "A 64364-2023")</f>
        <v/>
      </c>
      <c r="X38">
        <f>HYPERLINK("https://klasma.github.io/Logging_2101/kartor/A 64364-2023 karta.png", "A 64364-2023")</f>
        <v/>
      </c>
      <c r="Y38">
        <f>HYPERLINK("https://klasma.github.io/Logging_2101/kartor_geotiff/A 64364-2023 georefererad karta.tif", "A 64364-2023")</f>
        <v/>
      </c>
      <c r="AA38">
        <f>HYPERLINK("https://klasma.github.io/Logging_2101/klagomål/A 64364-2023 FSC-klagomål.docx", "A 64364-2023")</f>
        <v/>
      </c>
      <c r="AB38">
        <f>HYPERLINK("https://klasma.github.io/Logging_2101/klagomålsmail/A 64364-2023 FSC-klagomål mail.docx", "A 64364-2023")</f>
        <v/>
      </c>
      <c r="AC38">
        <f>HYPERLINK("https://klasma.github.io/Logging_2101/tillsyn/A 64364-2023 tillsynsbegäran.docx", "A 64364-2023")</f>
        <v/>
      </c>
      <c r="AD38">
        <f>HYPERLINK("https://klasma.github.io/Logging_2101/tillsynsmail/A 64364-2023 tillsynsbegäran mail.docx", "A 64364-2023")</f>
        <v/>
      </c>
    </row>
    <row r="39" ht="15" customHeight="1">
      <c r="A39" t="inlineStr">
        <is>
          <t>A 6121-2026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46053</v>
      </c>
      <c r="E39" s="1" t="n">
        <v>46291</v>
      </c>
      <c r="F39" t="inlineStr">
        <is>
          <t>GÄVLEBORGS LÄN</t>
        </is>
      </c>
      <c r="G39" t="inlineStr">
        <is>
          <t>OCKELBO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HYPERLINK("https://klasma.github.io/Logging_2101/artfynd/A 6121-2026 artfynd.xlsx", "A 6121-2026")</f>
        <v/>
      </c>
      <c r="X39">
        <f>HYPERLINK("https://klasma.github.io/Logging_2101/kartor/A 6121-2026 karta.png", "A 6121-2026")</f>
        <v/>
      </c>
      <c r="Y39">
        <f>HYPERLINK("https://klasma.github.io/Logging_2101/kartor_geotiff/A 6121-2026 georefererad karta.tif", "A 6121-2026")</f>
        <v/>
      </c>
      <c r="AA39">
        <f>HYPERLINK("https://klasma.github.io/Logging_2101/klagomål/A 6121-2026 FSC-klagomål.docx", "A 6121-2026")</f>
        <v/>
      </c>
      <c r="AB39">
        <f>HYPERLINK("https://klasma.github.io/Logging_2101/klagomålsmail/A 6121-2026 FSC-klagomål mail.docx", "A 6121-2026")</f>
        <v/>
      </c>
      <c r="AC39">
        <f>HYPERLINK("https://klasma.github.io/Logging_2101/tillsyn/A 6121-2026 tillsynsbegäran.docx", "A 6121-2026")</f>
        <v/>
      </c>
      <c r="AD39">
        <f>HYPERLINK("https://klasma.github.io/Logging_2101/tillsynsmail/A 6121-2026 tillsynsbegäran mail.docx", "A 6121-2026")</f>
        <v/>
      </c>
      <c r="AE39">
        <f>HYPERLINK("https://klasma.github.io/Logging_2101/fåglar/A 6121-2026 prioriterade fågelarter.docx", "A 6121-2026")</f>
        <v/>
      </c>
    </row>
    <row r="40" ht="15" customHeight="1">
      <c r="A40" t="inlineStr">
        <is>
          <t>A 6586-2026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46291</v>
      </c>
      <c r="F40" t="inlineStr">
        <is>
          <t>GÄVLEBORGS LÄN</t>
        </is>
      </c>
      <c r="G40" t="inlineStr">
        <is>
          <t>OCKELBO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HYPERLINK("https://klasma.github.io/Logging_2101/artfynd/A 6586-2026 artfynd.xlsx", "A 6586-2026")</f>
        <v/>
      </c>
      <c r="X40">
        <f>HYPERLINK("https://klasma.github.io/Logging_2101/kartor/A 6586-2026 karta.png", "A 6586-2026")</f>
        <v/>
      </c>
      <c r="Y40">
        <f>HYPERLINK("https://klasma.github.io/Logging_2101/kartor_geotiff/A 6586-2026 georefererad karta.tif", "A 6586-2026")</f>
        <v/>
      </c>
      <c r="AA40">
        <f>HYPERLINK("https://klasma.github.io/Logging_2101/klagomål/A 6586-2026 FSC-klagomål.docx", "A 6586-2026")</f>
        <v/>
      </c>
      <c r="AB40">
        <f>HYPERLINK("https://klasma.github.io/Logging_2101/klagomålsmail/A 6586-2026 FSC-klagomål mail.docx", "A 6586-2026")</f>
        <v/>
      </c>
      <c r="AC40">
        <f>HYPERLINK("https://klasma.github.io/Logging_2101/tillsyn/A 6586-2026 tillsynsbegäran.docx", "A 6586-2026")</f>
        <v/>
      </c>
      <c r="AD40">
        <f>HYPERLINK("https://klasma.github.io/Logging_2101/tillsynsmail/A 6586-2026 tillsynsbegäran mail.docx", "A 6586-2026")</f>
        <v/>
      </c>
    </row>
    <row r="41" ht="15" customHeight="1">
      <c r="A41" t="inlineStr">
        <is>
          <t>A 10484-2026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46077</v>
      </c>
      <c r="E41" s="1" t="n">
        <v>46291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Ullticka</t>
        </is>
      </c>
      <c r="W41">
        <f>HYPERLINK("https://klasma.github.io/Logging_2101/artfynd/A 10484-2026 artfynd.xlsx", "A 10484-2026")</f>
        <v/>
      </c>
      <c r="X41">
        <f>HYPERLINK("https://klasma.github.io/Logging_2101/kartor/A 10484-2026 karta.png", "A 10484-2026")</f>
        <v/>
      </c>
      <c r="Y41">
        <f>HYPERLINK("https://klasma.github.io/Logging_2101/kartor_geotiff/A 10484-2026 georefererad karta.tif", "A 10484-2026")</f>
        <v/>
      </c>
      <c r="AA41">
        <f>HYPERLINK("https://klasma.github.io/Logging_2101/klagomål/A 10484-2026 FSC-klagomål.docx", "A 10484-2026")</f>
        <v/>
      </c>
      <c r="AB41">
        <f>HYPERLINK("https://klasma.github.io/Logging_2101/klagomålsmail/A 10484-2026 FSC-klagomål mail.docx", "A 10484-2026")</f>
        <v/>
      </c>
      <c r="AC41">
        <f>HYPERLINK("https://klasma.github.io/Logging_2101/tillsyn/A 10484-2026 tillsynsbegäran.docx", "A 10484-2026")</f>
        <v/>
      </c>
      <c r="AD41">
        <f>HYPERLINK("https://klasma.github.io/Logging_2101/tillsynsmail/A 10484-2026 tillsynsbegäran mail.docx", "A 10484-2026")</f>
        <v/>
      </c>
    </row>
    <row r="42" ht="15" customHeight="1">
      <c r="A42" t="inlineStr">
        <is>
          <t>A 57946-2023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46291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HYPERLINK("https://klasma.github.io/Logging_2101/artfynd/A 57946-2023 artfynd.xlsx", "A 57946-2023")</f>
        <v/>
      </c>
      <c r="X42">
        <f>HYPERLINK("https://klasma.github.io/Logging_2101/kartor/A 57946-2023 karta.png", "A 57946-2023")</f>
        <v/>
      </c>
      <c r="Y42">
        <f>HYPERLINK("https://klasma.github.io/Logging_2101/kartor_geotiff/A 57946-2023 georefererad karta.tif", "A 57946-2023")</f>
        <v/>
      </c>
      <c r="AA42">
        <f>HYPERLINK("https://klasma.github.io/Logging_2101/klagomål/A 57946-2023 FSC-klagomål.docx", "A 57946-2023")</f>
        <v/>
      </c>
      <c r="AB42">
        <f>HYPERLINK("https://klasma.github.io/Logging_2101/klagomålsmail/A 57946-2023 FSC-klagomål mail.docx", "A 57946-2023")</f>
        <v/>
      </c>
      <c r="AC42">
        <f>HYPERLINK("https://klasma.github.io/Logging_2101/tillsyn/A 57946-2023 tillsynsbegäran.docx", "A 57946-2023")</f>
        <v/>
      </c>
      <c r="AD42">
        <f>HYPERLINK("https://klasma.github.io/Logging_2101/tillsynsmail/A 57946-2023 tillsynsbegäran mail.docx", "A 57946-2023")</f>
        <v/>
      </c>
    </row>
    <row r="43" ht="15" customHeight="1">
      <c r="A43" t="inlineStr">
        <is>
          <t>A 46481-2024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46291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HYPERLINK("https://klasma.github.io/Logging_2101/artfynd/A 46481-2024 artfynd.xlsx", "A 46481-2024")</f>
        <v/>
      </c>
      <c r="X43">
        <f>HYPERLINK("https://klasma.github.io/Logging_2101/kartor/A 46481-2024 karta.png", "A 46481-2024")</f>
        <v/>
      </c>
      <c r="Y43">
        <f>HYPERLINK("https://klasma.github.io/Logging_2101/kartor_geotiff/A 46481-2024 georefererad karta.tif", "A 46481-2024")</f>
        <v/>
      </c>
      <c r="AA43">
        <f>HYPERLINK("https://klasma.github.io/Logging_2101/klagomål/A 46481-2024 FSC-klagomål.docx", "A 46481-2024")</f>
        <v/>
      </c>
      <c r="AB43">
        <f>HYPERLINK("https://klasma.github.io/Logging_2101/klagomålsmail/A 46481-2024 FSC-klagomål mail.docx", "A 46481-2024")</f>
        <v/>
      </c>
      <c r="AC43">
        <f>HYPERLINK("https://klasma.github.io/Logging_2101/tillsyn/A 46481-2024 tillsynsbegäran.docx", "A 46481-2024")</f>
        <v/>
      </c>
      <c r="AD43">
        <f>HYPERLINK("https://klasma.github.io/Logging_2101/tillsynsmail/A 46481-2024 tillsynsbegäran mail.docx", "A 46481-2024")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46291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13640-2026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46097</v>
      </c>
      <c r="E45" s="1" t="n">
        <v>46291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HYPERLINK("https://klasma.github.io/Logging_2101/artfynd/A 13640-2026 artfynd.xlsx", "A 13640-2026")</f>
        <v/>
      </c>
      <c r="X45">
        <f>HYPERLINK("https://klasma.github.io/Logging_2101/kartor/A 13640-2026 karta.png", "A 13640-2026")</f>
        <v/>
      </c>
      <c r="Y45">
        <f>HYPERLINK("https://klasma.github.io/Logging_2101/kartor_geotiff/A 13640-2026 georefererad karta.tif", "A 13640-2026")</f>
        <v/>
      </c>
      <c r="AA45">
        <f>HYPERLINK("https://klasma.github.io/Logging_2101/klagomål/A 13640-2026 FSC-klagomål.docx", "A 13640-2026")</f>
        <v/>
      </c>
      <c r="AB45">
        <f>HYPERLINK("https://klasma.github.io/Logging_2101/klagomålsmail/A 13640-2026 FSC-klagomål mail.docx", "A 13640-2026")</f>
        <v/>
      </c>
      <c r="AC45">
        <f>HYPERLINK("https://klasma.github.io/Logging_2101/tillsyn/A 13640-2026 tillsynsbegäran.docx", "A 13640-2026")</f>
        <v/>
      </c>
      <c r="AD45">
        <f>HYPERLINK("https://klasma.github.io/Logging_2101/tillsynsmail/A 13640-2026 tillsynsbegäran mail.docx", "A 13640-2026")</f>
        <v/>
      </c>
    </row>
    <row r="46" ht="15" customHeight="1">
      <c r="A46" t="inlineStr">
        <is>
          <t>A 14479-2026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46291</v>
      </c>
      <c r="F46" t="inlineStr">
        <is>
          <t>GÄVLEBORGS LÄN</t>
        </is>
      </c>
      <c r="G46" t="inlineStr">
        <is>
          <t>OCKELBO</t>
        </is>
      </c>
      <c r="I46" t="n">
        <v>4.8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14479-2026 artfynd.xlsx", "A 14479-2026")</f>
        <v/>
      </c>
      <c r="X46">
        <f>HYPERLINK("https://klasma.github.io/Logging_2101/kartor/A 14479-2026 karta.png", "A 14479-2026")</f>
        <v/>
      </c>
      <c r="Y46">
        <f>HYPERLINK("https://klasma.github.io/Logging_2101/kartor_geotiff/A 14479-2026 georefererad karta.tif", "A 14479-2026")</f>
        <v/>
      </c>
      <c r="AA46">
        <f>HYPERLINK("https://klasma.github.io/Logging_2101/klagomål/A 14479-2026 FSC-klagomål.docx", "A 14479-2026")</f>
        <v/>
      </c>
      <c r="AB46">
        <f>HYPERLINK("https://klasma.github.io/Logging_2101/klagomålsmail/A 14479-2026 FSC-klagomål mail.docx", "A 14479-2026")</f>
        <v/>
      </c>
      <c r="AC46">
        <f>HYPERLINK("https://klasma.github.io/Logging_2101/tillsyn/A 14479-2026 tillsynsbegäran.docx", "A 14479-2026")</f>
        <v/>
      </c>
      <c r="AD46">
        <f>HYPERLINK("https://klasma.github.io/Logging_2101/tillsynsmail/A 14479-2026 tillsynsbegäran mail.docx", "A 14479-2026")</f>
        <v/>
      </c>
    </row>
    <row r="47" ht="15" customHeight="1">
      <c r="A47" t="inlineStr">
        <is>
          <t>A 14664-2026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46101</v>
      </c>
      <c r="E47" s="1" t="n">
        <v>46291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Tjäder</t>
        </is>
      </c>
      <c r="W47">
        <f>HYPERLINK("https://klasma.github.io/Logging_2101/artfynd/A 14664-2026 artfynd.xlsx", "A 14664-2026")</f>
        <v/>
      </c>
      <c r="X47">
        <f>HYPERLINK("https://klasma.github.io/Logging_2101/kartor/A 14664-2026 karta.png", "A 14664-2026")</f>
        <v/>
      </c>
      <c r="Y47">
        <f>HYPERLINK("https://klasma.github.io/Logging_2101/kartor_geotiff/A 14664-2026 georefererad karta.tif", "A 14664-2026")</f>
        <v/>
      </c>
      <c r="AA47">
        <f>HYPERLINK("https://klasma.github.io/Logging_2101/klagomål/A 14664-2026 FSC-klagomål.docx", "A 14664-2026")</f>
        <v/>
      </c>
      <c r="AB47">
        <f>HYPERLINK("https://klasma.github.io/Logging_2101/klagomålsmail/A 14664-2026 FSC-klagomål mail.docx", "A 14664-2026")</f>
        <v/>
      </c>
      <c r="AC47">
        <f>HYPERLINK("https://klasma.github.io/Logging_2101/tillsyn/A 14664-2026 tillsynsbegäran.docx", "A 14664-2026")</f>
        <v/>
      </c>
      <c r="AD47">
        <f>HYPERLINK("https://klasma.github.io/Logging_2101/tillsynsmail/A 14664-2026 tillsynsbegäran mail.docx", "A 14664-2026")</f>
        <v/>
      </c>
      <c r="AE47">
        <f>HYPERLINK("https://klasma.github.io/Logging_2101/fåglar/A 14664-2026 prioriterade fågelarter.docx", "A 14664-2026")</f>
        <v/>
      </c>
    </row>
    <row r="48" ht="15" customHeight="1">
      <c r="A48" t="inlineStr">
        <is>
          <t>A 18188-2026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46125</v>
      </c>
      <c r="E48" s="1" t="n">
        <v>46291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32.9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HYPERLINK("https://klasma.github.io/Logging_2101/artfynd/A 18188-2026 artfynd.xlsx", "A 18188-2026")</f>
        <v/>
      </c>
      <c r="X48">
        <f>HYPERLINK("https://klasma.github.io/Logging_2101/kartor/A 18188-2026 karta.png", "A 18188-2026")</f>
        <v/>
      </c>
      <c r="Y48">
        <f>HYPERLINK("https://klasma.github.io/Logging_2101/kartor_geotiff/A 18188-2026 georefererad karta.tif", "A 18188-2026")</f>
        <v/>
      </c>
      <c r="AA48">
        <f>HYPERLINK("https://klasma.github.io/Logging_2101/klagomål/A 18188-2026 FSC-klagomål.docx", "A 18188-2026")</f>
        <v/>
      </c>
      <c r="AB48">
        <f>HYPERLINK("https://klasma.github.io/Logging_2101/klagomålsmail/A 18188-2026 FSC-klagomål mail.docx", "A 18188-2026")</f>
        <v/>
      </c>
      <c r="AC48">
        <f>HYPERLINK("https://klasma.github.io/Logging_2101/tillsyn/A 18188-2026 tillsynsbegäran.docx", "A 18188-2026")</f>
        <v/>
      </c>
      <c r="AD48">
        <f>HYPERLINK("https://klasma.github.io/Logging_2101/tillsynsmail/A 18188-2026 tillsynsbegäran mail.docx", "A 18188-2026")</f>
        <v/>
      </c>
      <c r="AE48">
        <f>HYPERLINK("https://klasma.github.io/Logging_2101/fåglar/A 18188-2026 prioriterade fågelarter.docx", "A 18188-2026")</f>
        <v/>
      </c>
    </row>
    <row r="49" ht="15" customHeight="1">
      <c r="A49" t="inlineStr">
        <is>
          <t>A 12777-2026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46091</v>
      </c>
      <c r="E49" s="1" t="n">
        <v>46291</v>
      </c>
      <c r="F49" t="inlineStr">
        <is>
          <t>GÄVLEBORGS LÄN</t>
        </is>
      </c>
      <c r="G49" t="inlineStr">
        <is>
          <t>OCKELBO</t>
        </is>
      </c>
      <c r="I49" t="n">
        <v>4.2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HYPERLINK("https://klasma.github.io/Logging_2101/artfynd/A 12777-2026 artfynd.xlsx", "A 12777-2026")</f>
        <v/>
      </c>
      <c r="X49">
        <f>HYPERLINK("https://klasma.github.io/Logging_2101/kartor/A 12777-2026 karta.png", "A 12777-2026")</f>
        <v/>
      </c>
      <c r="Y49">
        <f>HYPERLINK("https://klasma.github.io/Logging_2101/kartor_geotiff/A 12777-2026 georefererad karta.tif", "A 12777-2026")</f>
        <v/>
      </c>
      <c r="AA49">
        <f>HYPERLINK("https://klasma.github.io/Logging_2101/klagomål/A 12777-2026 FSC-klagomål.docx", "A 12777-2026")</f>
        <v/>
      </c>
      <c r="AB49">
        <f>HYPERLINK("https://klasma.github.io/Logging_2101/klagomålsmail/A 12777-2026 FSC-klagomål mail.docx", "A 12777-2026")</f>
        <v/>
      </c>
      <c r="AC49">
        <f>HYPERLINK("https://klasma.github.io/Logging_2101/tillsyn/A 12777-2026 tillsynsbegäran.docx", "A 12777-2026")</f>
        <v/>
      </c>
      <c r="AD49">
        <f>HYPERLINK("https://klasma.github.io/Logging_2101/tillsynsmail/A 12777-2026 tillsynsbegäran mail.docx", "A 12777-2026")</f>
        <v/>
      </c>
      <c r="AE49">
        <f>HYPERLINK("https://klasma.github.io/Logging_2101/fåglar/A 12777-2026 prioriterade fågelarter.docx", "A 12777-2026")</f>
        <v/>
      </c>
    </row>
    <row r="50" ht="15" customHeight="1">
      <c r="A50" t="inlineStr">
        <is>
          <t>A 10145-2026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46291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öst AB</t>
        </is>
      </c>
      <c r="I50" t="n">
        <v>10.5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Fläcknycklar</t>
        </is>
      </c>
      <c r="W50">
        <f>HYPERLINK("https://klasma.github.io/Logging_2101/artfynd/A 10145-2026 artfynd.xlsx", "A 10145-2026")</f>
        <v/>
      </c>
      <c r="X50">
        <f>HYPERLINK("https://klasma.github.io/Logging_2101/kartor/A 10145-2026 karta.png", "A 10145-2026")</f>
        <v/>
      </c>
      <c r="Y50">
        <f>HYPERLINK("https://klasma.github.io/Logging_2101/kartor_geotiff/A 10145-2026 georefererad karta.tif", "A 10145-2026")</f>
        <v/>
      </c>
      <c r="Z50">
        <f>HYPERLINK("https://klasma.github.io/Logging_2101/knärot/A 10145-2026 karta knärot.png", "A 10145-2026")</f>
        <v/>
      </c>
      <c r="AA50">
        <f>HYPERLINK("https://klasma.github.io/Logging_2101/klagomål/A 10145-2026 FSC-klagomål.docx", "A 10145-2026")</f>
        <v/>
      </c>
      <c r="AB50">
        <f>HYPERLINK("https://klasma.github.io/Logging_2101/klagomålsmail/A 10145-2026 FSC-klagomål mail.docx", "A 10145-2026")</f>
        <v/>
      </c>
      <c r="AC50">
        <f>HYPERLINK("https://klasma.github.io/Logging_2101/tillsyn/A 10145-2026 tillsynsbegäran.docx", "A 10145-2026")</f>
        <v/>
      </c>
      <c r="AD50">
        <f>HYPERLINK("https://klasma.github.io/Logging_2101/tillsynsmail/A 10145-2026 tillsynsbegäran mail.docx", "A 10145-2026")</f>
        <v/>
      </c>
    </row>
    <row r="51" ht="15" customHeight="1">
      <c r="A51" t="inlineStr">
        <is>
          <t>A 55778-2025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45972</v>
      </c>
      <c r="E51" s="1" t="n">
        <v>46291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HYPERLINK("https://klasma.github.io/Logging_2101/artfynd/A 55778-2025 artfynd.xlsx", "A 55778-2025")</f>
        <v/>
      </c>
      <c r="X51">
        <f>HYPERLINK("https://klasma.github.io/Logging_2101/kartor/A 55778-2025 karta.png", "A 55778-2025")</f>
        <v/>
      </c>
      <c r="Y51">
        <f>HYPERLINK("https://klasma.github.io/Logging_2101/kartor_geotiff/A 55778-2025 georefererad karta.tif", "A 55778-2025")</f>
        <v/>
      </c>
      <c r="AA51">
        <f>HYPERLINK("https://klasma.github.io/Logging_2101/klagomål/A 55778-2025 FSC-klagomål.docx", "A 55778-2025")</f>
        <v/>
      </c>
      <c r="AB51">
        <f>HYPERLINK("https://klasma.github.io/Logging_2101/klagomålsmail/A 55778-2025 FSC-klagomål mail.docx", "A 55778-2025")</f>
        <v/>
      </c>
      <c r="AC51">
        <f>HYPERLINK("https://klasma.github.io/Logging_2101/tillsyn/A 55778-2025 tillsynsbegäran.docx", "A 55778-2025")</f>
        <v/>
      </c>
      <c r="AD51">
        <f>HYPERLINK("https://klasma.github.io/Logging_2101/tillsynsmail/A 55778-2025 tillsynsbegäran mail.docx", "A 55778-2025")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46291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46291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46291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46291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62989-2025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46291</v>
      </c>
      <c r="F56" t="inlineStr">
        <is>
          <t>GÄVLEBORGS LÄN</t>
        </is>
      </c>
      <c r="G56" t="inlineStr">
        <is>
          <t>OCKELBO</t>
        </is>
      </c>
      <c r="I56" t="n">
        <v>1.7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Kortskaftad ärgspik</t>
        </is>
      </c>
      <c r="W56">
        <f>HYPERLINK("https://klasma.github.io/Logging_2101/artfynd/A 62989-2025 artfynd.xlsx", "A 62989-2025")</f>
        <v/>
      </c>
      <c r="X56">
        <f>HYPERLINK("https://klasma.github.io/Logging_2101/kartor/A 62989-2025 karta.png", "A 62989-2025")</f>
        <v/>
      </c>
      <c r="Y56">
        <f>HYPERLINK("https://klasma.github.io/Logging_2101/kartor_geotiff/A 62989-2025 georefererad karta.tif", "A 62989-2025")</f>
        <v/>
      </c>
      <c r="AA56">
        <f>HYPERLINK("https://klasma.github.io/Logging_2101/klagomål/A 62989-2025 FSC-klagomål.docx", "A 62989-2025")</f>
        <v/>
      </c>
      <c r="AB56">
        <f>HYPERLINK("https://klasma.github.io/Logging_2101/klagomålsmail/A 62989-2025 FSC-klagomål mail.docx", "A 62989-2025")</f>
        <v/>
      </c>
      <c r="AC56">
        <f>HYPERLINK("https://klasma.github.io/Logging_2101/tillsyn/A 62989-2025 tillsynsbegäran.docx", "A 62989-2025")</f>
        <v/>
      </c>
      <c r="AD56">
        <f>HYPERLINK("https://klasma.github.io/Logging_2101/tillsynsmail/A 62989-2025 tillsynsbegäran mail.docx", "A 62989-2025")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46291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46291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46291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15841-2023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45022</v>
      </c>
      <c r="E60" s="1" t="n">
        <v>46291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HYPERLINK("https://klasma.github.io/Logging_2101/artfynd/A 15841-2023 artfynd.xlsx", "A 15841-2023")</f>
        <v/>
      </c>
      <c r="X60">
        <f>HYPERLINK("https://klasma.github.io/Logging_2101/kartor/A 15841-2023 karta.png", "A 15841-2023")</f>
        <v/>
      </c>
      <c r="Y60">
        <f>HYPERLINK("https://klasma.github.io/Logging_2101/kartor_geotiff/A 15841-2023 georefererad karta.tif", "A 15841-2023")</f>
        <v/>
      </c>
      <c r="AA60">
        <f>HYPERLINK("https://klasma.github.io/Logging_2101/klagomål/A 15841-2023 FSC-klagomål.docx", "A 15841-2023")</f>
        <v/>
      </c>
      <c r="AB60">
        <f>HYPERLINK("https://klasma.github.io/Logging_2101/klagomålsmail/A 15841-2023 FSC-klagomål mail.docx", "A 15841-2023")</f>
        <v/>
      </c>
      <c r="AC60">
        <f>HYPERLINK("https://klasma.github.io/Logging_2101/tillsyn/A 15841-2023 tillsynsbegäran.docx", "A 15841-2023")</f>
        <v/>
      </c>
      <c r="AD60">
        <f>HYPERLINK("https://klasma.github.io/Logging_2101/tillsynsmail/A 15841-2023 tillsynsbegäran mail.docx", "A 15841-2023")</f>
        <v/>
      </c>
      <c r="AE60">
        <f>HYPERLINK("https://klasma.github.io/Logging_2101/fåglar/A 15841-2023 prioriterade fågelarter.docx", "A 15841-2023")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46291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46291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46291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46291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46291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46291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46291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46291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46291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46291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46291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46291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46291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46291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46291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46291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46291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46291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46291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46291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46291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46291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46291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46291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46291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46291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46291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46291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46291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46291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46291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46291</v>
      </c>
      <c r="F92" t="inlineStr">
        <is>
          <t>GÄVLEBORGS LÄN</t>
        </is>
      </c>
      <c r="G92" t="inlineStr">
        <is>
          <t>OCKELBO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46291</v>
      </c>
      <c r="F93" t="inlineStr">
        <is>
          <t>GÄVLEBORGS LÄN</t>
        </is>
      </c>
      <c r="G93" t="inlineStr">
        <is>
          <t>OCKELBO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45527</v>
      </c>
      <c r="E94" s="1" t="n">
        <v>46291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46291</v>
      </c>
      <c r="F95" t="inlineStr">
        <is>
          <t>GÄVLEBORGS LÄN</t>
        </is>
      </c>
      <c r="G95" t="inlineStr">
        <is>
          <t>OCKELBO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46291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46291</v>
      </c>
      <c r="F97" t="inlineStr">
        <is>
          <t>GÄVLEBORGS LÄN</t>
        </is>
      </c>
      <c r="G97" t="inlineStr">
        <is>
          <t>OCKELBO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46291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46291</v>
      </c>
      <c r="F99" t="inlineStr">
        <is>
          <t>GÄVLEBORGS LÄN</t>
        </is>
      </c>
      <c r="G99" t="inlineStr">
        <is>
          <t>OCKELBO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20231-2024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45434</v>
      </c>
      <c r="E100" s="1" t="n">
        <v>46291</v>
      </c>
      <c r="F100" t="inlineStr">
        <is>
          <t>GÄVLEBORGS LÄN</t>
        </is>
      </c>
      <c r="G100" t="inlineStr">
        <is>
          <t>OCKELBO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55422-2022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44887</v>
      </c>
      <c r="E101" s="1" t="n">
        <v>46291</v>
      </c>
      <c r="F101" t="inlineStr">
        <is>
          <t>GÄVLEBORGS LÄN</t>
        </is>
      </c>
      <c r="G101" t="inlineStr">
        <is>
          <t>OCKELBO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45450</v>
      </c>
      <c r="E102" s="1" t="n">
        <v>46291</v>
      </c>
      <c r="F102" t="inlineStr">
        <is>
          <t>GÄVLEBORGS LÄN</t>
        </is>
      </c>
      <c r="G102" t="inlineStr">
        <is>
          <t>OCKELBO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46291</v>
      </c>
      <c r="F103" t="inlineStr">
        <is>
          <t>GÄVLEBORGS LÄN</t>
        </is>
      </c>
      <c r="G103" t="inlineStr">
        <is>
          <t>OCKELBO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46291</v>
      </c>
      <c r="F104" t="inlineStr">
        <is>
          <t>GÄVLEBORGS LÄN</t>
        </is>
      </c>
      <c r="G104" t="inlineStr">
        <is>
          <t>OCKELBO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46291</v>
      </c>
      <c r="F105" t="inlineStr">
        <is>
          <t>GÄVLEBORGS LÄN</t>
        </is>
      </c>
      <c r="G105" t="inlineStr">
        <is>
          <t>OCKELBO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46291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46291</v>
      </c>
      <c r="F107" t="inlineStr">
        <is>
          <t>GÄVLEBORGS LÄN</t>
        </is>
      </c>
      <c r="G107" t="inlineStr">
        <is>
          <t>OCKELBO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45490</v>
      </c>
      <c r="E108" s="1" t="n">
        <v>46291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46291</v>
      </c>
      <c r="F109" t="inlineStr">
        <is>
          <t>GÄVLEBORGS LÄN</t>
        </is>
      </c>
      <c r="G109" t="inlineStr">
        <is>
          <t>OCKELBO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46291</v>
      </c>
      <c r="F110" t="inlineStr">
        <is>
          <t>GÄVLEBORGS LÄN</t>
        </is>
      </c>
      <c r="G110" t="inlineStr">
        <is>
          <t>OCKELBO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46291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46291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46021</v>
      </c>
      <c r="E113" s="1" t="n">
        <v>46291</v>
      </c>
      <c r="F113" t="inlineStr">
        <is>
          <t>GÄVLEBORGS LÄN</t>
        </is>
      </c>
      <c r="G113" t="inlineStr">
        <is>
          <t>OCKELBO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46291</v>
      </c>
      <c r="F114" t="inlineStr">
        <is>
          <t>GÄVLEBORGS LÄN</t>
        </is>
      </c>
      <c r="G114" t="inlineStr">
        <is>
          <t>OCKELBO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46027</v>
      </c>
      <c r="E115" s="1" t="n">
        <v>46291</v>
      </c>
      <c r="F115" t="inlineStr">
        <is>
          <t>GÄVLEBORGS LÄN</t>
        </is>
      </c>
      <c r="G115" t="inlineStr">
        <is>
          <t>OCKELBO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46291</v>
      </c>
      <c r="F116" t="inlineStr">
        <is>
          <t>GÄVLEBORGS LÄN</t>
        </is>
      </c>
      <c r="G116" t="inlineStr">
        <is>
          <t>OCKELBO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46027</v>
      </c>
      <c r="E117" s="1" t="n">
        <v>46291</v>
      </c>
      <c r="F117" t="inlineStr">
        <is>
          <t>GÄVLEBORGS LÄN</t>
        </is>
      </c>
      <c r="G117" t="inlineStr">
        <is>
          <t>OCKELBO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46291</v>
      </c>
      <c r="F118" t="inlineStr">
        <is>
          <t>GÄVLEBORGS LÄN</t>
        </is>
      </c>
      <c r="G118" t="inlineStr">
        <is>
          <t>OCKELBO</t>
        </is>
      </c>
      <c r="I118" t="n">
        <v>16.2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46027</v>
      </c>
      <c r="E119" s="1" t="n">
        <v>46291</v>
      </c>
      <c r="F119" t="inlineStr">
        <is>
          <t>GÄVLEBORGS LÄN</t>
        </is>
      </c>
      <c r="G119" t="inlineStr">
        <is>
          <t>OCKELBO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46027</v>
      </c>
      <c r="E120" s="1" t="n">
        <v>46291</v>
      </c>
      <c r="F120" t="inlineStr">
        <is>
          <t>GÄVLEBORGS LÄN</t>
        </is>
      </c>
      <c r="G120" t="inlineStr">
        <is>
          <t>OCKELBO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46291</v>
      </c>
      <c r="F121" t="inlineStr">
        <is>
          <t>GÄVLEBORGS LÄN</t>
        </is>
      </c>
      <c r="G121" t="inlineStr">
        <is>
          <t>OCKELBO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46291</v>
      </c>
      <c r="F122" t="inlineStr">
        <is>
          <t>GÄVLEBORGS LÄN</t>
        </is>
      </c>
      <c r="G122" t="inlineStr">
        <is>
          <t>OCKELBO</t>
        </is>
      </c>
      <c r="I122" t="n">
        <v>7.6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46291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46291</v>
      </c>
      <c r="F124" t="inlineStr">
        <is>
          <t>GÄVLEBORGS LÄN</t>
        </is>
      </c>
      <c r="G124" t="inlineStr">
        <is>
          <t>OCKELBO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46028</v>
      </c>
      <c r="E125" s="1" t="n">
        <v>46291</v>
      </c>
      <c r="F125" t="inlineStr">
        <is>
          <t>GÄVLEBORGS LÄN</t>
        </is>
      </c>
      <c r="G125" t="inlineStr">
        <is>
          <t>OCKELBO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46291</v>
      </c>
      <c r="F126" t="inlineStr">
        <is>
          <t>GÄVLEBORGS LÄN</t>
        </is>
      </c>
      <c r="G126" t="inlineStr">
        <is>
          <t>OCKELBO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46291</v>
      </c>
      <c r="F127" t="inlineStr">
        <is>
          <t>GÄVLEBORGS LÄN</t>
        </is>
      </c>
      <c r="G127" t="inlineStr">
        <is>
          <t>OCKELBO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44659</v>
      </c>
      <c r="E128" s="1" t="n">
        <v>46291</v>
      </c>
      <c r="F128" t="inlineStr">
        <is>
          <t>GÄVLEBORGS LÄN</t>
        </is>
      </c>
      <c r="G128" t="inlineStr">
        <is>
          <t>OCKELBO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46291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46291</v>
      </c>
      <c r="F130" t="inlineStr">
        <is>
          <t>GÄVLEBORGS LÄN</t>
        </is>
      </c>
      <c r="G130" t="inlineStr">
        <is>
          <t>OCKELBO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45534</v>
      </c>
      <c r="E131" s="1" t="n">
        <v>46291</v>
      </c>
      <c r="F131" t="inlineStr">
        <is>
          <t>GÄVLEBORGS LÄN</t>
        </is>
      </c>
      <c r="G131" t="inlineStr">
        <is>
          <t>OCKELBO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46291</v>
      </c>
      <c r="F132" t="inlineStr">
        <is>
          <t>GÄVLEBORGS LÄN</t>
        </is>
      </c>
      <c r="G132" t="inlineStr">
        <is>
          <t>OCKELBO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46291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46291</v>
      </c>
      <c r="F134" t="inlineStr">
        <is>
          <t>GÄVLEBORGS LÄN</t>
        </is>
      </c>
      <c r="G134" t="inlineStr">
        <is>
          <t>OCKELBO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46291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46028</v>
      </c>
      <c r="E136" s="1" t="n">
        <v>46291</v>
      </c>
      <c r="F136" t="inlineStr">
        <is>
          <t>GÄVLEBORGS LÄN</t>
        </is>
      </c>
      <c r="G136" t="inlineStr">
        <is>
          <t>OCKELBO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46291</v>
      </c>
      <c r="F137" t="inlineStr">
        <is>
          <t>GÄVLEBORGS LÄN</t>
        </is>
      </c>
      <c r="G137" t="inlineStr">
        <is>
          <t>OCKELBO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46291</v>
      </c>
      <c r="F138" t="inlineStr">
        <is>
          <t>GÄVLEBORGS LÄN</t>
        </is>
      </c>
      <c r="G138" t="inlineStr">
        <is>
          <t>OCKELBO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46024</v>
      </c>
      <c r="E139" s="1" t="n">
        <v>46291</v>
      </c>
      <c r="F139" t="inlineStr">
        <is>
          <t>GÄVLEBORGS LÄN</t>
        </is>
      </c>
      <c r="G139" t="inlineStr">
        <is>
          <t>OCKELBO</t>
        </is>
      </c>
      <c r="I139" t="n">
        <v>12.9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46291</v>
      </c>
      <c r="F140" t="inlineStr">
        <is>
          <t>GÄVLEBORGS LÄN</t>
        </is>
      </c>
      <c r="G140" t="inlineStr">
        <is>
          <t>OCKELBO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46291</v>
      </c>
      <c r="F141" t="inlineStr">
        <is>
          <t>GÄVLEBORGS LÄN</t>
        </is>
      </c>
      <c r="G141" t="inlineStr">
        <is>
          <t>OCKELBO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46291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46291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46033</v>
      </c>
      <c r="E144" s="1" t="n">
        <v>46291</v>
      </c>
      <c r="F144" t="inlineStr">
        <is>
          <t>GÄVLEBORGS LÄN</t>
        </is>
      </c>
      <c r="G144" t="inlineStr">
        <is>
          <t>OCKELBO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46291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46291</v>
      </c>
      <c r="F146" t="inlineStr">
        <is>
          <t>GÄVLEBORGS LÄN</t>
        </is>
      </c>
      <c r="G146" t="inlineStr">
        <is>
          <t>OCKELBO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46291</v>
      </c>
      <c r="F147" t="inlineStr">
        <is>
          <t>GÄVLEBORGS LÄN</t>
        </is>
      </c>
      <c r="G147" t="inlineStr">
        <is>
          <t>OCKELBO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46291</v>
      </c>
      <c r="F148" t="inlineStr">
        <is>
          <t>GÄVLEBORGS LÄN</t>
        </is>
      </c>
      <c r="G148" t="inlineStr">
        <is>
          <t>OCKELBO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46291</v>
      </c>
      <c r="F149" t="inlineStr">
        <is>
          <t>GÄVLEBORGS LÄN</t>
        </is>
      </c>
      <c r="G149" t="inlineStr">
        <is>
          <t>OCKELBO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46291</v>
      </c>
      <c r="F150" t="inlineStr">
        <is>
          <t>GÄVLEBORGS LÄN</t>
        </is>
      </c>
      <c r="G150" t="inlineStr">
        <is>
          <t>OCKELBO</t>
        </is>
      </c>
      <c r="H150" t="inlineStr">
        <is>
          <t>Kyrkan</t>
        </is>
      </c>
      <c r="I150" t="n">
        <v>12.5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46291</v>
      </c>
      <c r="F151" t="inlineStr">
        <is>
          <t>GÄVLEBORGS LÄN</t>
        </is>
      </c>
      <c r="G151" t="inlineStr">
        <is>
          <t>OCKELBO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46291</v>
      </c>
      <c r="F152" t="inlineStr">
        <is>
          <t>GÄVLEBORGS LÄN</t>
        </is>
      </c>
      <c r="G152" t="inlineStr">
        <is>
          <t>OCKELBO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46291</v>
      </c>
      <c r="F153" t="inlineStr">
        <is>
          <t>GÄVLEBORGS LÄN</t>
        </is>
      </c>
      <c r="G153" t="inlineStr">
        <is>
          <t>OCKELBO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46291</v>
      </c>
      <c r="F154" t="inlineStr">
        <is>
          <t>GÄVLEBORGS LÄN</t>
        </is>
      </c>
      <c r="G154" t="inlineStr">
        <is>
          <t>OCKELBO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46291</v>
      </c>
      <c r="F155" t="inlineStr">
        <is>
          <t>GÄVLEBORGS LÄN</t>
        </is>
      </c>
      <c r="G155" t="inlineStr">
        <is>
          <t>OCKELBO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46291</v>
      </c>
      <c r="F156" t="inlineStr">
        <is>
          <t>GÄVLEBORGS LÄN</t>
        </is>
      </c>
      <c r="G156" t="inlineStr">
        <is>
          <t>OCKELBO</t>
        </is>
      </c>
      <c r="I156" t="n">
        <v>16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45488</v>
      </c>
      <c r="E157" s="1" t="n">
        <v>46291</v>
      </c>
      <c r="F157" t="inlineStr">
        <is>
          <t>GÄVLEBORGS LÄN</t>
        </is>
      </c>
      <c r="G157" t="inlineStr">
        <is>
          <t>OCKELBO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46291</v>
      </c>
      <c r="F158" t="inlineStr">
        <is>
          <t>GÄVLEBORGS LÄN</t>
        </is>
      </c>
      <c r="G158" t="inlineStr">
        <is>
          <t>OCKELBO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46291</v>
      </c>
      <c r="F159" t="inlineStr">
        <is>
          <t>GÄVLEBORGS LÄN</t>
        </is>
      </c>
      <c r="G159" t="inlineStr">
        <is>
          <t>OCKELBO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46291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46291</v>
      </c>
      <c r="F161" t="inlineStr">
        <is>
          <t>GÄVLEBORGS LÄN</t>
        </is>
      </c>
      <c r="G161" t="inlineStr">
        <is>
          <t>OCKELBO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46291</v>
      </c>
      <c r="F162" t="inlineStr">
        <is>
          <t>GÄVLEBORGS LÄN</t>
        </is>
      </c>
      <c r="G162" t="inlineStr">
        <is>
          <t>OCKELBO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46291</v>
      </c>
      <c r="F163" t="inlineStr">
        <is>
          <t>GÄVLEBORGS LÄN</t>
        </is>
      </c>
      <c r="G163" t="inlineStr">
        <is>
          <t>OCKELBO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46291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46291</v>
      </c>
      <c r="F165" t="inlineStr">
        <is>
          <t>GÄVLEBORGS LÄN</t>
        </is>
      </c>
      <c r="G165" t="inlineStr">
        <is>
          <t>OCKELBO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25250-2025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45800</v>
      </c>
      <c r="E166" s="1" t="n">
        <v>46291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46291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45184</v>
      </c>
      <c r="E168" s="1" t="n">
        <v>46291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46041</v>
      </c>
      <c r="E169" s="1" t="n">
        <v>46291</v>
      </c>
      <c r="F169" t="inlineStr">
        <is>
          <t>GÄVLEBORGS LÄN</t>
        </is>
      </c>
      <c r="G169" t="inlineStr">
        <is>
          <t>OCKELBO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46291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46291</v>
      </c>
      <c r="F171" t="inlineStr">
        <is>
          <t>GÄVLEBORGS LÄN</t>
        </is>
      </c>
      <c r="G171" t="inlineStr">
        <is>
          <t>OCKELBO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46291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46291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46291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46291</v>
      </c>
      <c r="F175" t="inlineStr">
        <is>
          <t>GÄVLEBORGS LÄN</t>
        </is>
      </c>
      <c r="G175" t="inlineStr">
        <is>
          <t>OCKELBO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46291</v>
      </c>
      <c r="F176" t="inlineStr">
        <is>
          <t>GÄVLEBORGS LÄN</t>
        </is>
      </c>
      <c r="G176" t="inlineStr">
        <is>
          <t>OCKELBO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46041</v>
      </c>
      <c r="E177" s="1" t="n">
        <v>46291</v>
      </c>
      <c r="F177" t="inlineStr">
        <is>
          <t>GÄVLEBORGS LÄN</t>
        </is>
      </c>
      <c r="G177" t="inlineStr">
        <is>
          <t>OCKELBO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46291</v>
      </c>
      <c r="F178" t="inlineStr">
        <is>
          <t>GÄVLEBORGS LÄN</t>
        </is>
      </c>
      <c r="G178" t="inlineStr">
        <is>
          <t>OCKELBO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44879</v>
      </c>
      <c r="E179" s="1" t="n">
        <v>46291</v>
      </c>
      <c r="F179" t="inlineStr">
        <is>
          <t>GÄVLEBORGS LÄN</t>
        </is>
      </c>
      <c r="G179" t="inlineStr">
        <is>
          <t>OCKELBO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46291</v>
      </c>
      <c r="F180" t="inlineStr">
        <is>
          <t>GÄVLEBORGS LÄN</t>
        </is>
      </c>
      <c r="G180" t="inlineStr">
        <is>
          <t>OCKELBO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45618</v>
      </c>
      <c r="E181" s="1" t="n">
        <v>46291</v>
      </c>
      <c r="F181" t="inlineStr">
        <is>
          <t>GÄVLEBORGS LÄN</t>
        </is>
      </c>
      <c r="G181" t="inlineStr">
        <is>
          <t>OCKELBO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46291</v>
      </c>
      <c r="F182" t="inlineStr">
        <is>
          <t>GÄVLEBORGS LÄN</t>
        </is>
      </c>
      <c r="G182" t="inlineStr">
        <is>
          <t>OCKELBO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46291</v>
      </c>
      <c r="F183" t="inlineStr">
        <is>
          <t>GÄVLEBORGS LÄN</t>
        </is>
      </c>
      <c r="G183" t="inlineStr">
        <is>
          <t>OCKELBO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46291</v>
      </c>
      <c r="F184" t="inlineStr">
        <is>
          <t>GÄVLEBORGS LÄN</t>
        </is>
      </c>
      <c r="G184" t="inlineStr">
        <is>
          <t>OCKELBO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46291</v>
      </c>
      <c r="F185" t="inlineStr">
        <is>
          <t>GÄVLEBORGS LÄN</t>
        </is>
      </c>
      <c r="G185" t="inlineStr">
        <is>
          <t>OCKELBO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46291</v>
      </c>
      <c r="F186" t="inlineStr">
        <is>
          <t>GÄVLEBORGS LÄN</t>
        </is>
      </c>
      <c r="G186" t="inlineStr">
        <is>
          <t>OCKELBO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46291</v>
      </c>
      <c r="F187" t="inlineStr">
        <is>
          <t>GÄVLEBORGS LÄN</t>
        </is>
      </c>
      <c r="G187" t="inlineStr">
        <is>
          <t>OCKELBO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46291</v>
      </c>
      <c r="F188" t="inlineStr">
        <is>
          <t>GÄVLEBORGS LÄN</t>
        </is>
      </c>
      <c r="G188" t="inlineStr">
        <is>
          <t>OCKELBO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46291</v>
      </c>
      <c r="F189" t="inlineStr">
        <is>
          <t>GÄVLEBORGS LÄN</t>
        </is>
      </c>
      <c r="G189" t="inlineStr">
        <is>
          <t>OCKELBO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46291</v>
      </c>
      <c r="F190" t="inlineStr">
        <is>
          <t>GÄVLEBORGS LÄN</t>
        </is>
      </c>
      <c r="G190" t="inlineStr">
        <is>
          <t>OCKELBO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46291</v>
      </c>
      <c r="F191" t="inlineStr">
        <is>
          <t>GÄVLEBORGS LÄN</t>
        </is>
      </c>
      <c r="G191" t="inlineStr">
        <is>
          <t>OCKELBO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46291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46291</v>
      </c>
      <c r="F193" t="inlineStr">
        <is>
          <t>GÄVLEBORGS LÄN</t>
        </is>
      </c>
      <c r="G193" t="inlineStr">
        <is>
          <t>OCKELBO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46291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46291</v>
      </c>
      <c r="F195" t="inlineStr">
        <is>
          <t>GÄVLEBORGS LÄN</t>
        </is>
      </c>
      <c r="G195" t="inlineStr">
        <is>
          <t>OCKELBO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46291</v>
      </c>
      <c r="F196" t="inlineStr">
        <is>
          <t>GÄVLEBORGS LÄN</t>
        </is>
      </c>
      <c r="G196" t="inlineStr">
        <is>
          <t>OCKELBO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46291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46291</v>
      </c>
      <c r="F198" t="inlineStr">
        <is>
          <t>GÄVLEBORGS LÄN</t>
        </is>
      </c>
      <c r="G198" t="inlineStr">
        <is>
          <t>OCKELBO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46291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32087-2025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46291</v>
      </c>
      <c r="F200" t="inlineStr">
        <is>
          <t>GÄVLEBORGS LÄN</t>
        </is>
      </c>
      <c r="G200" t="inlineStr">
        <is>
          <t>OCKELBO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46291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46291</v>
      </c>
      <c r="F202" t="inlineStr">
        <is>
          <t>GÄVLEBORGS LÄN</t>
        </is>
      </c>
      <c r="G202" t="inlineStr">
        <is>
          <t>OCKELBO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46291</v>
      </c>
      <c r="F203" t="inlineStr">
        <is>
          <t>GÄVLEBORGS LÄN</t>
        </is>
      </c>
      <c r="G203" t="inlineStr">
        <is>
          <t>OCKELBO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46291</v>
      </c>
      <c r="F204" t="inlineStr">
        <is>
          <t>GÄVLEBORGS LÄN</t>
        </is>
      </c>
      <c r="G204" t="inlineStr">
        <is>
          <t>OCKELBO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46291</v>
      </c>
      <c r="F205" t="inlineStr">
        <is>
          <t>GÄVLEBORGS LÄN</t>
        </is>
      </c>
      <c r="G205" t="inlineStr">
        <is>
          <t>OCKELBO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46291</v>
      </c>
      <c r="F206" t="inlineStr">
        <is>
          <t>GÄVLEBORGS LÄN</t>
        </is>
      </c>
      <c r="G206" t="inlineStr">
        <is>
          <t>OCKELBO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46291</v>
      </c>
      <c r="F207" t="inlineStr">
        <is>
          <t>GÄVLEBORGS LÄN</t>
        </is>
      </c>
      <c r="G207" t="inlineStr">
        <is>
          <t>OCKELBO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46291</v>
      </c>
      <c r="F208" t="inlineStr">
        <is>
          <t>GÄVLEBORGS LÄN</t>
        </is>
      </c>
      <c r="G208" t="inlineStr">
        <is>
          <t>OCKELBO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46053</v>
      </c>
      <c r="E209" s="1" t="n">
        <v>46291</v>
      </c>
      <c r="F209" t="inlineStr">
        <is>
          <t>GÄVLEBORGS LÄN</t>
        </is>
      </c>
      <c r="G209" t="inlineStr">
        <is>
          <t>OCKELBO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46291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64367-2023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46291</v>
      </c>
      <c r="F211" t="inlineStr">
        <is>
          <t>GÄVLEBORGS LÄN</t>
        </is>
      </c>
      <c r="G211" t="inlineStr">
        <is>
          <t>OCKELBO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46291</v>
      </c>
      <c r="F212" t="inlineStr">
        <is>
          <t>GÄVLEBORGS LÄN</t>
        </is>
      </c>
      <c r="G212" t="inlineStr">
        <is>
          <t>OCKELBO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46291</v>
      </c>
      <c r="F213" t="inlineStr">
        <is>
          <t>GÄVLEBORGS LÄN</t>
        </is>
      </c>
      <c r="G213" t="inlineStr">
        <is>
          <t>OCKELBO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46291</v>
      </c>
      <c r="F214" t="inlineStr">
        <is>
          <t>GÄVLEBORGS LÄN</t>
        </is>
      </c>
      <c r="G214" t="inlineStr">
        <is>
          <t>OCKELBO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46291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46291</v>
      </c>
      <c r="F216" t="inlineStr">
        <is>
          <t>GÄVLEBORGS LÄN</t>
        </is>
      </c>
      <c r="G216" t="inlineStr">
        <is>
          <t>OCKELBO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46291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46291</v>
      </c>
      <c r="F218" t="inlineStr">
        <is>
          <t>GÄVLEBORGS LÄN</t>
        </is>
      </c>
      <c r="G218" t="inlineStr">
        <is>
          <t>OCKELBO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46291</v>
      </c>
      <c r="F219" t="inlineStr">
        <is>
          <t>GÄVLEBORGS LÄN</t>
        </is>
      </c>
      <c r="G219" t="inlineStr">
        <is>
          <t>OCKELBO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46291</v>
      </c>
      <c r="F220" t="inlineStr">
        <is>
          <t>GÄVLEBORGS LÄN</t>
        </is>
      </c>
      <c r="G220" t="inlineStr">
        <is>
          <t>OCKELBO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46291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46291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46291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46291</v>
      </c>
      <c r="F224" t="inlineStr">
        <is>
          <t>GÄVLEBORGS LÄN</t>
        </is>
      </c>
      <c r="G224" t="inlineStr">
        <is>
          <t>OCKELBO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46291</v>
      </c>
      <c r="F225" t="inlineStr">
        <is>
          <t>GÄVLEBORGS LÄN</t>
        </is>
      </c>
      <c r="G225" t="inlineStr">
        <is>
          <t>OCKELBO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46291</v>
      </c>
      <c r="F226" t="inlineStr">
        <is>
          <t>GÄVLEBORGS LÄN</t>
        </is>
      </c>
      <c r="G226" t="inlineStr">
        <is>
          <t>OCKELBO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46291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46291</v>
      </c>
      <c r="F228" t="inlineStr">
        <is>
          <t>GÄVLEBORGS LÄN</t>
        </is>
      </c>
      <c r="G228" t="inlineStr">
        <is>
          <t>OCKELBO</t>
        </is>
      </c>
      <c r="H228" t="inlineStr">
        <is>
          <t>Kyrkan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46291</v>
      </c>
      <c r="F229" t="inlineStr">
        <is>
          <t>GÄVLEBORGS LÄN</t>
        </is>
      </c>
      <c r="G229" t="inlineStr">
        <is>
          <t>OCKELBO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46291</v>
      </c>
      <c r="F230" t="inlineStr">
        <is>
          <t>GÄVLEBORGS LÄN</t>
        </is>
      </c>
      <c r="G230" t="inlineStr">
        <is>
          <t>OCKELBO</t>
        </is>
      </c>
      <c r="I230" t="n">
        <v>17.4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46291</v>
      </c>
      <c r="F231" t="inlineStr">
        <is>
          <t>GÄVLEBORGS LÄN</t>
        </is>
      </c>
      <c r="G231" t="inlineStr">
        <is>
          <t>OCKELBO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46291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46065</v>
      </c>
      <c r="E233" s="1" t="n">
        <v>46291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46291</v>
      </c>
      <c r="F234" t="inlineStr">
        <is>
          <t>GÄVLEBORGS LÄN</t>
        </is>
      </c>
      <c r="G234" t="inlineStr">
        <is>
          <t>OCKELBO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45803</v>
      </c>
      <c r="E235" s="1" t="n">
        <v>46291</v>
      </c>
      <c r="F235" t="inlineStr">
        <is>
          <t>GÄVLEBORGS LÄN</t>
        </is>
      </c>
      <c r="G235" t="inlineStr">
        <is>
          <t>OCKELBO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46291</v>
      </c>
      <c r="F236" t="inlineStr">
        <is>
          <t>GÄVLEBORGS LÄN</t>
        </is>
      </c>
      <c r="G236" t="inlineStr">
        <is>
          <t>OCKELBO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46291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46291</v>
      </c>
      <c r="F238" t="inlineStr">
        <is>
          <t>GÄVLEBORGS LÄN</t>
        </is>
      </c>
      <c r="G238" t="inlineStr">
        <is>
          <t>OCKELBO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46291</v>
      </c>
      <c r="F239" t="inlineStr">
        <is>
          <t>GÄVLEBORGS LÄN</t>
        </is>
      </c>
      <c r="G239" t="inlineStr">
        <is>
          <t>OCKELBO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46291</v>
      </c>
      <c r="F240" t="inlineStr">
        <is>
          <t>GÄVLEBORGS LÄN</t>
        </is>
      </c>
      <c r="G240" t="inlineStr">
        <is>
          <t>OCKELBO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46291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46291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46291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46291</v>
      </c>
      <c r="F244" t="inlineStr">
        <is>
          <t>GÄVLEBORGS LÄN</t>
        </is>
      </c>
      <c r="G244" t="inlineStr">
        <is>
          <t>OCKELBO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46291</v>
      </c>
      <c r="F245" t="inlineStr">
        <is>
          <t>GÄVLEBORGS LÄN</t>
        </is>
      </c>
      <c r="G245" t="inlineStr">
        <is>
          <t>OCKELBO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46291</v>
      </c>
      <c r="F246" t="inlineStr">
        <is>
          <t>GÄVLEBORGS LÄN</t>
        </is>
      </c>
      <c r="G246" t="inlineStr">
        <is>
          <t>OCKELBO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46291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46291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46291</v>
      </c>
      <c r="F249" t="inlineStr">
        <is>
          <t>GÄVLEBORGS LÄN</t>
        </is>
      </c>
      <c r="G249" t="inlineStr">
        <is>
          <t>OCKELBO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46291</v>
      </c>
      <c r="F250" t="inlineStr">
        <is>
          <t>GÄVLEBORGS LÄN</t>
        </is>
      </c>
      <c r="G250" t="inlineStr">
        <is>
          <t>OCKELBO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46031</v>
      </c>
      <c r="E251" s="1" t="n">
        <v>46291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46291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46291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46077</v>
      </c>
      <c r="E254" s="1" t="n">
        <v>46291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46291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46077</v>
      </c>
      <c r="E256" s="1" t="n">
        <v>46291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46291</v>
      </c>
      <c r="F257" t="inlineStr">
        <is>
          <t>GÄVLEBORGS LÄN</t>
        </is>
      </c>
      <c r="G257" t="inlineStr">
        <is>
          <t>OCKELBO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46291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öst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46291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öst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46291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46291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46291</v>
      </c>
      <c r="F262" t="inlineStr">
        <is>
          <t>GÄVLEBORGS LÄN</t>
        </is>
      </c>
      <c r="G262" t="inlineStr">
        <is>
          <t>OCKELBO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46291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öst AB</t>
        </is>
      </c>
      <c r="I263" t="n">
        <v>45.7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46291</v>
      </c>
      <c r="F264" t="inlineStr">
        <is>
          <t>GÄVLEBORGS LÄN</t>
        </is>
      </c>
      <c r="G264" t="inlineStr">
        <is>
          <t>OCKELBO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46291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46079</v>
      </c>
      <c r="E266" s="1" t="n">
        <v>46291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46291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45590</v>
      </c>
      <c r="E268" s="1" t="n">
        <v>46291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46291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44501</v>
      </c>
      <c r="E270" s="1" t="n">
        <v>46291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46291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46291</v>
      </c>
      <c r="F272" t="inlineStr">
        <is>
          <t>GÄVLEBORGS LÄN</t>
        </is>
      </c>
      <c r="G272" t="inlineStr">
        <is>
          <t>OCKELBO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46291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45497</v>
      </c>
      <c r="E274" s="1" t="n">
        <v>46291</v>
      </c>
      <c r="F274" t="inlineStr">
        <is>
          <t>GÄVLEBORGS LÄN</t>
        </is>
      </c>
      <c r="G274" t="inlineStr">
        <is>
          <t>OCKELBO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67768-2021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46291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46080</v>
      </c>
      <c r="E276" s="1" t="n">
        <v>46291</v>
      </c>
      <c r="F276" t="inlineStr">
        <is>
          <t>GÄVLEBORGS LÄN</t>
        </is>
      </c>
      <c r="G276" t="inlineStr">
        <is>
          <t>OCKELBO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46291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46291</v>
      </c>
      <c r="F278" t="inlineStr">
        <is>
          <t>GÄVLEBORGS LÄN</t>
        </is>
      </c>
      <c r="G278" t="inlineStr">
        <is>
          <t>OCKELBO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46291</v>
      </c>
      <c r="F279" t="inlineStr">
        <is>
          <t>GÄVLEBORGS LÄN</t>
        </is>
      </c>
      <c r="G279" t="inlineStr">
        <is>
          <t>OCKELBO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45602</v>
      </c>
      <c r="E280" s="1" t="n">
        <v>46291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46291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45602</v>
      </c>
      <c r="E282" s="1" t="n">
        <v>46291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38893-2022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46291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45027</v>
      </c>
      <c r="E284" s="1" t="n">
        <v>46291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46291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46291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46291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50235-2023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45216</v>
      </c>
      <c r="E288" s="1" t="n">
        <v>46291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66825-2021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44522</v>
      </c>
      <c r="E289" s="1" t="n">
        <v>46291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46291</v>
      </c>
      <c r="F290" t="inlineStr">
        <is>
          <t>GÄVLEBORGS LÄN</t>
        </is>
      </c>
      <c r="G290" t="inlineStr">
        <is>
          <t>OCKELBO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46291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öst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46291</v>
      </c>
      <c r="F292" t="inlineStr">
        <is>
          <t>GÄVLEBORGS LÄN</t>
        </is>
      </c>
      <c r="G292" t="inlineStr">
        <is>
          <t>OCKELBO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46291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46291</v>
      </c>
      <c r="F294" t="inlineStr">
        <is>
          <t>GÄVLEBORGS LÄN</t>
        </is>
      </c>
      <c r="G294" t="inlineStr">
        <is>
          <t>OCKELBO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45805</v>
      </c>
      <c r="E295" s="1" t="n">
        <v>46291</v>
      </c>
      <c r="F295" t="inlineStr">
        <is>
          <t>GÄVLEBORGS LÄN</t>
        </is>
      </c>
      <c r="G295" t="inlineStr">
        <is>
          <t>OCKELBO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46291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18326-2026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46126</v>
      </c>
      <c r="E297" s="1" t="n">
        <v>46291</v>
      </c>
      <c r="F297" t="inlineStr">
        <is>
          <t>GÄVLEBORGS LÄN</t>
        </is>
      </c>
      <c r="G297" t="inlineStr">
        <is>
          <t>OCKELBO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11810-2026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46085</v>
      </c>
      <c r="E298" s="1" t="n">
        <v>46291</v>
      </c>
      <c r="F298" t="inlineStr">
        <is>
          <t>GÄVLEBORGS LÄN</t>
        </is>
      </c>
      <c r="G298" t="inlineStr">
        <is>
          <t>OCKELBO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46291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46089</v>
      </c>
      <c r="E300" s="1" t="n">
        <v>46291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29.9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12716-2026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46291</v>
      </c>
      <c r="F301" t="inlineStr">
        <is>
          <t>GÄVLEBORGS LÄN</t>
        </is>
      </c>
      <c r="G301" t="inlineStr">
        <is>
          <t>OCKELBO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46291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49207-2023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45210</v>
      </c>
      <c r="E303" s="1" t="n">
        <v>46291</v>
      </c>
      <c r="F303" t="inlineStr">
        <is>
          <t>GÄVLEBORGS LÄN</t>
        </is>
      </c>
      <c r="G303" t="inlineStr">
        <is>
          <t>OCKELBO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46291</v>
      </c>
      <c r="F304" t="inlineStr">
        <is>
          <t>GÄVLEBORGS LÄN</t>
        </is>
      </c>
      <c r="G304" t="inlineStr">
        <is>
          <t>OCKELBO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46291</v>
      </c>
      <c r="F305" t="inlineStr">
        <is>
          <t>GÄVLEBORGS LÄN</t>
        </is>
      </c>
      <c r="G305" t="inlineStr">
        <is>
          <t>OCKELBO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46291</v>
      </c>
      <c r="F306" t="inlineStr">
        <is>
          <t>GÄVLEBORGS LÄN</t>
        </is>
      </c>
      <c r="G306" t="inlineStr">
        <is>
          <t>OCKELBO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46291</v>
      </c>
      <c r="F307" t="inlineStr">
        <is>
          <t>GÄVLEBORGS LÄN</t>
        </is>
      </c>
      <c r="G307" t="inlineStr">
        <is>
          <t>OCKELBO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46291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46291</v>
      </c>
      <c r="F309" t="inlineStr">
        <is>
          <t>GÄVLEBORGS LÄN</t>
        </is>
      </c>
      <c r="G309" t="inlineStr">
        <is>
          <t>OCKELBO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46291</v>
      </c>
      <c r="F310" t="inlineStr">
        <is>
          <t>GÄVLEBORGS LÄN</t>
        </is>
      </c>
      <c r="G310" t="inlineStr">
        <is>
          <t>OCKELBO</t>
        </is>
      </c>
      <c r="I310" t="n">
        <v>11.1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46291</v>
      </c>
      <c r="F311" t="inlineStr">
        <is>
          <t>GÄVLEBORGS LÄN</t>
        </is>
      </c>
      <c r="G311" t="inlineStr">
        <is>
          <t>OCKELBO</t>
        </is>
      </c>
      <c r="I311" t="n">
        <v>11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46291</v>
      </c>
      <c r="F312" t="inlineStr">
        <is>
          <t>GÄVLEBORGS LÄN</t>
        </is>
      </c>
      <c r="G312" t="inlineStr">
        <is>
          <t>OCKELBO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46291</v>
      </c>
      <c r="F313" t="inlineStr">
        <is>
          <t>GÄVLEBORGS LÄN</t>
        </is>
      </c>
      <c r="G313" t="inlineStr">
        <is>
          <t>OCKELBO</t>
        </is>
      </c>
      <c r="H313" t="inlineStr">
        <is>
          <t>Naturvårdsverket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46097</v>
      </c>
      <c r="E314" s="1" t="n">
        <v>46291</v>
      </c>
      <c r="F314" t="inlineStr">
        <is>
          <t>GÄVLEBORGS LÄN</t>
        </is>
      </c>
      <c r="G314" t="inlineStr">
        <is>
          <t>OCKELBO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44950</v>
      </c>
      <c r="E315" s="1" t="n">
        <v>46291</v>
      </c>
      <c r="F315" t="inlineStr">
        <is>
          <t>GÄVLEBORGS LÄN</t>
        </is>
      </c>
      <c r="G315" t="inlineStr">
        <is>
          <t>OCKELBO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46291</v>
      </c>
      <c r="F316" t="inlineStr">
        <is>
          <t>GÄVLEBORGS LÄN</t>
        </is>
      </c>
      <c r="G316" t="inlineStr">
        <is>
          <t>OCKELBO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46291</v>
      </c>
      <c r="F317" t="inlineStr">
        <is>
          <t>GÄVLEBORGS LÄN</t>
        </is>
      </c>
      <c r="G317" t="inlineStr">
        <is>
          <t>OCKELBO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46291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46291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46291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46291</v>
      </c>
      <c r="F321" t="inlineStr">
        <is>
          <t>GÄVLEBORGS LÄN</t>
        </is>
      </c>
      <c r="G321" t="inlineStr">
        <is>
          <t>OCKELBO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46291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46291</v>
      </c>
      <c r="F323" t="inlineStr">
        <is>
          <t>GÄVLEBORGS LÄN</t>
        </is>
      </c>
      <c r="G323" t="inlineStr">
        <is>
          <t>OCKELBO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46291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36.6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46291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46098</v>
      </c>
      <c r="E326" s="1" t="n">
        <v>46291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46291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46291</v>
      </c>
      <c r="F328" t="inlineStr">
        <is>
          <t>GÄVLEBORGS LÄN</t>
        </is>
      </c>
      <c r="G328" t="inlineStr">
        <is>
          <t>OCKELBO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46291</v>
      </c>
      <c r="F329" t="inlineStr">
        <is>
          <t>GÄVLEBORGS LÄN</t>
        </is>
      </c>
      <c r="G329" t="inlineStr">
        <is>
          <t>OCKELBO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45398</v>
      </c>
      <c r="E330" s="1" t="n">
        <v>46291</v>
      </c>
      <c r="F330" t="inlineStr">
        <is>
          <t>GÄVLEBORGS LÄN</t>
        </is>
      </c>
      <c r="G330" t="inlineStr">
        <is>
          <t>OCKELBO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46291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46291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22824-2024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45448</v>
      </c>
      <c r="E333" s="1" t="n">
        <v>46291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46291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46291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öst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46291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46291</v>
      </c>
      <c r="F337" t="inlineStr">
        <is>
          <t>GÄVLEBORGS LÄN</t>
        </is>
      </c>
      <c r="G337" t="inlineStr">
        <is>
          <t>OCKELBO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46291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34.1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46291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46291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46291</v>
      </c>
      <c r="F341" t="inlineStr">
        <is>
          <t>GÄVLEBORGS LÄN</t>
        </is>
      </c>
      <c r="G341" t="inlineStr">
        <is>
          <t>OCKELBO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46291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45952</v>
      </c>
      <c r="E343" s="1" t="n">
        <v>46291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46291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46291</v>
      </c>
      <c r="F345" t="inlineStr">
        <is>
          <t>GÄVLEBORGS LÄN</t>
        </is>
      </c>
      <c r="G345" t="inlineStr">
        <is>
          <t>OCKELBO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46291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46291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52635-2025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46291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46291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46291</v>
      </c>
      <c r="F350" t="inlineStr">
        <is>
          <t>GÄVLEBORGS LÄN</t>
        </is>
      </c>
      <c r="G350" t="inlineStr">
        <is>
          <t>OCKELBO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52259-2025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46291</v>
      </c>
      <c r="F351" t="inlineStr">
        <is>
          <t>GÄVLEBORGS LÄN</t>
        </is>
      </c>
      <c r="G351" t="inlineStr">
        <is>
          <t>OCKELBO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46291</v>
      </c>
      <c r="F352" t="inlineStr">
        <is>
          <t>GÄVLEBORGS LÄN</t>
        </is>
      </c>
      <c r="G352" t="inlineStr">
        <is>
          <t>OCKELBO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46291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46291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46291</v>
      </c>
      <c r="F355" t="inlineStr">
        <is>
          <t>GÄVLEBORGS LÄN</t>
        </is>
      </c>
      <c r="G355" t="inlineStr">
        <is>
          <t>OCKELBO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46291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45281</v>
      </c>
      <c r="E357" s="1" t="n">
        <v>46291</v>
      </c>
      <c r="F357" t="inlineStr">
        <is>
          <t>GÄVLEBORGS LÄN</t>
        </is>
      </c>
      <c r="G357" t="inlineStr">
        <is>
          <t>OCKELBO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46291</v>
      </c>
      <c r="F358" t="inlineStr">
        <is>
          <t>GÄVLEBORGS LÄN</t>
        </is>
      </c>
      <c r="G358" t="inlineStr">
        <is>
          <t>OCKELBO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46291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46291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46291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46291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65259-2023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45291</v>
      </c>
      <c r="E363" s="1" t="n">
        <v>46291</v>
      </c>
      <c r="F363" t="inlineStr">
        <is>
          <t>GÄVLEBORGS LÄN</t>
        </is>
      </c>
      <c r="G363" t="inlineStr">
        <is>
          <t>OCKELBO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46114</v>
      </c>
      <c r="E364" s="1" t="n">
        <v>46291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46291</v>
      </c>
      <c r="F365" t="inlineStr">
        <is>
          <t>GÄVLEBORGS LÄN</t>
        </is>
      </c>
      <c r="G365" t="inlineStr">
        <is>
          <t>OCKELBO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46291</v>
      </c>
      <c r="F366" t="inlineStr">
        <is>
          <t>GÄVLEBORGS LÄN</t>
        </is>
      </c>
      <c r="G366" t="inlineStr">
        <is>
          <t>OCKELBO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46291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46291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46291</v>
      </c>
      <c r="F369" t="inlineStr">
        <is>
          <t>GÄVLEBORGS LÄN</t>
        </is>
      </c>
      <c r="G369" t="inlineStr">
        <is>
          <t>OCKELBO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46291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46118</v>
      </c>
      <c r="E371" s="1" t="n">
        <v>46291</v>
      </c>
      <c r="F371" t="inlineStr">
        <is>
          <t>GÄVLEBORGS LÄN</t>
        </is>
      </c>
      <c r="G371" t="inlineStr">
        <is>
          <t>OCKELBO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46291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46291</v>
      </c>
      <c r="F373" t="inlineStr">
        <is>
          <t>GÄVLEBORGS LÄN</t>
        </is>
      </c>
      <c r="G373" t="inlineStr">
        <is>
          <t>OCKELBO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46291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öst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10326-2026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46291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46077</v>
      </c>
      <c r="E376" s="1" t="n">
        <v>46291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öst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46291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öst AB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46291</v>
      </c>
      <c r="F378" t="inlineStr">
        <is>
          <t>GÄVLEBORGS LÄN</t>
        </is>
      </c>
      <c r="G378" t="inlineStr">
        <is>
          <t>OCKELBO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46291</v>
      </c>
      <c r="F379" t="inlineStr">
        <is>
          <t>GÄVLEBORGS LÄN</t>
        </is>
      </c>
      <c r="G379" t="inlineStr">
        <is>
          <t>OCKELBO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46291</v>
      </c>
      <c r="F380" t="inlineStr">
        <is>
          <t>GÄVLEBORGS LÄN</t>
        </is>
      </c>
      <c r="G380" t="inlineStr">
        <is>
          <t>OCKELBO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46291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46291</v>
      </c>
      <c r="F382" t="inlineStr">
        <is>
          <t>GÄVLEBORGS LÄN</t>
        </is>
      </c>
      <c r="G382" t="inlineStr">
        <is>
          <t>OCKELBO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45106</v>
      </c>
      <c r="E383" s="1" t="n">
        <v>46291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46291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52335-2024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45609</v>
      </c>
      <c r="E385" s="1" t="n">
        <v>46291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46291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öst AB</t>
        </is>
      </c>
      <c r="I386" t="n">
        <v>7.6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18248-2026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46126</v>
      </c>
      <c r="E387" s="1" t="n">
        <v>46291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46291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46291</v>
      </c>
      <c r="F389" t="inlineStr">
        <is>
          <t>GÄVLEBORGS LÄN</t>
        </is>
      </c>
      <c r="G389" t="inlineStr">
        <is>
          <t>OCKELBO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46127</v>
      </c>
      <c r="E390" s="1" t="n">
        <v>46291</v>
      </c>
      <c r="F390" t="inlineStr">
        <is>
          <t>GÄVLEBORGS LÄN</t>
        </is>
      </c>
      <c r="G390" t="inlineStr">
        <is>
          <t>OCKELBO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46291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46291</v>
      </c>
      <c r="F392" t="inlineStr">
        <is>
          <t>GÄVLEBORGS LÄN</t>
        </is>
      </c>
      <c r="G392" t="inlineStr">
        <is>
          <t>OCKELBO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46291</v>
      </c>
      <c r="F393" t="inlineStr">
        <is>
          <t>GÄVLEBORGS LÄN</t>
        </is>
      </c>
      <c r="G393" t="inlineStr">
        <is>
          <t>OCKELBO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45972</v>
      </c>
      <c r="E394" s="1" t="n">
        <v>46291</v>
      </c>
      <c r="F394" t="inlineStr">
        <is>
          <t>GÄVLEBORGS LÄN</t>
        </is>
      </c>
      <c r="G394" t="inlineStr">
        <is>
          <t>OCKELBO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53139-2024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45611</v>
      </c>
      <c r="E395" s="1" t="n">
        <v>46291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45674</v>
      </c>
      <c r="E396" s="1" t="n">
        <v>46291</v>
      </c>
      <c r="F396" t="inlineStr">
        <is>
          <t>GÄVLEBORGS LÄN</t>
        </is>
      </c>
      <c r="G396" t="inlineStr">
        <is>
          <t>OCKELBO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46291</v>
      </c>
      <c r="F397" t="inlineStr">
        <is>
          <t>GÄVLEBORGS LÄN</t>
        </is>
      </c>
      <c r="G397" t="inlineStr">
        <is>
          <t>OCKELBO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45972</v>
      </c>
      <c r="E398" s="1" t="n">
        <v>46291</v>
      </c>
      <c r="F398" t="inlineStr">
        <is>
          <t>GÄVLEBORGS LÄN</t>
        </is>
      </c>
      <c r="G398" t="inlineStr">
        <is>
          <t>OCKELBO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46291</v>
      </c>
      <c r="F399" t="inlineStr">
        <is>
          <t>GÄVLEBORGS LÄN</t>
        </is>
      </c>
      <c r="G399" t="inlineStr">
        <is>
          <t>OCKELBO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46291</v>
      </c>
      <c r="F400" t="inlineStr">
        <is>
          <t>GÄVLEBORGS LÄN</t>
        </is>
      </c>
      <c r="G400" t="inlineStr">
        <is>
          <t>OCKELBO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46291</v>
      </c>
      <c r="F401" t="inlineStr">
        <is>
          <t>GÄVLEBORGS LÄN</t>
        </is>
      </c>
      <c r="G401" t="inlineStr">
        <is>
          <t>OCKELBO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45973</v>
      </c>
      <c r="E402" s="1" t="n">
        <v>46291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55866-2025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46291</v>
      </c>
      <c r="F403" t="inlineStr">
        <is>
          <t>GÄVLEBORGS LÄN</t>
        </is>
      </c>
      <c r="G403" t="inlineStr">
        <is>
          <t>OCKELBO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55911-2025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45973</v>
      </c>
      <c r="E404" s="1" t="n">
        <v>46291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46291</v>
      </c>
      <c r="F405" t="inlineStr">
        <is>
          <t>GÄVLEBORGS LÄN</t>
        </is>
      </c>
      <c r="G405" t="inlineStr">
        <is>
          <t>OCKELBO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46291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46291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46291</v>
      </c>
      <c r="F408" t="inlineStr">
        <is>
          <t>GÄVLEBORGS LÄN</t>
        </is>
      </c>
      <c r="G408" t="inlineStr">
        <is>
          <t>OCKELBO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46291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46291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46291</v>
      </c>
      <c r="F411" t="inlineStr">
        <is>
          <t>GÄVLEBORGS LÄN</t>
        </is>
      </c>
      <c r="G411" t="inlineStr">
        <is>
          <t>OCKELBO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46291</v>
      </c>
      <c r="F412" t="inlineStr">
        <is>
          <t>GÄVLEBORGS LÄN</t>
        </is>
      </c>
      <c r="G412" t="inlineStr">
        <is>
          <t>OCKELBO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56803-2025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46291</v>
      </c>
      <c r="F413" t="inlineStr">
        <is>
          <t>GÄVLEBORGS LÄN</t>
        </is>
      </c>
      <c r="G413" t="inlineStr">
        <is>
          <t>OCKELBO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46291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56919-2025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46291</v>
      </c>
      <c r="F415" t="inlineStr">
        <is>
          <t>GÄVLEBORGS LÄN</t>
        </is>
      </c>
      <c r="G415" t="inlineStr">
        <is>
          <t>OCKELBO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18705-2026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46291</v>
      </c>
      <c r="F416" t="inlineStr">
        <is>
          <t>GÄVLEBORGS LÄN</t>
        </is>
      </c>
      <c r="G416" t="inlineStr">
        <is>
          <t>OCKELBO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46291</v>
      </c>
      <c r="F417" t="inlineStr">
        <is>
          <t>GÄVLEBORGS LÄN</t>
        </is>
      </c>
      <c r="G417" t="inlineStr">
        <is>
          <t>OCKELBO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46291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16530-2026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46291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46291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46291</v>
      </c>
      <c r="F421" t="inlineStr">
        <is>
          <t>GÄVLEBORGS LÄN</t>
        </is>
      </c>
      <c r="G421" t="inlineStr">
        <is>
          <t>OCKELBO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18669-2026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46128</v>
      </c>
      <c r="E422" s="1" t="n">
        <v>46291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46291</v>
      </c>
      <c r="F423" t="inlineStr">
        <is>
          <t>GÄVLEBORGS LÄN</t>
        </is>
      </c>
      <c r="G423" t="inlineStr">
        <is>
          <t>OCKELBO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46291</v>
      </c>
      <c r="F424" t="inlineStr">
        <is>
          <t>GÄVLEBORGS LÄN</t>
        </is>
      </c>
      <c r="G424" t="inlineStr">
        <is>
          <t>OCKELBO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46291</v>
      </c>
      <c r="F425" t="inlineStr">
        <is>
          <t>GÄVLEBORGS LÄN</t>
        </is>
      </c>
      <c r="G425" t="inlineStr">
        <is>
          <t>OCKELBO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46291</v>
      </c>
      <c r="F426" t="inlineStr">
        <is>
          <t>GÄVLEBORGS LÄN</t>
        </is>
      </c>
      <c r="G426" t="inlineStr">
        <is>
          <t>OCKELBO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46291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46291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46291</v>
      </c>
      <c r="F429" t="inlineStr">
        <is>
          <t>GÄVLEBORGS LÄN</t>
        </is>
      </c>
      <c r="G429" t="inlineStr">
        <is>
          <t>OCKELBO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46291</v>
      </c>
      <c r="F430" t="inlineStr">
        <is>
          <t>GÄVLEBORGS LÄN</t>
        </is>
      </c>
      <c r="G430" t="inlineStr">
        <is>
          <t>OCKELBO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19603-2026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46291</v>
      </c>
      <c r="F431" t="inlineStr">
        <is>
          <t>GÄVLEBORGS LÄN</t>
        </is>
      </c>
      <c r="G431" t="inlineStr">
        <is>
          <t>OCKELBO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32011-2024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45510</v>
      </c>
      <c r="E432" s="1" t="n">
        <v>46291</v>
      </c>
      <c r="F432" t="inlineStr">
        <is>
          <t>GÄVLEBORGS LÄN</t>
        </is>
      </c>
      <c r="G432" t="inlineStr">
        <is>
          <t>OCKELBO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46291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46291</v>
      </c>
      <c r="F434" t="inlineStr">
        <is>
          <t>GÄVLEBORGS LÄN</t>
        </is>
      </c>
      <c r="G434" t="inlineStr">
        <is>
          <t>OCKELBO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46133</v>
      </c>
      <c r="E435" s="1" t="n">
        <v>46291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19277-2026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46291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46291</v>
      </c>
      <c r="F437" t="inlineStr">
        <is>
          <t>GÄVLEBORGS LÄN</t>
        </is>
      </c>
      <c r="G437" t="inlineStr">
        <is>
          <t>OCKELBO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46291</v>
      </c>
      <c r="F438" t="inlineStr">
        <is>
          <t>GÄVLEBORGS LÄN</t>
        </is>
      </c>
      <c r="G438" t="inlineStr">
        <is>
          <t>OCKELBO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45511</v>
      </c>
      <c r="E439" s="1" t="n">
        <v>46291</v>
      </c>
      <c r="F439" t="inlineStr">
        <is>
          <t>GÄVLEBORGS LÄN</t>
        </is>
      </c>
      <c r="G439" t="inlineStr">
        <is>
          <t>OCKELBO</t>
        </is>
      </c>
      <c r="I439" t="n">
        <v>11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58770-2025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46291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45070</v>
      </c>
      <c r="E441" s="1" t="n">
        <v>46291</v>
      </c>
      <c r="F441" t="inlineStr">
        <is>
          <t>GÄVLEBORGS LÄN</t>
        </is>
      </c>
      <c r="G441" t="inlineStr">
        <is>
          <t>OCKELBO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46291</v>
      </c>
      <c r="F442" t="inlineStr">
        <is>
          <t>GÄVLEBORGS LÄN</t>
        </is>
      </c>
      <c r="G442" t="inlineStr">
        <is>
          <t>OCKELBO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46291</v>
      </c>
      <c r="F443" t="inlineStr">
        <is>
          <t>GÄVLEBORGS LÄN</t>
        </is>
      </c>
      <c r="G443" t="inlineStr">
        <is>
          <t>OCKELBO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46291</v>
      </c>
      <c r="F444" t="inlineStr">
        <is>
          <t>GÄVLEBORGS LÄN</t>
        </is>
      </c>
      <c r="G444" t="inlineStr">
        <is>
          <t>OCKELBO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46291</v>
      </c>
      <c r="F445" t="inlineStr">
        <is>
          <t>GÄVLEBORGS LÄN</t>
        </is>
      </c>
      <c r="G445" t="inlineStr">
        <is>
          <t>OCKELBO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46291</v>
      </c>
      <c r="F446" t="inlineStr">
        <is>
          <t>GÄVLEBORGS LÄN</t>
        </is>
      </c>
      <c r="G446" t="inlineStr">
        <is>
          <t>OCKELBO</t>
        </is>
      </c>
      <c r="H446" t="inlineStr">
        <is>
          <t>Kyrkan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45656</v>
      </c>
      <c r="E447" s="1" t="n">
        <v>46291</v>
      </c>
      <c r="F447" t="inlineStr">
        <is>
          <t>GÄVLEBORGS LÄN</t>
        </is>
      </c>
      <c r="G447" t="inlineStr">
        <is>
          <t>OCKELBO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46291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46291</v>
      </c>
      <c r="F449" t="inlineStr">
        <is>
          <t>GÄVLEBORGS LÄN</t>
        </is>
      </c>
      <c r="G449" t="inlineStr">
        <is>
          <t>OCKELBO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19945-2026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46291</v>
      </c>
      <c r="F450" t="inlineStr">
        <is>
          <t>GÄVLEBORGS LÄN</t>
        </is>
      </c>
      <c r="G450" t="inlineStr">
        <is>
          <t>OCKELBO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45817</v>
      </c>
      <c r="E451" s="1" t="n">
        <v>46291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46121</v>
      </c>
      <c r="E452" s="1" t="n">
        <v>46291</v>
      </c>
      <c r="F452" t="inlineStr">
        <is>
          <t>GÄVLEBORGS LÄN</t>
        </is>
      </c>
      <c r="G452" t="inlineStr">
        <is>
          <t>OCKELBO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46291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46291</v>
      </c>
      <c r="F454" t="inlineStr">
        <is>
          <t>GÄVLEBORGS LÄN</t>
        </is>
      </c>
      <c r="G454" t="inlineStr">
        <is>
          <t>OCKELBO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46291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45712</v>
      </c>
      <c r="E456" s="1" t="n">
        <v>46291</v>
      </c>
      <c r="F456" t="inlineStr">
        <is>
          <t>GÄVLEBORGS LÄN</t>
        </is>
      </c>
      <c r="G456" t="inlineStr">
        <is>
          <t>OCKELBO</t>
        </is>
      </c>
      <c r="I456" t="n">
        <v>14.7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60183-2025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45994</v>
      </c>
      <c r="E457" s="1" t="n">
        <v>46291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45817</v>
      </c>
      <c r="E458" s="1" t="n">
        <v>46291</v>
      </c>
      <c r="F458" t="inlineStr">
        <is>
          <t>GÄVLEBORGS LÄN</t>
        </is>
      </c>
      <c r="G458" t="inlineStr">
        <is>
          <t>OCKELBO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29567-2024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45484</v>
      </c>
      <c r="E459" s="1" t="n">
        <v>46291</v>
      </c>
      <c r="F459" t="inlineStr">
        <is>
          <t>GÄVLEBORGS LÄN</t>
        </is>
      </c>
      <c r="G459" t="inlineStr">
        <is>
          <t>OCKELBO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46291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45996</v>
      </c>
      <c r="E461" s="1" t="n">
        <v>46291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46291</v>
      </c>
      <c r="F462" t="inlineStr">
        <is>
          <t>GÄVLEBORGS LÄN</t>
        </is>
      </c>
      <c r="G462" t="inlineStr">
        <is>
          <t>OCKELBO</t>
        </is>
      </c>
      <c r="I462" t="n">
        <v>11.9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46291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46291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46291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46291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46291</v>
      </c>
      <c r="F467" t="inlineStr">
        <is>
          <t>GÄVLEBORGS LÄN</t>
        </is>
      </c>
      <c r="G467" t="inlineStr">
        <is>
          <t>OCKELBO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46291</v>
      </c>
      <c r="F468" t="inlineStr">
        <is>
          <t>GÄVLEBORGS LÄN</t>
        </is>
      </c>
      <c r="G468" t="inlineStr">
        <is>
          <t>OCKELBO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46291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46291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45534</v>
      </c>
      <c r="E471" s="1" t="n">
        <v>46291</v>
      </c>
      <c r="F471" t="inlineStr">
        <is>
          <t>GÄVLEBORGS LÄN</t>
        </is>
      </c>
      <c r="G471" t="inlineStr">
        <is>
          <t>OCKELBO</t>
        </is>
      </c>
      <c r="H471" t="inlineStr">
        <is>
          <t>Kyrkan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46291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46137</v>
      </c>
      <c r="E473" s="1" t="n">
        <v>46291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46291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30422-2023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46291</v>
      </c>
      <c r="F475" t="inlineStr">
        <is>
          <t>GÄVLEBORGS LÄN</t>
        </is>
      </c>
      <c r="G475" t="inlineStr">
        <is>
          <t>OCKELBO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46139</v>
      </c>
      <c r="E476" s="1" t="n">
        <v>46291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46291</v>
      </c>
      <c r="F477" t="inlineStr">
        <is>
          <t>GÄVLEBORGS LÄN</t>
        </is>
      </c>
      <c r="G477" t="inlineStr">
        <is>
          <t>OCKELBO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45819</v>
      </c>
      <c r="E478" s="1" t="n">
        <v>46291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62196-2025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46006</v>
      </c>
      <c r="E479" s="1" t="n">
        <v>46291</v>
      </c>
      <c r="F479" t="inlineStr">
        <is>
          <t>GÄVLEBORGS LÄN</t>
        </is>
      </c>
      <c r="G479" t="inlineStr">
        <is>
          <t>OCKELBO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45821</v>
      </c>
      <c r="E480" s="1" t="n">
        <v>46291</v>
      </c>
      <c r="F480" t="inlineStr">
        <is>
          <t>GÄVLEBORGS LÄN</t>
        </is>
      </c>
      <c r="G480" t="inlineStr">
        <is>
          <t>OCKELBO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50742-2025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46291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59383-2025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45989</v>
      </c>
      <c r="E482" s="1" t="n">
        <v>46291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28669-2025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45819</v>
      </c>
      <c r="E483" s="1" t="n">
        <v>46291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46291</v>
      </c>
      <c r="F484" t="inlineStr">
        <is>
          <t>GÄVLEBORGS LÄN</t>
        </is>
      </c>
      <c r="G484" t="inlineStr">
        <is>
          <t>OCKELBO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46291</v>
      </c>
      <c r="F485" t="inlineStr">
        <is>
          <t>GÄVLEBORGS LÄN</t>
        </is>
      </c>
      <c r="G485" t="inlineStr">
        <is>
          <t>OCKELBO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29953-2024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45488</v>
      </c>
      <c r="E486" s="1" t="n">
        <v>46291</v>
      </c>
      <c r="F486" t="inlineStr">
        <is>
          <t>GÄVLEBORGS LÄN</t>
        </is>
      </c>
      <c r="G486" t="inlineStr">
        <is>
          <t>OCKELBO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7907-2026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46291</v>
      </c>
      <c r="F487" t="inlineStr">
        <is>
          <t>GÄVLEBORGS LÄN</t>
        </is>
      </c>
      <c r="G487" t="inlineStr">
        <is>
          <t>OCKELBO</t>
        </is>
      </c>
      <c r="I487" t="n">
        <v>11.5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46291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46291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46291</v>
      </c>
      <c r="F490" t="inlineStr">
        <is>
          <t>GÄVLEBORGS LÄN</t>
        </is>
      </c>
      <c r="G490" t="inlineStr">
        <is>
          <t>OCKELBO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45698</v>
      </c>
      <c r="E491" s="1" t="n">
        <v>46291</v>
      </c>
      <c r="F491" t="inlineStr">
        <is>
          <t>GÄVLEBORGS LÄN</t>
        </is>
      </c>
      <c r="G491" t="inlineStr">
        <is>
          <t>OCKELBO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46291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46291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20155-2026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46138</v>
      </c>
      <c r="E494" s="1" t="n">
        <v>46291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46291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46291</v>
      </c>
      <c r="F496" t="inlineStr">
        <is>
          <t>GÄVLEBORGS LÄN</t>
        </is>
      </c>
      <c r="G496" t="inlineStr">
        <is>
          <t>OCKELBO</t>
        </is>
      </c>
      <c r="I496" t="n">
        <v>36.1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45526</v>
      </c>
      <c r="E497" s="1" t="n">
        <v>46291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46291</v>
      </c>
      <c r="F498" t="inlineStr">
        <is>
          <t>GÄVLEBORGS LÄN</t>
        </is>
      </c>
      <c r="G498" t="inlineStr">
        <is>
          <t>OCKELBO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46098</v>
      </c>
      <c r="E499" s="1" t="n">
        <v>46291</v>
      </c>
      <c r="F499" t="inlineStr">
        <is>
          <t>GÄVLEBORGS LÄN</t>
        </is>
      </c>
      <c r="G499" t="inlineStr">
        <is>
          <t>OCKELBO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46291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46291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63616-2025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46014</v>
      </c>
      <c r="E502" s="1" t="n">
        <v>46291</v>
      </c>
      <c r="F502" t="inlineStr">
        <is>
          <t>GÄVLEBORGS LÄN</t>
        </is>
      </c>
      <c r="G502" t="inlineStr">
        <is>
          <t>OCKELBO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63224-2025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46010</v>
      </c>
      <c r="E503" s="1" t="n">
        <v>46291</v>
      </c>
      <c r="F503" t="inlineStr">
        <is>
          <t>GÄVLEBORGS LÄN</t>
        </is>
      </c>
      <c r="G503" t="inlineStr">
        <is>
          <t>OCKELBO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46291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46013</v>
      </c>
      <c r="E505" s="1" t="n">
        <v>46291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15739-2026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46291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20.4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27997-2025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45817</v>
      </c>
      <c r="E507" s="1" t="n">
        <v>46291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45803</v>
      </c>
      <c r="E508" s="1" t="n">
        <v>46291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46291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46021</v>
      </c>
      <c r="E510" s="1" t="n">
        <v>46291</v>
      </c>
      <c r="F510" t="inlineStr">
        <is>
          <t>GÄVLEBORGS LÄN</t>
        </is>
      </c>
      <c r="G510" t="inlineStr">
        <is>
          <t>OCKELBO</t>
        </is>
      </c>
      <c r="I510" t="n">
        <v>18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46291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46291</v>
      </c>
      <c r="F512" t="inlineStr">
        <is>
          <t>GÄVLEBORGS LÄN</t>
        </is>
      </c>
      <c r="G512" t="inlineStr">
        <is>
          <t>OCKELBO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46291</v>
      </c>
      <c r="F513" t="inlineStr">
        <is>
          <t>GÄVLEBORGS LÄN</t>
        </is>
      </c>
      <c r="G513" t="inlineStr">
        <is>
          <t>OCKELBO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36604-2025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45870</v>
      </c>
      <c r="E514" s="1" t="n">
        <v>46291</v>
      </c>
      <c r="F514" t="inlineStr">
        <is>
          <t>GÄVLEBORGS LÄN</t>
        </is>
      </c>
      <c r="G514" t="inlineStr">
        <is>
          <t>OCKELBO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45800</v>
      </c>
      <c r="E515" s="1" t="n">
        <v>46291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46291</v>
      </c>
      <c r="F516" t="inlineStr">
        <is>
          <t>GÄVLEBORGS LÄN</t>
        </is>
      </c>
      <c r="G516" t="inlineStr">
        <is>
          <t>OCKELBO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45824</v>
      </c>
      <c r="E517" s="1" t="n">
        <v>46291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46291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46291</v>
      </c>
      <c r="F519" t="inlineStr">
        <is>
          <t>GÄVLEBORGS LÄN</t>
        </is>
      </c>
      <c r="G519" t="inlineStr">
        <is>
          <t>OCKELBO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45821</v>
      </c>
      <c r="E520" s="1" t="n">
        <v>46291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46291</v>
      </c>
      <c r="F521" t="inlineStr">
        <is>
          <t>GÄVLEBORGS LÄN</t>
        </is>
      </c>
      <c r="G521" t="inlineStr">
        <is>
          <t>OCKELBO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46291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46137</v>
      </c>
      <c r="E523" s="1" t="n">
        <v>46291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45022</v>
      </c>
      <c r="E524" s="1" t="n">
        <v>46291</v>
      </c>
      <c r="F524" t="inlineStr">
        <is>
          <t>GÄVLEBORGS LÄN</t>
        </is>
      </c>
      <c r="G524" t="inlineStr">
        <is>
          <t>OCKELBO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45925</v>
      </c>
      <c r="E525" s="1" t="n">
        <v>46291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56232-2022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44890</v>
      </c>
      <c r="E526" s="1" t="n">
        <v>46291</v>
      </c>
      <c r="F526" t="inlineStr">
        <is>
          <t>GÄVLEBORGS LÄN</t>
        </is>
      </c>
      <c r="G526" t="inlineStr">
        <is>
          <t>OCKELBO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46291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46291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44663</v>
      </c>
      <c r="E529" s="1" t="n">
        <v>46291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46291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46291</v>
      </c>
      <c r="F531" t="inlineStr">
        <is>
          <t>GÄVLEBORGS LÄN</t>
        </is>
      </c>
      <c r="G531" t="inlineStr">
        <is>
          <t>OCKELBO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61335-2022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44915</v>
      </c>
      <c r="E532" s="1" t="n">
        <v>46291</v>
      </c>
      <c r="F532" t="inlineStr">
        <is>
          <t>GÄVLEBORGS LÄN</t>
        </is>
      </c>
      <c r="G532" t="inlineStr">
        <is>
          <t>OCKELBO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46291</v>
      </c>
      <c r="F533" t="inlineStr">
        <is>
          <t>GÄVLEBORGS LÄN</t>
        </is>
      </c>
      <c r="G533" t="inlineStr">
        <is>
          <t>OCKELBO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46291</v>
      </c>
      <c r="F534" t="inlineStr">
        <is>
          <t>GÄVLEBORGS LÄN</t>
        </is>
      </c>
      <c r="G534" t="inlineStr">
        <is>
          <t>OCKELBO</t>
        </is>
      </c>
      <c r="I534" t="n">
        <v>10.3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44883</v>
      </c>
      <c r="E535" s="1" t="n">
        <v>46291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46291</v>
      </c>
      <c r="F536" t="inlineStr">
        <is>
          <t>GÄVLEBORGS LÄN</t>
        </is>
      </c>
      <c r="G536" t="inlineStr">
        <is>
          <t>OCKELBO</t>
        </is>
      </c>
      <c r="I536" t="n">
        <v>9.300000000000001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46291</v>
      </c>
      <c r="F537" t="inlineStr">
        <is>
          <t>GÄVLEBORGS LÄN</t>
        </is>
      </c>
      <c r="G537" t="inlineStr">
        <is>
          <t>OCKELBO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46091</v>
      </c>
      <c r="E538" s="1" t="n">
        <v>46291</v>
      </c>
      <c r="F538" t="inlineStr">
        <is>
          <t>GÄVLEBORGS LÄN</t>
        </is>
      </c>
      <c r="G538" t="inlineStr">
        <is>
          <t>OCKELBO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22151-2022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44712</v>
      </c>
      <c r="E539" s="1" t="n">
        <v>46291</v>
      </c>
      <c r="F539" t="inlineStr">
        <is>
          <t>GÄVLEBORGS LÄN</t>
        </is>
      </c>
      <c r="G539" t="inlineStr">
        <is>
          <t>OCKELBO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46066</v>
      </c>
      <c r="E540" s="1" t="n">
        <v>46291</v>
      </c>
      <c r="F540" t="inlineStr">
        <is>
          <t>GÄVLEBORGS LÄN</t>
        </is>
      </c>
      <c r="G540" t="inlineStr">
        <is>
          <t>OCKELBO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15484-2026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46291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10489-2026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46077</v>
      </c>
      <c r="E542" s="1" t="n">
        <v>46291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45111</v>
      </c>
      <c r="E543" s="1" t="n">
        <v>46291</v>
      </c>
      <c r="F543" t="inlineStr">
        <is>
          <t>GÄVLEBORGS LÄN</t>
        </is>
      </c>
      <c r="G543" t="inlineStr">
        <is>
          <t>OCKELBO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45827</v>
      </c>
      <c r="E544" s="1" t="n">
        <v>46291</v>
      </c>
      <c r="F544" t="inlineStr">
        <is>
          <t>GÄVLEBORGS LÄN</t>
        </is>
      </c>
      <c r="G544" t="inlineStr">
        <is>
          <t>OCKELBO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46291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23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45134</v>
      </c>
      <c r="E546" s="1" t="n">
        <v>46291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46291</v>
      </c>
      <c r="F547" t="inlineStr">
        <is>
          <t>GÄVLEBORGS LÄN</t>
        </is>
      </c>
      <c r="G547" t="inlineStr">
        <is>
          <t>OCKELBO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60117-2025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46291</v>
      </c>
      <c r="F548" t="inlineStr">
        <is>
          <t>GÄVLEBORGS LÄN</t>
        </is>
      </c>
      <c r="G548" t="inlineStr">
        <is>
          <t>OCKELBO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46291</v>
      </c>
      <c r="F549" t="inlineStr">
        <is>
          <t>GÄVLEBORGS LÄN</t>
        </is>
      </c>
      <c r="G549" t="inlineStr">
        <is>
          <t>OCKELBO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46291</v>
      </c>
      <c r="F550" t="inlineStr">
        <is>
          <t>GÄVLEBORGS LÄN</t>
        </is>
      </c>
      <c r="G550" t="inlineStr">
        <is>
          <t>OCKELBO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46291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46291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46291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46027</v>
      </c>
      <c r="E554" s="1" t="n">
        <v>46291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45827</v>
      </c>
      <c r="E555" s="1" t="n">
        <v>46291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36362-2024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45534</v>
      </c>
      <c r="E556" s="1" t="n">
        <v>46291</v>
      </c>
      <c r="F556" t="inlineStr">
        <is>
          <t>GÄVLEBORGS LÄN</t>
        </is>
      </c>
      <c r="G556" t="inlineStr">
        <is>
          <t>OCKELBO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45827</v>
      </c>
      <c r="E557" s="1" t="n">
        <v>46291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46291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46291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10083-2026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46291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46291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46291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46291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17951-2026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46122</v>
      </c>
      <c r="E564" s="1" t="n">
        <v>46291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46291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18097-2026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46125</v>
      </c>
      <c r="E566" s="1" t="n">
        <v>46291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46291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46291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46291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46291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46291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21277-2026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46291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öst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46291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21459-2026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46291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46291</v>
      </c>
      <c r="F575" t="inlineStr">
        <is>
          <t>GÄVLEBORGS LÄN</t>
        </is>
      </c>
      <c r="G575" t="inlineStr">
        <is>
          <t>OCKELBO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16629-2025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45754</v>
      </c>
      <c r="E576" s="1" t="n">
        <v>46291</v>
      </c>
      <c r="F576" t="inlineStr">
        <is>
          <t>GÄVLEBORGS LÄN</t>
        </is>
      </c>
      <c r="G576" t="inlineStr">
        <is>
          <t>OCKELBO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21640-2026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46291</v>
      </c>
      <c r="F577" t="inlineStr">
        <is>
          <t>GÄVLEBORGS LÄN</t>
        </is>
      </c>
      <c r="G577" t="inlineStr">
        <is>
          <t>OCKELBO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46291</v>
      </c>
      <c r="F578" t="inlineStr">
        <is>
          <t>GÄVLEBORGS LÄN</t>
        </is>
      </c>
      <c r="G578" t="inlineStr">
        <is>
          <t>OCKELBO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46291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46291</v>
      </c>
      <c r="F580" t="inlineStr">
        <is>
          <t>GÄVLEBORGS LÄN</t>
        </is>
      </c>
      <c r="G580" t="inlineStr">
        <is>
          <t>OCKELBO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46291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46291</v>
      </c>
      <c r="F582" t="inlineStr">
        <is>
          <t>GÄVLEBORGS LÄN</t>
        </is>
      </c>
      <c r="G582" t="inlineStr">
        <is>
          <t>OCKELBO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46291</v>
      </c>
      <c r="F583" t="inlineStr">
        <is>
          <t>GÄVLEBORGS LÄN</t>
        </is>
      </c>
      <c r="G583" t="inlineStr">
        <is>
          <t>OCKELBO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12352-2026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46088</v>
      </c>
      <c r="E584" s="1" t="n">
        <v>46291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9.199999999999999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9413-2026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46291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46291</v>
      </c>
      <c r="F586" t="inlineStr">
        <is>
          <t>GÄVLEBORGS LÄN</t>
        </is>
      </c>
      <c r="G586" t="inlineStr">
        <is>
          <t>OCKELBO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43071-2025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45909</v>
      </c>
      <c r="E587" s="1" t="n">
        <v>46291</v>
      </c>
      <c r="F587" t="inlineStr">
        <is>
          <t>GÄVLEBORGS LÄN</t>
        </is>
      </c>
      <c r="G587" t="inlineStr">
        <is>
          <t>OCKELBO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46291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46291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46291</v>
      </c>
      <c r="F590" t="inlineStr">
        <is>
          <t>GÄVLEBORGS LÄN</t>
        </is>
      </c>
      <c r="G590" t="inlineStr">
        <is>
          <t>OCKELBO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46291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46291</v>
      </c>
      <c r="F592" t="inlineStr">
        <is>
          <t>GÄVLEBORGS LÄN</t>
        </is>
      </c>
      <c r="G592" t="inlineStr">
        <is>
          <t>OCKELBO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46291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46291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46291</v>
      </c>
      <c r="F595" t="inlineStr">
        <is>
          <t>GÄVLEBORGS LÄN</t>
        </is>
      </c>
      <c r="G595" t="inlineStr">
        <is>
          <t>OCKELBO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46291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46291</v>
      </c>
      <c r="F597" t="inlineStr">
        <is>
          <t>GÄVLEBORGS LÄN</t>
        </is>
      </c>
      <c r="G597" t="inlineStr">
        <is>
          <t>OCKELBO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46291</v>
      </c>
      <c r="F598" t="inlineStr">
        <is>
          <t>GÄVLEBORGS LÄN</t>
        </is>
      </c>
      <c r="G598" t="inlineStr">
        <is>
          <t>OCKELBO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46156</v>
      </c>
      <c r="E599" s="1" t="n">
        <v>46291</v>
      </c>
      <c r="F599" t="inlineStr">
        <is>
          <t>GÄVLEBORGS LÄN</t>
        </is>
      </c>
      <c r="G599" t="inlineStr">
        <is>
          <t>OCKELBO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32449-2025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46291</v>
      </c>
      <c r="F600" t="inlineStr">
        <is>
          <t>GÄVLEBORGS LÄN</t>
        </is>
      </c>
      <c r="G600" t="inlineStr">
        <is>
          <t>OCKELBO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60120-2025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46291</v>
      </c>
      <c r="F601" t="inlineStr">
        <is>
          <t>GÄVLEBORGS LÄN</t>
        </is>
      </c>
      <c r="G601" t="inlineStr">
        <is>
          <t>OCKELBO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46291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46609-2025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45926</v>
      </c>
      <c r="E603" s="1" t="n">
        <v>46291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46291</v>
      </c>
      <c r="F604" t="inlineStr">
        <is>
          <t>GÄVLEBORGS LÄN</t>
        </is>
      </c>
      <c r="G604" t="inlineStr">
        <is>
          <t>OCKELBO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45758</v>
      </c>
      <c r="E605" s="1" t="n">
        <v>46291</v>
      </c>
      <c r="F605" t="inlineStr">
        <is>
          <t>GÄVLEBORGS LÄN</t>
        </is>
      </c>
      <c r="G605" t="inlineStr">
        <is>
          <t>OCKELBO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46291</v>
      </c>
      <c r="F606" t="inlineStr">
        <is>
          <t>GÄVLEBORGS LÄN</t>
        </is>
      </c>
      <c r="G606" t="inlineStr">
        <is>
          <t>OCKELBO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46100</v>
      </c>
      <c r="E607" s="1" t="n">
        <v>46291</v>
      </c>
      <c r="F607" t="inlineStr">
        <is>
          <t>GÄVLEBORGS LÄN</t>
        </is>
      </c>
      <c r="G607" t="inlineStr">
        <is>
          <t>OCKELBO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22843-2026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46160</v>
      </c>
      <c r="E608" s="1" t="n">
        <v>46291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46122</v>
      </c>
      <c r="E609" s="1" t="n">
        <v>46291</v>
      </c>
      <c r="F609" t="inlineStr">
        <is>
          <t>GÄVLEBORGS LÄN</t>
        </is>
      </c>
      <c r="G609" t="inlineStr">
        <is>
          <t>OCKELBO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23040-2026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46161</v>
      </c>
      <c r="E610" s="1" t="n">
        <v>46291</v>
      </c>
      <c r="F610" t="inlineStr">
        <is>
          <t>GÄVLEBORGS LÄN</t>
        </is>
      </c>
      <c r="G610" t="inlineStr">
        <is>
          <t>OCKELBO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46161</v>
      </c>
      <c r="E611" s="1" t="n">
        <v>46291</v>
      </c>
      <c r="F611" t="inlineStr">
        <is>
          <t>GÄVLEBORGS LÄN</t>
        </is>
      </c>
      <c r="G611" t="inlineStr">
        <is>
          <t>OCKELBO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33228-2025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46291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33231-2025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45840</v>
      </c>
      <c r="E613" s="1" t="n">
        <v>46291</v>
      </c>
      <c r="F613" t="inlineStr">
        <is>
          <t>GÄVLEBORGS LÄN</t>
        </is>
      </c>
      <c r="G613" t="inlineStr">
        <is>
          <t>OCKELBO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9859-2025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45716</v>
      </c>
      <c r="E614" s="1" t="n">
        <v>46291</v>
      </c>
      <c r="F614" t="inlineStr">
        <is>
          <t>GÄVLEBORGS LÄN</t>
        </is>
      </c>
      <c r="G614" t="inlineStr">
        <is>
          <t>OCKELBO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23060-2026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46161</v>
      </c>
      <c r="E615" s="1" t="n">
        <v>46291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30011-2023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45109</v>
      </c>
      <c r="E616" s="1" t="n">
        <v>46291</v>
      </c>
      <c r="F616" t="inlineStr">
        <is>
          <t>GÄVLEBORGS LÄN</t>
        </is>
      </c>
      <c r="G616" t="inlineStr">
        <is>
          <t>OCKELBO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46291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10149-2025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46291</v>
      </c>
      <c r="F618" t="inlineStr">
        <is>
          <t>GÄVLEBORGS LÄN</t>
        </is>
      </c>
      <c r="G618" t="inlineStr">
        <is>
          <t>OCKELBO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23006-2023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45073</v>
      </c>
      <c r="E619" s="1" t="n">
        <v>46291</v>
      </c>
      <c r="F619" t="inlineStr">
        <is>
          <t>GÄVLEBORGS LÄN</t>
        </is>
      </c>
      <c r="G619" t="inlineStr">
        <is>
          <t>OCKELBO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46291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23663-2026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46164</v>
      </c>
      <c r="E621" s="1" t="n">
        <v>46291</v>
      </c>
      <c r="F621" t="inlineStr">
        <is>
          <t>GÄVLEBORGS LÄN</t>
        </is>
      </c>
      <c r="G621" t="inlineStr">
        <is>
          <t>OCKELBO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46291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35017-2025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45851</v>
      </c>
      <c r="E623" s="1" t="n">
        <v>46291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27.8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24185-2026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46291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46291</v>
      </c>
      <c r="F625" t="inlineStr">
        <is>
          <t>GÄVLEBORGS LÄN</t>
        </is>
      </c>
      <c r="G625" t="inlineStr">
        <is>
          <t>OCKELBO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46291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24408-2026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46291</v>
      </c>
      <c r="F627" t="inlineStr">
        <is>
          <t>GÄVLEBORGS LÄN</t>
        </is>
      </c>
      <c r="G627" t="inlineStr">
        <is>
          <t>OCKELBO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46291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46291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24333-2026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46291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46291</v>
      </c>
      <c r="F631" t="inlineStr">
        <is>
          <t>GÄVLEBORGS LÄN</t>
        </is>
      </c>
      <c r="G631" t="inlineStr">
        <is>
          <t>OCKELBO</t>
        </is>
      </c>
      <c r="I631" t="n">
        <v>8.1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46291</v>
      </c>
      <c r="F632" t="inlineStr">
        <is>
          <t>GÄVLEBORGS LÄN</t>
        </is>
      </c>
      <c r="G632" t="inlineStr">
        <is>
          <t>OCKELBO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46023</v>
      </c>
      <c r="E633" s="1" t="n">
        <v>46291</v>
      </c>
      <c r="F633" t="inlineStr">
        <is>
          <t>GÄVLEBORGS LÄN</t>
        </is>
      </c>
      <c r="G633" t="inlineStr">
        <is>
          <t>OCKELBO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46291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46291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54944-2025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45967</v>
      </c>
      <c r="E636" s="1" t="n">
        <v>46291</v>
      </c>
      <c r="F636" t="inlineStr">
        <is>
          <t>GÄVLEBORGS LÄN</t>
        </is>
      </c>
      <c r="G636" t="inlineStr">
        <is>
          <t>OCKELBO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46291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46291</v>
      </c>
      <c r="F638" t="inlineStr">
        <is>
          <t>GÄVLEBORGS LÄN</t>
        </is>
      </c>
      <c r="G638" t="inlineStr">
        <is>
          <t>OCKELBO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46291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46291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37438-2023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45156</v>
      </c>
      <c r="E641" s="1" t="n">
        <v>46291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46291</v>
      </c>
      <c r="F642" t="inlineStr">
        <is>
          <t>GÄVLEBORGS LÄN</t>
        </is>
      </c>
      <c r="G642" t="inlineStr">
        <is>
          <t>OCKELBO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46291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25128-2026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46175</v>
      </c>
      <c r="E644" s="1" t="n">
        <v>46291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25133-2026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46175</v>
      </c>
      <c r="E645" s="1" t="n">
        <v>46291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46291</v>
      </c>
      <c r="F646" t="inlineStr">
        <is>
          <t>GÄVLEBORGS LÄN</t>
        </is>
      </c>
      <c r="G646" t="inlineStr">
        <is>
          <t>OCKELBO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46291</v>
      </c>
      <c r="F647" t="inlineStr">
        <is>
          <t>GÄVLEBORGS LÄN</t>
        </is>
      </c>
      <c r="G647" t="inlineStr">
        <is>
          <t>OCKELBO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46291</v>
      </c>
      <c r="F648" t="inlineStr">
        <is>
          <t>GÄVLEBORGS LÄN</t>
        </is>
      </c>
      <c r="G648" t="inlineStr">
        <is>
          <t>OCKELBO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50968-2024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46291</v>
      </c>
      <c r="F649" t="inlineStr">
        <is>
          <t>GÄVLEBORGS LÄN</t>
        </is>
      </c>
      <c r="G649" t="inlineStr">
        <is>
          <t>OCKELBO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25525-2026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46177</v>
      </c>
      <c r="E650" s="1" t="n">
        <v>46291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9.4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46291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46291</v>
      </c>
      <c r="F652" t="inlineStr">
        <is>
          <t>GÄVLEBORGS LÄN</t>
        </is>
      </c>
      <c r="G652" t="inlineStr">
        <is>
          <t>OCKELBO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48804-2024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45593</v>
      </c>
      <c r="E653" s="1" t="n">
        <v>46291</v>
      </c>
      <c r="F653" t="inlineStr">
        <is>
          <t>GÄVLEBORGS LÄN</t>
        </is>
      </c>
      <c r="G653" t="inlineStr">
        <is>
          <t>OCKELBO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18291-2023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45041</v>
      </c>
      <c r="E654" s="1" t="n">
        <v>46291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22692-2026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46156</v>
      </c>
      <c r="E655" s="1" t="n">
        <v>46291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53137-2024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45611</v>
      </c>
      <c r="E656" s="1" t="n">
        <v>46291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46291</v>
      </c>
      <c r="F657" t="inlineStr">
        <is>
          <t>GÄVLEBORGS LÄN</t>
        </is>
      </c>
      <c r="G657" t="inlineStr">
        <is>
          <t>OCKELBO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46291</v>
      </c>
      <c r="F658" t="inlineStr">
        <is>
          <t>GÄVLEBORGS LÄN</t>
        </is>
      </c>
      <c r="G658" t="inlineStr">
        <is>
          <t>OCKELBO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46291</v>
      </c>
      <c r="F659" t="inlineStr">
        <is>
          <t>GÄVLEBORGS LÄN</t>
        </is>
      </c>
      <c r="G659" t="inlineStr">
        <is>
          <t>OCKELBO</t>
        </is>
      </c>
      <c r="I659" t="n">
        <v>14.6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46291</v>
      </c>
      <c r="F660" t="inlineStr">
        <is>
          <t>GÄVLEBORGS LÄN</t>
        </is>
      </c>
      <c r="G660" t="inlineStr">
        <is>
          <t>OCKELBO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46291</v>
      </c>
      <c r="F661" t="inlineStr">
        <is>
          <t>GÄVLEBORGS LÄN</t>
        </is>
      </c>
      <c r="G661" t="inlineStr">
        <is>
          <t>OCKELBO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27416-2026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46189</v>
      </c>
      <c r="E662" s="1" t="n">
        <v>46291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46189</v>
      </c>
      <c r="E663" s="1" t="n">
        <v>46291</v>
      </c>
      <c r="F663" t="inlineStr">
        <is>
          <t>GÄVLEBORGS LÄN</t>
        </is>
      </c>
      <c r="G663" t="inlineStr">
        <is>
          <t>OCKELBO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46189</v>
      </c>
      <c r="E664" s="1" t="n">
        <v>46291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10184-2026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46291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53702-2024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46291</v>
      </c>
      <c r="F666" t="inlineStr">
        <is>
          <t>GÄVLEBORGS LÄN</t>
        </is>
      </c>
      <c r="G666" t="inlineStr">
        <is>
          <t>OCKELBO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46291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27379-2026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46189</v>
      </c>
      <c r="E668" s="1" t="n">
        <v>46291</v>
      </c>
      <c r="F668" t="inlineStr">
        <is>
          <t>GÄVLEBORGS LÄN</t>
        </is>
      </c>
      <c r="G668" t="inlineStr">
        <is>
          <t>OCKELBO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27382-2026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46189</v>
      </c>
      <c r="E669" s="1" t="n">
        <v>46291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57614-2025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45981</v>
      </c>
      <c r="E670" s="1" t="n">
        <v>46291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46188</v>
      </c>
      <c r="E671" s="1" t="n">
        <v>46291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46291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46291</v>
      </c>
      <c r="F673" t="inlineStr">
        <is>
          <t>GÄVLEBORGS LÄN</t>
        </is>
      </c>
      <c r="G673" t="inlineStr">
        <is>
          <t>OCKELBO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46291</v>
      </c>
      <c r="F674" t="inlineStr">
        <is>
          <t>GÄVLEBORGS LÄN</t>
        </is>
      </c>
      <c r="G674" t="inlineStr">
        <is>
          <t>OCKELBO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46291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46190</v>
      </c>
      <c r="E676" s="1" t="n">
        <v>46291</v>
      </c>
      <c r="F676" t="inlineStr">
        <is>
          <t>GÄVLEBORGS LÄN</t>
        </is>
      </c>
      <c r="G676" t="inlineStr">
        <is>
          <t>OCKELBO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27889-2026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46191</v>
      </c>
      <c r="E677" s="1" t="n">
        <v>46291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44970</v>
      </c>
      <c r="E678" s="1" t="n">
        <v>46291</v>
      </c>
      <c r="F678" t="inlineStr">
        <is>
          <t>GÄVLEBORGS LÄN</t>
        </is>
      </c>
      <c r="G678" t="inlineStr">
        <is>
          <t>OCKELBO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61732-2024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45649</v>
      </c>
      <c r="E679" s="1" t="n">
        <v>46291</v>
      </c>
      <c r="F679" t="inlineStr">
        <is>
          <t>GÄVLEBORGS LÄN</t>
        </is>
      </c>
      <c r="G679" t="inlineStr">
        <is>
          <t>OCKELBO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46291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46291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28318-2026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46291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46291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22952-2023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45072</v>
      </c>
      <c r="E684" s="1" t="n">
        <v>46291</v>
      </c>
      <c r="F684" t="inlineStr">
        <is>
          <t>GÄVLEBORGS LÄN</t>
        </is>
      </c>
      <c r="G684" t="inlineStr">
        <is>
          <t>OCKELBO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46291</v>
      </c>
      <c r="F685" t="inlineStr">
        <is>
          <t>GÄVLEBORGS LÄN</t>
        </is>
      </c>
      <c r="G685" t="inlineStr">
        <is>
          <t>OCKELBO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9964-2025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45719</v>
      </c>
      <c r="E686" s="1" t="n">
        <v>46291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54977-2024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45620</v>
      </c>
      <c r="E687" s="1" t="n">
        <v>46291</v>
      </c>
      <c r="F687" t="inlineStr">
        <is>
          <t>GÄVLEBORGS LÄN</t>
        </is>
      </c>
      <c r="G687" t="inlineStr">
        <is>
          <t>OCKELBO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46291</v>
      </c>
      <c r="F688" t="inlineStr">
        <is>
          <t>GÄVLEBORGS LÄN</t>
        </is>
      </c>
      <c r="G688" t="inlineStr">
        <is>
          <t>OCKELBO</t>
        </is>
      </c>
      <c r="I688" t="n">
        <v>6.8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46183</v>
      </c>
      <c r="E689" s="1" t="n">
        <v>46291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46291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47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28725-2026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46291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49529-2024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45596</v>
      </c>
      <c r="E692" s="1" t="n">
        <v>46291</v>
      </c>
      <c r="F692" t="inlineStr">
        <is>
          <t>GÄVLEBORGS LÄN</t>
        </is>
      </c>
      <c r="G692" t="inlineStr">
        <is>
          <t>OCKELBO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45341</v>
      </c>
      <c r="E693" s="1" t="n">
        <v>46291</v>
      </c>
      <c r="F693" t="inlineStr">
        <is>
          <t>GÄVLEBORGS LÄN</t>
        </is>
      </c>
      <c r="G693" t="inlineStr">
        <is>
          <t>OCKELBO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29001-2026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46199</v>
      </c>
      <c r="E694" s="1" t="n">
        <v>46291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50194-2024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46291</v>
      </c>
      <c r="F695" t="inlineStr">
        <is>
          <t>GÄVLEBORGS LÄN</t>
        </is>
      </c>
      <c r="G695" t="inlineStr">
        <is>
          <t>OCKELBO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46291</v>
      </c>
      <c r="F696" t="inlineStr">
        <is>
          <t>GÄVLEBORGS LÄN</t>
        </is>
      </c>
      <c r="G696" t="inlineStr">
        <is>
          <t>OCKELBO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29386-2026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46291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46291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47100-2024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45586</v>
      </c>
      <c r="E699" s="1" t="n">
        <v>46291</v>
      </c>
      <c r="F699" t="inlineStr">
        <is>
          <t>GÄVLEBORGS LÄN</t>
        </is>
      </c>
      <c r="G699" t="inlineStr">
        <is>
          <t>OCKELBO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29415-2026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46203</v>
      </c>
      <c r="E700" s="1" t="n">
        <v>46291</v>
      </c>
      <c r="F700" t="inlineStr">
        <is>
          <t>GÄVLEBORGS LÄN</t>
        </is>
      </c>
      <c r="G700" t="inlineStr">
        <is>
          <t>OCKELBO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39424-2024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45551</v>
      </c>
      <c r="E701" s="1" t="n">
        <v>46291</v>
      </c>
      <c r="F701" t="inlineStr">
        <is>
          <t>GÄVLEBORGS LÄN</t>
        </is>
      </c>
      <c r="G701" t="inlineStr">
        <is>
          <t>OCKELBO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46291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29849-2026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46291</v>
      </c>
      <c r="F703" t="inlineStr">
        <is>
          <t>GÄVLEBORGS LÄN</t>
        </is>
      </c>
      <c r="G703" t="inlineStr">
        <is>
          <t>OCKELBO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29611-2026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46204</v>
      </c>
      <c r="E704" s="1" t="n">
        <v>46291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29789-2026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46205</v>
      </c>
      <c r="E705" s="1" t="n">
        <v>46291</v>
      </c>
      <c r="F705" t="inlineStr">
        <is>
          <t>GÄVLEBORGS LÄN</t>
        </is>
      </c>
      <c r="G705" t="inlineStr">
        <is>
          <t>OCKELBO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54309-2024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45617</v>
      </c>
      <c r="E706" s="1" t="n">
        <v>46291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14827-2026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46104</v>
      </c>
      <c r="E707" s="1" t="n">
        <v>46291</v>
      </c>
      <c r="F707" t="inlineStr">
        <is>
          <t>GÄVLEBORGS LÄN</t>
        </is>
      </c>
      <c r="G707" t="inlineStr">
        <is>
          <t>OCKELBO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42585-2023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45181</v>
      </c>
      <c r="E708" s="1" t="n">
        <v>46291</v>
      </c>
      <c r="F708" t="inlineStr">
        <is>
          <t>GÄVLEBORGS LÄN</t>
        </is>
      </c>
      <c r="G708" t="inlineStr">
        <is>
          <t>OCKELBO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56352-2024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46291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42313-2023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45180</v>
      </c>
      <c r="E710" s="1" t="n">
        <v>46291</v>
      </c>
      <c r="F710" t="inlineStr">
        <is>
          <t>GÄVLEBORGS LÄN</t>
        </is>
      </c>
      <c r="G710" t="inlineStr">
        <is>
          <t>OCKELBO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60915-2024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45645</v>
      </c>
      <c r="E711" s="1" t="n">
        <v>46291</v>
      </c>
      <c r="F711" t="inlineStr">
        <is>
          <t>GÄVLEBORGS LÄN</t>
        </is>
      </c>
      <c r="G711" t="inlineStr">
        <is>
          <t>OCKELBO</t>
        </is>
      </c>
      <c r="H711" t="inlineStr">
        <is>
          <t>Kyrkan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46291</v>
      </c>
      <c r="F712" t="inlineStr">
        <is>
          <t>GÄVLEBORGS LÄN</t>
        </is>
      </c>
      <c r="G712" t="inlineStr">
        <is>
          <t>OCKELBO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46254</v>
      </c>
      <c r="E713" s="1" t="n">
        <v>46291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45152</v>
      </c>
      <c r="E714" s="1" t="n">
        <v>46291</v>
      </c>
      <c r="F714" t="inlineStr">
        <is>
          <t>GÄVLEBORGS LÄN</t>
        </is>
      </c>
      <c r="G714" t="inlineStr">
        <is>
          <t>OCKELBO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19762-2024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45432</v>
      </c>
      <c r="E715" s="1" t="n">
        <v>46291</v>
      </c>
      <c r="F715" t="inlineStr">
        <is>
          <t>GÄVLEBORGS LÄN</t>
        </is>
      </c>
      <c r="G715" t="inlineStr">
        <is>
          <t>OCKELBO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21582-2024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45441</v>
      </c>
      <c r="E716" s="1" t="n">
        <v>46291</v>
      </c>
      <c r="F716" t="inlineStr">
        <is>
          <t>GÄVLEBORGS LÄN</t>
        </is>
      </c>
      <c r="G716" t="inlineStr">
        <is>
          <t>OCKELBO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46291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46291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17548-2025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45757</v>
      </c>
      <c r="E719" s="1" t="n">
        <v>46291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30990-2026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46291</v>
      </c>
      <c r="F720" t="inlineStr">
        <is>
          <t>GÄVLEBORGS LÄN</t>
        </is>
      </c>
      <c r="G720" t="inlineStr">
        <is>
          <t>OCKELBO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7478-2025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45705</v>
      </c>
      <c r="E721" s="1" t="n">
        <v>46291</v>
      </c>
      <c r="F721" t="inlineStr">
        <is>
          <t>GÄVLEBORGS LÄN</t>
        </is>
      </c>
      <c r="G721" t="inlineStr">
        <is>
          <t>OCKELBO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46052</v>
      </c>
      <c r="E722" s="1" t="n">
        <v>46291</v>
      </c>
      <c r="F722" t="inlineStr">
        <is>
          <t>GÄVLEBORGS LÄN</t>
        </is>
      </c>
      <c r="G722" t="inlineStr">
        <is>
          <t>OCKELBO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46260</v>
      </c>
      <c r="E723" s="1" t="n">
        <v>46291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46216</v>
      </c>
      <c r="E724" s="1" t="n">
        <v>46291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12983-2022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44643</v>
      </c>
      <c r="E725" s="1" t="n">
        <v>46291</v>
      </c>
      <c r="F725" t="inlineStr">
        <is>
          <t>GÄVLEBORGS LÄN</t>
        </is>
      </c>
      <c r="G725" t="inlineStr">
        <is>
          <t>OCKELBO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37391-2023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45156</v>
      </c>
      <c r="E726" s="1" t="n">
        <v>46291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56634-2023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45243</v>
      </c>
      <c r="E727" s="1" t="n">
        <v>46291</v>
      </c>
      <c r="F727" t="inlineStr">
        <is>
          <t>GÄVLEBORGS LÄN</t>
        </is>
      </c>
      <c r="G727" t="inlineStr">
        <is>
          <t>OCKELBO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59533-2023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45254</v>
      </c>
      <c r="E728" s="1" t="n">
        <v>46291</v>
      </c>
      <c r="F728" t="inlineStr">
        <is>
          <t>GÄVLEBORGS LÄN</t>
        </is>
      </c>
      <c r="G728" t="inlineStr">
        <is>
          <t>OCKELBO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46218</v>
      </c>
      <c r="E729" s="1" t="n">
        <v>46291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36521-2022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44804</v>
      </c>
      <c r="E730" s="1" t="n">
        <v>46291</v>
      </c>
      <c r="F730" t="inlineStr">
        <is>
          <t>GÄVLEBORGS LÄN</t>
        </is>
      </c>
      <c r="G730" t="inlineStr">
        <is>
          <t>OCKELBO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24228-2022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44725</v>
      </c>
      <c r="E731" s="1" t="n">
        <v>46291</v>
      </c>
      <c r="F731" t="inlineStr">
        <is>
          <t>GÄVLEBORGS LÄN</t>
        </is>
      </c>
      <c r="G731" t="inlineStr">
        <is>
          <t>OCKELBO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44781</v>
      </c>
      <c r="E732" s="1" t="n">
        <v>46291</v>
      </c>
      <c r="F732" t="inlineStr">
        <is>
          <t>GÄVLEBORGS LÄN</t>
        </is>
      </c>
      <c r="G732" t="inlineStr">
        <is>
          <t>OCKELBO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47841-2023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45204</v>
      </c>
      <c r="E733" s="1" t="n">
        <v>46291</v>
      </c>
      <c r="F733" t="inlineStr">
        <is>
          <t>GÄVLEBORGS LÄN</t>
        </is>
      </c>
      <c r="G733" t="inlineStr">
        <is>
          <t>OCKELBO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45134</v>
      </c>
      <c r="E734" s="1" t="n">
        <v>46291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20660-2022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44700</v>
      </c>
      <c r="E735" s="1" t="n">
        <v>46291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61750-2023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45265</v>
      </c>
      <c r="E736" s="1" t="n">
        <v>46291</v>
      </c>
      <c r="F736" t="inlineStr">
        <is>
          <t>GÄVLEBORGS LÄN</t>
        </is>
      </c>
      <c r="G736" t="inlineStr">
        <is>
          <t>OCKELBO</t>
        </is>
      </c>
      <c r="I736" t="n">
        <v>11.2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31443-2026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46220</v>
      </c>
      <c r="E737" s="1" t="n">
        <v>46291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15247-2025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45744</v>
      </c>
      <c r="E738" s="1" t="n">
        <v>46291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58156-2025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45982</v>
      </c>
      <c r="E739" s="1" t="n">
        <v>46291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13931-2026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46098</v>
      </c>
      <c r="E740" s="1" t="n">
        <v>46291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46223</v>
      </c>
      <c r="E741" s="1" t="n">
        <v>46291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35054-2022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44797</v>
      </c>
      <c r="E742" s="1" t="n">
        <v>46291</v>
      </c>
      <c r="F742" t="inlineStr">
        <is>
          <t>GÄVLEBORGS LÄN</t>
        </is>
      </c>
      <c r="G742" t="inlineStr">
        <is>
          <t>OCKELBO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9461-2026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46291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46223</v>
      </c>
      <c r="E744" s="1" t="n">
        <v>46291</v>
      </c>
      <c r="F744" t="inlineStr">
        <is>
          <t>GÄVLEBORGS LÄN</t>
        </is>
      </c>
      <c r="G744" t="inlineStr">
        <is>
          <t>OCKELBO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46223</v>
      </c>
      <c r="E745" s="1" t="n">
        <v>46291</v>
      </c>
      <c r="F745" t="inlineStr">
        <is>
          <t>GÄVLEBORGS LÄN</t>
        </is>
      </c>
      <c r="G745" t="inlineStr">
        <is>
          <t>OCKELBO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31571-2026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46224</v>
      </c>
      <c r="E746" s="1" t="n">
        <v>46291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45772</v>
      </c>
      <c r="E747" s="1" t="n">
        <v>46291</v>
      </c>
      <c r="F747" t="inlineStr">
        <is>
          <t>GÄVLEBORGS LÄN</t>
        </is>
      </c>
      <c r="G747" t="inlineStr">
        <is>
          <t>OCKELBO</t>
        </is>
      </c>
      <c r="I747" t="n">
        <v>14.8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46224</v>
      </c>
      <c r="E748" s="1" t="n">
        <v>46291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55112-2023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45237</v>
      </c>
      <c r="E749" s="1" t="n">
        <v>46291</v>
      </c>
      <c r="F749" t="inlineStr">
        <is>
          <t>GÄVLEBORGS LÄN</t>
        </is>
      </c>
      <c r="G749" t="inlineStr">
        <is>
          <t>OCKELBO</t>
        </is>
      </c>
      <c r="I749" t="n">
        <v>14.6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46267</v>
      </c>
      <c r="E750" s="1" t="n">
        <v>46291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36280-2026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46268</v>
      </c>
      <c r="E751" s="1" t="n">
        <v>46291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59978-2023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45254</v>
      </c>
      <c r="E752" s="1" t="n">
        <v>46291</v>
      </c>
      <c r="F752" t="inlineStr">
        <is>
          <t>GÄVLEBORGS LÄN</t>
        </is>
      </c>
      <c r="G752" t="inlineStr">
        <is>
          <t>OCKELBO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36380-2026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46268</v>
      </c>
      <c r="E753" s="1" t="n">
        <v>46291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45230</v>
      </c>
      <c r="E754" s="1" t="n">
        <v>46291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36467-2026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46291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36562-2026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46269</v>
      </c>
      <c r="E756" s="1" t="n">
        <v>46291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56034-2023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45240</v>
      </c>
      <c r="E757" s="1" t="n">
        <v>46291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31804-2026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46230</v>
      </c>
      <c r="E758" s="1" t="n">
        <v>46291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37110-2026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46274</v>
      </c>
      <c r="E759" s="1" t="n">
        <v>46291</v>
      </c>
      <c r="F759" t="inlineStr">
        <is>
          <t>GÄVLEBORGS LÄN</t>
        </is>
      </c>
      <c r="G759" t="inlineStr">
        <is>
          <t>OCKELBO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46291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37487-2026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46275</v>
      </c>
      <c r="E761" s="1" t="n">
        <v>46291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46232</v>
      </c>
      <c r="E762" s="1" t="n">
        <v>46291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37841-2026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46279</v>
      </c>
      <c r="E763" s="1" t="n">
        <v>46291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20605-2026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46140</v>
      </c>
      <c r="E764" s="1" t="n">
        <v>46291</v>
      </c>
      <c r="F764" t="inlineStr">
        <is>
          <t>GÄVLEBORGS LÄN</t>
        </is>
      </c>
      <c r="G764" t="inlineStr">
        <is>
          <t>OCKELBO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45301</v>
      </c>
      <c r="E765" s="1" t="n">
        <v>46291</v>
      </c>
      <c r="F765" t="inlineStr">
        <is>
          <t>GÄVLEBORGS LÄN</t>
        </is>
      </c>
      <c r="G765" t="inlineStr">
        <is>
          <t>OCKELBO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46291</v>
      </c>
      <c r="F766" t="inlineStr">
        <is>
          <t>GÄVLEBORGS LÄN</t>
        </is>
      </c>
      <c r="G766" t="inlineStr">
        <is>
          <t>OCKELBO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39710-2023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45167</v>
      </c>
      <c r="E767" s="1" t="n">
        <v>46291</v>
      </c>
      <c r="F767" t="inlineStr">
        <is>
          <t>GÄVLEBORGS LÄN</t>
        </is>
      </c>
      <c r="G767" t="inlineStr">
        <is>
          <t>OCKELBO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55906-2024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45623</v>
      </c>
      <c r="E768" s="1" t="n">
        <v>46291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45139</v>
      </c>
      <c r="E769" s="1" t="n">
        <v>46291</v>
      </c>
      <c r="F769" t="inlineStr">
        <is>
          <t>GÄVLEBORGS LÄN</t>
        </is>
      </c>
      <c r="G769" t="inlineStr">
        <is>
          <t>OCKELBO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38668-2026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46283</v>
      </c>
      <c r="E770" s="1" t="n">
        <v>46291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45548</v>
      </c>
      <c r="E771" s="1" t="n">
        <v>46291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46291</v>
      </c>
      <c r="F772" t="inlineStr">
        <is>
          <t>GÄVLEBORGS LÄN</t>
        </is>
      </c>
      <c r="G772" t="inlineStr">
        <is>
          <t>OCKELBO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46291</v>
      </c>
      <c r="F773" t="inlineStr">
        <is>
          <t>GÄVLEBORGS LÄN</t>
        </is>
      </c>
      <c r="G773" t="inlineStr">
        <is>
          <t>OCKELBO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33176-2026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46291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14071-2026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46291</v>
      </c>
      <c r="F775" t="inlineStr">
        <is>
          <t>GÄVLEBORGS LÄN</t>
        </is>
      </c>
      <c r="G775" t="inlineStr">
        <is>
          <t>OCKELBO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45132</v>
      </c>
      <c r="E776" s="1" t="n">
        <v>46291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34444-2023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45139</v>
      </c>
      <c r="E777" s="1" t="n">
        <v>46291</v>
      </c>
      <c r="F777" t="inlineStr">
        <is>
          <t>GÄVLEBORGS LÄN</t>
        </is>
      </c>
      <c r="G777" t="inlineStr">
        <is>
          <t>OCKELBO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44950</v>
      </c>
      <c r="E778" s="1" t="n">
        <v>46291</v>
      </c>
      <c r="F778" t="inlineStr">
        <is>
          <t>GÄVLEBORGS LÄN</t>
        </is>
      </c>
      <c r="G778" t="inlineStr">
        <is>
          <t>OCKELBO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50197-2024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45600</v>
      </c>
      <c r="E779" s="1" t="n">
        <v>46291</v>
      </c>
      <c r="F779" t="inlineStr">
        <is>
          <t>GÄVLEBORGS LÄN</t>
        </is>
      </c>
      <c r="G779" t="inlineStr">
        <is>
          <t>OCKELBO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52330-2024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45609</v>
      </c>
      <c r="E780" s="1" t="n">
        <v>46291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46289</v>
      </c>
      <c r="E781" s="1" t="n">
        <v>46291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60148-2023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45258</v>
      </c>
      <c r="E782" s="1" t="n">
        <v>46291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61116-2023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45261</v>
      </c>
      <c r="E783" s="1" t="n">
        <v>46291</v>
      </c>
      <c r="F783" t="inlineStr">
        <is>
          <t>GÄVLEBORGS LÄN</t>
        </is>
      </c>
      <c r="G783" t="inlineStr">
        <is>
          <t>OCKELBO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44281-2022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44839</v>
      </c>
      <c r="E784" s="1" t="n">
        <v>46291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15325-2025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45747</v>
      </c>
      <c r="E785" s="1" t="n">
        <v>46291</v>
      </c>
      <c r="F785" t="inlineStr">
        <is>
          <t>GÄVLEBORGS LÄN</t>
        </is>
      </c>
      <c r="G785" t="inlineStr">
        <is>
          <t>OCKELBO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29687-2023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45107</v>
      </c>
      <c r="E786" s="1" t="n">
        <v>46291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37442-2023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45156</v>
      </c>
      <c r="E787" s="1" t="n">
        <v>46291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46291</v>
      </c>
      <c r="F788" t="inlineStr">
        <is>
          <t>GÄVLEBORGS LÄN</t>
        </is>
      </c>
      <c r="G788" t="inlineStr">
        <is>
          <t>OCKELBO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33879-2023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45134</v>
      </c>
      <c r="E789" s="1" t="n">
        <v>46291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33987-2023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45134</v>
      </c>
      <c r="E790" s="1" t="n">
        <v>46291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29963-2024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45488</v>
      </c>
      <c r="E791" s="1" t="n">
        <v>46291</v>
      </c>
      <c r="F791" t="inlineStr">
        <is>
          <t>GÄVLEBORGS LÄN</t>
        </is>
      </c>
      <c r="G791" t="inlineStr">
        <is>
          <t>OCKELBO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52241-2024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46291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52243-2024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45608</v>
      </c>
      <c r="E793" s="1" t="n">
        <v>46291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34440-2023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45139</v>
      </c>
      <c r="E794" s="1" t="n">
        <v>46291</v>
      </c>
      <c r="F794" t="inlineStr">
        <is>
          <t>GÄVLEBORGS LÄN</t>
        </is>
      </c>
      <c r="G794" t="inlineStr">
        <is>
          <t>OCKELBO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29968-2024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45488</v>
      </c>
      <c r="E795" s="1" t="n">
        <v>46291</v>
      </c>
      <c r="F795" t="inlineStr">
        <is>
          <t>GÄVLEBORGS LÄN</t>
        </is>
      </c>
      <c r="G795" t="inlineStr">
        <is>
          <t>OCKELBO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51989-2023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45223</v>
      </c>
      <c r="E796" s="1" t="n">
        <v>46291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21900-2023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45068</v>
      </c>
      <c r="E797" s="1" t="n">
        <v>46291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45678</v>
      </c>
      <c r="E798" s="1" t="n">
        <v>46291</v>
      </c>
      <c r="F798" t="inlineStr">
        <is>
          <t>GÄVLEBORGS LÄN</t>
        </is>
      </c>
      <c r="G798" t="inlineStr">
        <is>
          <t>OCKELBO</t>
        </is>
      </c>
      <c r="I798" t="n">
        <v>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56741-2024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45628</v>
      </c>
      <c r="E799" s="1" t="n">
        <v>46291</v>
      </c>
      <c r="F799" t="inlineStr">
        <is>
          <t>GÄVLEBORGS LÄN</t>
        </is>
      </c>
      <c r="G799" t="inlineStr">
        <is>
          <t>OCKELBO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49448-2023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45211</v>
      </c>
      <c r="E800" s="1" t="n">
        <v>46291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19772-2025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45771</v>
      </c>
      <c r="E801" s="1" t="n">
        <v>46291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45771</v>
      </c>
      <c r="E802" s="1" t="n">
        <v>46291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46074-2024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45581</v>
      </c>
      <c r="E803" s="1" t="n">
        <v>46291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45068</v>
      </c>
      <c r="E804" s="1" t="n">
        <v>46291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39430-2024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45551</v>
      </c>
      <c r="E805" s="1" t="n">
        <v>46291</v>
      </c>
      <c r="F805" t="inlineStr">
        <is>
          <t>GÄVLEBORGS LÄN</t>
        </is>
      </c>
      <c r="G805" t="inlineStr">
        <is>
          <t>OCKELBO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55070-2023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45237</v>
      </c>
      <c r="E806" s="1" t="n">
        <v>46291</v>
      </c>
      <c r="F806" t="inlineStr">
        <is>
          <t>GÄVLEBORGS LÄN</t>
        </is>
      </c>
      <c r="G806" t="inlineStr">
        <is>
          <t>OCKELBO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40218-2023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46291</v>
      </c>
      <c r="F807" t="inlineStr">
        <is>
          <t>GÄVLEBORGS LÄN</t>
        </is>
      </c>
      <c r="G807" t="inlineStr">
        <is>
          <t>OCKELBO</t>
        </is>
      </c>
      <c r="I807" t="n">
        <v>13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19178-2023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45048</v>
      </c>
      <c r="E808" s="1" t="n">
        <v>46291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45156</v>
      </c>
      <c r="E809" s="1" t="n">
        <v>46291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45674</v>
      </c>
      <c r="E810" s="1" t="n">
        <v>46291</v>
      </c>
      <c r="F810" t="inlineStr">
        <is>
          <t>GÄVLEBORGS LÄN</t>
        </is>
      </c>
      <c r="G810" t="inlineStr">
        <is>
          <t>OCKELBO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59063-2023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45252</v>
      </c>
      <c r="E811" s="1" t="n">
        <v>46291</v>
      </c>
      <c r="F811" t="inlineStr">
        <is>
          <t>GÄVLEBORGS LÄN</t>
        </is>
      </c>
      <c r="G811" t="inlineStr">
        <is>
          <t>OCKELBO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44986</v>
      </c>
      <c r="E812" s="1" t="n">
        <v>46291</v>
      </c>
      <c r="F812" t="inlineStr">
        <is>
          <t>GÄVLEBORGS LÄN</t>
        </is>
      </c>
      <c r="G812" t="inlineStr">
        <is>
          <t>OCKELBO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37845-2024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45544</v>
      </c>
      <c r="E813" s="1" t="n">
        <v>46291</v>
      </c>
      <c r="F813" t="inlineStr">
        <is>
          <t>GÄVLEBORGS LÄN</t>
        </is>
      </c>
      <c r="G813" t="inlineStr">
        <is>
          <t>OCKELBO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20775-2025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46291</v>
      </c>
      <c r="F814" t="inlineStr">
        <is>
          <t>GÄVLEBORGS LÄN</t>
        </is>
      </c>
      <c r="G814" t="inlineStr">
        <is>
          <t>OCKELBO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52273-2024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46291</v>
      </c>
      <c r="F815" t="inlineStr">
        <is>
          <t>GÄVLEBORGS LÄN</t>
        </is>
      </c>
      <c r="G815" t="inlineStr">
        <is>
          <t>OCKELBO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54323-2024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45617</v>
      </c>
      <c r="E816" s="1" t="n">
        <v>46291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45258</v>
      </c>
      <c r="E817" s="1" t="n">
        <v>46291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37848-2024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45544</v>
      </c>
      <c r="E818" s="1" t="n">
        <v>46291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22387-2025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46291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45455</v>
      </c>
      <c r="E820" s="1" t="n">
        <v>46291</v>
      </c>
      <c r="F820" t="inlineStr">
        <is>
          <t>GÄVLEBORGS LÄN</t>
        </is>
      </c>
      <c r="G820" t="inlineStr">
        <is>
          <t>OCKELBO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46291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28584-2024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45478</v>
      </c>
      <c r="E822" s="1" t="n">
        <v>46291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28181-2022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44746</v>
      </c>
      <c r="E823" s="1" t="n">
        <v>46291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23004-2025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45790</v>
      </c>
      <c r="E824" s="1" t="n">
        <v>46291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48803-2024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45593</v>
      </c>
      <c r="E825" s="1" t="n">
        <v>46291</v>
      </c>
      <c r="F825" t="inlineStr">
        <is>
          <t>GÄVLEBORGS LÄN</t>
        </is>
      </c>
      <c r="G825" t="inlineStr">
        <is>
          <t>OCKELBO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20689-2025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45776</v>
      </c>
      <c r="E826" s="1" t="n">
        <v>46291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282-2024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45323</v>
      </c>
      <c r="E827" s="1" t="n">
        <v>46291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5063-2024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45638</v>
      </c>
      <c r="E828" s="1" t="n">
        <v>46291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154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195-2024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45315</v>
      </c>
      <c r="E829" s="1" t="n">
        <v>46291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46.4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411-2025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45699</v>
      </c>
      <c r="E830" s="1" t="n">
        <v>46291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24.3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7041-2022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44904</v>
      </c>
      <c r="E831" s="1" t="n">
        <v>46291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22.8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297-2026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46058</v>
      </c>
      <c r="E832" s="1" t="n">
        <v>46291</v>
      </c>
      <c r="F832" t="inlineStr">
        <is>
          <t>GÄVLEBORGS LÄN</t>
        </is>
      </c>
      <c r="G832" t="inlineStr">
        <is>
          <t>OCKELBO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657-2026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46089</v>
      </c>
      <c r="E833" s="1" t="n">
        <v>46291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131.3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1344-2026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46291</v>
      </c>
      <c r="F834" t="inlineStr">
        <is>
          <t>GÄVLEBORGS LÄN</t>
        </is>
      </c>
      <c r="G834" t="inlineStr">
        <is>
          <t>OCKELBO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1345-2026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46291</v>
      </c>
      <c r="F835" t="inlineStr">
        <is>
          <t>GÄVLEBORGS LÄN</t>
        </is>
      </c>
      <c r="G835" t="inlineStr">
        <is>
          <t>OCKELBO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190-2026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46048</v>
      </c>
      <c r="E836" s="1" t="n">
        <v>46291</v>
      </c>
      <c r="F836" t="inlineStr">
        <is>
          <t>GÄVLEBORGS LÄN</t>
        </is>
      </c>
      <c r="G836" t="inlineStr">
        <is>
          <t>OCKELBO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2026-09-26T02:03:08Z</dcterms:created>
  <dcterms:modified xmlns:dcterms="http://purl.org/dc/terms/" xmlns:xsi="http://www.w3.org/2001/XMLSchema-instance" xsi:type="dcterms:W3CDTF">2026-09-26T02:03:09Z</dcterms:modified>
</cp:coreProperties>
</file>