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46217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V2">
        <f>HYPERLINK("https://klasma.github.io/Logging_2101/artfynd/S 1081-2022 artfynd.xlsx", "S 1081-2022")</f>
        <v/>
      </c>
      <c r="W2">
        <f>HYPERLINK("https://klasma.github.io/Logging_2101/kartor/S 1081-2022 karta.png", "S 1081-2022")</f>
        <v/>
      </c>
      <c r="X2">
        <f>HYPERLINK("https://klasma.github.io/Logging_2101/knärot/S 1081-2022 karta knärot.png", "S 1081-2022")</f>
        <v/>
      </c>
      <c r="Y2">
        <f>HYPERLINK("https://klasma.github.io/Logging_2101/klagomål/S 1081-2022 FSC-klagomål.docx", "S 1081-2022")</f>
        <v/>
      </c>
      <c r="Z2">
        <f>HYPERLINK("https://klasma.github.io/Logging_2101/klagomålsmail/S 1081-2022 FSC-klagomål mail.docx", "S 1081-2022")</f>
        <v/>
      </c>
      <c r="AA2">
        <f>HYPERLINK("https://klasma.github.io/Logging_2101/tillsyn/S 1081-2022 tillsynsbegäran.docx", "S 1081-2022")</f>
        <v/>
      </c>
      <c r="AB2">
        <f>HYPERLINK("https://klasma.github.io/Logging_2101/tillsynsmail/S 1081-2022 tillsynsbegäran mail.docx", "S 1081-2022")</f>
        <v/>
      </c>
      <c r="AC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46217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s="2" t="inlineStr">
        <is>
          <t>Garnlav
Knärot
Dropptaggsvamp
Rosenticka
Tallticka
Ullticka
Grönpyrola
Kornig nållav
Vedticka</t>
        </is>
      </c>
      <c r="V3">
        <f>HYPERLINK("https://klasma.github.io/Logging_2101/artfynd/A 10492-2026 artfynd.xlsx", "A 10492-2026")</f>
        <v/>
      </c>
      <c r="W3">
        <f>HYPERLINK("https://klasma.github.io/Logging_2101/kartor/A 10492-2026 karta.png", "A 10492-2026")</f>
        <v/>
      </c>
      <c r="X3">
        <f>HYPERLINK("https://klasma.github.io/Logging_2101/knärot/A 10492-2026 karta knärot.png", "A 10492-2026")</f>
        <v/>
      </c>
      <c r="Y3">
        <f>HYPERLINK("https://klasma.github.io/Logging_2101/klagomål/A 10492-2026 FSC-klagomål.docx", "A 10492-2026")</f>
        <v/>
      </c>
      <c r="Z3">
        <f>HYPERLINK("https://klasma.github.io/Logging_2101/klagomålsmail/A 10492-2026 FSC-klagomål mail.docx", "A 10492-2026")</f>
        <v/>
      </c>
      <c r="AA3">
        <f>HYPERLINK("https://klasma.github.io/Logging_2101/tillsyn/A 10492-2026 tillsynsbegäran.docx", "A 10492-2026")</f>
        <v/>
      </c>
      <c r="AB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46217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s="2" t="inlineStr">
        <is>
          <t>Knärot
Kattfotslav
Lunglav
Stiftgelélav
Bårdlav
Korallblylav
Skinnlav
Stuplav</t>
        </is>
      </c>
      <c r="V4">
        <f>HYPERLINK("https://klasma.github.io/Logging_2101/artfynd/A 9898-2026 artfynd.xlsx", "A 9898-2026")</f>
        <v/>
      </c>
      <c r="W4">
        <f>HYPERLINK("https://klasma.github.io/Logging_2101/kartor/A 9898-2026 karta.png", "A 9898-2026")</f>
        <v/>
      </c>
      <c r="X4">
        <f>HYPERLINK("https://klasma.github.io/Logging_2101/knärot/A 9898-2026 karta knärot.png", "A 9898-2026")</f>
        <v/>
      </c>
      <c r="Y4">
        <f>HYPERLINK("https://klasma.github.io/Logging_2101/klagomål/A 9898-2026 FSC-klagomål.docx", "A 9898-2026")</f>
        <v/>
      </c>
      <c r="Z4">
        <f>HYPERLINK("https://klasma.github.io/Logging_2101/klagomålsmail/A 9898-2026 FSC-klagomål mail.docx", "A 9898-2026")</f>
        <v/>
      </c>
      <c r="AA4">
        <f>HYPERLINK("https://klasma.github.io/Logging_2101/tillsyn/A 9898-2026 tillsynsbegäran.docx", "A 9898-2026")</f>
        <v/>
      </c>
      <c r="AB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46217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s="2" t="inlineStr">
        <is>
          <t>Skrovlig taggsvamp
Blå taggsvamp
Dropptaggsvamp
Svartvit taggsvamp
Tallriska
Korallblylav
Revlummer</t>
        </is>
      </c>
      <c r="V5">
        <f>HYPERLINK("https://klasma.github.io/Logging_2101/artfynd/A 38086-2024 artfynd.xlsx", "A 38086-2024")</f>
        <v/>
      </c>
      <c r="W5">
        <f>HYPERLINK("https://klasma.github.io/Logging_2101/kartor/A 38086-2024 karta.png", "A 38086-2024")</f>
        <v/>
      </c>
      <c r="Y5">
        <f>HYPERLINK("https://klasma.github.io/Logging_2101/klagomål/A 38086-2024 FSC-klagomål.docx", "A 38086-2024")</f>
        <v/>
      </c>
      <c r="Z5">
        <f>HYPERLINK("https://klasma.github.io/Logging_2101/klagomålsmail/A 38086-2024 FSC-klagomål mail.docx", "A 38086-2024")</f>
        <v/>
      </c>
      <c r="AA5">
        <f>HYPERLINK("https://klasma.github.io/Logging_2101/tillsyn/A 38086-2024 tillsynsbegäran.docx", "A 38086-2024")</f>
        <v/>
      </c>
      <c r="AB5">
        <f>HYPERLINK("https://klasma.github.io/Logging_2101/tillsynsmail/A 38086-2024 tillsynsbegäran mail.docx", "A 38086-2024")</f>
        <v/>
      </c>
    </row>
    <row r="6" ht="15" customHeight="1">
      <c r="A6" t="inlineStr">
        <is>
          <t>A 14258-2026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46217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40.5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14</v>
      </c>
      <c r="U6" s="2" t="inlineStr">
        <is>
          <t>Garnlav
Blanksvart spiklav
Dropptaggsvamp
Vedskivlav
Mindre märgborre
Nästlav
Vågbandad barkbock</t>
        </is>
      </c>
      <c r="V6">
        <f>HYPERLINK("https://klasma.github.io/Logging_2101/artfynd/A 14258-2026 artfynd.xlsx", "A 14258-2026")</f>
        <v/>
      </c>
      <c r="W6">
        <f>HYPERLINK("https://klasma.github.io/Logging_2101/kartor/A 14258-2026 karta.png", "A 14258-2026")</f>
        <v/>
      </c>
      <c r="X6">
        <f>HYPERLINK("https://klasma.github.io/Logging_2101/knärot/A 14258-2026 karta knärot.png", "A 14258-2026")</f>
        <v/>
      </c>
      <c r="Y6">
        <f>HYPERLINK("https://klasma.github.io/Logging_2101/klagomål/A 14258-2026 FSC-klagomål.docx", "A 14258-2026")</f>
        <v/>
      </c>
      <c r="Z6">
        <f>HYPERLINK("https://klasma.github.io/Logging_2101/klagomålsmail/A 14258-2026 FSC-klagomål mail.docx", "A 14258-2026")</f>
        <v/>
      </c>
      <c r="AA6">
        <f>HYPERLINK("https://klasma.github.io/Logging_2101/tillsyn/A 14258-2026 tillsynsbegäran.docx", "A 14258-2026")</f>
        <v/>
      </c>
      <c r="AB6">
        <f>HYPERLINK("https://klasma.github.io/Logging_2101/tillsynsmail/A 14258-2026 tillsynsbegäran mail.docx", "A 14258-2026")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46217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s="2" t="inlineStr">
        <is>
          <t>Ladusvala
Orange taggsvamp
Talltita
Gröngöling
Svartvit flugsnappare
Trana
Fläcknycklar</t>
        </is>
      </c>
      <c r="V7">
        <f>HYPERLINK("https://klasma.github.io/Logging_2101/artfynd/A 4009-2026 artfynd.xlsx", "A 4009-2026")</f>
        <v/>
      </c>
      <c r="W7">
        <f>HYPERLINK("https://klasma.github.io/Logging_2101/kartor/A 4009-2026 karta.png", "A 4009-2026")</f>
        <v/>
      </c>
      <c r="Y7">
        <f>HYPERLINK("https://klasma.github.io/Logging_2101/klagomål/A 4009-2026 FSC-klagomål.docx", "A 4009-2026")</f>
        <v/>
      </c>
      <c r="Z7">
        <f>HYPERLINK("https://klasma.github.io/Logging_2101/klagomålsmail/A 4009-2026 FSC-klagomål mail.docx", "A 4009-2026")</f>
        <v/>
      </c>
      <c r="AA7">
        <f>HYPERLINK("https://klasma.github.io/Logging_2101/tillsyn/A 4009-2026 tillsynsbegäran.docx", "A 4009-2026")</f>
        <v/>
      </c>
      <c r="AB7">
        <f>HYPERLINK("https://klasma.github.io/Logging_2101/tillsynsmail/A 4009-2026 tillsynsbegäran mail.docx", "A 4009-2026")</f>
        <v/>
      </c>
      <c r="AC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46217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s="2" t="inlineStr">
        <is>
          <t>Garnlav
Dropptaggsvamp
Motaggsvamp
Plattlummer
Skinnlav
Fläcknycklar
Revlummer</t>
        </is>
      </c>
      <c r="V8">
        <f>HYPERLINK("https://klasma.github.io/Logging_2101/artfynd/A 19165-2026 artfynd.xlsx", "A 19165-2026")</f>
        <v/>
      </c>
      <c r="W8">
        <f>HYPERLINK("https://klasma.github.io/Logging_2101/kartor/A 19165-2026 karta.png", "A 19165-2026")</f>
        <v/>
      </c>
      <c r="Y8">
        <f>HYPERLINK("https://klasma.github.io/Logging_2101/klagomål/A 19165-2026 FSC-klagomål.docx", "A 19165-2026")</f>
        <v/>
      </c>
      <c r="Z8">
        <f>HYPERLINK("https://klasma.github.io/Logging_2101/klagomålsmail/A 19165-2026 FSC-klagomål mail.docx", "A 19165-2026")</f>
        <v/>
      </c>
      <c r="AA8">
        <f>HYPERLINK("https://klasma.github.io/Logging_2101/tillsyn/A 19165-2026 tillsynsbegäran.docx", "A 19165-2026")</f>
        <v/>
      </c>
      <c r="AB8">
        <f>HYPERLINK("https://klasma.github.io/Logging_2101/tillsynsmail/A 19165-2026 tillsynsbegäran mail.docx", "A 19165-2026")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46217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s="2" t="inlineStr">
        <is>
          <t>Vårärt
Skogsknipprot
Tibast
Blåsippa
Fläcknycklar
Lopplummer (aggregat)
Revlummer</t>
        </is>
      </c>
      <c r="V9">
        <f>HYPERLINK("https://klasma.github.io/Logging_2101/artfynd/A 29544-2023 artfynd.xlsx", "A 29544-2023")</f>
        <v/>
      </c>
      <c r="W9">
        <f>HYPERLINK("https://klasma.github.io/Logging_2101/kartor/A 29544-2023 karta.png", "A 29544-2023")</f>
        <v/>
      </c>
      <c r="Y9">
        <f>HYPERLINK("https://klasma.github.io/Logging_2101/klagomål/A 29544-2023 FSC-klagomål.docx", "A 29544-2023")</f>
        <v/>
      </c>
      <c r="Z9">
        <f>HYPERLINK("https://klasma.github.io/Logging_2101/klagomålsmail/A 29544-2023 FSC-klagomål mail.docx", "A 29544-2023")</f>
        <v/>
      </c>
      <c r="AA9">
        <f>HYPERLINK("https://klasma.github.io/Logging_2101/tillsyn/A 29544-2023 tillsynsbegäran.docx", "A 29544-2023")</f>
        <v/>
      </c>
      <c r="AB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46217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s="2" t="inlineStr">
        <is>
          <t>Motaggsvamp
Strandlummer
Talltita
Grönpyrola
Plattlummer
Gråspett
Grönsiska</t>
        </is>
      </c>
      <c r="V10">
        <f>HYPERLINK("https://klasma.github.io/Logging_2101/artfynd/S 1534-2023 artfynd.xlsx", "S 1534-2023")</f>
        <v/>
      </c>
      <c r="W10">
        <f>HYPERLINK("https://klasma.github.io/Logging_2101/kartor/S 1534-2023 karta.png", "S 1534-2023")</f>
        <v/>
      </c>
      <c r="Y10">
        <f>HYPERLINK("https://klasma.github.io/Logging_2101/klagomål/S 1534-2023 FSC-klagomål.docx", "S 1534-2023")</f>
        <v/>
      </c>
      <c r="Z10">
        <f>HYPERLINK("https://klasma.github.io/Logging_2101/klagomålsmail/S 1534-2023 FSC-klagomål mail.docx", "S 1534-2023")</f>
        <v/>
      </c>
      <c r="AA10">
        <f>HYPERLINK("https://klasma.github.io/Logging_2101/tillsyn/S 1534-2023 tillsynsbegäran.docx", "S 1534-2023")</f>
        <v/>
      </c>
      <c r="AB10">
        <f>HYPERLINK("https://klasma.github.io/Logging_2101/tillsynsmail/S 1534-2023 tillsynsbegäran mail.docx", "S 1534-2023")</f>
        <v/>
      </c>
      <c r="AC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46217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s="2" t="inlineStr">
        <is>
          <t>Brunfläckig pärlemorfjäril
Garnlav
Motaggsvamp
Blåsippa
Tjäder
Fläcknycklar
Revlummer</t>
        </is>
      </c>
      <c r="V11">
        <f>HYPERLINK("https://klasma.github.io/Logging_2101/artfynd/S 1051-2024 artfynd.xlsx", "S 1051-2024")</f>
        <v/>
      </c>
      <c r="W11">
        <f>HYPERLINK("https://klasma.github.io/Logging_2101/kartor/S 1051-2024 karta.png", "S 1051-2024")</f>
        <v/>
      </c>
      <c r="Y11">
        <f>HYPERLINK("https://klasma.github.io/Logging_2101/klagomål/S 1051-2024 FSC-klagomål.docx", "S 1051-2024")</f>
        <v/>
      </c>
      <c r="Z11">
        <f>HYPERLINK("https://klasma.github.io/Logging_2101/klagomålsmail/S 1051-2024 FSC-klagomål mail.docx", "S 1051-2024")</f>
        <v/>
      </c>
      <c r="AA11">
        <f>HYPERLINK("https://klasma.github.io/Logging_2101/tillsyn/S 1051-2024 tillsynsbegäran.docx", "S 1051-2024")</f>
        <v/>
      </c>
      <c r="AB11">
        <f>HYPERLINK("https://klasma.github.io/Logging_2101/tillsynsmail/S 1051-2024 tillsynsbegäran mail.docx", "S 1051-2024")</f>
        <v/>
      </c>
      <c r="AC11">
        <f>HYPERLINK("https://klasma.github.io/Logging_2101/fåglar/S 1051-2024 prioriterade fågelarter.docx", "S 1051-2024")</f>
        <v/>
      </c>
    </row>
    <row r="12" ht="15" customHeight="1">
      <c r="A12" t="inlineStr">
        <is>
          <t>A 10518-2026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46217</v>
      </c>
      <c r="F12" t="inlineStr">
        <is>
          <t>GÄVLEBORGS LÄN</t>
        </is>
      </c>
      <c r="G12" t="inlineStr">
        <is>
          <t>OCKELBO</t>
        </is>
      </c>
      <c r="I12" t="n">
        <v>5.1</v>
      </c>
      <c r="J12" t="n">
        <v>1</v>
      </c>
      <c r="K12" t="n">
        <v>1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6</v>
      </c>
      <c r="T12" t="n">
        <v>17</v>
      </c>
      <c r="U12" s="2" t="inlineStr">
        <is>
          <t>Garnlav
Knärot
Rynkskinn
Tallticka
Ullticka
Bronshjon</t>
        </is>
      </c>
      <c r="V12">
        <f>HYPERLINK("https://klasma.github.io/Logging_2101/artfynd/A 10518-2026 artfynd.xlsx", "A 10518-2026")</f>
        <v/>
      </c>
      <c r="W12">
        <f>HYPERLINK("https://klasma.github.io/Logging_2101/kartor/A 10518-2026 karta.png", "A 10518-2026")</f>
        <v/>
      </c>
      <c r="X12">
        <f>HYPERLINK("https://klasma.github.io/Logging_2101/knärot/A 10518-2026 karta knärot.png", "A 10518-2026")</f>
        <v/>
      </c>
      <c r="Y12">
        <f>HYPERLINK("https://klasma.github.io/Logging_2101/klagomål/A 10518-2026 FSC-klagomål.docx", "A 10518-2026")</f>
        <v/>
      </c>
      <c r="Z12">
        <f>HYPERLINK("https://klasma.github.io/Logging_2101/klagomålsmail/A 10518-2026 FSC-klagomål mail.docx", "A 10518-2026")</f>
        <v/>
      </c>
      <c r="AA12">
        <f>HYPERLINK("https://klasma.github.io/Logging_2101/tillsyn/A 10518-2026 tillsynsbegäran.docx", "A 10518-2026")</f>
        <v/>
      </c>
      <c r="AB12">
        <f>HYPERLINK("https://klasma.github.io/Logging_2101/tillsynsmail/A 10518-2026 tillsynsbegäran mail.docx", "A 10518-2026")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46217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s="2" t="inlineStr">
        <is>
          <t>Kortskaftad ärgspik
Motaggsvamp
Järpe
Tjäder
Buskskvätta
Fläcknycklar</t>
        </is>
      </c>
      <c r="V13">
        <f>HYPERLINK("https://klasma.github.io/Logging_2101/artfynd/A 14671-2026 artfynd.xlsx", "A 14671-2026")</f>
        <v/>
      </c>
      <c r="W13">
        <f>HYPERLINK("https://klasma.github.io/Logging_2101/kartor/A 14671-2026 karta.png", "A 14671-2026")</f>
        <v/>
      </c>
      <c r="Y13">
        <f>HYPERLINK("https://klasma.github.io/Logging_2101/klagomål/A 14671-2026 FSC-klagomål.docx", "A 14671-2026")</f>
        <v/>
      </c>
      <c r="Z13">
        <f>HYPERLINK("https://klasma.github.io/Logging_2101/klagomålsmail/A 14671-2026 FSC-klagomål mail.docx", "A 14671-2026")</f>
        <v/>
      </c>
      <c r="AA13">
        <f>HYPERLINK("https://klasma.github.io/Logging_2101/tillsyn/A 14671-2026 tillsynsbegäran.docx", "A 14671-2026")</f>
        <v/>
      </c>
      <c r="AB13">
        <f>HYPERLINK("https://klasma.github.io/Logging_2101/tillsynsmail/A 14671-2026 tillsynsbegäran mail.docx", "A 14671-2026")</f>
        <v/>
      </c>
      <c r="AC13">
        <f>HYPERLINK("https://klasma.github.io/Logging_2101/fåglar/A 14671-2026 prioriterade fågelarter.docx", "A 14671-2026")</f>
        <v/>
      </c>
    </row>
    <row r="14" ht="15" customHeight="1">
      <c r="A14" t="inlineStr">
        <is>
          <t>A 33367-2025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46217</v>
      </c>
      <c r="F14" t="inlineStr">
        <is>
          <t>GÄVLEBORGS LÄN</t>
        </is>
      </c>
      <c r="G14" t="inlineStr">
        <is>
          <t>OCKELBO</t>
        </is>
      </c>
      <c r="I14" t="n">
        <v>1.7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6</v>
      </c>
      <c r="U14" s="2" t="inlineStr">
        <is>
          <t>Talltita
Vedskivlav
Bronshjon
Vågbandad barkbock
Spillkråka
Tjäder</t>
        </is>
      </c>
      <c r="V14">
        <f>HYPERLINK("https://klasma.github.io/Logging_2101/artfynd/A 33367-2025 artfynd.xlsx", "A 33367-2025")</f>
        <v/>
      </c>
      <c r="W14">
        <f>HYPERLINK("https://klasma.github.io/Logging_2101/kartor/A 33367-2025 karta.png", "A 33367-2025")</f>
        <v/>
      </c>
      <c r="Y14">
        <f>HYPERLINK("https://klasma.github.io/Logging_2101/klagomål/A 33367-2025 FSC-klagomål.docx", "A 33367-2025")</f>
        <v/>
      </c>
      <c r="Z14">
        <f>HYPERLINK("https://klasma.github.io/Logging_2101/klagomålsmail/A 33367-2025 FSC-klagomål mail.docx", "A 33367-2025")</f>
        <v/>
      </c>
      <c r="AA14">
        <f>HYPERLINK("https://klasma.github.io/Logging_2101/tillsyn/A 33367-2025 tillsynsbegäran.docx", "A 33367-2025")</f>
        <v/>
      </c>
      <c r="AB14">
        <f>HYPERLINK("https://klasma.github.io/Logging_2101/tillsynsmail/A 33367-2025 tillsynsbegäran mail.docx", "A 33367-2025")</f>
        <v/>
      </c>
      <c r="AC14">
        <f>HYPERLINK("https://klasma.github.io/Logging_2101/fåglar/A 33367-2025 prioriterade fågelarter.docx", "A 33367-2025")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46217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s="2" t="inlineStr">
        <is>
          <t>Blanksvart spiklav
Motaggsvamp
Vedskivlav
Nästlav
Revlummer</t>
        </is>
      </c>
      <c r="V15">
        <f>HYPERLINK("https://klasma.github.io/Logging_2101/artfynd/A 19141-2026 artfynd.xlsx", "A 19141-2026")</f>
        <v/>
      </c>
      <c r="W15">
        <f>HYPERLINK("https://klasma.github.io/Logging_2101/kartor/A 19141-2026 karta.png", "A 19141-2026")</f>
        <v/>
      </c>
      <c r="Y15">
        <f>HYPERLINK("https://klasma.github.io/Logging_2101/klagomål/A 19141-2026 FSC-klagomål.docx", "A 19141-2026")</f>
        <v/>
      </c>
      <c r="Z15">
        <f>HYPERLINK("https://klasma.github.io/Logging_2101/klagomålsmail/A 19141-2026 FSC-klagomål mail.docx", "A 19141-2026")</f>
        <v/>
      </c>
      <c r="AA15">
        <f>HYPERLINK("https://klasma.github.io/Logging_2101/tillsyn/A 19141-2026 tillsynsbegäran.docx", "A 19141-2026")</f>
        <v/>
      </c>
      <c r="AB15">
        <f>HYPERLINK("https://klasma.github.io/Logging_2101/tillsynsmail/A 19141-2026 tillsynsbegäran mail.docx", "A 19141-2026")</f>
        <v/>
      </c>
    </row>
    <row r="16" ht="15" customHeight="1">
      <c r="A16" t="inlineStr">
        <is>
          <t>S 890-2023</t>
        </is>
      </c>
      <c r="B16" t="inlineStr">
        <is>
          <t>samrådsanmälan</t>
        </is>
      </c>
      <c r="C16" t="inlineStr">
        <is>
          <t>Skogsgödsling</t>
        </is>
      </c>
      <c r="D16" s="1" t="n">
        <v>44995</v>
      </c>
      <c r="E16" s="1" t="n">
        <v>46217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151</v>
      </c>
      <c r="J16" t="n">
        <v>0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6</v>
      </c>
      <c r="U16" s="2" t="inlineStr">
        <is>
          <t>Garnlav
Dropptaggsvamp
Motaggsvamp
Skarp dropptaggsvamp
Smal svampklubba</t>
        </is>
      </c>
      <c r="V16">
        <f>HYPERLINK("https://klasma.github.io/Logging_2101/artfynd/S 890-2023 artfynd.xlsx", "S 890-2023")</f>
        <v/>
      </c>
      <c r="W16">
        <f>HYPERLINK("https://klasma.github.io/Logging_2101/kartor/S 890-2023 karta.png", "S 890-2023")</f>
        <v/>
      </c>
      <c r="Y16">
        <f>HYPERLINK("https://klasma.github.io/Logging_2101/klagomål/S 890-2023 FSC-klagomål.docx", "S 890-2023")</f>
        <v/>
      </c>
      <c r="Z16">
        <f>HYPERLINK("https://klasma.github.io/Logging_2101/klagomålsmail/S 890-2023 FSC-klagomål mail.docx", "S 890-2023")</f>
        <v/>
      </c>
      <c r="AA16">
        <f>HYPERLINK("https://klasma.github.io/Logging_2101/tillsyn/S 890-2023 tillsynsbegäran.docx", "S 890-2023")</f>
        <v/>
      </c>
      <c r="AB16">
        <f>HYPERLINK("https://klasma.github.io/Logging_2101/tillsynsmail/S 890-2023 tillsynsbegäran mail.docx", "S 890-2023")</f>
        <v/>
      </c>
    </row>
    <row r="17" ht="15" customHeight="1">
      <c r="A17" t="inlineStr">
        <is>
          <t>A 14115-2026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46099</v>
      </c>
      <c r="E17" s="1" t="n">
        <v>46217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10.7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s="2" t="inlineStr">
        <is>
          <t>Lunglav
Vedskivlav
Bårdlav
Stuplav</t>
        </is>
      </c>
      <c r="V17">
        <f>HYPERLINK("https://klasma.github.io/Logging_2101/artfynd/A 14115-2026 artfynd.xlsx", "A 14115-2026")</f>
        <v/>
      </c>
      <c r="W17">
        <f>HYPERLINK("https://klasma.github.io/Logging_2101/kartor/A 14115-2026 karta.png", "A 14115-2026")</f>
        <v/>
      </c>
      <c r="Y17">
        <f>HYPERLINK("https://klasma.github.io/Logging_2101/klagomål/A 14115-2026 FSC-klagomål.docx", "A 14115-2026")</f>
        <v/>
      </c>
      <c r="Z17">
        <f>HYPERLINK("https://klasma.github.io/Logging_2101/klagomålsmail/A 14115-2026 FSC-klagomål mail.docx", "A 14115-2026")</f>
        <v/>
      </c>
      <c r="AA17">
        <f>HYPERLINK("https://klasma.github.io/Logging_2101/tillsyn/A 14115-2026 tillsynsbegäran.docx", "A 14115-2026")</f>
        <v/>
      </c>
      <c r="AB17">
        <f>HYPERLINK("https://klasma.github.io/Logging_2101/tillsynsmail/A 14115-2026 tillsynsbegäran mail.docx", "A 14115-2026")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46217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s="2" t="inlineStr">
        <is>
          <t>Dropptaggsvamp
Violettgrå tagellav
Vågbandad barkbock
Tjäder</t>
        </is>
      </c>
      <c r="V18">
        <f>HYPERLINK("https://klasma.github.io/Logging_2101/artfynd/A 24596-2026 artfynd.xlsx", "A 24596-2026")</f>
        <v/>
      </c>
      <c r="W18">
        <f>HYPERLINK("https://klasma.github.io/Logging_2101/kartor/A 24596-2026 karta.png", "A 24596-2026")</f>
        <v/>
      </c>
      <c r="Y18">
        <f>HYPERLINK("https://klasma.github.io/Logging_2101/klagomål/A 24596-2026 FSC-klagomål.docx", "A 24596-2026")</f>
        <v/>
      </c>
      <c r="Z18">
        <f>HYPERLINK("https://klasma.github.io/Logging_2101/klagomålsmail/A 24596-2026 FSC-klagomål mail.docx", "A 24596-2026")</f>
        <v/>
      </c>
      <c r="AA18">
        <f>HYPERLINK("https://klasma.github.io/Logging_2101/tillsyn/A 24596-2026 tillsynsbegäran.docx", "A 24596-2026")</f>
        <v/>
      </c>
      <c r="AB18">
        <f>HYPERLINK("https://klasma.github.io/Logging_2101/tillsynsmail/A 24596-2026 tillsynsbegäran mail.docx", "A 24596-2026")</f>
        <v/>
      </c>
      <c r="AC18">
        <f>HYPERLINK("https://klasma.github.io/Logging_2101/fåglar/A 24596-2026 prioriterade fågelarter.docx", "A 24596-2026")</f>
        <v/>
      </c>
    </row>
    <row r="19" ht="15" customHeight="1">
      <c r="A19" t="inlineStr">
        <is>
          <t>A 27199-2025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45812</v>
      </c>
      <c r="E19" s="1" t="n">
        <v>46217</v>
      </c>
      <c r="F19" t="inlineStr">
        <is>
          <t>GÄVLEBORGS LÄN</t>
        </is>
      </c>
      <c r="G19" t="inlineStr">
        <is>
          <t>OCKELBO</t>
        </is>
      </c>
      <c r="I19" t="n">
        <v>1.6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4</v>
      </c>
      <c r="U19" s="2" t="inlineStr">
        <is>
          <t>Knärot
Dropptaggsvamp
Mattlummer</t>
        </is>
      </c>
      <c r="V19">
        <f>HYPERLINK("https://klasma.github.io/Logging_2101/artfynd/A 27199-2025 artfynd.xlsx", "A 27199-2025")</f>
        <v/>
      </c>
      <c r="W19">
        <f>HYPERLINK("https://klasma.github.io/Logging_2101/kartor/A 27199-2025 karta.png", "A 27199-2025")</f>
        <v/>
      </c>
      <c r="X19">
        <f>HYPERLINK("https://klasma.github.io/Logging_2101/knärot/A 27199-2025 karta knärot.png", "A 27199-2025")</f>
        <v/>
      </c>
      <c r="Y19">
        <f>HYPERLINK("https://klasma.github.io/Logging_2101/klagomål/A 27199-2025 FSC-klagomål.docx", "A 27199-2025")</f>
        <v/>
      </c>
      <c r="Z19">
        <f>HYPERLINK("https://klasma.github.io/Logging_2101/klagomålsmail/A 27199-2025 FSC-klagomål mail.docx", "A 27199-2025")</f>
        <v/>
      </c>
      <c r="AA19">
        <f>HYPERLINK("https://klasma.github.io/Logging_2101/tillsyn/A 27199-2025 tillsynsbegäran.docx", "A 27199-2025")</f>
        <v/>
      </c>
      <c r="AB19">
        <f>HYPERLINK("https://klasma.github.io/Logging_2101/tillsynsmail/A 27199-2025 tillsynsbegäran mail.docx", "A 27199-2025")</f>
        <v/>
      </c>
    </row>
    <row r="20" ht="15" customHeight="1">
      <c r="A20" t="inlineStr">
        <is>
          <t>A 26463-2024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45469</v>
      </c>
      <c r="E20" s="1" t="n">
        <v>46217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8</v>
      </c>
      <c r="U20" s="2" t="inlineStr">
        <is>
          <t>Tvåblad
Fläcknycklar
Revlummer</t>
        </is>
      </c>
      <c r="V20">
        <f>HYPERLINK("https://klasma.github.io/Logging_2101/artfynd/A 26463-2024 artfynd.xlsx", "A 26463-2024")</f>
        <v/>
      </c>
      <c r="W20">
        <f>HYPERLINK("https://klasma.github.io/Logging_2101/kartor/A 26463-2024 karta.png", "A 26463-2024")</f>
        <v/>
      </c>
      <c r="Y20">
        <f>HYPERLINK("https://klasma.github.io/Logging_2101/klagomål/A 26463-2024 FSC-klagomål.docx", "A 26463-2024")</f>
        <v/>
      </c>
      <c r="Z20">
        <f>HYPERLINK("https://klasma.github.io/Logging_2101/klagomålsmail/A 26463-2024 FSC-klagomål mail.docx", "A 26463-2024")</f>
        <v/>
      </c>
      <c r="AA20">
        <f>HYPERLINK("https://klasma.github.io/Logging_2101/tillsyn/A 26463-2024 tillsynsbegäran.docx", "A 26463-2024")</f>
        <v/>
      </c>
      <c r="AB20">
        <f>HYPERLINK("https://klasma.github.io/Logging_2101/tillsynsmail/A 26463-2024 tillsynsbegäran mail.docx", "A 26463-2024")</f>
        <v/>
      </c>
    </row>
    <row r="21" ht="15" customHeight="1">
      <c r="A21" t="inlineStr">
        <is>
          <t>A 13474-2026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46094</v>
      </c>
      <c r="E21" s="1" t="n">
        <v>46217</v>
      </c>
      <c r="F21" t="inlineStr">
        <is>
          <t>GÄVLEBORGS LÄN</t>
        </is>
      </c>
      <c r="G21" t="inlineStr">
        <is>
          <t>OCKELBO</t>
        </is>
      </c>
      <c r="H21" t="inlineStr">
        <is>
          <t>Naturvårdsverket</t>
        </is>
      </c>
      <c r="I21" t="n">
        <v>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s="2" t="inlineStr">
        <is>
          <t>Orange taggsvamp
Ullticka
Vedtrappmossa</t>
        </is>
      </c>
      <c r="V21">
        <f>HYPERLINK("https://klasma.github.io/Logging_2101/artfynd/A 13474-2026 artfynd.xlsx", "A 13474-2026")</f>
        <v/>
      </c>
      <c r="W21">
        <f>HYPERLINK("https://klasma.github.io/Logging_2101/kartor/A 13474-2026 karta.png", "A 13474-2026")</f>
        <v/>
      </c>
      <c r="Y21">
        <f>HYPERLINK("https://klasma.github.io/Logging_2101/klagomål/A 13474-2026 FSC-klagomål.docx", "A 13474-2026")</f>
        <v/>
      </c>
      <c r="Z21">
        <f>HYPERLINK("https://klasma.github.io/Logging_2101/klagomålsmail/A 13474-2026 FSC-klagomål mail.docx", "A 13474-2026")</f>
        <v/>
      </c>
      <c r="AA21">
        <f>HYPERLINK("https://klasma.github.io/Logging_2101/tillsyn/A 13474-2026 tillsynsbegäran.docx", "A 13474-2026")</f>
        <v/>
      </c>
      <c r="AB21">
        <f>HYPERLINK("https://klasma.github.io/Logging_2101/tillsynsmail/A 13474-2026 tillsynsbegäran mail.docx", "A 13474-2026")</f>
        <v/>
      </c>
    </row>
    <row r="22" ht="15" customHeight="1">
      <c r="A22" t="inlineStr">
        <is>
          <t>A 9324-2026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46070</v>
      </c>
      <c r="E22" s="1" t="n">
        <v>46217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38.6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Grönpyrola
Vedticka
Spillkråka</t>
        </is>
      </c>
      <c r="V22">
        <f>HYPERLINK("https://klasma.github.io/Logging_2101/artfynd/A 9324-2026 artfynd.xlsx", "A 9324-2026")</f>
        <v/>
      </c>
      <c r="W22">
        <f>HYPERLINK("https://klasma.github.io/Logging_2101/kartor/A 9324-2026 karta.png", "A 9324-2026")</f>
        <v/>
      </c>
      <c r="Y22">
        <f>HYPERLINK("https://klasma.github.io/Logging_2101/klagomål/A 9324-2026 FSC-klagomål.docx", "A 9324-2026")</f>
        <v/>
      </c>
      <c r="Z22">
        <f>HYPERLINK("https://klasma.github.io/Logging_2101/klagomålsmail/A 9324-2026 FSC-klagomål mail.docx", "A 9324-2026")</f>
        <v/>
      </c>
      <c r="AA22">
        <f>HYPERLINK("https://klasma.github.io/Logging_2101/tillsyn/A 9324-2026 tillsynsbegäran.docx", "A 9324-2026")</f>
        <v/>
      </c>
      <c r="AB22">
        <f>HYPERLINK("https://klasma.github.io/Logging_2101/tillsynsmail/A 9324-2026 tillsynsbegäran mail.docx", "A 9324-2026")</f>
        <v/>
      </c>
      <c r="AC22">
        <f>HYPERLINK("https://klasma.github.io/Logging_2101/fåglar/A 9324-2026 prioriterade fågelarter.docx", "A 9324-2026")</f>
        <v/>
      </c>
    </row>
    <row r="23" ht="15" customHeight="1">
      <c r="A23" t="inlineStr">
        <is>
          <t>A 18091-2026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46125</v>
      </c>
      <c r="E23" s="1" t="n">
        <v>46217</v>
      </c>
      <c r="F23" t="inlineStr">
        <is>
          <t>GÄVLEBORGS LÄN</t>
        </is>
      </c>
      <c r="G23" t="inlineStr">
        <is>
          <t>OCKELBO</t>
        </is>
      </c>
      <c r="H23" t="inlineStr">
        <is>
          <t>Bergvik skog väst AB</t>
        </is>
      </c>
      <c r="I23" t="n">
        <v>21.6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9</v>
      </c>
      <c r="U23" s="2" t="inlineStr">
        <is>
          <t>Vanlig groda
Vanlig padda
Fläcknycklar</t>
        </is>
      </c>
      <c r="V23">
        <f>HYPERLINK("https://klasma.github.io/Logging_2101/artfynd/A 18091-2026 artfynd.xlsx", "A 18091-2026")</f>
        <v/>
      </c>
      <c r="W23">
        <f>HYPERLINK("https://klasma.github.io/Logging_2101/kartor/A 18091-2026 karta.png", "A 18091-2026")</f>
        <v/>
      </c>
      <c r="Y23">
        <f>HYPERLINK("https://klasma.github.io/Logging_2101/klagomål/A 18091-2026 FSC-klagomål.docx", "A 18091-2026")</f>
        <v/>
      </c>
      <c r="Z23">
        <f>HYPERLINK("https://klasma.github.io/Logging_2101/klagomålsmail/A 18091-2026 FSC-klagomål mail.docx", "A 18091-2026")</f>
        <v/>
      </c>
      <c r="AA23">
        <f>HYPERLINK("https://klasma.github.io/Logging_2101/tillsyn/A 18091-2026 tillsynsbegäran.docx", "A 18091-2026")</f>
        <v/>
      </c>
      <c r="AB23">
        <f>HYPERLINK("https://klasma.github.io/Logging_2101/tillsynsmail/A 18091-2026 tillsynsbegäran mail.docx", "A 18091-2026")</f>
        <v/>
      </c>
    </row>
    <row r="24" ht="15" customHeight="1">
      <c r="A24" t="inlineStr">
        <is>
          <t>A 26870-2026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46217</v>
      </c>
      <c r="F24" t="inlineStr">
        <is>
          <t>GÄVLEBORGS LÄN</t>
        </is>
      </c>
      <c r="G24" t="inlineStr">
        <is>
          <t>OCKELBO</t>
        </is>
      </c>
      <c r="I24" t="n">
        <v>1.7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s="2" t="inlineStr">
        <is>
          <t>Korallrot
Spindelblomster
Fläcknycklar</t>
        </is>
      </c>
      <c r="V24">
        <f>HYPERLINK("https://klasma.github.io/Logging_2101/artfynd/A 26870-2026 artfynd.xlsx", "A 26870-2026")</f>
        <v/>
      </c>
      <c r="W24">
        <f>HYPERLINK("https://klasma.github.io/Logging_2101/kartor/A 26870-2026 karta.png", "A 26870-2026")</f>
        <v/>
      </c>
      <c r="Y24">
        <f>HYPERLINK("https://klasma.github.io/Logging_2101/klagomål/A 26870-2026 FSC-klagomål.docx", "A 26870-2026")</f>
        <v/>
      </c>
      <c r="Z24">
        <f>HYPERLINK("https://klasma.github.io/Logging_2101/klagomålsmail/A 26870-2026 FSC-klagomål mail.docx", "A 26870-2026")</f>
        <v/>
      </c>
      <c r="AA24">
        <f>HYPERLINK("https://klasma.github.io/Logging_2101/tillsyn/A 26870-2026 tillsynsbegäran.docx", "A 26870-2026")</f>
        <v/>
      </c>
      <c r="AB24">
        <f>HYPERLINK("https://klasma.github.io/Logging_2101/tillsynsmail/A 26870-2026 tillsynsbegäran mail.docx", "A 26870-2026")</f>
        <v/>
      </c>
    </row>
    <row r="25" ht="15" customHeight="1">
      <c r="A25" t="inlineStr">
        <is>
          <t>A 18253-2026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46217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14.5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s="2" t="inlineStr">
        <is>
          <t>Vårärt
Blåsippa
Nattviol</t>
        </is>
      </c>
      <c r="V25">
        <f>HYPERLINK("https://klasma.github.io/Logging_2101/artfynd/A 18253-2026 artfynd.xlsx", "A 18253-2026")</f>
        <v/>
      </c>
      <c r="W25">
        <f>HYPERLINK("https://klasma.github.io/Logging_2101/kartor/A 18253-2026 karta.png", "A 18253-2026")</f>
        <v/>
      </c>
      <c r="Y25">
        <f>HYPERLINK("https://klasma.github.io/Logging_2101/klagomål/A 18253-2026 FSC-klagomål.docx", "A 18253-2026")</f>
        <v/>
      </c>
      <c r="Z25">
        <f>HYPERLINK("https://klasma.github.io/Logging_2101/klagomålsmail/A 18253-2026 FSC-klagomål mail.docx", "A 18253-2026")</f>
        <v/>
      </c>
      <c r="AA25">
        <f>HYPERLINK("https://klasma.github.io/Logging_2101/tillsyn/A 18253-2026 tillsynsbegäran.docx", "A 18253-2026")</f>
        <v/>
      </c>
      <c r="AB25">
        <f>HYPERLINK("https://klasma.github.io/Logging_2101/tillsynsmail/A 18253-2026 tillsynsbegäran mail.docx", "A 18253-2026")</f>
        <v/>
      </c>
    </row>
    <row r="26" ht="15" customHeight="1">
      <c r="A26" t="inlineStr">
        <is>
          <t>A 18117-2026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46217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14.1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s="2" t="inlineStr">
        <is>
          <t>Vanlig groda
Fläcknycklar</t>
        </is>
      </c>
      <c r="V26">
        <f>HYPERLINK("https://klasma.github.io/Logging_2101/artfynd/A 18117-2026 artfynd.xlsx", "A 18117-2026")</f>
        <v/>
      </c>
      <c r="W26">
        <f>HYPERLINK("https://klasma.github.io/Logging_2101/kartor/A 18117-2026 karta.png", "A 18117-2026")</f>
        <v/>
      </c>
      <c r="Y26">
        <f>HYPERLINK("https://klasma.github.io/Logging_2101/klagomål/A 18117-2026 FSC-klagomål.docx", "A 18117-2026")</f>
        <v/>
      </c>
      <c r="Z26">
        <f>HYPERLINK("https://klasma.github.io/Logging_2101/klagomålsmail/A 18117-2026 FSC-klagomål mail.docx", "A 18117-2026")</f>
        <v/>
      </c>
      <c r="AA26">
        <f>HYPERLINK("https://klasma.github.io/Logging_2101/tillsyn/A 18117-2026 tillsynsbegäran.docx", "A 18117-2026")</f>
        <v/>
      </c>
      <c r="AB26">
        <f>HYPERLINK("https://klasma.github.io/Logging_2101/tillsynsmail/A 18117-2026 tillsynsbegäran mail.docx", "A 18117-2026")</f>
        <v/>
      </c>
    </row>
    <row r="27" ht="15" customHeight="1">
      <c r="A27" t="inlineStr">
        <is>
          <t>A 18120-2026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46125</v>
      </c>
      <c r="E27" s="1" t="n">
        <v>46217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5.8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7</v>
      </c>
      <c r="U27" s="2" t="inlineStr">
        <is>
          <t>Vanlig padda
Fläcknycklar</t>
        </is>
      </c>
      <c r="V27">
        <f>HYPERLINK("https://klasma.github.io/Logging_2101/artfynd/A 18120-2026 artfynd.xlsx", "A 18120-2026")</f>
        <v/>
      </c>
      <c r="W27">
        <f>HYPERLINK("https://klasma.github.io/Logging_2101/kartor/A 18120-2026 karta.png", "A 18120-2026")</f>
        <v/>
      </c>
      <c r="Y27">
        <f>HYPERLINK("https://klasma.github.io/Logging_2101/klagomål/A 18120-2026 FSC-klagomål.docx", "A 18120-2026")</f>
        <v/>
      </c>
      <c r="Z27">
        <f>HYPERLINK("https://klasma.github.io/Logging_2101/klagomålsmail/A 18120-2026 FSC-klagomål mail.docx", "A 18120-2026")</f>
        <v/>
      </c>
      <c r="AA27">
        <f>HYPERLINK("https://klasma.github.io/Logging_2101/tillsyn/A 18120-2026 tillsynsbegäran.docx", "A 18120-2026")</f>
        <v/>
      </c>
      <c r="AB27">
        <f>HYPERLINK("https://klasma.github.io/Logging_2101/tillsynsmail/A 18120-2026 tillsynsbegäran mail.docx", "A 18120-2026")</f>
        <v/>
      </c>
    </row>
    <row r="28" ht="15" customHeight="1">
      <c r="A28" t="inlineStr">
        <is>
          <t>A 20299-2026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46217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6.5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Motaggsvamp
Lopplummer (aggregat)</t>
        </is>
      </c>
      <c r="V28">
        <f>HYPERLINK("https://klasma.github.io/Logging_2101/artfynd/A 20299-2026 artfynd.xlsx", "A 20299-2026")</f>
        <v/>
      </c>
      <c r="W28">
        <f>HYPERLINK("https://klasma.github.io/Logging_2101/kartor/A 20299-2026 karta.png", "A 20299-2026")</f>
        <v/>
      </c>
      <c r="Y28">
        <f>HYPERLINK("https://klasma.github.io/Logging_2101/klagomål/A 20299-2026 FSC-klagomål.docx", "A 20299-2026")</f>
        <v/>
      </c>
      <c r="Z28">
        <f>HYPERLINK("https://klasma.github.io/Logging_2101/klagomålsmail/A 20299-2026 FSC-klagomål mail.docx", "A 20299-2026")</f>
        <v/>
      </c>
      <c r="AA28">
        <f>HYPERLINK("https://klasma.github.io/Logging_2101/tillsyn/A 20299-2026 tillsynsbegäran.docx", "A 20299-2026")</f>
        <v/>
      </c>
      <c r="AB28">
        <f>HYPERLINK("https://klasma.github.io/Logging_2101/tillsynsmail/A 20299-2026 tillsynsbegäran mail.docx", "A 20299-2026")</f>
        <v/>
      </c>
    </row>
    <row r="29" ht="15" customHeight="1">
      <c r="A29" t="inlineStr">
        <is>
          <t>A 2201-2026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46217</v>
      </c>
      <c r="F29" t="inlineStr">
        <is>
          <t>GÄVLEBORGS LÄN</t>
        </is>
      </c>
      <c r="G29" t="inlineStr">
        <is>
          <t>OCKELBO</t>
        </is>
      </c>
      <c r="I29" t="n">
        <v>2.4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Korallrot
Revlummer</t>
        </is>
      </c>
      <c r="V29">
        <f>HYPERLINK("https://klasma.github.io/Logging_2101/artfynd/A 2201-2026 artfynd.xlsx", "A 2201-2026")</f>
        <v/>
      </c>
      <c r="W29">
        <f>HYPERLINK("https://klasma.github.io/Logging_2101/kartor/A 2201-2026 karta.png", "A 2201-2026")</f>
        <v/>
      </c>
      <c r="Y29">
        <f>HYPERLINK("https://klasma.github.io/Logging_2101/klagomål/A 2201-2026 FSC-klagomål.docx", "A 2201-2026")</f>
        <v/>
      </c>
      <c r="Z29">
        <f>HYPERLINK("https://klasma.github.io/Logging_2101/klagomålsmail/A 2201-2026 FSC-klagomål mail.docx", "A 2201-2026")</f>
        <v/>
      </c>
      <c r="AA29">
        <f>HYPERLINK("https://klasma.github.io/Logging_2101/tillsyn/A 2201-2026 tillsynsbegäran.docx", "A 2201-2026")</f>
        <v/>
      </c>
      <c r="AB29">
        <f>HYPERLINK("https://klasma.github.io/Logging_2101/tillsynsmail/A 2201-2026 tillsynsbegäran mail.docx", "A 2201-2026")</f>
        <v/>
      </c>
    </row>
    <row r="30" ht="15" customHeight="1">
      <c r="A30" t="inlineStr">
        <is>
          <t>A 4180-2026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46217</v>
      </c>
      <c r="F30" t="inlineStr">
        <is>
          <t>GÄVLEBORGS LÄN</t>
        </is>
      </c>
      <c r="G30" t="inlineStr">
        <is>
          <t>OCKELBO</t>
        </is>
      </c>
      <c r="I30" t="n">
        <v>15.9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Tjäder
Revlummer</t>
        </is>
      </c>
      <c r="V30">
        <f>HYPERLINK("https://klasma.github.io/Logging_2101/artfynd/A 4180-2026 artfynd.xlsx", "A 4180-2026")</f>
        <v/>
      </c>
      <c r="W30">
        <f>HYPERLINK("https://klasma.github.io/Logging_2101/kartor/A 4180-2026 karta.png", "A 4180-2026")</f>
        <v/>
      </c>
      <c r="Y30">
        <f>HYPERLINK("https://klasma.github.io/Logging_2101/klagomål/A 4180-2026 FSC-klagomål.docx", "A 4180-2026")</f>
        <v/>
      </c>
      <c r="Z30">
        <f>HYPERLINK("https://klasma.github.io/Logging_2101/klagomålsmail/A 4180-2026 FSC-klagomål mail.docx", "A 4180-2026")</f>
        <v/>
      </c>
      <c r="AA30">
        <f>HYPERLINK("https://klasma.github.io/Logging_2101/tillsyn/A 4180-2026 tillsynsbegäran.docx", "A 4180-2026")</f>
        <v/>
      </c>
      <c r="AB30">
        <f>HYPERLINK("https://klasma.github.io/Logging_2101/tillsynsmail/A 4180-2026 tillsynsbegäran mail.docx", "A 4180-2026")</f>
        <v/>
      </c>
      <c r="AC30">
        <f>HYPERLINK("https://klasma.github.io/Logging_2101/fåglar/A 4180-2026 prioriterade fågelarter.docx", "A 4180-2026")</f>
        <v/>
      </c>
    </row>
    <row r="31" ht="15" customHeight="1">
      <c r="A31" t="inlineStr">
        <is>
          <t>A 17107-2026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46114</v>
      </c>
      <c r="E31" s="1" t="n">
        <v>46217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36.8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s="2" t="inlineStr">
        <is>
          <t>Fläcknycklar
Revlummer</t>
        </is>
      </c>
      <c r="V31">
        <f>HYPERLINK("https://klasma.github.io/Logging_2101/artfynd/A 17107-2026 artfynd.xlsx", "A 17107-2026")</f>
        <v/>
      </c>
      <c r="W31">
        <f>HYPERLINK("https://klasma.github.io/Logging_2101/kartor/A 17107-2026 karta.png", "A 17107-2026")</f>
        <v/>
      </c>
      <c r="Y31">
        <f>HYPERLINK("https://klasma.github.io/Logging_2101/klagomål/A 17107-2026 FSC-klagomål.docx", "A 17107-2026")</f>
        <v/>
      </c>
      <c r="Z31">
        <f>HYPERLINK("https://klasma.github.io/Logging_2101/klagomålsmail/A 17107-2026 FSC-klagomål mail.docx", "A 17107-2026")</f>
        <v/>
      </c>
      <c r="AA31">
        <f>HYPERLINK("https://klasma.github.io/Logging_2101/tillsyn/A 17107-2026 tillsynsbegäran.docx", "A 17107-2026")</f>
        <v/>
      </c>
      <c r="AB31">
        <f>HYPERLINK("https://klasma.github.io/Logging_2101/tillsynsmail/A 17107-2026 tillsynsbegäran mail.docx", "A 17107-2026")</f>
        <v/>
      </c>
    </row>
    <row r="32" ht="15" customHeight="1">
      <c r="A32" t="inlineStr">
        <is>
          <t>A 19145-2026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46132</v>
      </c>
      <c r="E32" s="1" t="n">
        <v>46217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4</v>
      </c>
      <c r="U32" s="2" t="inlineStr">
        <is>
          <t>Garnlav
Revlummer</t>
        </is>
      </c>
      <c r="V32">
        <f>HYPERLINK("https://klasma.github.io/Logging_2101/artfynd/A 19145-2026 artfynd.xlsx", "A 19145-2026")</f>
        <v/>
      </c>
      <c r="W32">
        <f>HYPERLINK("https://klasma.github.io/Logging_2101/kartor/A 19145-2026 karta.png", "A 19145-2026")</f>
        <v/>
      </c>
      <c r="Y32">
        <f>HYPERLINK("https://klasma.github.io/Logging_2101/klagomål/A 19145-2026 FSC-klagomål.docx", "A 19145-2026")</f>
        <v/>
      </c>
      <c r="Z32">
        <f>HYPERLINK("https://klasma.github.io/Logging_2101/klagomålsmail/A 19145-2026 FSC-klagomål mail.docx", "A 19145-2026")</f>
        <v/>
      </c>
      <c r="AA32">
        <f>HYPERLINK("https://klasma.github.io/Logging_2101/tillsyn/A 19145-2026 tillsynsbegäran.docx", "A 19145-2026")</f>
        <v/>
      </c>
      <c r="AB32">
        <f>HYPERLINK("https://klasma.github.io/Logging_2101/tillsynsmail/A 19145-2026 tillsynsbegäran mail.docx", "A 19145-2026")</f>
        <v/>
      </c>
    </row>
    <row r="33" ht="15" customHeight="1">
      <c r="A33" t="inlineStr">
        <is>
          <t>S 475-2022</t>
        </is>
      </c>
      <c r="B33" t="inlineStr">
        <is>
          <t>samrådsanmälan</t>
        </is>
      </c>
      <c r="C33" t="inlineStr">
        <is>
          <t>Skogsgödsling</t>
        </is>
      </c>
      <c r="D33" s="1" t="n">
        <v>44587</v>
      </c>
      <c r="E33" s="1" t="n">
        <v>46217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69.59999999999999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3</v>
      </c>
      <c r="U33" s="2" t="inlineStr">
        <is>
          <t>Dropptaggsvamp
Slät tallkapuschongbagge</t>
        </is>
      </c>
      <c r="V33">
        <f>HYPERLINK("https://klasma.github.io/Logging_2101/artfynd/S 475-2022 artfynd.xlsx", "S 475-2022")</f>
        <v/>
      </c>
      <c r="W33">
        <f>HYPERLINK("https://klasma.github.io/Logging_2101/kartor/S 475-2022 karta.png", "S 475-2022")</f>
        <v/>
      </c>
      <c r="Y33">
        <f>HYPERLINK("https://klasma.github.io/Logging_2101/klagomål/S 475-2022 FSC-klagomål.docx", "S 475-2022")</f>
        <v/>
      </c>
      <c r="Z33">
        <f>HYPERLINK("https://klasma.github.io/Logging_2101/klagomålsmail/S 475-2022 FSC-klagomål mail.docx", "S 475-2022")</f>
        <v/>
      </c>
      <c r="AA33">
        <f>HYPERLINK("https://klasma.github.io/Logging_2101/tillsyn/S 475-2022 tillsynsbegäran.docx", "S 475-2022")</f>
        <v/>
      </c>
      <c r="AB33">
        <f>HYPERLINK("https://klasma.github.io/Logging_2101/tillsynsmail/S 475-2022 tillsynsbegäran mail.docx", "S 475-2022")</f>
        <v/>
      </c>
    </row>
    <row r="34" ht="15" customHeight="1">
      <c r="A34" t="inlineStr">
        <is>
          <t>S 4508-2023</t>
        </is>
      </c>
      <c r="B34" t="inlineStr">
        <is>
          <t>samrådsanmälan</t>
        </is>
      </c>
      <c r="C34" t="inlineStr">
        <is>
          <t>Skogsgödsling</t>
        </is>
      </c>
      <c r="D34" s="1" t="n">
        <v>45274</v>
      </c>
      <c r="E34" s="1" t="n">
        <v>46217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90.09999999999999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s="2" t="inlineStr">
        <is>
          <t>Dropptaggsvamp
Slät tallkapuschongbagge</t>
        </is>
      </c>
      <c r="V34">
        <f>HYPERLINK("https://klasma.github.io/Logging_2101/artfynd/S 4508-2023 artfynd.xlsx", "S 4508-2023")</f>
        <v/>
      </c>
      <c r="W34">
        <f>HYPERLINK("https://klasma.github.io/Logging_2101/kartor/S 4508-2023 karta.png", "S 4508-2023")</f>
        <v/>
      </c>
      <c r="Y34">
        <f>HYPERLINK("https://klasma.github.io/Logging_2101/klagomål/S 4508-2023 FSC-klagomål.docx", "S 4508-2023")</f>
        <v/>
      </c>
      <c r="Z34">
        <f>HYPERLINK("https://klasma.github.io/Logging_2101/klagomålsmail/S 4508-2023 FSC-klagomål mail.docx", "S 4508-2023")</f>
        <v/>
      </c>
      <c r="AA34">
        <f>HYPERLINK("https://klasma.github.io/Logging_2101/tillsyn/S 4508-2023 tillsynsbegäran.docx", "S 4508-2023")</f>
        <v/>
      </c>
      <c r="AB34">
        <f>HYPERLINK("https://klasma.github.io/Logging_2101/tillsynsmail/S 4508-2023 tillsynsbegäran mail.docx", "S 4508-2023")</f>
        <v/>
      </c>
    </row>
    <row r="35" ht="15" customHeight="1">
      <c r="A35" t="inlineStr">
        <is>
          <t>A 64364-2023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45280</v>
      </c>
      <c r="E35" s="1" t="n">
        <v>46217</v>
      </c>
      <c r="F35" t="inlineStr">
        <is>
          <t>GÄVLEBORGS LÄN</t>
        </is>
      </c>
      <c r="G35" t="inlineStr">
        <is>
          <t>OCKELBO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Revlummer</t>
        </is>
      </c>
      <c r="V35">
        <f>HYPERLINK("https://klasma.github.io/Logging_2101/artfynd/A 64364-2023 artfynd.xlsx", "A 64364-2023")</f>
        <v/>
      </c>
      <c r="W35">
        <f>HYPERLINK("https://klasma.github.io/Logging_2101/kartor/A 64364-2023 karta.png", "A 64364-2023")</f>
        <v/>
      </c>
      <c r="Y35">
        <f>HYPERLINK("https://klasma.github.io/Logging_2101/klagomål/A 64364-2023 FSC-klagomål.docx", "A 64364-2023")</f>
        <v/>
      </c>
      <c r="Z35">
        <f>HYPERLINK("https://klasma.github.io/Logging_2101/klagomålsmail/A 64364-2023 FSC-klagomål mail.docx", "A 64364-2023")</f>
        <v/>
      </c>
      <c r="AA35">
        <f>HYPERLINK("https://klasma.github.io/Logging_2101/tillsyn/A 64364-2023 tillsynsbegäran.docx", "A 64364-2023")</f>
        <v/>
      </c>
      <c r="AB35">
        <f>HYPERLINK("https://klasma.github.io/Logging_2101/tillsynsmail/A 64364-2023 tillsynsbegäran mail.docx", "A 64364-2023")</f>
        <v/>
      </c>
    </row>
    <row r="36" ht="15" customHeight="1">
      <c r="A36" t="inlineStr">
        <is>
          <t>A 8475-2026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46065</v>
      </c>
      <c r="E36" s="1" t="n">
        <v>46217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5.2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HYPERLINK("https://klasma.github.io/Logging_2101/artfynd/A 8475-2026 artfynd.xlsx", "A 8475-2026")</f>
        <v/>
      </c>
      <c r="W36">
        <f>HYPERLINK("https://klasma.github.io/Logging_2101/kartor/A 8475-2026 karta.png", "A 8475-2026")</f>
        <v/>
      </c>
      <c r="Y36">
        <f>HYPERLINK("https://klasma.github.io/Logging_2101/klagomål/A 8475-2026 FSC-klagomål.docx", "A 8475-2026")</f>
        <v/>
      </c>
      <c r="Z36">
        <f>HYPERLINK("https://klasma.github.io/Logging_2101/klagomålsmail/A 8475-2026 FSC-klagomål mail.docx", "A 8475-2026")</f>
        <v/>
      </c>
      <c r="AA36">
        <f>HYPERLINK("https://klasma.github.io/Logging_2101/tillsyn/A 8475-2026 tillsynsbegäran.docx", "A 8475-2026")</f>
        <v/>
      </c>
      <c r="AB36">
        <f>HYPERLINK("https://klasma.github.io/Logging_2101/tillsynsmail/A 8475-2026 tillsynsbegäran mail.docx", "A 8475-2026")</f>
        <v/>
      </c>
    </row>
    <row r="37" ht="15" customHeight="1">
      <c r="A37" t="inlineStr">
        <is>
          <t>A 9155-2026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46217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4.2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Kolflarnlav</t>
        </is>
      </c>
      <c r="V37">
        <f>HYPERLINK("https://klasma.github.io/Logging_2101/artfynd/A 9155-2026 artfynd.xlsx", "A 9155-2026")</f>
        <v/>
      </c>
      <c r="W37">
        <f>HYPERLINK("https://klasma.github.io/Logging_2101/kartor/A 9155-2026 karta.png", "A 9155-2026")</f>
        <v/>
      </c>
      <c r="Y37">
        <f>HYPERLINK("https://klasma.github.io/Logging_2101/klagomål/A 9155-2026 FSC-klagomål.docx", "A 9155-2026")</f>
        <v/>
      </c>
      <c r="Z37">
        <f>HYPERLINK("https://klasma.github.io/Logging_2101/klagomålsmail/A 9155-2026 FSC-klagomål mail.docx", "A 9155-2026")</f>
        <v/>
      </c>
      <c r="AA37">
        <f>HYPERLINK("https://klasma.github.io/Logging_2101/tillsyn/A 9155-2026 tillsynsbegäran.docx", "A 9155-2026")</f>
        <v/>
      </c>
      <c r="AB37">
        <f>HYPERLINK("https://klasma.github.io/Logging_2101/tillsynsmail/A 9155-2026 tillsynsbegäran mail.docx", "A 9155-2026")</f>
        <v/>
      </c>
    </row>
    <row r="38" ht="15" customHeight="1">
      <c r="A38" t="inlineStr">
        <is>
          <t>A 20233-2026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46139</v>
      </c>
      <c r="E38" s="1" t="n">
        <v>46217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17.9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3</v>
      </c>
      <c r="U38" s="2" t="inlineStr">
        <is>
          <t>Tibast</t>
        </is>
      </c>
      <c r="V38">
        <f>HYPERLINK("https://klasma.github.io/Logging_2101/artfynd/A 20233-2026 artfynd.xlsx", "A 20233-2026")</f>
        <v/>
      </c>
      <c r="W38">
        <f>HYPERLINK("https://klasma.github.io/Logging_2101/kartor/A 20233-2026 karta.png", "A 20233-2026")</f>
        <v/>
      </c>
      <c r="Y38">
        <f>HYPERLINK("https://klasma.github.io/Logging_2101/klagomål/A 20233-2026 FSC-klagomål.docx", "A 20233-2026")</f>
        <v/>
      </c>
      <c r="Z38">
        <f>HYPERLINK("https://klasma.github.io/Logging_2101/klagomålsmail/A 20233-2026 FSC-klagomål mail.docx", "A 20233-2026")</f>
        <v/>
      </c>
      <c r="AA38">
        <f>HYPERLINK("https://klasma.github.io/Logging_2101/tillsyn/A 20233-2026 tillsynsbegäran.docx", "A 20233-2026")</f>
        <v/>
      </c>
      <c r="AB38">
        <f>HYPERLINK("https://klasma.github.io/Logging_2101/tillsynsmail/A 20233-2026 tillsynsbegäran mail.docx", "A 20233-2026")</f>
        <v/>
      </c>
    </row>
    <row r="39" ht="15" customHeight="1">
      <c r="A39" t="inlineStr">
        <is>
          <t>A 22821-2024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45448</v>
      </c>
      <c r="E39" s="1" t="n">
        <v>46217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Tibast</t>
        </is>
      </c>
      <c r="V39">
        <f>HYPERLINK("https://klasma.github.io/Logging_2101/artfynd/A 22821-2024 artfynd.xlsx", "A 22821-2024")</f>
        <v/>
      </c>
      <c r="W39">
        <f>HYPERLINK("https://klasma.github.io/Logging_2101/kartor/A 22821-2024 karta.png", "A 22821-2024")</f>
        <v/>
      </c>
      <c r="Y39">
        <f>HYPERLINK("https://klasma.github.io/Logging_2101/klagomål/A 22821-2024 FSC-klagomål.docx", "A 22821-2024")</f>
        <v/>
      </c>
      <c r="Z39">
        <f>HYPERLINK("https://klasma.github.io/Logging_2101/klagomålsmail/A 22821-2024 FSC-klagomål mail.docx", "A 22821-2024")</f>
        <v/>
      </c>
      <c r="AA39">
        <f>HYPERLINK("https://klasma.github.io/Logging_2101/tillsyn/A 22821-2024 tillsynsbegäran.docx", "A 22821-2024")</f>
        <v/>
      </c>
      <c r="AB39">
        <f>HYPERLINK("https://klasma.github.io/Logging_2101/tillsynsmail/A 22821-2024 tillsynsbegäran mail.docx", "A 22821-2024")</f>
        <v/>
      </c>
    </row>
    <row r="40" ht="15" customHeight="1">
      <c r="A40" t="inlineStr">
        <is>
          <t>A 57946-2023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45247</v>
      </c>
      <c r="E40" s="1" t="n">
        <v>46217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Revlummer</t>
        </is>
      </c>
      <c r="V40">
        <f>HYPERLINK("https://klasma.github.io/Logging_2101/artfynd/A 57946-2023 artfynd.xlsx", "A 57946-2023")</f>
        <v/>
      </c>
      <c r="W40">
        <f>HYPERLINK("https://klasma.github.io/Logging_2101/kartor/A 57946-2023 karta.png", "A 57946-2023")</f>
        <v/>
      </c>
      <c r="Y40">
        <f>HYPERLINK("https://klasma.github.io/Logging_2101/klagomål/A 57946-2023 FSC-klagomål.docx", "A 57946-2023")</f>
        <v/>
      </c>
      <c r="Z40">
        <f>HYPERLINK("https://klasma.github.io/Logging_2101/klagomålsmail/A 57946-2023 FSC-klagomål mail.docx", "A 57946-2023")</f>
        <v/>
      </c>
      <c r="AA40">
        <f>HYPERLINK("https://klasma.github.io/Logging_2101/tillsyn/A 57946-2023 tillsynsbegäran.docx", "A 57946-2023")</f>
        <v/>
      </c>
      <c r="AB40">
        <f>HYPERLINK("https://klasma.github.io/Logging_2101/tillsynsmail/A 57946-2023 tillsynsbegäran mail.docx", "A 57946-2023")</f>
        <v/>
      </c>
    </row>
    <row r="41" ht="15" customHeight="1">
      <c r="A41" t="inlineStr">
        <is>
          <t>A 46481-2024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45582</v>
      </c>
      <c r="E41" s="1" t="n">
        <v>46217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Dropptaggsvamp</t>
        </is>
      </c>
      <c r="V41">
        <f>HYPERLINK("https://klasma.github.io/Logging_2101/artfynd/A 46481-2024 artfynd.xlsx", "A 46481-2024")</f>
        <v/>
      </c>
      <c r="W41">
        <f>HYPERLINK("https://klasma.github.io/Logging_2101/kartor/A 46481-2024 karta.png", "A 46481-2024")</f>
        <v/>
      </c>
      <c r="Y41">
        <f>HYPERLINK("https://klasma.github.io/Logging_2101/klagomål/A 46481-2024 FSC-klagomål.docx", "A 46481-2024")</f>
        <v/>
      </c>
      <c r="Z41">
        <f>HYPERLINK("https://klasma.github.io/Logging_2101/klagomålsmail/A 46481-2024 FSC-klagomål mail.docx", "A 46481-2024")</f>
        <v/>
      </c>
      <c r="AA41">
        <f>HYPERLINK("https://klasma.github.io/Logging_2101/tillsyn/A 46481-2024 tillsynsbegäran.docx", "A 46481-2024")</f>
        <v/>
      </c>
      <c r="AB41">
        <f>HYPERLINK("https://klasma.github.io/Logging_2101/tillsynsmail/A 46481-2024 tillsynsbegäran mail.docx", "A 46481-2024")</f>
        <v/>
      </c>
    </row>
    <row r="42" ht="15" customHeight="1">
      <c r="A42" t="inlineStr">
        <is>
          <t>A 60615-2021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44496</v>
      </c>
      <c r="E42" s="1" t="n">
        <v>46217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Vanlig padda</t>
        </is>
      </c>
      <c r="V42">
        <f>HYPERLINK("https://klasma.github.io/Logging_2101/artfynd/A 60615-2021 artfynd.xlsx", "A 60615-2021")</f>
        <v/>
      </c>
      <c r="W42">
        <f>HYPERLINK("https://klasma.github.io/Logging_2101/kartor/A 60615-2021 karta.png", "A 60615-2021")</f>
        <v/>
      </c>
      <c r="Y42">
        <f>HYPERLINK("https://klasma.github.io/Logging_2101/klagomål/A 60615-2021 FSC-klagomål.docx", "A 60615-2021")</f>
        <v/>
      </c>
      <c r="Z42">
        <f>HYPERLINK("https://klasma.github.io/Logging_2101/klagomålsmail/A 60615-2021 FSC-klagomål mail.docx", "A 60615-2021")</f>
        <v/>
      </c>
      <c r="AA42">
        <f>HYPERLINK("https://klasma.github.io/Logging_2101/tillsyn/A 60615-2021 tillsynsbegäran.docx", "A 60615-2021")</f>
        <v/>
      </c>
      <c r="AB42">
        <f>HYPERLINK("https://klasma.github.io/Logging_2101/tillsynsmail/A 60615-2021 tillsynsbegäran mail.docx", "A 60615-2021")</f>
        <v/>
      </c>
    </row>
    <row r="43" ht="15" customHeight="1">
      <c r="A43" t="inlineStr">
        <is>
          <t>A 26448-2024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45469</v>
      </c>
      <c r="E43" s="1" t="n">
        <v>46217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4.5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Fläcknycklar</t>
        </is>
      </c>
      <c r="V43">
        <f>HYPERLINK("https://klasma.github.io/Logging_2101/artfynd/A 26448-2024 artfynd.xlsx", "A 26448-2024")</f>
        <v/>
      </c>
      <c r="W43">
        <f>HYPERLINK("https://klasma.github.io/Logging_2101/kartor/A 26448-2024 karta.png", "A 26448-2024")</f>
        <v/>
      </c>
      <c r="Y43">
        <f>HYPERLINK("https://klasma.github.io/Logging_2101/klagomål/A 26448-2024 FSC-klagomål.docx", "A 26448-2024")</f>
        <v/>
      </c>
      <c r="Z43">
        <f>HYPERLINK("https://klasma.github.io/Logging_2101/klagomålsmail/A 26448-2024 FSC-klagomål mail.docx", "A 26448-2024")</f>
        <v/>
      </c>
      <c r="AA43">
        <f>HYPERLINK("https://klasma.github.io/Logging_2101/tillsyn/A 26448-2024 tillsynsbegäran.docx", "A 26448-2024")</f>
        <v/>
      </c>
      <c r="AB43">
        <f>HYPERLINK("https://klasma.github.io/Logging_2101/tillsynsmail/A 26448-2024 tillsynsbegäran mail.docx", "A 26448-2024")</f>
        <v/>
      </c>
    </row>
    <row r="44" ht="15" customHeight="1">
      <c r="A44" t="inlineStr">
        <is>
          <t>A 15841-2023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45022</v>
      </c>
      <c r="E44" s="1" t="n">
        <v>46217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Havsörn</t>
        </is>
      </c>
      <c r="V44">
        <f>HYPERLINK("https://klasma.github.io/Logging_2101/artfynd/A 15841-2023 artfynd.xlsx", "A 15841-2023")</f>
        <v/>
      </c>
      <c r="W44">
        <f>HYPERLINK("https://klasma.github.io/Logging_2101/kartor/A 15841-2023 karta.png", "A 15841-2023")</f>
        <v/>
      </c>
      <c r="Y44">
        <f>HYPERLINK("https://klasma.github.io/Logging_2101/klagomål/A 15841-2023 FSC-klagomål.docx", "A 15841-2023")</f>
        <v/>
      </c>
      <c r="Z44">
        <f>HYPERLINK("https://klasma.github.io/Logging_2101/klagomålsmail/A 15841-2023 FSC-klagomål mail.docx", "A 15841-2023")</f>
        <v/>
      </c>
      <c r="AA44">
        <f>HYPERLINK("https://klasma.github.io/Logging_2101/tillsyn/A 15841-2023 tillsynsbegäran.docx", "A 15841-2023")</f>
        <v/>
      </c>
      <c r="AB44">
        <f>HYPERLINK("https://klasma.github.io/Logging_2101/tillsynsmail/A 15841-2023 tillsynsbegäran mail.docx", "A 15841-2023")</f>
        <v/>
      </c>
      <c r="AC44">
        <f>HYPERLINK("https://klasma.github.io/Logging_2101/fåglar/A 15841-2023 prioriterade fågelarter.docx", "A 15841-2023")</f>
        <v/>
      </c>
    </row>
    <row r="45" ht="15" customHeight="1">
      <c r="A45" t="inlineStr">
        <is>
          <t>A 15039-2026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46104</v>
      </c>
      <c r="E45" s="1" t="n">
        <v>46217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18.2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Tjäder</t>
        </is>
      </c>
      <c r="V45">
        <f>HYPERLINK("https://klasma.github.io/Logging_2101/artfynd/A 15039-2026 artfynd.xlsx", "A 15039-2026")</f>
        <v/>
      </c>
      <c r="W45">
        <f>HYPERLINK("https://klasma.github.io/Logging_2101/kartor/A 15039-2026 karta.png", "A 15039-2026")</f>
        <v/>
      </c>
      <c r="Y45">
        <f>HYPERLINK("https://klasma.github.io/Logging_2101/klagomål/A 15039-2026 FSC-klagomål.docx", "A 15039-2026")</f>
        <v/>
      </c>
      <c r="Z45">
        <f>HYPERLINK("https://klasma.github.io/Logging_2101/klagomålsmail/A 15039-2026 FSC-klagomål mail.docx", "A 15039-2026")</f>
        <v/>
      </c>
      <c r="AA45">
        <f>HYPERLINK("https://klasma.github.io/Logging_2101/tillsyn/A 15039-2026 tillsynsbegäran.docx", "A 15039-2026")</f>
        <v/>
      </c>
      <c r="AB45">
        <f>HYPERLINK("https://klasma.github.io/Logging_2101/tillsynsmail/A 15039-2026 tillsynsbegäran mail.docx", "A 15039-2026")</f>
        <v/>
      </c>
      <c r="AC45">
        <f>HYPERLINK("https://klasma.github.io/Logging_2101/fåglar/A 15039-2026 prioriterade fågelarter.docx", "A 15039-2026")</f>
        <v/>
      </c>
    </row>
    <row r="46" ht="15" customHeight="1">
      <c r="A46" t="inlineStr">
        <is>
          <t>A 11970-2026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46085</v>
      </c>
      <c r="E46" s="1" t="n">
        <v>46217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10.9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Järpe</t>
        </is>
      </c>
      <c r="V46">
        <f>HYPERLINK("https://klasma.github.io/Logging_2101/artfynd/A 11970-2026 artfynd.xlsx", "A 11970-2026")</f>
        <v/>
      </c>
      <c r="W46">
        <f>HYPERLINK("https://klasma.github.io/Logging_2101/kartor/A 11970-2026 karta.png", "A 11970-2026")</f>
        <v/>
      </c>
      <c r="Y46">
        <f>HYPERLINK("https://klasma.github.io/Logging_2101/klagomål/A 11970-2026 FSC-klagomål.docx", "A 11970-2026")</f>
        <v/>
      </c>
      <c r="Z46">
        <f>HYPERLINK("https://klasma.github.io/Logging_2101/klagomålsmail/A 11970-2026 FSC-klagomål mail.docx", "A 11970-2026")</f>
        <v/>
      </c>
      <c r="AA46">
        <f>HYPERLINK("https://klasma.github.io/Logging_2101/tillsyn/A 11970-2026 tillsynsbegäran.docx", "A 11970-2026")</f>
        <v/>
      </c>
      <c r="AB46">
        <f>HYPERLINK("https://klasma.github.io/Logging_2101/tillsynsmail/A 11970-2026 tillsynsbegäran mail.docx", "A 11970-2026")</f>
        <v/>
      </c>
      <c r="AC46">
        <f>HYPERLINK("https://klasma.github.io/Logging_2101/fåglar/A 11970-2026 prioriterade fågelarter.docx", "A 11970-2026")</f>
        <v/>
      </c>
    </row>
    <row r="47" ht="15" customHeight="1">
      <c r="A47" t="inlineStr">
        <is>
          <t>A 55778-2025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45972</v>
      </c>
      <c r="E47" s="1" t="n">
        <v>46217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12.3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Fläcknycklar</t>
        </is>
      </c>
      <c r="V47">
        <f>HYPERLINK("https://klasma.github.io/Logging_2101/artfynd/A 55778-2025 artfynd.xlsx", "A 55778-2025")</f>
        <v/>
      </c>
      <c r="W47">
        <f>HYPERLINK("https://klasma.github.io/Logging_2101/kartor/A 55778-2025 karta.png", "A 55778-2025")</f>
        <v/>
      </c>
      <c r="Y47">
        <f>HYPERLINK("https://klasma.github.io/Logging_2101/klagomål/A 55778-2025 FSC-klagomål.docx", "A 55778-2025")</f>
        <v/>
      </c>
      <c r="Z47">
        <f>HYPERLINK("https://klasma.github.io/Logging_2101/klagomålsmail/A 55778-2025 FSC-klagomål mail.docx", "A 55778-2025")</f>
        <v/>
      </c>
      <c r="AA47">
        <f>HYPERLINK("https://klasma.github.io/Logging_2101/tillsyn/A 55778-2025 tillsynsbegäran.docx", "A 55778-2025")</f>
        <v/>
      </c>
      <c r="AB47">
        <f>HYPERLINK("https://klasma.github.io/Logging_2101/tillsynsmail/A 55778-2025 tillsynsbegäran mail.docx", "A 55778-2025")</f>
        <v/>
      </c>
    </row>
    <row r="48" ht="15" customHeight="1">
      <c r="A48" t="inlineStr">
        <is>
          <t>A 10448-2026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46077</v>
      </c>
      <c r="E48" s="1" t="n">
        <v>46217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3.6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Plattlummer</t>
        </is>
      </c>
      <c r="V48">
        <f>HYPERLINK("https://klasma.github.io/Logging_2101/artfynd/A 10448-2026 artfynd.xlsx", "A 10448-2026")</f>
        <v/>
      </c>
      <c r="W48">
        <f>HYPERLINK("https://klasma.github.io/Logging_2101/kartor/A 10448-2026 karta.png", "A 10448-2026")</f>
        <v/>
      </c>
      <c r="Y48">
        <f>HYPERLINK("https://klasma.github.io/Logging_2101/klagomål/A 10448-2026 FSC-klagomål.docx", "A 10448-2026")</f>
        <v/>
      </c>
      <c r="Z48">
        <f>HYPERLINK("https://klasma.github.io/Logging_2101/klagomålsmail/A 10448-2026 FSC-klagomål mail.docx", "A 10448-2026")</f>
        <v/>
      </c>
      <c r="AA48">
        <f>HYPERLINK("https://klasma.github.io/Logging_2101/tillsyn/A 10448-2026 tillsynsbegäran.docx", "A 10448-2026")</f>
        <v/>
      </c>
      <c r="AB48">
        <f>HYPERLINK("https://klasma.github.io/Logging_2101/tillsynsmail/A 10448-2026 tillsynsbegäran mail.docx", "A 10448-2026")</f>
        <v/>
      </c>
    </row>
    <row r="49" ht="15" customHeight="1">
      <c r="A49" t="inlineStr">
        <is>
          <t>A 62989-2025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46009</v>
      </c>
      <c r="E49" s="1" t="n">
        <v>46217</v>
      </c>
      <c r="F49" t="inlineStr">
        <is>
          <t>GÄVLEBORGS LÄN</t>
        </is>
      </c>
      <c r="G49" t="inlineStr">
        <is>
          <t>OCKELBO</t>
        </is>
      </c>
      <c r="I49" t="n">
        <v>1.7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Kortskaftad ärgspik</t>
        </is>
      </c>
      <c r="V49">
        <f>HYPERLINK("https://klasma.github.io/Logging_2101/artfynd/A 62989-2025 artfynd.xlsx", "A 62989-2025")</f>
        <v/>
      </c>
      <c r="W49">
        <f>HYPERLINK("https://klasma.github.io/Logging_2101/kartor/A 62989-2025 karta.png", "A 62989-2025")</f>
        <v/>
      </c>
      <c r="Y49">
        <f>HYPERLINK("https://klasma.github.io/Logging_2101/klagomål/A 62989-2025 FSC-klagomål.docx", "A 62989-2025")</f>
        <v/>
      </c>
      <c r="Z49">
        <f>HYPERLINK("https://klasma.github.io/Logging_2101/klagomålsmail/A 62989-2025 FSC-klagomål mail.docx", "A 62989-2025")</f>
        <v/>
      </c>
      <c r="AA49">
        <f>HYPERLINK("https://klasma.github.io/Logging_2101/tillsyn/A 62989-2025 tillsynsbegäran.docx", "A 62989-2025")</f>
        <v/>
      </c>
      <c r="AB49">
        <f>HYPERLINK("https://klasma.github.io/Logging_2101/tillsynsmail/A 62989-2025 tillsynsbegäran mail.docx", "A 62989-2025")</f>
        <v/>
      </c>
    </row>
    <row r="50" ht="15" customHeight="1">
      <c r="A50" t="inlineStr">
        <is>
          <t>A 2923-2026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46038</v>
      </c>
      <c r="E50" s="1" t="n">
        <v>46217</v>
      </c>
      <c r="F50" t="inlineStr">
        <is>
          <t>GÄVLEBORGS LÄN</t>
        </is>
      </c>
      <c r="G50" t="inlineStr">
        <is>
          <t>OCKELBO</t>
        </is>
      </c>
      <c r="I50" t="n">
        <v>2.8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Knärot</t>
        </is>
      </c>
      <c r="V50">
        <f>HYPERLINK("https://klasma.github.io/Logging_2101/artfynd/A 2923-2026 artfynd.xlsx", "A 2923-2026")</f>
        <v/>
      </c>
      <c r="W50">
        <f>HYPERLINK("https://klasma.github.io/Logging_2101/kartor/A 2923-2026 karta.png", "A 2923-2026")</f>
        <v/>
      </c>
      <c r="X50">
        <f>HYPERLINK("https://klasma.github.io/Logging_2101/knärot/A 2923-2026 karta knärot.png", "A 2923-2026")</f>
        <v/>
      </c>
      <c r="Y50">
        <f>HYPERLINK("https://klasma.github.io/Logging_2101/klagomål/A 2923-2026 FSC-klagomål.docx", "A 2923-2026")</f>
        <v/>
      </c>
      <c r="Z50">
        <f>HYPERLINK("https://klasma.github.io/Logging_2101/klagomålsmail/A 2923-2026 FSC-klagomål mail.docx", "A 2923-2026")</f>
        <v/>
      </c>
      <c r="AA50">
        <f>HYPERLINK("https://klasma.github.io/Logging_2101/tillsyn/A 2923-2026 tillsynsbegäran.docx", "A 2923-2026")</f>
        <v/>
      </c>
      <c r="AB50">
        <f>HYPERLINK("https://klasma.github.io/Logging_2101/tillsynsmail/A 2923-2026 tillsynsbegäran mail.docx", "A 2923-2026")</f>
        <v/>
      </c>
    </row>
    <row r="51" ht="15" customHeight="1">
      <c r="A51" t="inlineStr">
        <is>
          <t>A 6121-2026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46053</v>
      </c>
      <c r="E51" s="1" t="n">
        <v>46217</v>
      </c>
      <c r="F51" t="inlineStr">
        <is>
          <t>GÄVLEBORGS LÄN</t>
        </is>
      </c>
      <c r="G51" t="inlineStr">
        <is>
          <t>OCKELBO</t>
        </is>
      </c>
      <c r="I51" t="n">
        <v>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Tjäder</t>
        </is>
      </c>
      <c r="V51">
        <f>HYPERLINK("https://klasma.github.io/Logging_2101/artfynd/A 6121-2026 artfynd.xlsx", "A 6121-2026")</f>
        <v/>
      </c>
      <c r="W51">
        <f>HYPERLINK("https://klasma.github.io/Logging_2101/kartor/A 6121-2026 karta.png", "A 6121-2026")</f>
        <v/>
      </c>
      <c r="Y51">
        <f>HYPERLINK("https://klasma.github.io/Logging_2101/klagomål/A 6121-2026 FSC-klagomål.docx", "A 6121-2026")</f>
        <v/>
      </c>
      <c r="Z51">
        <f>HYPERLINK("https://klasma.github.io/Logging_2101/klagomålsmail/A 6121-2026 FSC-klagomål mail.docx", "A 6121-2026")</f>
        <v/>
      </c>
      <c r="AA51">
        <f>HYPERLINK("https://klasma.github.io/Logging_2101/tillsyn/A 6121-2026 tillsynsbegäran.docx", "A 6121-2026")</f>
        <v/>
      </c>
      <c r="AB51">
        <f>HYPERLINK("https://klasma.github.io/Logging_2101/tillsynsmail/A 6121-2026 tillsynsbegäran mail.docx", "A 6121-2026")</f>
        <v/>
      </c>
      <c r="AC51">
        <f>HYPERLINK("https://klasma.github.io/Logging_2101/fåglar/A 6121-2026 prioriterade fågelarter.docx", "A 6121-2026")</f>
        <v/>
      </c>
    </row>
    <row r="52" ht="15" customHeight="1">
      <c r="A52" t="inlineStr">
        <is>
          <t>A 6586-2026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46056</v>
      </c>
      <c r="E52" s="1" t="n">
        <v>46217</v>
      </c>
      <c r="F52" t="inlineStr">
        <is>
          <t>GÄVLEBORGS LÄN</t>
        </is>
      </c>
      <c r="G52" t="inlineStr">
        <is>
          <t>OCKELBO</t>
        </is>
      </c>
      <c r="I52" t="n">
        <v>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Igelkott</t>
        </is>
      </c>
      <c r="V52">
        <f>HYPERLINK("https://klasma.github.io/Logging_2101/artfynd/A 6586-2026 artfynd.xlsx", "A 6586-2026")</f>
        <v/>
      </c>
      <c r="W52">
        <f>HYPERLINK("https://klasma.github.io/Logging_2101/kartor/A 6586-2026 karta.png", "A 6586-2026")</f>
        <v/>
      </c>
      <c r="Y52">
        <f>HYPERLINK("https://klasma.github.io/Logging_2101/klagomål/A 6586-2026 FSC-klagomål.docx", "A 6586-2026")</f>
        <v/>
      </c>
      <c r="Z52">
        <f>HYPERLINK("https://klasma.github.io/Logging_2101/klagomålsmail/A 6586-2026 FSC-klagomål mail.docx", "A 6586-2026")</f>
        <v/>
      </c>
      <c r="AA52">
        <f>HYPERLINK("https://klasma.github.io/Logging_2101/tillsyn/A 6586-2026 tillsynsbegäran.docx", "A 6586-2026")</f>
        <v/>
      </c>
      <c r="AB52">
        <f>HYPERLINK("https://klasma.github.io/Logging_2101/tillsynsmail/A 6586-2026 tillsynsbegäran mail.docx", "A 6586-2026")</f>
        <v/>
      </c>
    </row>
    <row r="53" ht="15" customHeight="1">
      <c r="A53" t="inlineStr">
        <is>
          <t>A 8451-2026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46065</v>
      </c>
      <c r="E53" s="1" t="n">
        <v>46217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s="2" t="inlineStr">
        <is>
          <t>Lavskrika</t>
        </is>
      </c>
      <c r="V53">
        <f>HYPERLINK("https://klasma.github.io/Logging_2101/artfynd/A 8451-2026 artfynd.xlsx", "A 8451-2026")</f>
        <v/>
      </c>
      <c r="W53">
        <f>HYPERLINK("https://klasma.github.io/Logging_2101/kartor/A 8451-2026 karta.png", "A 8451-2026")</f>
        <v/>
      </c>
      <c r="Y53">
        <f>HYPERLINK("https://klasma.github.io/Logging_2101/klagomål/A 8451-2026 FSC-klagomål.docx", "A 8451-2026")</f>
        <v/>
      </c>
      <c r="Z53">
        <f>HYPERLINK("https://klasma.github.io/Logging_2101/klagomålsmail/A 8451-2026 FSC-klagomål mail.docx", "A 8451-2026")</f>
        <v/>
      </c>
      <c r="AA53">
        <f>HYPERLINK("https://klasma.github.io/Logging_2101/tillsyn/A 8451-2026 tillsynsbegäran.docx", "A 8451-2026")</f>
        <v/>
      </c>
      <c r="AB53">
        <f>HYPERLINK("https://klasma.github.io/Logging_2101/tillsynsmail/A 8451-2026 tillsynsbegäran mail.docx", "A 8451-2026")</f>
        <v/>
      </c>
      <c r="AC53">
        <f>HYPERLINK("https://klasma.github.io/Logging_2101/fåglar/A 8451-2026 prioriterade fågelarter.docx", "A 8451-2026")</f>
        <v/>
      </c>
    </row>
    <row r="54" ht="15" customHeight="1">
      <c r="A54" t="inlineStr">
        <is>
          <t>A 10484-2026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46077</v>
      </c>
      <c r="E54" s="1" t="n">
        <v>46217</v>
      </c>
      <c r="F54" t="inlineStr">
        <is>
          <t>GÄVLEBORGS LÄN</t>
        </is>
      </c>
      <c r="G54" t="inlineStr">
        <is>
          <t>OCKELBO</t>
        </is>
      </c>
      <c r="I54" t="n">
        <v>1.8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s="2" t="inlineStr">
        <is>
          <t>Ullticka</t>
        </is>
      </c>
      <c r="V54">
        <f>HYPERLINK("https://klasma.github.io/Logging_2101/artfynd/A 10484-2026 artfynd.xlsx", "A 10484-2026")</f>
        <v/>
      </c>
      <c r="W54">
        <f>HYPERLINK("https://klasma.github.io/Logging_2101/kartor/A 10484-2026 karta.png", "A 10484-2026")</f>
        <v/>
      </c>
      <c r="Y54">
        <f>HYPERLINK("https://klasma.github.io/Logging_2101/klagomål/A 10484-2026 FSC-klagomål.docx", "A 10484-2026")</f>
        <v/>
      </c>
      <c r="Z54">
        <f>HYPERLINK("https://klasma.github.io/Logging_2101/klagomålsmail/A 10484-2026 FSC-klagomål mail.docx", "A 10484-2026")</f>
        <v/>
      </c>
      <c r="AA54">
        <f>HYPERLINK("https://klasma.github.io/Logging_2101/tillsyn/A 10484-2026 tillsynsbegäran.docx", "A 10484-2026")</f>
        <v/>
      </c>
      <c r="AB54">
        <f>HYPERLINK("https://klasma.github.io/Logging_2101/tillsynsmail/A 10484-2026 tillsynsbegäran mail.docx", "A 10484-2026")</f>
        <v/>
      </c>
    </row>
    <row r="55" ht="15" customHeight="1">
      <c r="A55" t="inlineStr">
        <is>
          <t>A 13640-2026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46217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Mattlummer</t>
        </is>
      </c>
      <c r="V55">
        <f>HYPERLINK("https://klasma.github.io/Logging_2101/artfynd/A 13640-2026 artfynd.xlsx", "A 13640-2026")</f>
        <v/>
      </c>
      <c r="W55">
        <f>HYPERLINK("https://klasma.github.io/Logging_2101/kartor/A 13640-2026 karta.png", "A 13640-2026")</f>
        <v/>
      </c>
      <c r="Y55">
        <f>HYPERLINK("https://klasma.github.io/Logging_2101/klagomål/A 13640-2026 FSC-klagomål.docx", "A 13640-2026")</f>
        <v/>
      </c>
      <c r="Z55">
        <f>HYPERLINK("https://klasma.github.io/Logging_2101/klagomålsmail/A 13640-2026 FSC-klagomål mail.docx", "A 13640-2026")</f>
        <v/>
      </c>
      <c r="AA55">
        <f>HYPERLINK("https://klasma.github.io/Logging_2101/tillsyn/A 13640-2026 tillsynsbegäran.docx", "A 13640-2026")</f>
        <v/>
      </c>
      <c r="AB55">
        <f>HYPERLINK("https://klasma.github.io/Logging_2101/tillsynsmail/A 13640-2026 tillsynsbegäran mail.docx", "A 13640-2026")</f>
        <v/>
      </c>
    </row>
    <row r="56" ht="15" customHeight="1">
      <c r="A56" t="inlineStr">
        <is>
          <t>A 14479-2026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46100</v>
      </c>
      <c r="E56" s="1" t="n">
        <v>46217</v>
      </c>
      <c r="F56" t="inlineStr">
        <is>
          <t>GÄVLEBORGS LÄN</t>
        </is>
      </c>
      <c r="G56" t="inlineStr">
        <is>
          <t>OCKELBO</t>
        </is>
      </c>
      <c r="I56" t="n">
        <v>4.8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Igelkott</t>
        </is>
      </c>
      <c r="V56">
        <f>HYPERLINK("https://klasma.github.io/Logging_2101/artfynd/A 14479-2026 artfynd.xlsx", "A 14479-2026")</f>
        <v/>
      </c>
      <c r="W56">
        <f>HYPERLINK("https://klasma.github.io/Logging_2101/kartor/A 14479-2026 karta.png", "A 14479-2026")</f>
        <v/>
      </c>
      <c r="Y56">
        <f>HYPERLINK("https://klasma.github.io/Logging_2101/klagomål/A 14479-2026 FSC-klagomål.docx", "A 14479-2026")</f>
        <v/>
      </c>
      <c r="Z56">
        <f>HYPERLINK("https://klasma.github.io/Logging_2101/klagomålsmail/A 14479-2026 FSC-klagomål mail.docx", "A 14479-2026")</f>
        <v/>
      </c>
      <c r="AA56">
        <f>HYPERLINK("https://klasma.github.io/Logging_2101/tillsyn/A 14479-2026 tillsynsbegäran.docx", "A 14479-2026")</f>
        <v/>
      </c>
      <c r="AB56">
        <f>HYPERLINK("https://klasma.github.io/Logging_2101/tillsynsmail/A 14479-2026 tillsynsbegäran mail.docx", "A 14479-2026")</f>
        <v/>
      </c>
    </row>
    <row r="57" ht="15" customHeight="1">
      <c r="A57" t="inlineStr">
        <is>
          <t>A 14664-2026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46101</v>
      </c>
      <c r="E57" s="1" t="n">
        <v>46217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s="2" t="inlineStr">
        <is>
          <t>Tjäder</t>
        </is>
      </c>
      <c r="V57">
        <f>HYPERLINK("https://klasma.github.io/Logging_2101/artfynd/A 14664-2026 artfynd.xlsx", "A 14664-2026")</f>
        <v/>
      </c>
      <c r="W57">
        <f>HYPERLINK("https://klasma.github.io/Logging_2101/kartor/A 14664-2026 karta.png", "A 14664-2026")</f>
        <v/>
      </c>
      <c r="Y57">
        <f>HYPERLINK("https://klasma.github.io/Logging_2101/klagomål/A 14664-2026 FSC-klagomål.docx", "A 14664-2026")</f>
        <v/>
      </c>
      <c r="Z57">
        <f>HYPERLINK("https://klasma.github.io/Logging_2101/klagomålsmail/A 14664-2026 FSC-klagomål mail.docx", "A 14664-2026")</f>
        <v/>
      </c>
      <c r="AA57">
        <f>HYPERLINK("https://klasma.github.io/Logging_2101/tillsyn/A 14664-2026 tillsynsbegäran.docx", "A 14664-2026")</f>
        <v/>
      </c>
      <c r="AB57">
        <f>HYPERLINK("https://klasma.github.io/Logging_2101/tillsynsmail/A 14664-2026 tillsynsbegäran mail.docx", "A 14664-2026")</f>
        <v/>
      </c>
      <c r="AC57">
        <f>HYPERLINK("https://klasma.github.io/Logging_2101/fåglar/A 14664-2026 prioriterade fågelarter.docx", "A 14664-2026")</f>
        <v/>
      </c>
    </row>
    <row r="58" ht="15" customHeight="1">
      <c r="A58" t="inlineStr">
        <is>
          <t>A 16738-2025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45754</v>
      </c>
      <c r="E58" s="1" t="n">
        <v>46217</v>
      </c>
      <c r="F58" t="inlineStr">
        <is>
          <t>GÄVLEBORGS LÄN</t>
        </is>
      </c>
      <c r="G58" t="inlineStr">
        <is>
          <t>OCKELBO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Fläcknycklar</t>
        </is>
      </c>
      <c r="V58">
        <f>HYPERLINK("https://klasma.github.io/Logging_2101/artfynd/A 16738-2025 artfynd.xlsx", "A 16738-2025")</f>
        <v/>
      </c>
      <c r="W58">
        <f>HYPERLINK("https://klasma.github.io/Logging_2101/kartor/A 16738-2025 karta.png", "A 16738-2025")</f>
        <v/>
      </c>
      <c r="Y58">
        <f>HYPERLINK("https://klasma.github.io/Logging_2101/klagomål/A 16738-2025 FSC-klagomål.docx", "A 16738-2025")</f>
        <v/>
      </c>
      <c r="Z58">
        <f>HYPERLINK("https://klasma.github.io/Logging_2101/klagomålsmail/A 16738-2025 FSC-klagomål mail.docx", "A 16738-2025")</f>
        <v/>
      </c>
      <c r="AA58">
        <f>HYPERLINK("https://klasma.github.io/Logging_2101/tillsyn/A 16738-2025 tillsynsbegäran.docx", "A 16738-2025")</f>
        <v/>
      </c>
      <c r="AB58">
        <f>HYPERLINK("https://klasma.github.io/Logging_2101/tillsynsmail/A 16738-2025 tillsynsbegäran mail.docx", "A 16738-2025")</f>
        <v/>
      </c>
    </row>
    <row r="59" ht="15" customHeight="1">
      <c r="A59" t="inlineStr">
        <is>
          <t>A 18188-2026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46125</v>
      </c>
      <c r="E59" s="1" t="n">
        <v>46217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32.9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Järpe</t>
        </is>
      </c>
      <c r="V59">
        <f>HYPERLINK("https://klasma.github.io/Logging_2101/artfynd/A 18188-2026 artfynd.xlsx", "A 18188-2026")</f>
        <v/>
      </c>
      <c r="W59">
        <f>HYPERLINK("https://klasma.github.io/Logging_2101/kartor/A 18188-2026 karta.png", "A 18188-2026")</f>
        <v/>
      </c>
      <c r="Y59">
        <f>HYPERLINK("https://klasma.github.io/Logging_2101/klagomål/A 18188-2026 FSC-klagomål.docx", "A 18188-2026")</f>
        <v/>
      </c>
      <c r="Z59">
        <f>HYPERLINK("https://klasma.github.io/Logging_2101/klagomålsmail/A 18188-2026 FSC-klagomål mail.docx", "A 18188-2026")</f>
        <v/>
      </c>
      <c r="AA59">
        <f>HYPERLINK("https://klasma.github.io/Logging_2101/tillsyn/A 18188-2026 tillsynsbegäran.docx", "A 18188-2026")</f>
        <v/>
      </c>
      <c r="AB59">
        <f>HYPERLINK("https://klasma.github.io/Logging_2101/tillsynsmail/A 18188-2026 tillsynsbegäran mail.docx", "A 18188-2026")</f>
        <v/>
      </c>
      <c r="AC59">
        <f>HYPERLINK("https://klasma.github.io/Logging_2101/fåglar/A 18188-2026 prioriterade fågelarter.docx", "A 18188-2026")</f>
        <v/>
      </c>
    </row>
    <row r="60" ht="15" customHeight="1">
      <c r="A60" t="inlineStr">
        <is>
          <t>A 12777-2026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46091</v>
      </c>
      <c r="E60" s="1" t="n">
        <v>46217</v>
      </c>
      <c r="F60" t="inlineStr">
        <is>
          <t>GÄVLEBORGS LÄN</t>
        </is>
      </c>
      <c r="G60" t="inlineStr">
        <is>
          <t>OCKELBO</t>
        </is>
      </c>
      <c r="I60" t="n">
        <v>4.2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Spillkråka</t>
        </is>
      </c>
      <c r="V60">
        <f>HYPERLINK("https://klasma.github.io/Logging_2101/artfynd/A 12777-2026 artfynd.xlsx", "A 12777-2026")</f>
        <v/>
      </c>
      <c r="W60">
        <f>HYPERLINK("https://klasma.github.io/Logging_2101/kartor/A 12777-2026 karta.png", "A 12777-2026")</f>
        <v/>
      </c>
      <c r="Y60">
        <f>HYPERLINK("https://klasma.github.io/Logging_2101/klagomål/A 12777-2026 FSC-klagomål.docx", "A 12777-2026")</f>
        <v/>
      </c>
      <c r="Z60">
        <f>HYPERLINK("https://klasma.github.io/Logging_2101/klagomålsmail/A 12777-2026 FSC-klagomål mail.docx", "A 12777-2026")</f>
        <v/>
      </c>
      <c r="AA60">
        <f>HYPERLINK("https://klasma.github.io/Logging_2101/tillsyn/A 12777-2026 tillsynsbegäran.docx", "A 12777-2026")</f>
        <v/>
      </c>
      <c r="AB60">
        <f>HYPERLINK("https://klasma.github.io/Logging_2101/tillsynsmail/A 12777-2026 tillsynsbegäran mail.docx", "A 12777-2026")</f>
        <v/>
      </c>
      <c r="AC60">
        <f>HYPERLINK("https://klasma.github.io/Logging_2101/fåglar/A 12777-2026 prioriterade fågelarter.docx", "A 12777-2026")</f>
        <v/>
      </c>
    </row>
    <row r="61" ht="15" customHeight="1">
      <c r="A61" t="inlineStr">
        <is>
          <t>A 10145-2026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46076</v>
      </c>
      <c r="E61" s="1" t="n">
        <v>46217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öst AB</t>
        </is>
      </c>
      <c r="I61" t="n">
        <v>10.5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s="2" t="inlineStr">
        <is>
          <t>Fläcknycklar</t>
        </is>
      </c>
      <c r="V61">
        <f>HYPERLINK("https://klasma.github.io/Logging_2101/artfynd/A 10145-2026 artfynd.xlsx", "A 10145-2026")</f>
        <v/>
      </c>
      <c r="W61">
        <f>HYPERLINK("https://klasma.github.io/Logging_2101/kartor/A 10145-2026 karta.png", "A 10145-2026")</f>
        <v/>
      </c>
      <c r="X61">
        <f>HYPERLINK("https://klasma.github.io/Logging_2101/knärot/A 10145-2026 karta knärot.png", "A 10145-2026")</f>
        <v/>
      </c>
      <c r="Y61">
        <f>HYPERLINK("https://klasma.github.io/Logging_2101/klagomål/A 10145-2026 FSC-klagomål.docx", "A 10145-2026")</f>
        <v/>
      </c>
      <c r="Z61">
        <f>HYPERLINK("https://klasma.github.io/Logging_2101/klagomålsmail/A 10145-2026 FSC-klagomål mail.docx", "A 10145-2026")</f>
        <v/>
      </c>
      <c r="AA61">
        <f>HYPERLINK("https://klasma.github.io/Logging_2101/tillsyn/A 10145-2026 tillsynsbegäran.docx", "A 10145-2026")</f>
        <v/>
      </c>
      <c r="AB61">
        <f>HYPERLINK("https://klasma.github.io/Logging_2101/tillsynsmail/A 10145-2026 tillsynsbegäran mail.docx", "A 10145-2026")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46217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Skogsknipprot</t>
        </is>
      </c>
      <c r="V62">
        <f>HYPERLINK("https://klasma.github.io/Logging_2101/artfynd/A 4226-2023 artfynd.xlsx", "A 4226-2023")</f>
        <v/>
      </c>
      <c r="W62">
        <f>HYPERLINK("https://klasma.github.io/Logging_2101/kartor/A 4226-2023 karta.png", "A 4226-2023")</f>
        <v/>
      </c>
      <c r="Y62">
        <f>HYPERLINK("https://klasma.github.io/Logging_2101/klagomål/A 4226-2023 FSC-klagomål.docx", "A 4226-2023")</f>
        <v/>
      </c>
      <c r="Z62">
        <f>HYPERLINK("https://klasma.github.io/Logging_2101/klagomålsmail/A 4226-2023 FSC-klagomål mail.docx", "A 4226-2023")</f>
        <v/>
      </c>
      <c r="AA62">
        <f>HYPERLINK("https://klasma.github.io/Logging_2101/tillsyn/A 4226-2023 tillsynsbegäran.docx", "A 4226-2023")</f>
        <v/>
      </c>
      <c r="AB62">
        <f>HYPERLINK("https://klasma.github.io/Logging_2101/tillsynsmail/A 4226-2023 tillsynsbegäran mail.docx", "A 4226-2023")</f>
        <v/>
      </c>
    </row>
    <row r="63" ht="15" customHeight="1">
      <c r="A63" t="inlineStr">
        <is>
          <t>A 33384-2024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45519</v>
      </c>
      <c r="E63" s="1" t="n">
        <v>46217</v>
      </c>
      <c r="F63" t="inlineStr">
        <is>
          <t>GÄVLEBORGS LÄN</t>
        </is>
      </c>
      <c r="G63" t="inlineStr">
        <is>
          <t>OCKELBO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Plattlummer</t>
        </is>
      </c>
      <c r="V63">
        <f>HYPERLINK("https://klasma.github.io/Logging_2101/artfynd/A 33384-2024 artfynd.xlsx", "A 33384-2024")</f>
        <v/>
      </c>
      <c r="W63">
        <f>HYPERLINK("https://klasma.github.io/Logging_2101/kartor/A 33384-2024 karta.png", "A 33384-2024")</f>
        <v/>
      </c>
      <c r="Y63">
        <f>HYPERLINK("https://klasma.github.io/Logging_2101/klagomål/A 33384-2024 FSC-klagomål.docx", "A 33384-2024")</f>
        <v/>
      </c>
      <c r="Z63">
        <f>HYPERLINK("https://klasma.github.io/Logging_2101/klagomålsmail/A 33384-2024 FSC-klagomål mail.docx", "A 33384-2024")</f>
        <v/>
      </c>
      <c r="AA63">
        <f>HYPERLINK("https://klasma.github.io/Logging_2101/tillsyn/A 33384-2024 tillsynsbegäran.docx", "A 33384-2024")</f>
        <v/>
      </c>
      <c r="AB63">
        <f>HYPERLINK("https://klasma.github.io/Logging_2101/tillsynsmail/A 33384-2024 tillsynsbegäran mail.docx", "A 33384-2024")</f>
        <v/>
      </c>
    </row>
    <row r="64" ht="15" customHeight="1">
      <c r="A64" t="inlineStr">
        <is>
          <t>S 1497-2023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45051</v>
      </c>
      <c r="E64" s="1" t="n">
        <v>46217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701.6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Skogsalm</t>
        </is>
      </c>
      <c r="V64">
        <f>HYPERLINK("https://klasma.github.io/Logging_2101/artfynd/S 1497-2023 artfynd.xlsx", "S 1497-2023")</f>
        <v/>
      </c>
      <c r="W64">
        <f>HYPERLINK("https://klasma.github.io/Logging_2101/kartor/S 1497-2023 karta.png", "S 1497-2023")</f>
        <v/>
      </c>
      <c r="Y64">
        <f>HYPERLINK("https://klasma.github.io/Logging_2101/klagomål/S 1497-2023 FSC-klagomål.docx", "S 1497-2023")</f>
        <v/>
      </c>
      <c r="Z64">
        <f>HYPERLINK("https://klasma.github.io/Logging_2101/klagomålsmail/S 1497-2023 FSC-klagomål mail.docx", "S 1497-2023")</f>
        <v/>
      </c>
      <c r="AA64">
        <f>HYPERLINK("https://klasma.github.io/Logging_2101/tillsyn/S 1497-2023 tillsynsbegäran.docx", "S 1497-2023")</f>
        <v/>
      </c>
      <c r="AB64">
        <f>HYPERLINK("https://klasma.github.io/Logging_2101/tillsynsmail/S 1497-2023 tillsynsbegäran mail.docx", "S 1497-2023")</f>
        <v/>
      </c>
    </row>
    <row r="65" ht="15" customHeight="1">
      <c r="A65" t="inlineStr">
        <is>
          <t>S 3258-2025</t>
        </is>
      </c>
      <c r="B65" t="inlineStr">
        <is>
          <t>samrådsanmälan</t>
        </is>
      </c>
      <c r="C65" t="inlineStr">
        <is>
          <t>Skogsgödsling</t>
        </is>
      </c>
      <c r="D65" s="1" t="n">
        <v>45982</v>
      </c>
      <c r="E65" s="1" t="n">
        <v>46217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Fläcknycklar</t>
        </is>
      </c>
      <c r="V65">
        <f>HYPERLINK("https://klasma.github.io/Logging_2101/artfynd/S 3258-2025 artfynd.xlsx", "S 3258-2025")</f>
        <v/>
      </c>
      <c r="W65">
        <f>HYPERLINK("https://klasma.github.io/Logging_2101/kartor/S 3258-2025 karta.png", "S 3258-2025")</f>
        <v/>
      </c>
      <c r="Y65">
        <f>HYPERLINK("https://klasma.github.io/Logging_2101/klagomål/S 3258-2025 FSC-klagomål.docx", "S 3258-2025")</f>
        <v/>
      </c>
      <c r="Z65">
        <f>HYPERLINK("https://klasma.github.io/Logging_2101/klagomålsmail/S 3258-2025 FSC-klagomål mail.docx", "S 3258-2025")</f>
        <v/>
      </c>
      <c r="AA65">
        <f>HYPERLINK("https://klasma.github.io/Logging_2101/tillsyn/S 3258-2025 tillsynsbegäran.docx", "S 3258-2025")</f>
        <v/>
      </c>
      <c r="AB65">
        <f>HYPERLINK("https://klasma.github.io/Logging_2101/tillsynsmail/S 3258-2025 tillsynsbegäran mail.docx", "S 3258-2025")</f>
        <v/>
      </c>
    </row>
    <row r="66" ht="15" customHeight="1">
      <c r="A66" t="inlineStr">
        <is>
          <t>S 3581-2025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46019</v>
      </c>
      <c r="E66" s="1" t="n">
        <v>46217</v>
      </c>
      <c r="F66" t="inlineStr">
        <is>
          <t>GÄVLEBORGS LÄN</t>
        </is>
      </c>
      <c r="G66" t="inlineStr">
        <is>
          <t>OCKELBO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Gullpudra</t>
        </is>
      </c>
      <c r="V66">
        <f>HYPERLINK("https://klasma.github.io/Logging_2101/artfynd/S 3581-2025 artfynd.xlsx", "S 3581-2025")</f>
        <v/>
      </c>
      <c r="W66">
        <f>HYPERLINK("https://klasma.github.io/Logging_2101/kartor/S 3581-2025 karta.png", "S 3581-2025")</f>
        <v/>
      </c>
      <c r="Y66">
        <f>HYPERLINK("https://klasma.github.io/Logging_2101/klagomål/S 3581-2025 FSC-klagomål.docx", "S 3581-2025")</f>
        <v/>
      </c>
      <c r="Z66">
        <f>HYPERLINK("https://klasma.github.io/Logging_2101/klagomålsmail/S 3581-2025 FSC-klagomål mail.docx", "S 3581-2025")</f>
        <v/>
      </c>
      <c r="AA66">
        <f>HYPERLINK("https://klasma.github.io/Logging_2101/tillsyn/S 3581-2025 tillsynsbegäran.docx", "S 3581-2025")</f>
        <v/>
      </c>
      <c r="AB66">
        <f>HYPERLINK("https://klasma.github.io/Logging_2101/tillsynsmail/S 3581-2025 tillsynsbegäran mail.docx", "S 3581-2025")</f>
        <v/>
      </c>
    </row>
    <row r="67" ht="15" customHeight="1">
      <c r="A67" t="inlineStr">
        <is>
          <t>A 34722-2022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44795</v>
      </c>
      <c r="E67" s="1" t="n">
        <v>46217</v>
      </c>
      <c r="F67" t="inlineStr">
        <is>
          <t>GÄVLEBORGS LÄN</t>
        </is>
      </c>
      <c r="G67" t="inlineStr">
        <is>
          <t>OCKELBO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46217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51257-2021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44460</v>
      </c>
      <c r="E69" s="1" t="n">
        <v>46217</v>
      </c>
      <c r="F69" t="inlineStr">
        <is>
          <t>GÄVLEBORGS LÄN</t>
        </is>
      </c>
      <c r="G69" t="inlineStr">
        <is>
          <t>OCKELBO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39888-2021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44417</v>
      </c>
      <c r="E70" s="1" t="n">
        <v>46217</v>
      </c>
      <c r="F70" t="inlineStr">
        <is>
          <t>GÄVLEBORGS LÄN</t>
        </is>
      </c>
      <c r="G70" t="inlineStr">
        <is>
          <t>OCKELBO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34712-2022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44795</v>
      </c>
      <c r="E71" s="1" t="n">
        <v>46217</v>
      </c>
      <c r="F71" t="inlineStr">
        <is>
          <t>GÄVLEBORGS LÄN</t>
        </is>
      </c>
      <c r="G71" t="inlineStr">
        <is>
          <t>OCKELBO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51206-2021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44460</v>
      </c>
      <c r="E72" s="1" t="n">
        <v>46217</v>
      </c>
      <c r="F72" t="inlineStr">
        <is>
          <t>GÄVLEBORGS LÄN</t>
        </is>
      </c>
      <c r="G72" t="inlineStr">
        <is>
          <t>OCKELBO</t>
        </is>
      </c>
      <c r="I72" t="n">
        <v>16.8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46217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46217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46217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46217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46217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46217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40159-2021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44418</v>
      </c>
      <c r="E79" s="1" t="n">
        <v>46217</v>
      </c>
      <c r="F79" t="inlineStr">
        <is>
          <t>GÄVLEBORGS LÄN</t>
        </is>
      </c>
      <c r="G79" t="inlineStr">
        <is>
          <t>OCKELBO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51250-2021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44460</v>
      </c>
      <c r="E80" s="1" t="n">
        <v>46217</v>
      </c>
      <c r="F80" t="inlineStr">
        <is>
          <t>GÄVLEBORGS LÄN</t>
        </is>
      </c>
      <c r="G80" t="inlineStr">
        <is>
          <t>OCKELBO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48381-2022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46217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59629-2021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44492</v>
      </c>
      <c r="E82" s="1" t="n">
        <v>46217</v>
      </c>
      <c r="F82" t="inlineStr">
        <is>
          <t>GÄVLEBORGS LÄN</t>
        </is>
      </c>
      <c r="G82" t="inlineStr">
        <is>
          <t>OCKELBO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37694-2021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44400</v>
      </c>
      <c r="E83" s="1" t="n">
        <v>46217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22035-2022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44711</v>
      </c>
      <c r="E84" s="1" t="n">
        <v>46217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45522-2021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44440</v>
      </c>
      <c r="E85" s="1" t="n">
        <v>46217</v>
      </c>
      <c r="F85" t="inlineStr">
        <is>
          <t>GÄVLEBORGS LÄN</t>
        </is>
      </c>
      <c r="G85" t="inlineStr">
        <is>
          <t>OCKELBO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34709-2022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44795</v>
      </c>
      <c r="E86" s="1" t="n">
        <v>46217</v>
      </c>
      <c r="F86" t="inlineStr">
        <is>
          <t>GÄVLEBORGS LÄN</t>
        </is>
      </c>
      <c r="G86" t="inlineStr">
        <is>
          <t>OCKELBO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48205-2022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44858</v>
      </c>
      <c r="E87" s="1" t="n">
        <v>46217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41622-2021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44425</v>
      </c>
      <c r="E88" s="1" t="n">
        <v>46217</v>
      </c>
      <c r="F88" t="inlineStr">
        <is>
          <t>GÄVLEBORGS LÄN</t>
        </is>
      </c>
      <c r="G88" t="inlineStr">
        <is>
          <t>OCKELBO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51708-2021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46217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35846-2022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44802</v>
      </c>
      <c r="E90" s="1" t="n">
        <v>46217</v>
      </c>
      <c r="F90" t="inlineStr">
        <is>
          <t>GÄVLEBORGS LÄN</t>
        </is>
      </c>
      <c r="G90" t="inlineStr">
        <is>
          <t>OCKELBO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54152-2022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44881</v>
      </c>
      <c r="E91" s="1" t="n">
        <v>46217</v>
      </c>
      <c r="F91" t="inlineStr">
        <is>
          <t>GÄVLEBORGS LÄN</t>
        </is>
      </c>
      <c r="G91" t="inlineStr">
        <is>
          <t>OCKELBO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21291-2022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46217</v>
      </c>
      <c r="F92" t="inlineStr">
        <is>
          <t>GÄVLEBORGS LÄN</t>
        </is>
      </c>
      <c r="G92" t="inlineStr">
        <is>
          <t>OCKELBO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51747-2022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46217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69580-2021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46217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12987-2022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44643</v>
      </c>
      <c r="E95" s="1" t="n">
        <v>46217</v>
      </c>
      <c r="F95" t="inlineStr">
        <is>
          <t>GÄVLEBORGS LÄN</t>
        </is>
      </c>
      <c r="G95" t="inlineStr">
        <is>
          <t>OCKELBO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15705-2022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44663</v>
      </c>
      <c r="E96" s="1" t="n">
        <v>46217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51271-2021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44460</v>
      </c>
      <c r="E97" s="1" t="n">
        <v>46217</v>
      </c>
      <c r="F97" t="inlineStr">
        <is>
          <t>GÄVLEBORGS LÄN</t>
        </is>
      </c>
      <c r="G97" t="inlineStr">
        <is>
          <t>OCKELBO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51565-2021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44460</v>
      </c>
      <c r="E98" s="1" t="n">
        <v>46217</v>
      </c>
      <c r="F98" t="inlineStr">
        <is>
          <t>GÄVLEBORGS LÄN</t>
        </is>
      </c>
      <c r="G98" t="inlineStr">
        <is>
          <t>OCKELBO</t>
        </is>
      </c>
      <c r="I98" t="n">
        <v>8.800000000000001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56635-2021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46217</v>
      </c>
      <c r="F99" t="inlineStr">
        <is>
          <t>GÄVLEBORGS LÄN</t>
        </is>
      </c>
      <c r="G99" t="inlineStr">
        <is>
          <t>OCKELBO</t>
        </is>
      </c>
      <c r="I99" t="n">
        <v>10.8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43538-2023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45184</v>
      </c>
      <c r="E100" s="1" t="n">
        <v>46217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47674-2023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45203</v>
      </c>
      <c r="E101" s="1" t="n">
        <v>46217</v>
      </c>
      <c r="F101" t="inlineStr">
        <is>
          <t>GÄVLEBORGS LÄN</t>
        </is>
      </c>
      <c r="G101" t="inlineStr">
        <is>
          <t>OCKELBO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5558-2024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45334</v>
      </c>
      <c r="E102" s="1" t="n">
        <v>46217</v>
      </c>
      <c r="F102" t="inlineStr">
        <is>
          <t>GÄVLEBORGS LÄN</t>
        </is>
      </c>
      <c r="G102" t="inlineStr">
        <is>
          <t>OCKELBO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34944-2024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45527</v>
      </c>
      <c r="E103" s="1" t="n">
        <v>46217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12.2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6617-2025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45700</v>
      </c>
      <c r="E104" s="1" t="n">
        <v>46217</v>
      </c>
      <c r="F104" t="inlineStr">
        <is>
          <t>GÄVLEBORGS LÄN</t>
        </is>
      </c>
      <c r="G104" t="inlineStr">
        <is>
          <t>OCKELBO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45330</v>
      </c>
      <c r="E105" s="1" t="n">
        <v>46217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56631-2022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44893</v>
      </c>
      <c r="E106" s="1" t="n">
        <v>46217</v>
      </c>
      <c r="F106" t="inlineStr">
        <is>
          <t>GÄVLEBORGS LÄN</t>
        </is>
      </c>
      <c r="G106" t="inlineStr">
        <is>
          <t>OCKELBO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40140-2022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44820</v>
      </c>
      <c r="E107" s="1" t="n">
        <v>46217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43799-2022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44838</v>
      </c>
      <c r="E108" s="1" t="n">
        <v>46217</v>
      </c>
      <c r="F108" t="inlineStr">
        <is>
          <t>GÄVLEBORGS LÄN</t>
        </is>
      </c>
      <c r="G108" t="inlineStr">
        <is>
          <t>OCKELBO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55422-2022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44887</v>
      </c>
      <c r="E109" s="1" t="n">
        <v>46217</v>
      </c>
      <c r="F109" t="inlineStr">
        <is>
          <t>GÄVLEBORGS LÄN</t>
        </is>
      </c>
      <c r="G109" t="inlineStr">
        <is>
          <t>OCKELBO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20231-2024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45434</v>
      </c>
      <c r="E110" s="1" t="n">
        <v>46217</v>
      </c>
      <c r="F110" t="inlineStr">
        <is>
          <t>GÄVLEBORGS LÄN</t>
        </is>
      </c>
      <c r="G110" t="inlineStr">
        <is>
          <t>OCKELBO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23072-2024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45450</v>
      </c>
      <c r="E111" s="1" t="n">
        <v>46217</v>
      </c>
      <c r="F111" t="inlineStr">
        <is>
          <t>GÄVLEBORGS LÄN</t>
        </is>
      </c>
      <c r="G111" t="inlineStr">
        <is>
          <t>OCKELBO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21878-2024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45443</v>
      </c>
      <c r="E112" s="1" t="n">
        <v>46217</v>
      </c>
      <c r="F112" t="inlineStr">
        <is>
          <t>GÄVLEBORGS LÄN</t>
        </is>
      </c>
      <c r="G112" t="inlineStr">
        <is>
          <t>OCKELBO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5571-2024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45334</v>
      </c>
      <c r="E113" s="1" t="n">
        <v>46217</v>
      </c>
      <c r="F113" t="inlineStr">
        <is>
          <t>GÄVLEBORGS LÄN</t>
        </is>
      </c>
      <c r="G113" t="inlineStr">
        <is>
          <t>OCKELBO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23772-2024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45455</v>
      </c>
      <c r="E114" s="1" t="n">
        <v>46217</v>
      </c>
      <c r="F114" t="inlineStr">
        <is>
          <t>GÄVLEBORGS LÄN</t>
        </is>
      </c>
      <c r="G114" t="inlineStr">
        <is>
          <t>OCKELBO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28965-2024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45481</v>
      </c>
      <c r="E115" s="1" t="n">
        <v>46217</v>
      </c>
      <c r="F115" t="inlineStr">
        <is>
          <t>GÄVLEBORGS LÄN</t>
        </is>
      </c>
      <c r="G115" t="inlineStr">
        <is>
          <t>OCKELBO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10445-2024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45366</v>
      </c>
      <c r="E116" s="1" t="n">
        <v>46217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30242-2024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45490</v>
      </c>
      <c r="E117" s="1" t="n">
        <v>46217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28586-2024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45478</v>
      </c>
      <c r="E118" s="1" t="n">
        <v>46217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6742-2024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45342</v>
      </c>
      <c r="E119" s="1" t="n">
        <v>46217</v>
      </c>
      <c r="F119" t="inlineStr">
        <is>
          <t>GÄVLEBORGS LÄN</t>
        </is>
      </c>
      <c r="G119" t="inlineStr">
        <is>
          <t>OCKELBO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33880-2023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45134</v>
      </c>
      <c r="E120" s="1" t="n">
        <v>46217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36295-2024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45534</v>
      </c>
      <c r="E121" s="1" t="n">
        <v>46217</v>
      </c>
      <c r="F121" t="inlineStr">
        <is>
          <t>GÄVLEBORGS LÄN</t>
        </is>
      </c>
      <c r="G121" t="inlineStr">
        <is>
          <t>OCKELBO</t>
        </is>
      </c>
      <c r="I121" t="n">
        <v>7.9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55715-2023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45239</v>
      </c>
      <c r="E122" s="1" t="n">
        <v>46217</v>
      </c>
      <c r="F122" t="inlineStr">
        <is>
          <t>GÄVLEBORGS LÄN</t>
        </is>
      </c>
      <c r="G122" t="inlineStr">
        <is>
          <t>OCKELBO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60497-2021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44496</v>
      </c>
      <c r="E123" s="1" t="n">
        <v>46217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29954-2024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45488</v>
      </c>
      <c r="E124" s="1" t="n">
        <v>46217</v>
      </c>
      <c r="F124" t="inlineStr">
        <is>
          <t>GÄVLEBORGS LÄN</t>
        </is>
      </c>
      <c r="G124" t="inlineStr">
        <is>
          <t>OCKELBO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53393-2022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44879</v>
      </c>
      <c r="E125" s="1" t="n">
        <v>46217</v>
      </c>
      <c r="F125" t="inlineStr">
        <is>
          <t>GÄVLEBORGS LÄN</t>
        </is>
      </c>
      <c r="G125" t="inlineStr">
        <is>
          <t>OCKELBO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54807-2024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45618</v>
      </c>
      <c r="E126" s="1" t="n">
        <v>46217</v>
      </c>
      <c r="F126" t="inlineStr">
        <is>
          <t>GÄVLEBORGS LÄN</t>
        </is>
      </c>
      <c r="G126" t="inlineStr">
        <is>
          <t>OCKELBO</t>
        </is>
      </c>
      <c r="I126" t="n">
        <v>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55952-2022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46217</v>
      </c>
      <c r="F127" t="inlineStr">
        <is>
          <t>GÄVLEBORGS LÄN</t>
        </is>
      </c>
      <c r="G127" t="inlineStr">
        <is>
          <t>OCKELBO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43550-2023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45184</v>
      </c>
      <c r="E128" s="1" t="n">
        <v>46217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64367-2023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45280</v>
      </c>
      <c r="E129" s="1" t="n">
        <v>46217</v>
      </c>
      <c r="F129" t="inlineStr">
        <is>
          <t>GÄVLEBORGS LÄN</t>
        </is>
      </c>
      <c r="G129" t="inlineStr">
        <is>
          <t>OCKELBO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36553-2021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44391</v>
      </c>
      <c r="E130" s="1" t="n">
        <v>46217</v>
      </c>
      <c r="F130" t="inlineStr">
        <is>
          <t>GÄVLEBORGS LÄN</t>
        </is>
      </c>
      <c r="G130" t="inlineStr">
        <is>
          <t>OCKELBO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40196-2024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45554</v>
      </c>
      <c r="E131" s="1" t="n">
        <v>46217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3593-2023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44950</v>
      </c>
      <c r="E132" s="1" t="n">
        <v>46217</v>
      </c>
      <c r="F132" t="inlineStr">
        <is>
          <t>GÄVLEBORGS LÄN</t>
        </is>
      </c>
      <c r="G132" t="inlineStr">
        <is>
          <t>OCKELBO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30798-2024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45497</v>
      </c>
      <c r="E133" s="1" t="n">
        <v>46217</v>
      </c>
      <c r="F133" t="inlineStr">
        <is>
          <t>GÄVLEBORGS LÄN</t>
        </is>
      </c>
      <c r="G133" t="inlineStr">
        <is>
          <t>OCKELBO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49207-2023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45210</v>
      </c>
      <c r="E134" s="1" t="n">
        <v>46217</v>
      </c>
      <c r="F134" t="inlineStr">
        <is>
          <t>GÄVLEBORGS LÄN</t>
        </is>
      </c>
      <c r="G134" t="inlineStr">
        <is>
          <t>OCKELBO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3628-2023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44950</v>
      </c>
      <c r="E135" s="1" t="n">
        <v>46217</v>
      </c>
      <c r="F135" t="inlineStr">
        <is>
          <t>GÄVLEBORGS LÄN</t>
        </is>
      </c>
      <c r="G135" t="inlineStr">
        <is>
          <t>OCKELBO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14937-2024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45398</v>
      </c>
      <c r="E136" s="1" t="n">
        <v>46217</v>
      </c>
      <c r="F136" t="inlineStr">
        <is>
          <t>GÄVLEBORGS LÄN</t>
        </is>
      </c>
      <c r="G136" t="inlineStr">
        <is>
          <t>OCKELBO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22824-2024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45448</v>
      </c>
      <c r="E137" s="1" t="n">
        <v>46217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19924-2026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46136</v>
      </c>
      <c r="E138" s="1" t="n">
        <v>46217</v>
      </c>
      <c r="F138" t="inlineStr">
        <is>
          <t>GÄVLEBORGS LÄN</t>
        </is>
      </c>
      <c r="G138" t="inlineStr">
        <is>
          <t>OCKELBO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25599-2026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46177</v>
      </c>
      <c r="E139" s="1" t="n">
        <v>46217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64609-2023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46217</v>
      </c>
      <c r="F140" t="inlineStr">
        <is>
          <t>GÄVLEBORGS LÄN</t>
        </is>
      </c>
      <c r="G140" t="inlineStr">
        <is>
          <t>OCKELBO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9964-2025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45719</v>
      </c>
      <c r="E141" s="1" t="n">
        <v>46217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öst AB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47100-2024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45586</v>
      </c>
      <c r="E142" s="1" t="n">
        <v>46217</v>
      </c>
      <c r="F142" t="inlineStr">
        <is>
          <t>GÄVLEBORGS LÄN</t>
        </is>
      </c>
      <c r="G142" t="inlineStr">
        <is>
          <t>OCKELBO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39424-2024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45551</v>
      </c>
      <c r="E143" s="1" t="n">
        <v>46217</v>
      </c>
      <c r="F143" t="inlineStr">
        <is>
          <t>GÄVLEBORGS LÄN</t>
        </is>
      </c>
      <c r="G143" t="inlineStr">
        <is>
          <t>OCKELBO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65259-2023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45291</v>
      </c>
      <c r="E144" s="1" t="n">
        <v>46217</v>
      </c>
      <c r="F144" t="inlineStr">
        <is>
          <t>GÄVLEBORGS LÄN</t>
        </is>
      </c>
      <c r="G144" t="inlineStr">
        <is>
          <t>OCKELBO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24927-2025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46217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39142-2025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46217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39035-2025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46217</v>
      </c>
      <c r="F147" t="inlineStr">
        <is>
          <t>GÄVLEBORGS LÄN</t>
        </is>
      </c>
      <c r="G147" t="inlineStr">
        <is>
          <t>OCKELBO</t>
        </is>
      </c>
      <c r="H147" t="inlineStr">
        <is>
          <t>Kyrkan</t>
        </is>
      </c>
      <c r="I147" t="n">
        <v>12.5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62096-2024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45656</v>
      </c>
      <c r="E148" s="1" t="n">
        <v>46217</v>
      </c>
      <c r="F148" t="inlineStr">
        <is>
          <t>GÄVLEBORGS LÄN</t>
        </is>
      </c>
      <c r="G148" t="inlineStr">
        <is>
          <t>OCKELBO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39324-2025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46217</v>
      </c>
      <c r="F149" t="inlineStr">
        <is>
          <t>GÄVLEBORGS LÄN</t>
        </is>
      </c>
      <c r="G149" t="inlineStr">
        <is>
          <t>OCKELBO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39325-2025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46217</v>
      </c>
      <c r="F150" t="inlineStr">
        <is>
          <t>GÄVLEBORGS LÄN</t>
        </is>
      </c>
      <c r="G150" t="inlineStr">
        <is>
          <t>OCKELBO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39360-2025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46217</v>
      </c>
      <c r="F151" t="inlineStr">
        <is>
          <t>GÄVLEBORGS LÄN</t>
        </is>
      </c>
      <c r="G151" t="inlineStr">
        <is>
          <t>OCKELBO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15195-2025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45744</v>
      </c>
      <c r="E152" s="1" t="n">
        <v>46217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29534-2023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45106</v>
      </c>
      <c r="E153" s="1" t="n">
        <v>46217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52335-2024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45609</v>
      </c>
      <c r="E154" s="1" t="n">
        <v>46217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39723-2025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46217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17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40148-2025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45894</v>
      </c>
      <c r="E156" s="1" t="n">
        <v>46217</v>
      </c>
      <c r="F156" t="inlineStr">
        <is>
          <t>GÄVLEBORGS LÄN</t>
        </is>
      </c>
      <c r="G156" t="inlineStr">
        <is>
          <t>OCKELBO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19945-2026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46136</v>
      </c>
      <c r="E157" s="1" t="n">
        <v>46217</v>
      </c>
      <c r="F157" t="inlineStr">
        <is>
          <t>GÄVLEBORGS LÄN</t>
        </is>
      </c>
      <c r="G157" t="inlineStr">
        <is>
          <t>OCKELBO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40525-2025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45896</v>
      </c>
      <c r="E158" s="1" t="n">
        <v>46217</v>
      </c>
      <c r="F158" t="inlineStr">
        <is>
          <t>GÄVLEBORGS LÄN</t>
        </is>
      </c>
      <c r="G158" t="inlineStr">
        <is>
          <t>OCKELBO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53139-2024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45611</v>
      </c>
      <c r="E159" s="1" t="n">
        <v>46217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2555-2025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45674</v>
      </c>
      <c r="E160" s="1" t="n">
        <v>46217</v>
      </c>
      <c r="F160" t="inlineStr">
        <is>
          <t>GÄVLEBORGS LÄN</t>
        </is>
      </c>
      <c r="G160" t="inlineStr">
        <is>
          <t>OCKELBO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17682-2026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46121</v>
      </c>
      <c r="E161" s="1" t="n">
        <v>46217</v>
      </c>
      <c r="F161" t="inlineStr">
        <is>
          <t>GÄVLEBORGS LÄN</t>
        </is>
      </c>
      <c r="G161" t="inlineStr">
        <is>
          <t>OCKELBO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38652-2025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45884</v>
      </c>
      <c r="E162" s="1" t="n">
        <v>46217</v>
      </c>
      <c r="F162" t="inlineStr">
        <is>
          <t>GÄVLEBORGS LÄN</t>
        </is>
      </c>
      <c r="G162" t="inlineStr">
        <is>
          <t>OCKELBO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17208-2026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46119</v>
      </c>
      <c r="E163" s="1" t="n">
        <v>46217</v>
      </c>
      <c r="F163" t="inlineStr">
        <is>
          <t>GÄVLEBORGS LÄN</t>
        </is>
      </c>
      <c r="G163" t="inlineStr">
        <is>
          <t>OCKELBO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41901-2025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45903</v>
      </c>
      <c r="E164" s="1" t="n">
        <v>46217</v>
      </c>
      <c r="F164" t="inlineStr">
        <is>
          <t>GÄVLEBORGS LÄN</t>
        </is>
      </c>
      <c r="G164" t="inlineStr">
        <is>
          <t>OCKELBO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41899-2025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45903</v>
      </c>
      <c r="E165" s="1" t="n">
        <v>46217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41897-2025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45903</v>
      </c>
      <c r="E166" s="1" t="n">
        <v>46217</v>
      </c>
      <c r="F166" t="inlineStr">
        <is>
          <t>GÄVLEBORGS LÄN</t>
        </is>
      </c>
      <c r="G166" t="inlineStr">
        <is>
          <t>OCKELBO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1143-2025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45666</v>
      </c>
      <c r="E167" s="1" t="n">
        <v>46217</v>
      </c>
      <c r="F167" t="inlineStr">
        <is>
          <t>GÄVLEBORGS LÄN</t>
        </is>
      </c>
      <c r="G167" t="inlineStr">
        <is>
          <t>OCKELBO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32087-2025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45835</v>
      </c>
      <c r="E168" s="1" t="n">
        <v>46217</v>
      </c>
      <c r="F168" t="inlineStr">
        <is>
          <t>GÄVLEBORGS LÄN</t>
        </is>
      </c>
      <c r="G168" t="inlineStr">
        <is>
          <t>OCKELBO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17117-2026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46114</v>
      </c>
      <c r="E169" s="1" t="n">
        <v>46217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8662-2025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45712</v>
      </c>
      <c r="E170" s="1" t="n">
        <v>46217</v>
      </c>
      <c r="F170" t="inlineStr">
        <is>
          <t>GÄVLEBORGS LÄN</t>
        </is>
      </c>
      <c r="G170" t="inlineStr">
        <is>
          <t>OCKELBO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42386-2025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45905</v>
      </c>
      <c r="E171" s="1" t="n">
        <v>46217</v>
      </c>
      <c r="F171" t="inlineStr">
        <is>
          <t>GÄVLEBORGS LÄN</t>
        </is>
      </c>
      <c r="G171" t="inlineStr">
        <is>
          <t>OCKELBO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32011-2024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45510</v>
      </c>
      <c r="E172" s="1" t="n">
        <v>46217</v>
      </c>
      <c r="F172" t="inlineStr">
        <is>
          <t>GÄVLEBORGS LÄN</t>
        </is>
      </c>
      <c r="G172" t="inlineStr">
        <is>
          <t>OCKELBO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20892-2025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45777</v>
      </c>
      <c r="E173" s="1" t="n">
        <v>46217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20481-2026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46140</v>
      </c>
      <c r="E174" s="1" t="n">
        <v>46217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32123-2024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45511</v>
      </c>
      <c r="E175" s="1" t="n">
        <v>46217</v>
      </c>
      <c r="F175" t="inlineStr">
        <is>
          <t>GÄVLEBORGS LÄN</t>
        </is>
      </c>
      <c r="G175" t="inlineStr">
        <is>
          <t>OCKELBO</t>
        </is>
      </c>
      <c r="I175" t="n">
        <v>11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43423-2025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46217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24.8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9556-2026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46071</v>
      </c>
      <c r="E177" s="1" t="n">
        <v>46217</v>
      </c>
      <c r="F177" t="inlineStr">
        <is>
          <t>GÄVLEBORGS LÄN</t>
        </is>
      </c>
      <c r="G177" t="inlineStr">
        <is>
          <t>OCKELBO</t>
        </is>
      </c>
      <c r="I177" t="n">
        <v>11.9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33079-2025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45840</v>
      </c>
      <c r="E178" s="1" t="n">
        <v>46217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43436-2025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46217</v>
      </c>
      <c r="F179" t="inlineStr">
        <is>
          <t>GÄVLEBORGS LÄN</t>
        </is>
      </c>
      <c r="G179" t="inlineStr">
        <is>
          <t>OCKELBO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43424-2025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46217</v>
      </c>
      <c r="F180" t="inlineStr">
        <is>
          <t>GÄVLEBORGS LÄN</t>
        </is>
      </c>
      <c r="G180" t="inlineStr">
        <is>
          <t>OCKELBO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22385-2023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45070</v>
      </c>
      <c r="E181" s="1" t="n">
        <v>46217</v>
      </c>
      <c r="F181" t="inlineStr">
        <is>
          <t>GÄVLEBORGS LÄN</t>
        </is>
      </c>
      <c r="G181" t="inlineStr">
        <is>
          <t>OCKELBO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61456-2024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45646</v>
      </c>
      <c r="E182" s="1" t="n">
        <v>46217</v>
      </c>
      <c r="F182" t="inlineStr">
        <is>
          <t>GÄVLEBORGS LÄN</t>
        </is>
      </c>
      <c r="G182" t="inlineStr">
        <is>
          <t>OCKELBO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43447-2025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46217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60962-2024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46217</v>
      </c>
      <c r="F184" t="inlineStr">
        <is>
          <t>GÄVLEBORGS LÄN</t>
        </is>
      </c>
      <c r="G184" t="inlineStr">
        <is>
          <t>OCKELBO</t>
        </is>
      </c>
      <c r="H184" t="inlineStr">
        <is>
          <t>Kyrkan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4675-2026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46048</v>
      </c>
      <c r="E185" s="1" t="n">
        <v>46217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9.1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3544-2026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46042</v>
      </c>
      <c r="E186" s="1" t="n">
        <v>46217</v>
      </c>
      <c r="F186" t="inlineStr">
        <is>
          <t>GÄVLEBORGS LÄN</t>
        </is>
      </c>
      <c r="G186" t="inlineStr">
        <is>
          <t>OCKELBO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8343-2026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46064</v>
      </c>
      <c r="E187" s="1" t="n">
        <v>46217</v>
      </c>
      <c r="F187" t="inlineStr">
        <is>
          <t>GÄVLEBORGS LÄN</t>
        </is>
      </c>
      <c r="G187" t="inlineStr">
        <is>
          <t>OCKELBO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20467-2026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46140</v>
      </c>
      <c r="E188" s="1" t="n">
        <v>46217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11734-2025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45727</v>
      </c>
      <c r="E189" s="1" t="n">
        <v>46217</v>
      </c>
      <c r="F189" t="inlineStr">
        <is>
          <t>GÄVLEBORGS LÄN</t>
        </is>
      </c>
      <c r="G189" t="inlineStr">
        <is>
          <t>OCKELBO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20149-2026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46137</v>
      </c>
      <c r="E190" s="1" t="n">
        <v>46217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7.3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20150-2026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46137</v>
      </c>
      <c r="E191" s="1" t="n">
        <v>46217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26131-2026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46181</v>
      </c>
      <c r="E192" s="1" t="n">
        <v>46217</v>
      </c>
      <c r="F192" t="inlineStr">
        <is>
          <t>GÄVLEBORGS LÄN</t>
        </is>
      </c>
      <c r="G192" t="inlineStr">
        <is>
          <t>OCKELBO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6396-2025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45699</v>
      </c>
      <c r="E193" s="1" t="n">
        <v>46217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46320-2025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45925</v>
      </c>
      <c r="E194" s="1" t="n">
        <v>46217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20502-2026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46140</v>
      </c>
      <c r="E195" s="1" t="n">
        <v>46217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11.2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29567-2024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45484</v>
      </c>
      <c r="E196" s="1" t="n">
        <v>46217</v>
      </c>
      <c r="F196" t="inlineStr">
        <is>
          <t>GÄVLEBORGS LÄN</t>
        </is>
      </c>
      <c r="G196" t="inlineStr">
        <is>
          <t>OCKELBO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34291-2025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45846</v>
      </c>
      <c r="E197" s="1" t="n">
        <v>46217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6.4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29768-2023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46217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47267-2025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46217</v>
      </c>
      <c r="F199" t="inlineStr">
        <is>
          <t>GÄVLEBORGS LÄN</t>
        </is>
      </c>
      <c r="G199" t="inlineStr">
        <is>
          <t>OCKELBO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30422-2023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45111</v>
      </c>
      <c r="E200" s="1" t="n">
        <v>46217</v>
      </c>
      <c r="F200" t="inlineStr">
        <is>
          <t>GÄVLEBORGS LÄN</t>
        </is>
      </c>
      <c r="G200" t="inlineStr">
        <is>
          <t>OCKELBO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20251-2026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46139</v>
      </c>
      <c r="E201" s="1" t="n">
        <v>46217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45519-2022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44845</v>
      </c>
      <c r="E202" s="1" t="n">
        <v>46217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48221-2024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45590</v>
      </c>
      <c r="E203" s="1" t="n">
        <v>46217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54454-2024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45617</v>
      </c>
      <c r="E204" s="1" t="n">
        <v>46217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61622-2021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44501</v>
      </c>
      <c r="E205" s="1" t="n">
        <v>46217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40283-2024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45554</v>
      </c>
      <c r="E206" s="1" t="n">
        <v>46217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38401-2023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45162</v>
      </c>
      <c r="E207" s="1" t="n">
        <v>46217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67768-2021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44525</v>
      </c>
      <c r="E208" s="1" t="n">
        <v>46217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46485-2024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45582</v>
      </c>
      <c r="E209" s="1" t="n">
        <v>46217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47011-2025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46217</v>
      </c>
      <c r="F210" t="inlineStr">
        <is>
          <t>GÄVLEBORGS LÄN</t>
        </is>
      </c>
      <c r="G210" t="inlineStr">
        <is>
          <t>OCKELBO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47016-2025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46217</v>
      </c>
      <c r="F211" t="inlineStr">
        <is>
          <t>GÄVLEBORGS LÄN</t>
        </is>
      </c>
      <c r="G211" t="inlineStr">
        <is>
          <t>OCKELBO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50689-2024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45602</v>
      </c>
      <c r="E212" s="1" t="n">
        <v>46217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50692-2024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45602</v>
      </c>
      <c r="E213" s="1" t="n">
        <v>46217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50693-2024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45602</v>
      </c>
      <c r="E214" s="1" t="n">
        <v>46217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38893-2022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44816</v>
      </c>
      <c r="E215" s="1" t="n">
        <v>46217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16141-2023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45027</v>
      </c>
      <c r="E216" s="1" t="n">
        <v>46217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52140-2024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45608</v>
      </c>
      <c r="E217" s="1" t="n">
        <v>46217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9.800000000000001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40281-2024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45554</v>
      </c>
      <c r="E218" s="1" t="n">
        <v>46217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60699-2024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45644</v>
      </c>
      <c r="E219" s="1" t="n">
        <v>46217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50235-2023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45216</v>
      </c>
      <c r="E220" s="1" t="n">
        <v>46217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66825-2021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44522</v>
      </c>
      <c r="E221" s="1" t="n">
        <v>46217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2353-2026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46217</v>
      </c>
      <c r="F222" t="inlineStr">
        <is>
          <t>GÄVLEBORGS LÄN</t>
        </is>
      </c>
      <c r="G222" t="inlineStr">
        <is>
          <t>OCKELBO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36210-2024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45534</v>
      </c>
      <c r="E223" s="1" t="n">
        <v>46217</v>
      </c>
      <c r="F223" t="inlineStr">
        <is>
          <t>GÄVLEBORGS LÄN</t>
        </is>
      </c>
      <c r="G223" t="inlineStr">
        <is>
          <t>OCKELBO</t>
        </is>
      </c>
      <c r="H223" t="inlineStr">
        <is>
          <t>Kyrkan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47987-2025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45932</v>
      </c>
      <c r="E224" s="1" t="n">
        <v>46217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20157-2026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46138</v>
      </c>
      <c r="E225" s="1" t="n">
        <v>46217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28966-2025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45821</v>
      </c>
      <c r="E226" s="1" t="n">
        <v>46217</v>
      </c>
      <c r="F226" t="inlineStr">
        <is>
          <t>GÄVLEBORGS LÄN</t>
        </is>
      </c>
      <c r="G226" t="inlineStr">
        <is>
          <t>OCKELBO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50742-2025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45946</v>
      </c>
      <c r="E227" s="1" t="n">
        <v>46217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48855-2025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46217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48996-2025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46217</v>
      </c>
      <c r="F229" t="inlineStr">
        <is>
          <t>GÄVLEBORGS LÄN</t>
        </is>
      </c>
      <c r="G229" t="inlineStr">
        <is>
          <t>OCKELBO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3719-2026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46043</v>
      </c>
      <c r="E230" s="1" t="n">
        <v>46217</v>
      </c>
      <c r="F230" t="inlineStr">
        <is>
          <t>GÄVLEBORGS LÄN</t>
        </is>
      </c>
      <c r="G230" t="inlineStr">
        <is>
          <t>OCKELBO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3720-2026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46043</v>
      </c>
      <c r="E231" s="1" t="n">
        <v>46217</v>
      </c>
      <c r="F231" t="inlineStr">
        <is>
          <t>GÄVLEBORGS LÄN</t>
        </is>
      </c>
      <c r="G231" t="inlineStr">
        <is>
          <t>OCKELBO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49008-2025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46217</v>
      </c>
      <c r="F232" t="inlineStr">
        <is>
          <t>GÄVLEBORGS LÄN</t>
        </is>
      </c>
      <c r="G232" t="inlineStr">
        <is>
          <t>OCKELBO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29953-2024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45488</v>
      </c>
      <c r="E233" s="1" t="n">
        <v>46217</v>
      </c>
      <c r="F233" t="inlineStr">
        <is>
          <t>GÄVLEBORGS LÄN</t>
        </is>
      </c>
      <c r="G233" t="inlineStr">
        <is>
          <t>OCKELBO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7907-2026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46063</v>
      </c>
      <c r="E234" s="1" t="n">
        <v>46217</v>
      </c>
      <c r="F234" t="inlineStr">
        <is>
          <t>GÄVLEBORGS LÄN</t>
        </is>
      </c>
      <c r="G234" t="inlineStr">
        <is>
          <t>OCKELBO</t>
        </is>
      </c>
      <c r="I234" t="n">
        <v>11.5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49014-2025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46217</v>
      </c>
      <c r="F235" t="inlineStr">
        <is>
          <t>GÄVLEBORGS LÄN</t>
        </is>
      </c>
      <c r="G235" t="inlineStr">
        <is>
          <t>OCKELBO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49032-2025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46217</v>
      </c>
      <c r="F236" t="inlineStr">
        <is>
          <t>GÄVLEBORGS LÄN</t>
        </is>
      </c>
      <c r="G236" t="inlineStr">
        <is>
          <t>OCKELBO</t>
        </is>
      </c>
      <c r="I236" t="n">
        <v>11.1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49027-2025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45937</v>
      </c>
      <c r="E237" s="1" t="n">
        <v>46217</v>
      </c>
      <c r="F237" t="inlineStr">
        <is>
          <t>GÄVLEBORGS LÄN</t>
        </is>
      </c>
      <c r="G237" t="inlineStr">
        <is>
          <t>OCKELBO</t>
        </is>
      </c>
      <c r="I237" t="n">
        <v>11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3484-2026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46042</v>
      </c>
      <c r="E238" s="1" t="n">
        <v>46217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6194-2025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45698</v>
      </c>
      <c r="E239" s="1" t="n">
        <v>46217</v>
      </c>
      <c r="F239" t="inlineStr">
        <is>
          <t>GÄVLEBORGS LÄN</t>
        </is>
      </c>
      <c r="G239" t="inlineStr">
        <is>
          <t>OCKELBO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5234-2026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46049</v>
      </c>
      <c r="E240" s="1" t="n">
        <v>46217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17.1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31822-2025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45834</v>
      </c>
      <c r="E241" s="1" t="n">
        <v>46217</v>
      </c>
      <c r="F241" t="inlineStr">
        <is>
          <t>GÄVLEBORGS LÄN</t>
        </is>
      </c>
      <c r="G241" t="inlineStr">
        <is>
          <t>OCKELBO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7949-2026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46063</v>
      </c>
      <c r="E242" s="1" t="n">
        <v>46217</v>
      </c>
      <c r="F242" t="inlineStr">
        <is>
          <t>GÄVLEBORGS LÄN</t>
        </is>
      </c>
      <c r="G242" t="inlineStr">
        <is>
          <t>OCKELBO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15542-2026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46106</v>
      </c>
      <c r="E243" s="1" t="n">
        <v>46217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20155-2026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46138</v>
      </c>
      <c r="E244" s="1" t="n">
        <v>46217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12.7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30349-2023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45111</v>
      </c>
      <c r="E245" s="1" t="n">
        <v>46217</v>
      </c>
      <c r="F245" t="inlineStr">
        <is>
          <t>GÄVLEBORGS LÄN</t>
        </is>
      </c>
      <c r="G245" t="inlineStr">
        <is>
          <t>OCKELBO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5974-2026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46052</v>
      </c>
      <c r="E246" s="1" t="n">
        <v>46217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4729-2026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46048</v>
      </c>
      <c r="E247" s="1" t="n">
        <v>46217</v>
      </c>
      <c r="F247" t="inlineStr">
        <is>
          <t>GÄVLEBORGS LÄN</t>
        </is>
      </c>
      <c r="G247" t="inlineStr">
        <is>
          <t>OCKELBO</t>
        </is>
      </c>
      <c r="I247" t="n">
        <v>36.1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34792-2024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45526</v>
      </c>
      <c r="E248" s="1" t="n">
        <v>46217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15966-2023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45022</v>
      </c>
      <c r="E249" s="1" t="n">
        <v>46217</v>
      </c>
      <c r="F249" t="inlineStr">
        <is>
          <t>GÄVLEBORGS LÄN</t>
        </is>
      </c>
      <c r="G249" t="inlineStr">
        <is>
          <t>OCKELBO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56232-2022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44890</v>
      </c>
      <c r="E250" s="1" t="n">
        <v>46217</v>
      </c>
      <c r="F250" t="inlineStr">
        <is>
          <t>GÄVLEBORGS LÄN</t>
        </is>
      </c>
      <c r="G250" t="inlineStr">
        <is>
          <t>OCKELBO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13857-2026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46098</v>
      </c>
      <c r="E251" s="1" t="n">
        <v>46217</v>
      </c>
      <c r="F251" t="inlineStr">
        <is>
          <t>GÄVLEBORGS LÄN</t>
        </is>
      </c>
      <c r="G251" t="inlineStr">
        <is>
          <t>OCKELBO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11116-2026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46079</v>
      </c>
      <c r="E252" s="1" t="n">
        <v>46217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6.8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47849-2021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44448</v>
      </c>
      <c r="E253" s="1" t="n">
        <v>46217</v>
      </c>
      <c r="F253" t="inlineStr">
        <is>
          <t>GÄVLEBORGS LÄN</t>
        </is>
      </c>
      <c r="G253" t="inlineStr">
        <is>
          <t>OCKELBO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54817-2022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44883</v>
      </c>
      <c r="E254" s="1" t="n">
        <v>46217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6386-2026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46055</v>
      </c>
      <c r="E255" s="1" t="n">
        <v>46217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7.8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15739-2026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46107</v>
      </c>
      <c r="E256" s="1" t="n">
        <v>46217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20.4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27997-2025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45817</v>
      </c>
      <c r="E257" s="1" t="n">
        <v>46217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25564-2025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45803</v>
      </c>
      <c r="E258" s="1" t="n">
        <v>46217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11.7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22151-2022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44712</v>
      </c>
      <c r="E259" s="1" t="n">
        <v>46217</v>
      </c>
      <c r="F259" t="inlineStr">
        <is>
          <t>GÄVLEBORGS LÄN</t>
        </is>
      </c>
      <c r="G259" t="inlineStr">
        <is>
          <t>OCKELBO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51892-2025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45952</v>
      </c>
      <c r="E260" s="1" t="n">
        <v>46217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7.5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33881-2023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45134</v>
      </c>
      <c r="E261" s="1" t="n">
        <v>46217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5325-2026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46050</v>
      </c>
      <c r="E262" s="1" t="n">
        <v>46217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52635-2025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45954</v>
      </c>
      <c r="E263" s="1" t="n">
        <v>46217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52259-2025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45953</v>
      </c>
      <c r="E264" s="1" t="n">
        <v>46217</v>
      </c>
      <c r="F264" t="inlineStr">
        <is>
          <t>GÄVLEBORGS LÄN</t>
        </is>
      </c>
      <c r="G264" t="inlineStr">
        <is>
          <t>OCKELBO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36362-2024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45534</v>
      </c>
      <c r="E265" s="1" t="n">
        <v>46217</v>
      </c>
      <c r="F265" t="inlineStr">
        <is>
          <t>GÄVLEBORGS LÄN</t>
        </is>
      </c>
      <c r="G265" t="inlineStr">
        <is>
          <t>OCKELBO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52461-2025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45954</v>
      </c>
      <c r="E266" s="1" t="n">
        <v>46217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52241-2025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45953</v>
      </c>
      <c r="E267" s="1" t="n">
        <v>46217</v>
      </c>
      <c r="F267" t="inlineStr">
        <is>
          <t>GÄVLEBORGS LÄN</t>
        </is>
      </c>
      <c r="G267" t="inlineStr">
        <is>
          <t>OCKELBO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63977-2025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46021</v>
      </c>
      <c r="E268" s="1" t="n">
        <v>46217</v>
      </c>
      <c r="F268" t="inlineStr">
        <is>
          <t>GÄVLEBORGS LÄN</t>
        </is>
      </c>
      <c r="G268" t="inlineStr">
        <is>
          <t>OCKELBO</t>
        </is>
      </c>
      <c r="I268" t="n">
        <v>18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20469-2026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46140</v>
      </c>
      <c r="E269" s="1" t="n">
        <v>46217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6499-2026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46056</v>
      </c>
      <c r="E270" s="1" t="n">
        <v>46217</v>
      </c>
      <c r="F270" t="inlineStr">
        <is>
          <t>GÄVLEBORGS LÄN</t>
        </is>
      </c>
      <c r="G270" t="inlineStr">
        <is>
          <t>OCKELBO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6518-2026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46052</v>
      </c>
      <c r="E271" s="1" t="n">
        <v>46217</v>
      </c>
      <c r="F271" t="inlineStr">
        <is>
          <t>GÄVLEBORGS LÄN</t>
        </is>
      </c>
      <c r="G271" t="inlineStr">
        <is>
          <t>OCKELBO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36604-2025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45870</v>
      </c>
      <c r="E272" s="1" t="n">
        <v>46217</v>
      </c>
      <c r="F272" t="inlineStr">
        <is>
          <t>GÄVLEBORGS LÄN</t>
        </is>
      </c>
      <c r="G272" t="inlineStr">
        <is>
          <t>OCKELBO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25404-2025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45800</v>
      </c>
      <c r="E273" s="1" t="n">
        <v>46217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11.1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52880-2025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45957</v>
      </c>
      <c r="E274" s="1" t="n">
        <v>46217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5982-2026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46052</v>
      </c>
      <c r="E275" s="1" t="n">
        <v>46217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25168-2025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45800</v>
      </c>
      <c r="E276" s="1" t="n">
        <v>46217</v>
      </c>
      <c r="F276" t="inlineStr">
        <is>
          <t>GÄVLEBORGS LÄN</t>
        </is>
      </c>
      <c r="G276" t="inlineStr">
        <is>
          <t>OCKELBO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20604-2026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46140</v>
      </c>
      <c r="E277" s="1" t="n">
        <v>46217</v>
      </c>
      <c r="F277" t="inlineStr">
        <is>
          <t>GÄVLEBORGS LÄN</t>
        </is>
      </c>
      <c r="G277" t="inlineStr">
        <is>
          <t>OCKELBO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20571-2026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46217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53391-2025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45959</v>
      </c>
      <c r="E279" s="1" t="n">
        <v>46217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11.3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20151-2026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46137</v>
      </c>
      <c r="E280" s="1" t="n">
        <v>46217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46316-2025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45925</v>
      </c>
      <c r="E281" s="1" t="n">
        <v>46217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1722-2026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46034</v>
      </c>
      <c r="E282" s="1" t="n">
        <v>46217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8253-2026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46217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15694-2022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44663</v>
      </c>
      <c r="E284" s="1" t="n">
        <v>46217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8521-2026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46065</v>
      </c>
      <c r="E285" s="1" t="n">
        <v>46217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12.5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54655-2025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45966</v>
      </c>
      <c r="E286" s="1" t="n">
        <v>46217</v>
      </c>
      <c r="F286" t="inlineStr">
        <is>
          <t>GÄVLEBORGS LÄN</t>
        </is>
      </c>
      <c r="G286" t="inlineStr">
        <is>
          <t>OCKELBO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5950-2026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46052</v>
      </c>
      <c r="E287" s="1" t="n">
        <v>46217</v>
      </c>
      <c r="F287" t="inlineStr">
        <is>
          <t>GÄVLEBORGS LÄN</t>
        </is>
      </c>
      <c r="G287" t="inlineStr">
        <is>
          <t>OCKELBO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16629-2025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45754</v>
      </c>
      <c r="E288" s="1" t="n">
        <v>46217</v>
      </c>
      <c r="F288" t="inlineStr">
        <is>
          <t>GÄVLEBORGS LÄN</t>
        </is>
      </c>
      <c r="G288" t="inlineStr">
        <is>
          <t>OCKELBO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61335-2022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44915</v>
      </c>
      <c r="E289" s="1" t="n">
        <v>46217</v>
      </c>
      <c r="F289" t="inlineStr">
        <is>
          <t>GÄVLEBORGS LÄN</t>
        </is>
      </c>
      <c r="G289" t="inlineStr">
        <is>
          <t>OCKELBO</t>
        </is>
      </c>
      <c r="I289" t="n">
        <v>8.5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463-2026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46029</v>
      </c>
      <c r="E290" s="1" t="n">
        <v>46217</v>
      </c>
      <c r="F290" t="inlineStr">
        <is>
          <t>GÄVLEBORGS LÄN</t>
        </is>
      </c>
      <c r="G290" t="inlineStr">
        <is>
          <t>OCKELBO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3650-2026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46043</v>
      </c>
      <c r="E291" s="1" t="n">
        <v>46217</v>
      </c>
      <c r="F291" t="inlineStr">
        <is>
          <t>GÄVLEBORGS LÄN</t>
        </is>
      </c>
      <c r="G291" t="inlineStr">
        <is>
          <t>OCKELBO</t>
        </is>
      </c>
      <c r="I291" t="n">
        <v>10.3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14934-2026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46104</v>
      </c>
      <c r="E292" s="1" t="n">
        <v>46217</v>
      </c>
      <c r="F292" t="inlineStr">
        <is>
          <t>GÄVLEBORGS LÄN</t>
        </is>
      </c>
      <c r="G292" t="inlineStr">
        <is>
          <t>OCKELBO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54879-2025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45967</v>
      </c>
      <c r="E293" s="1" t="n">
        <v>46217</v>
      </c>
      <c r="F293" t="inlineStr">
        <is>
          <t>GÄVLEBORGS LÄN</t>
        </is>
      </c>
      <c r="G293" t="inlineStr">
        <is>
          <t>OCKELBO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54880-2025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45967</v>
      </c>
      <c r="E294" s="1" t="n">
        <v>46217</v>
      </c>
      <c r="F294" t="inlineStr">
        <is>
          <t>GÄVLEBORGS LÄN</t>
        </is>
      </c>
      <c r="G294" t="inlineStr">
        <is>
          <t>OCKELBO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55632-2025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45972</v>
      </c>
      <c r="E295" s="1" t="n">
        <v>46217</v>
      </c>
      <c r="F295" t="inlineStr">
        <is>
          <t>GÄVLEBORGS LÄN</t>
        </is>
      </c>
      <c r="G295" t="inlineStr">
        <is>
          <t>OCKELBO</t>
        </is>
      </c>
      <c r="I295" t="n">
        <v>7.8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20674-2026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46141</v>
      </c>
      <c r="E296" s="1" t="n">
        <v>46217</v>
      </c>
      <c r="F296" t="inlineStr">
        <is>
          <t>GÄVLEBORGS LÄN</t>
        </is>
      </c>
      <c r="G296" t="inlineStr">
        <is>
          <t>OCKELBO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55629-2025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45972</v>
      </c>
      <c r="E297" s="1" t="n">
        <v>46217</v>
      </c>
      <c r="F297" t="inlineStr">
        <is>
          <t>GÄVLEBORGS LÄN</t>
        </is>
      </c>
      <c r="G297" t="inlineStr">
        <is>
          <t>OCKELBO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55726-2025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45972</v>
      </c>
      <c r="E298" s="1" t="n">
        <v>46217</v>
      </c>
      <c r="F298" t="inlineStr">
        <is>
          <t>GÄVLEBORGS LÄN</t>
        </is>
      </c>
      <c r="G298" t="inlineStr">
        <is>
          <t>OCKELBO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55913-2025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45973</v>
      </c>
      <c r="E299" s="1" t="n">
        <v>46217</v>
      </c>
      <c r="F299" t="inlineStr">
        <is>
          <t>GÄVLEBORGS LÄN</t>
        </is>
      </c>
      <c r="G299" t="inlineStr">
        <is>
          <t>OCKELBO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55920-2025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45973</v>
      </c>
      <c r="E300" s="1" t="n">
        <v>46217</v>
      </c>
      <c r="F300" t="inlineStr">
        <is>
          <t>GÄVLEBORGS LÄN</t>
        </is>
      </c>
      <c r="G300" t="inlineStr">
        <is>
          <t>OCKELBO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55926-2025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45973</v>
      </c>
      <c r="E301" s="1" t="n">
        <v>46217</v>
      </c>
      <c r="F301" t="inlineStr">
        <is>
          <t>GÄVLEBORGS LÄN</t>
        </is>
      </c>
      <c r="G301" t="inlineStr">
        <is>
          <t>OCKELBO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55859-2025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45973</v>
      </c>
      <c r="E302" s="1" t="n">
        <v>46217</v>
      </c>
      <c r="F302" t="inlineStr">
        <is>
          <t>GÄVLEBORGS LÄN</t>
        </is>
      </c>
      <c r="G302" t="inlineStr">
        <is>
          <t>OCKELBO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55866-2025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45973</v>
      </c>
      <c r="E303" s="1" t="n">
        <v>46217</v>
      </c>
      <c r="F303" t="inlineStr">
        <is>
          <t>GÄVLEBORGS LÄN</t>
        </is>
      </c>
      <c r="G303" t="inlineStr">
        <is>
          <t>OCKELBO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55911-2025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45973</v>
      </c>
      <c r="E304" s="1" t="n">
        <v>46217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17730-2025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45758</v>
      </c>
      <c r="E305" s="1" t="n">
        <v>46217</v>
      </c>
      <c r="F305" t="inlineStr">
        <is>
          <t>GÄVLEBORGS LÄN</t>
        </is>
      </c>
      <c r="G305" t="inlineStr">
        <is>
          <t>OCKELBO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55884-2025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45973</v>
      </c>
      <c r="E306" s="1" t="n">
        <v>46217</v>
      </c>
      <c r="F306" t="inlineStr">
        <is>
          <t>GÄVLEBORGS LÄN</t>
        </is>
      </c>
      <c r="G306" t="inlineStr">
        <is>
          <t>OCKELBO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1693-2026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46034</v>
      </c>
      <c r="E307" s="1" t="n">
        <v>46217</v>
      </c>
      <c r="F307" t="inlineStr">
        <is>
          <t>GÄVLEBORGS LÄN</t>
        </is>
      </c>
      <c r="G307" t="inlineStr">
        <is>
          <t>OCKELBO</t>
        </is>
      </c>
      <c r="I307" t="n">
        <v>9.300000000000001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1865-2026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46035</v>
      </c>
      <c r="E308" s="1" t="n">
        <v>46217</v>
      </c>
      <c r="F308" t="inlineStr">
        <is>
          <t>GÄVLEBORGS LÄN</t>
        </is>
      </c>
      <c r="G308" t="inlineStr">
        <is>
          <t>OCKELBO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12708-2026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46091</v>
      </c>
      <c r="E309" s="1" t="n">
        <v>46217</v>
      </c>
      <c r="F309" t="inlineStr">
        <is>
          <t>GÄVLEBORGS LÄN</t>
        </is>
      </c>
      <c r="G309" t="inlineStr">
        <is>
          <t>OCKELBO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56921-2025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46217</v>
      </c>
      <c r="F310" t="inlineStr">
        <is>
          <t>GÄVLEBORGS LÄN</t>
        </is>
      </c>
      <c r="G310" t="inlineStr">
        <is>
          <t>OCKELBO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56803-2025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45978</v>
      </c>
      <c r="E311" s="1" t="n">
        <v>46217</v>
      </c>
      <c r="F311" t="inlineStr">
        <is>
          <t>GÄVLEBORGS LÄN</t>
        </is>
      </c>
      <c r="G311" t="inlineStr">
        <is>
          <t>OCKELBO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56919-2025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46217</v>
      </c>
      <c r="F312" t="inlineStr">
        <is>
          <t>GÄVLEBORGS LÄN</t>
        </is>
      </c>
      <c r="G312" t="inlineStr">
        <is>
          <t>OCKELBO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56888-2025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46217</v>
      </c>
      <c r="F313" t="inlineStr">
        <is>
          <t>GÄVLEBORGS LÄN</t>
        </is>
      </c>
      <c r="G313" t="inlineStr">
        <is>
          <t>OCKELBO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8683-2026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46066</v>
      </c>
      <c r="E314" s="1" t="n">
        <v>46217</v>
      </c>
      <c r="F314" t="inlineStr">
        <is>
          <t>GÄVLEBORGS LÄN</t>
        </is>
      </c>
      <c r="G314" t="inlineStr">
        <is>
          <t>OCKELBO</t>
        </is>
      </c>
      <c r="I314" t="n">
        <v>6.4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15484-2026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46106</v>
      </c>
      <c r="E315" s="1" t="n">
        <v>46217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10489-2026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46077</v>
      </c>
      <c r="E316" s="1" t="n">
        <v>46217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56876-2025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45978</v>
      </c>
      <c r="E317" s="1" t="n">
        <v>46217</v>
      </c>
      <c r="F317" t="inlineStr">
        <is>
          <t>GÄVLEBORGS LÄN</t>
        </is>
      </c>
      <c r="G317" t="inlineStr">
        <is>
          <t>OCKELBO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56882-2025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45978</v>
      </c>
      <c r="E318" s="1" t="n">
        <v>46217</v>
      </c>
      <c r="F318" t="inlineStr">
        <is>
          <t>GÄVLEBORGS LÄN</t>
        </is>
      </c>
      <c r="G318" t="inlineStr">
        <is>
          <t>OCKELBO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30418-2023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45111</v>
      </c>
      <c r="E319" s="1" t="n">
        <v>46217</v>
      </c>
      <c r="F319" t="inlineStr">
        <is>
          <t>GÄVLEBORGS LÄN</t>
        </is>
      </c>
      <c r="G319" t="inlineStr">
        <is>
          <t>OCKELBO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56877-2025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45978</v>
      </c>
      <c r="E320" s="1" t="n">
        <v>46217</v>
      </c>
      <c r="F320" t="inlineStr">
        <is>
          <t>GÄVLEBORGS LÄN</t>
        </is>
      </c>
      <c r="G320" t="inlineStr">
        <is>
          <t>OCKELBO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56454-2025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45975</v>
      </c>
      <c r="E321" s="1" t="n">
        <v>46217</v>
      </c>
      <c r="F321" t="inlineStr">
        <is>
          <t>GÄVLEBORGS LÄN</t>
        </is>
      </c>
      <c r="G321" t="inlineStr">
        <is>
          <t>OCKELBO</t>
        </is>
      </c>
      <c r="I321" t="n">
        <v>7.7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7955-2026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46063</v>
      </c>
      <c r="E322" s="1" t="n">
        <v>46217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23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710-2026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46217</v>
      </c>
      <c r="F323" t="inlineStr">
        <is>
          <t>GÄVLEBORGS LÄN</t>
        </is>
      </c>
      <c r="G323" t="inlineStr">
        <is>
          <t>OCKELBO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58156-2025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45982</v>
      </c>
      <c r="E324" s="1" t="n">
        <v>46217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60117-2025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45994</v>
      </c>
      <c r="E325" s="1" t="n">
        <v>46217</v>
      </c>
      <c r="F325" t="inlineStr">
        <is>
          <t>GÄVLEBORGS LÄN</t>
        </is>
      </c>
      <c r="G325" t="inlineStr">
        <is>
          <t>OCKELBO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8348-2026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46064</v>
      </c>
      <c r="E326" s="1" t="n">
        <v>46217</v>
      </c>
      <c r="F326" t="inlineStr">
        <is>
          <t>GÄVLEBORGS LÄN</t>
        </is>
      </c>
      <c r="G326" t="inlineStr">
        <is>
          <t>OCKELBO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57614-2025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45981</v>
      </c>
      <c r="E327" s="1" t="n">
        <v>46217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10.4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2584-2026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46037</v>
      </c>
      <c r="E328" s="1" t="n">
        <v>46217</v>
      </c>
      <c r="F328" t="inlineStr">
        <is>
          <t>GÄVLEBORGS LÄN</t>
        </is>
      </c>
      <c r="G328" t="inlineStr">
        <is>
          <t>OCKELBO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20641-2026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46141</v>
      </c>
      <c r="E329" s="1" t="n">
        <v>46217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18191-2026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46125</v>
      </c>
      <c r="E330" s="1" t="n">
        <v>46217</v>
      </c>
      <c r="F330" t="inlineStr">
        <is>
          <t>GÄVLEBORGS LÄN</t>
        </is>
      </c>
      <c r="G330" t="inlineStr">
        <is>
          <t>OCKELBO</t>
        </is>
      </c>
      <c r="H330" t="inlineStr">
        <is>
          <t>Bergvik skog väst AB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6561-2026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46056</v>
      </c>
      <c r="E331" s="1" t="n">
        <v>46217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46027</v>
      </c>
      <c r="E332" s="1" t="n">
        <v>46217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58770-2025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45986</v>
      </c>
      <c r="E333" s="1" t="n">
        <v>46217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9401-2026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46071</v>
      </c>
      <c r="E334" s="1" t="n">
        <v>46217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8.300000000000001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10083-2026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46073</v>
      </c>
      <c r="E335" s="1" t="n">
        <v>46217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20984-2026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46142</v>
      </c>
      <c r="E336" s="1" t="n">
        <v>46217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4257-2026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46045</v>
      </c>
      <c r="E337" s="1" t="n">
        <v>46217</v>
      </c>
      <c r="F337" t="inlineStr">
        <is>
          <t>GÄVLEBORGS LÄN</t>
        </is>
      </c>
      <c r="G337" t="inlineStr">
        <is>
          <t>OCKELBO</t>
        </is>
      </c>
      <c r="I337" t="n">
        <v>6.8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26861-2026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46185</v>
      </c>
      <c r="E338" s="1" t="n">
        <v>46217</v>
      </c>
      <c r="F338" t="inlineStr">
        <is>
          <t>GÄVLEBORGS LÄN</t>
        </is>
      </c>
      <c r="G338" t="inlineStr">
        <is>
          <t>OCKELBO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25133-2026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46175</v>
      </c>
      <c r="E339" s="1" t="n">
        <v>46217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21173-2026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46146</v>
      </c>
      <c r="E340" s="1" t="n">
        <v>46217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27231-2026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46188</v>
      </c>
      <c r="E341" s="1" t="n">
        <v>46217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14905-2026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46104</v>
      </c>
      <c r="E342" s="1" t="n">
        <v>46217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17951-2026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46122</v>
      </c>
      <c r="E343" s="1" t="n">
        <v>46217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12.6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26808-2026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46185</v>
      </c>
      <c r="E344" s="1" t="n">
        <v>46217</v>
      </c>
      <c r="F344" t="inlineStr">
        <is>
          <t>GÄVLEBORGS LÄN</t>
        </is>
      </c>
      <c r="G344" t="inlineStr">
        <is>
          <t>OCKELBO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27272-2026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46188</v>
      </c>
      <c r="E345" s="1" t="n">
        <v>46217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12.8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26843-2026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46185</v>
      </c>
      <c r="E346" s="1" t="n">
        <v>46217</v>
      </c>
      <c r="F346" t="inlineStr">
        <is>
          <t>GÄVLEBORGS LÄN</t>
        </is>
      </c>
      <c r="G346" t="inlineStr">
        <is>
          <t>OCKELBO</t>
        </is>
      </c>
      <c r="I346" t="n">
        <v>14.6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58727-2025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45986</v>
      </c>
      <c r="E347" s="1" t="n">
        <v>46217</v>
      </c>
      <c r="F347" t="inlineStr">
        <is>
          <t>GÄVLEBORGS LÄN</t>
        </is>
      </c>
      <c r="G347" t="inlineStr">
        <is>
          <t>OCKELBO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26845-2026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46185</v>
      </c>
      <c r="E348" s="1" t="n">
        <v>46217</v>
      </c>
      <c r="F348" t="inlineStr">
        <is>
          <t>GÄVLEBORGS LÄN</t>
        </is>
      </c>
      <c r="G348" t="inlineStr">
        <is>
          <t>OCKELBO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18549-2026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46127</v>
      </c>
      <c r="E349" s="1" t="n">
        <v>46217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18097-2026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46125</v>
      </c>
      <c r="E350" s="1" t="n">
        <v>46217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12.6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21468-2026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46148</v>
      </c>
      <c r="E351" s="1" t="n">
        <v>46217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27382-2026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46189</v>
      </c>
      <c r="E352" s="1" t="n">
        <v>46217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27620-2026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46217</v>
      </c>
      <c r="F353" t="inlineStr">
        <is>
          <t>GÄVLEBORGS LÄN</t>
        </is>
      </c>
      <c r="G353" t="inlineStr">
        <is>
          <t>OCKELBO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27623-2026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46190</v>
      </c>
      <c r="E354" s="1" t="n">
        <v>46217</v>
      </c>
      <c r="F354" t="inlineStr">
        <is>
          <t>GÄVLEBORGS LÄN</t>
        </is>
      </c>
      <c r="G354" t="inlineStr">
        <is>
          <t>OCKELBO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21577-2026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46148</v>
      </c>
      <c r="E355" s="1" t="n">
        <v>46217</v>
      </c>
      <c r="F355" t="inlineStr">
        <is>
          <t>GÄVLEBORGS LÄN</t>
        </is>
      </c>
      <c r="G355" t="inlineStr">
        <is>
          <t>OCKELBO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15908-2026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46107</v>
      </c>
      <c r="E356" s="1" t="n">
        <v>46217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öst AB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21500-2026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46148</v>
      </c>
      <c r="E357" s="1" t="n">
        <v>46217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19537-2026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46134</v>
      </c>
      <c r="E358" s="1" t="n">
        <v>46217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27562-2026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46190</v>
      </c>
      <c r="E359" s="1" t="n">
        <v>46217</v>
      </c>
      <c r="F359" t="inlineStr">
        <is>
          <t>GÄVLEBORGS LÄN</t>
        </is>
      </c>
      <c r="G359" t="inlineStr">
        <is>
          <t>OCKELBO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58295-2025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45985</v>
      </c>
      <c r="E360" s="1" t="n">
        <v>46217</v>
      </c>
      <c r="F360" t="inlineStr">
        <is>
          <t>GÄVLEBORGS LÄN</t>
        </is>
      </c>
      <c r="G360" t="inlineStr">
        <is>
          <t>OCKELBO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58299-2025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45985</v>
      </c>
      <c r="E361" s="1" t="n">
        <v>46217</v>
      </c>
      <c r="F361" t="inlineStr">
        <is>
          <t>GÄVLEBORGS LÄN</t>
        </is>
      </c>
      <c r="G361" t="inlineStr">
        <is>
          <t>OCKELBO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21280-2026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46147</v>
      </c>
      <c r="E362" s="1" t="n">
        <v>46217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öst AB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17233-2026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46119</v>
      </c>
      <c r="E363" s="1" t="n">
        <v>46217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21277-2026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46147</v>
      </c>
      <c r="E364" s="1" t="n">
        <v>46217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öst AB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21461-2026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46148</v>
      </c>
      <c r="E365" s="1" t="n">
        <v>46217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21459-2026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46148</v>
      </c>
      <c r="E366" s="1" t="n">
        <v>46217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14410-2026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46100</v>
      </c>
      <c r="E367" s="1" t="n">
        <v>46217</v>
      </c>
      <c r="F367" t="inlineStr">
        <is>
          <t>GÄVLEBORGS LÄN</t>
        </is>
      </c>
      <c r="G367" t="inlineStr">
        <is>
          <t>OCKELBO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59086-2025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45988</v>
      </c>
      <c r="E368" s="1" t="n">
        <v>46217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21640-2026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46149</v>
      </c>
      <c r="E369" s="1" t="n">
        <v>46217</v>
      </c>
      <c r="F369" t="inlineStr">
        <is>
          <t>GÄVLEBORGS LÄN</t>
        </is>
      </c>
      <c r="G369" t="inlineStr">
        <is>
          <t>OCKELBO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22057-2026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46153</v>
      </c>
      <c r="E370" s="1" t="n">
        <v>46217</v>
      </c>
      <c r="F370" t="inlineStr">
        <is>
          <t>GÄVLEBORGS LÄN</t>
        </is>
      </c>
      <c r="G370" t="inlineStr">
        <is>
          <t>OCKELBO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28289-2026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46196</v>
      </c>
      <c r="E371" s="1" t="n">
        <v>46217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27383-2026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46189</v>
      </c>
      <c r="E372" s="1" t="n">
        <v>46217</v>
      </c>
      <c r="F372" t="inlineStr">
        <is>
          <t>GÄVLEBORGS LÄN</t>
        </is>
      </c>
      <c r="G372" t="inlineStr">
        <is>
          <t>OCKELBO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18645-2026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46128</v>
      </c>
      <c r="E373" s="1" t="n">
        <v>46217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60183-2025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45994</v>
      </c>
      <c r="E374" s="1" t="n">
        <v>46217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13182-2026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46093</v>
      </c>
      <c r="E375" s="1" t="n">
        <v>46217</v>
      </c>
      <c r="F375" t="inlineStr">
        <is>
          <t>GÄVLEBORGS LÄN</t>
        </is>
      </c>
      <c r="G375" t="inlineStr">
        <is>
          <t>OCKELBO</t>
        </is>
      </c>
      <c r="I375" t="n">
        <v>8.199999999999999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13233-2026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46093</v>
      </c>
      <c r="E376" s="1" t="n">
        <v>46217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50968-2024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45603</v>
      </c>
      <c r="E377" s="1" t="n">
        <v>46217</v>
      </c>
      <c r="F377" t="inlineStr">
        <is>
          <t>GÄVLEBORGS LÄN</t>
        </is>
      </c>
      <c r="G377" t="inlineStr">
        <is>
          <t>OCKELBO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60616-2025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45996</v>
      </c>
      <c r="E378" s="1" t="n">
        <v>46217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17221-2026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46119</v>
      </c>
      <c r="E379" s="1" t="n">
        <v>46217</v>
      </c>
      <c r="F379" t="inlineStr">
        <is>
          <t>GÄVLEBORGS LÄN</t>
        </is>
      </c>
      <c r="G379" t="inlineStr">
        <is>
          <t>OCKELBO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60487-2025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45995</v>
      </c>
      <c r="E380" s="1" t="n">
        <v>46217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60527-2025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45995</v>
      </c>
      <c r="E381" s="1" t="n">
        <v>46217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28317-2026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46196</v>
      </c>
      <c r="E382" s="1" t="n">
        <v>46217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26367-2024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45469</v>
      </c>
      <c r="E383" s="1" t="n">
        <v>46217</v>
      </c>
      <c r="F383" t="inlineStr">
        <is>
          <t>GÄVLEBORGS LÄN</t>
        </is>
      </c>
      <c r="G383" t="inlineStr">
        <is>
          <t>OCKELBO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37438-2023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45156</v>
      </c>
      <c r="E384" s="1" t="n">
        <v>46217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61148-2025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46000</v>
      </c>
      <c r="E385" s="1" t="n">
        <v>46217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6.2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13210-2026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46093</v>
      </c>
      <c r="E386" s="1" t="n">
        <v>46217</v>
      </c>
      <c r="F386" t="inlineStr">
        <is>
          <t>GÄVLEBORGS LÄN</t>
        </is>
      </c>
      <c r="G386" t="inlineStr">
        <is>
          <t>OCKELBO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12352-2026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46088</v>
      </c>
      <c r="E387" s="1" t="n">
        <v>46217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9.199999999999999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9413-2026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46071</v>
      </c>
      <c r="E388" s="1" t="n">
        <v>46217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9.1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9542-2026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46071</v>
      </c>
      <c r="E389" s="1" t="n">
        <v>46217</v>
      </c>
      <c r="F389" t="inlineStr">
        <is>
          <t>GÄVLEBORGS LÄN</t>
        </is>
      </c>
      <c r="G389" t="inlineStr">
        <is>
          <t>OCKELBO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43071-2025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45909</v>
      </c>
      <c r="E390" s="1" t="n">
        <v>46217</v>
      </c>
      <c r="F390" t="inlineStr">
        <is>
          <t>GÄVLEBORGS LÄN</t>
        </is>
      </c>
      <c r="G390" t="inlineStr">
        <is>
          <t>OCKELBO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58718-2025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45986</v>
      </c>
      <c r="E391" s="1" t="n">
        <v>46217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27379-2026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46189</v>
      </c>
      <c r="E392" s="1" t="n">
        <v>46217</v>
      </c>
      <c r="F392" t="inlineStr">
        <is>
          <t>GÄVLEBORGS LÄN</t>
        </is>
      </c>
      <c r="G392" t="inlineStr">
        <is>
          <t>OCKELBO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27381-2026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46189</v>
      </c>
      <c r="E393" s="1" t="n">
        <v>46217</v>
      </c>
      <c r="F393" t="inlineStr">
        <is>
          <t>GÄVLEBORGS LÄN</t>
        </is>
      </c>
      <c r="G393" t="inlineStr">
        <is>
          <t>OCKELBO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62196-2025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46006</v>
      </c>
      <c r="E394" s="1" t="n">
        <v>46217</v>
      </c>
      <c r="F394" t="inlineStr">
        <is>
          <t>GÄVLEBORGS LÄN</t>
        </is>
      </c>
      <c r="G394" t="inlineStr">
        <is>
          <t>OCKELBO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59383-2025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45989</v>
      </c>
      <c r="E395" s="1" t="n">
        <v>46217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6.8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22426-2026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46217</v>
      </c>
      <c r="F396" t="inlineStr">
        <is>
          <t>GÄVLEBORGS LÄN</t>
        </is>
      </c>
      <c r="G396" t="inlineStr">
        <is>
          <t>OCKELBO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3697-2026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46043</v>
      </c>
      <c r="E397" s="1" t="n">
        <v>46217</v>
      </c>
      <c r="F397" t="inlineStr">
        <is>
          <t>GÄVLEBORGS LÄN</t>
        </is>
      </c>
      <c r="G397" t="inlineStr">
        <is>
          <t>OCKELBO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15034-2026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46104</v>
      </c>
      <c r="E398" s="1" t="n">
        <v>46217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22329-2026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46154</v>
      </c>
      <c r="E399" s="1" t="n">
        <v>46217</v>
      </c>
      <c r="F399" t="inlineStr">
        <is>
          <t>GÄVLEBORGS LÄN</t>
        </is>
      </c>
      <c r="G399" t="inlineStr">
        <is>
          <t>OCKELBO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8408-2026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46065</v>
      </c>
      <c r="E400" s="1" t="n">
        <v>46217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48804-2024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45593</v>
      </c>
      <c r="E401" s="1" t="n">
        <v>46217</v>
      </c>
      <c r="F401" t="inlineStr">
        <is>
          <t>GÄVLEBORGS LÄN</t>
        </is>
      </c>
      <c r="G401" t="inlineStr">
        <is>
          <t>OCKELBO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8865-2026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46066</v>
      </c>
      <c r="E402" s="1" t="n">
        <v>46217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18291-2023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45041</v>
      </c>
      <c r="E403" s="1" t="n">
        <v>46217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63061-2025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46009</v>
      </c>
      <c r="E404" s="1" t="n">
        <v>46217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62914-2025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46009</v>
      </c>
      <c r="E405" s="1" t="n">
        <v>46217</v>
      </c>
      <c r="F405" t="inlineStr">
        <is>
          <t>GÄVLEBORGS LÄN</t>
        </is>
      </c>
      <c r="G405" t="inlineStr">
        <is>
          <t>OCKELBO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28318-2026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46196</v>
      </c>
      <c r="E406" s="1" t="n">
        <v>46217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63459-2025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46013</v>
      </c>
      <c r="E407" s="1" t="n">
        <v>46217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63616-2025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46014</v>
      </c>
      <c r="E408" s="1" t="n">
        <v>46217</v>
      </c>
      <c r="F408" t="inlineStr">
        <is>
          <t>GÄVLEBORGS LÄN</t>
        </is>
      </c>
      <c r="G408" t="inlineStr">
        <is>
          <t>OCKELBO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63224-2025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46010</v>
      </c>
      <c r="E409" s="1" t="n">
        <v>46217</v>
      </c>
      <c r="F409" t="inlineStr">
        <is>
          <t>GÄVLEBORGS LÄN</t>
        </is>
      </c>
      <c r="G409" t="inlineStr">
        <is>
          <t>OCKELBO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63464-2025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46013</v>
      </c>
      <c r="E410" s="1" t="n">
        <v>46217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5164-2026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46049</v>
      </c>
      <c r="E411" s="1" t="n">
        <v>46217</v>
      </c>
      <c r="F411" t="inlineStr">
        <is>
          <t>GÄVLEBORGS LÄN</t>
        </is>
      </c>
      <c r="G411" t="inlineStr">
        <is>
          <t>OCKELBO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28672-2026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46198</v>
      </c>
      <c r="E412" s="1" t="n">
        <v>46217</v>
      </c>
      <c r="F412" t="inlineStr">
        <is>
          <t>GÄVLEBORGS LÄN</t>
        </is>
      </c>
      <c r="G412" t="inlineStr">
        <is>
          <t>OCKELBO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53137-2024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45611</v>
      </c>
      <c r="E413" s="1" t="n">
        <v>46217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6654-2026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46056</v>
      </c>
      <c r="E414" s="1" t="n">
        <v>46217</v>
      </c>
      <c r="F414" t="inlineStr">
        <is>
          <t>GÄVLEBORGS LÄN</t>
        </is>
      </c>
      <c r="G414" t="inlineStr">
        <is>
          <t>OCKELBO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60122-2025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45994</v>
      </c>
      <c r="E415" s="1" t="n">
        <v>46217</v>
      </c>
      <c r="F415" t="inlineStr">
        <is>
          <t>GÄVLEBORGS LÄN</t>
        </is>
      </c>
      <c r="G415" t="inlineStr">
        <is>
          <t>OCKELBO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63017-2025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46009</v>
      </c>
      <c r="E416" s="1" t="n">
        <v>46217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64006-2025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46021</v>
      </c>
      <c r="E417" s="1" t="n">
        <v>46217</v>
      </c>
      <c r="F417" t="inlineStr">
        <is>
          <t>GÄVLEBORGS LÄN</t>
        </is>
      </c>
      <c r="G417" t="inlineStr">
        <is>
          <t>OCKELBO</t>
        </is>
      </c>
      <c r="I417" t="n">
        <v>13.6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46024</v>
      </c>
      <c r="E418" s="1" t="n">
        <v>46217</v>
      </c>
      <c r="F418" t="inlineStr">
        <is>
          <t>GÄVLEBORGS LÄN</t>
        </is>
      </c>
      <c r="G418" t="inlineStr">
        <is>
          <t>OCKELBO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327-2026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46027</v>
      </c>
      <c r="E419" s="1" t="n">
        <v>46217</v>
      </c>
      <c r="F419" t="inlineStr">
        <is>
          <t>GÄVLEBORGS LÄN</t>
        </is>
      </c>
      <c r="G419" t="inlineStr">
        <is>
          <t>OCKELBO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335-2026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46027</v>
      </c>
      <c r="E420" s="1" t="n">
        <v>46217</v>
      </c>
      <c r="F420" t="inlineStr">
        <is>
          <t>GÄVLEBORGS LÄN</t>
        </is>
      </c>
      <c r="G420" t="inlineStr">
        <is>
          <t>OCKELBO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46027</v>
      </c>
      <c r="E421" s="1" t="n">
        <v>46217</v>
      </c>
      <c r="F421" t="inlineStr">
        <is>
          <t>GÄVLEBORGS LÄN</t>
        </is>
      </c>
      <c r="G421" t="inlineStr">
        <is>
          <t>OCKELBO</t>
        </is>
      </c>
      <c r="I421" t="n">
        <v>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46027</v>
      </c>
      <c r="E422" s="1" t="n">
        <v>46217</v>
      </c>
      <c r="F422" t="inlineStr">
        <is>
          <t>GÄVLEBORGS LÄN</t>
        </is>
      </c>
      <c r="G422" t="inlineStr">
        <is>
          <t>OCKELBO</t>
        </is>
      </c>
      <c r="I422" t="n">
        <v>16.2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346-2026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46027</v>
      </c>
      <c r="E423" s="1" t="n">
        <v>46217</v>
      </c>
      <c r="F423" t="inlineStr">
        <is>
          <t>GÄVLEBORGS LÄN</t>
        </is>
      </c>
      <c r="G423" t="inlineStr">
        <is>
          <t>OCKELBO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287-2026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46027</v>
      </c>
      <c r="E424" s="1" t="n">
        <v>46217</v>
      </c>
      <c r="F424" t="inlineStr">
        <is>
          <t>GÄVLEBORGS LÄN</t>
        </is>
      </c>
      <c r="G424" t="inlineStr">
        <is>
          <t>OCKELBO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465-2026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46029</v>
      </c>
      <c r="E425" s="1" t="n">
        <v>46217</v>
      </c>
      <c r="F425" t="inlineStr">
        <is>
          <t>GÄVLEBORGS LÄN</t>
        </is>
      </c>
      <c r="G425" t="inlineStr">
        <is>
          <t>OCKELBO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22569-2026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46155</v>
      </c>
      <c r="E426" s="1" t="n">
        <v>46217</v>
      </c>
      <c r="F426" t="inlineStr">
        <is>
          <t>GÄVLEBORGS LÄN</t>
        </is>
      </c>
      <c r="G426" t="inlineStr">
        <is>
          <t>OCKELBO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22712-2026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46156</v>
      </c>
      <c r="E427" s="1" t="n">
        <v>46217</v>
      </c>
      <c r="F427" t="inlineStr">
        <is>
          <t>GÄVLEBORGS LÄN</t>
        </is>
      </c>
      <c r="G427" t="inlineStr">
        <is>
          <t>OCKELBO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46028</v>
      </c>
      <c r="E428" s="1" t="n">
        <v>46217</v>
      </c>
      <c r="F428" t="inlineStr">
        <is>
          <t>GÄVLEBORGS LÄN</t>
        </is>
      </c>
      <c r="G428" t="inlineStr">
        <is>
          <t>OCKELBO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461-2026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46029</v>
      </c>
      <c r="E429" s="1" t="n">
        <v>46217</v>
      </c>
      <c r="F429" t="inlineStr">
        <is>
          <t>GÄVLEBORGS LÄN</t>
        </is>
      </c>
      <c r="G429" t="inlineStr">
        <is>
          <t>OCKELBO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46028</v>
      </c>
      <c r="E430" s="1" t="n">
        <v>46217</v>
      </c>
      <c r="F430" t="inlineStr">
        <is>
          <t>GÄVLEBORGS LÄN</t>
        </is>
      </c>
      <c r="G430" t="inlineStr">
        <is>
          <t>OCKELBO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479-2026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46029</v>
      </c>
      <c r="E431" s="1" t="n">
        <v>46217</v>
      </c>
      <c r="F431" t="inlineStr">
        <is>
          <t>GÄVLEBORGS LÄN</t>
        </is>
      </c>
      <c r="G431" t="inlineStr">
        <is>
          <t>OCKELBO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469-2026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46029</v>
      </c>
      <c r="E432" s="1" t="n">
        <v>46217</v>
      </c>
      <c r="F432" t="inlineStr">
        <is>
          <t>GÄVLEBORGS LÄN</t>
        </is>
      </c>
      <c r="G432" t="inlineStr">
        <is>
          <t>OCKELBO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136-2026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46024</v>
      </c>
      <c r="E433" s="1" t="n">
        <v>46217</v>
      </c>
      <c r="F433" t="inlineStr">
        <is>
          <t>GÄVLEBORGS LÄN</t>
        </is>
      </c>
      <c r="G433" t="inlineStr">
        <is>
          <t>OCKELBO</t>
        </is>
      </c>
      <c r="I433" t="n">
        <v>12.9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60120-2025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45994</v>
      </c>
      <c r="E434" s="1" t="n">
        <v>46217</v>
      </c>
      <c r="F434" t="inlineStr">
        <is>
          <t>GÄVLEBORGS LÄN</t>
        </is>
      </c>
      <c r="G434" t="inlineStr">
        <is>
          <t>OCKELBO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4179-2026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46044</v>
      </c>
      <c r="E435" s="1" t="n">
        <v>46217</v>
      </c>
      <c r="F435" t="inlineStr">
        <is>
          <t>GÄVLEBORGS LÄN</t>
        </is>
      </c>
      <c r="G435" t="inlineStr">
        <is>
          <t>OCKELBO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46609-2025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45926</v>
      </c>
      <c r="E436" s="1" t="n">
        <v>46217</v>
      </c>
      <c r="F436" t="inlineStr">
        <is>
          <t>GÄVLEBORGS LÄN</t>
        </is>
      </c>
      <c r="G436" t="inlineStr">
        <is>
          <t>OCKELBO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1290-2026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46031</v>
      </c>
      <c r="E437" s="1" t="n">
        <v>46217</v>
      </c>
      <c r="F437" t="inlineStr">
        <is>
          <t>GÄVLEBORGS LÄN</t>
        </is>
      </c>
      <c r="G437" t="inlineStr">
        <is>
          <t>OCKELBO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1726-2026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46034</v>
      </c>
      <c r="E438" s="1" t="n">
        <v>46217</v>
      </c>
      <c r="F438" t="inlineStr">
        <is>
          <t>GÄVLEBORGS LÄN</t>
        </is>
      </c>
      <c r="G438" t="inlineStr">
        <is>
          <t>OCKELBO</t>
        </is>
      </c>
      <c r="I438" t="n">
        <v>9.4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28681-2026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46198</v>
      </c>
      <c r="E439" s="1" t="n">
        <v>46217</v>
      </c>
      <c r="F439" t="inlineStr">
        <is>
          <t>GÄVLEBORGS LÄN</t>
        </is>
      </c>
      <c r="G439" t="inlineStr">
        <is>
          <t>OCKELBO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1456-2026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46033</v>
      </c>
      <c r="E440" s="1" t="n">
        <v>46217</v>
      </c>
      <c r="F440" t="inlineStr">
        <is>
          <t>GÄVLEBORGS LÄN</t>
        </is>
      </c>
      <c r="G440" t="inlineStr">
        <is>
          <t>OCKELBO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7276-2023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44970</v>
      </c>
      <c r="E441" s="1" t="n">
        <v>46217</v>
      </c>
      <c r="F441" t="inlineStr">
        <is>
          <t>GÄVLEBORGS LÄN</t>
        </is>
      </c>
      <c r="G441" t="inlineStr">
        <is>
          <t>OCKELBO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61732-2024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45649</v>
      </c>
      <c r="E442" s="1" t="n">
        <v>46217</v>
      </c>
      <c r="F442" t="inlineStr">
        <is>
          <t>GÄVLEBORGS LÄN</t>
        </is>
      </c>
      <c r="G442" t="inlineStr">
        <is>
          <t>OCKELBO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1724-2026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46034</v>
      </c>
      <c r="E443" s="1" t="n">
        <v>46217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1349-2026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46031</v>
      </c>
      <c r="E444" s="1" t="n">
        <v>46217</v>
      </c>
      <c r="F444" t="inlineStr">
        <is>
          <t>GÄVLEBORGS LÄN</t>
        </is>
      </c>
      <c r="G444" t="inlineStr">
        <is>
          <t>OCKELBO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2388-2026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46036</v>
      </c>
      <c r="E445" s="1" t="n">
        <v>46217</v>
      </c>
      <c r="F445" t="inlineStr">
        <is>
          <t>GÄVLEBORGS LÄN</t>
        </is>
      </c>
      <c r="G445" t="inlineStr">
        <is>
          <t>OCKELBO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2392-2026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46036</v>
      </c>
      <c r="E446" s="1" t="n">
        <v>46217</v>
      </c>
      <c r="F446" t="inlineStr">
        <is>
          <t>GÄVLEBORGS LÄN</t>
        </is>
      </c>
      <c r="G446" t="inlineStr">
        <is>
          <t>OCKELBO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22460-2026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46155</v>
      </c>
      <c r="E447" s="1" t="n">
        <v>46217</v>
      </c>
      <c r="F447" t="inlineStr">
        <is>
          <t>GÄVLEBORGS LÄN</t>
        </is>
      </c>
      <c r="G447" t="inlineStr">
        <is>
          <t>OCKELBO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1866-2026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46035</v>
      </c>
      <c r="E448" s="1" t="n">
        <v>46217</v>
      </c>
      <c r="F448" t="inlineStr">
        <is>
          <t>GÄVLEBORGS LÄN</t>
        </is>
      </c>
      <c r="G448" t="inlineStr">
        <is>
          <t>OCKELBO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2178-2026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46036</v>
      </c>
      <c r="E449" s="1" t="n">
        <v>46217</v>
      </c>
      <c r="F449" t="inlineStr">
        <is>
          <t>GÄVLEBORGS LÄN</t>
        </is>
      </c>
      <c r="G449" t="inlineStr">
        <is>
          <t>OCKELBO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1984-2026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46035</v>
      </c>
      <c r="E450" s="1" t="n">
        <v>46217</v>
      </c>
      <c r="F450" t="inlineStr">
        <is>
          <t>GÄVLEBORGS LÄN</t>
        </is>
      </c>
      <c r="G450" t="inlineStr">
        <is>
          <t>OCKELBO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2304-2026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46036</v>
      </c>
      <c r="E451" s="1" t="n">
        <v>46217</v>
      </c>
      <c r="F451" t="inlineStr">
        <is>
          <t>GÄVLEBORGS LÄN</t>
        </is>
      </c>
      <c r="G451" t="inlineStr">
        <is>
          <t>OCKELBO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2319-2026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46036</v>
      </c>
      <c r="E452" s="1" t="n">
        <v>46217</v>
      </c>
      <c r="F452" t="inlineStr">
        <is>
          <t>GÄVLEBORGS LÄN</t>
        </is>
      </c>
      <c r="G452" t="inlineStr">
        <is>
          <t>OCKELBO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1981-2026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46035</v>
      </c>
      <c r="E453" s="1" t="n">
        <v>46217</v>
      </c>
      <c r="F453" t="inlineStr">
        <is>
          <t>GÄVLEBORGS LÄN</t>
        </is>
      </c>
      <c r="G453" t="inlineStr">
        <is>
          <t>OCKELBO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2207-2026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46036</v>
      </c>
      <c r="E454" s="1" t="n">
        <v>46217</v>
      </c>
      <c r="F454" t="inlineStr">
        <is>
          <t>GÄVLEBORGS LÄN</t>
        </is>
      </c>
      <c r="G454" t="inlineStr">
        <is>
          <t>OCKELBO</t>
        </is>
      </c>
      <c r="I454" t="n">
        <v>16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2926-2026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46038</v>
      </c>
      <c r="E455" s="1" t="n">
        <v>46217</v>
      </c>
      <c r="F455" t="inlineStr">
        <is>
          <t>GÄVLEBORGS LÄN</t>
        </is>
      </c>
      <c r="G455" t="inlineStr">
        <is>
          <t>OCKELBO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2858-2026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46038</v>
      </c>
      <c r="E456" s="1" t="n">
        <v>46217</v>
      </c>
      <c r="F456" t="inlineStr">
        <is>
          <t>GÄVLEBORGS LÄN</t>
        </is>
      </c>
      <c r="G456" t="inlineStr">
        <is>
          <t>OCKELBO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2550-2026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46037</v>
      </c>
      <c r="E457" s="1" t="n">
        <v>46217</v>
      </c>
      <c r="F457" t="inlineStr">
        <is>
          <t>GÄVLEBORGS LÄN</t>
        </is>
      </c>
      <c r="G457" t="inlineStr">
        <is>
          <t>OCKELBO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22594-2026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46155</v>
      </c>
      <c r="E458" s="1" t="n">
        <v>46217</v>
      </c>
      <c r="F458" t="inlineStr">
        <is>
          <t>GÄVLEBORGS LÄN</t>
        </is>
      </c>
      <c r="G458" t="inlineStr">
        <is>
          <t>OCKELBO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22692-2026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46156</v>
      </c>
      <c r="E459" s="1" t="n">
        <v>46217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22952-2023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45072</v>
      </c>
      <c r="E460" s="1" t="n">
        <v>46217</v>
      </c>
      <c r="F460" t="inlineStr">
        <is>
          <t>GÄVLEBORGS LÄN</t>
        </is>
      </c>
      <c r="G460" t="inlineStr">
        <is>
          <t>OCKELBO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3138-2026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46041</v>
      </c>
      <c r="E461" s="1" t="n">
        <v>46217</v>
      </c>
      <c r="F461" t="inlineStr">
        <is>
          <t>GÄVLEBORGS LÄN</t>
        </is>
      </c>
      <c r="G461" t="inlineStr">
        <is>
          <t>OCKELBO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2389-2026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46036</v>
      </c>
      <c r="E462" s="1" t="n">
        <v>46217</v>
      </c>
      <c r="F462" t="inlineStr">
        <is>
          <t>GÄVLEBORGS LÄN</t>
        </is>
      </c>
      <c r="G462" t="inlineStr">
        <is>
          <t>OCKELBO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54977-2024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45620</v>
      </c>
      <c r="E463" s="1" t="n">
        <v>46217</v>
      </c>
      <c r="F463" t="inlineStr">
        <is>
          <t>GÄVLEBORGS LÄN</t>
        </is>
      </c>
      <c r="G463" t="inlineStr">
        <is>
          <t>OCKELBO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49529-2024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45596</v>
      </c>
      <c r="E464" s="1" t="n">
        <v>46217</v>
      </c>
      <c r="F464" t="inlineStr">
        <is>
          <t>GÄVLEBORGS LÄN</t>
        </is>
      </c>
      <c r="G464" t="inlineStr">
        <is>
          <t>OCKELBO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6568-2024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45341</v>
      </c>
      <c r="E465" s="1" t="n">
        <v>46217</v>
      </c>
      <c r="F465" t="inlineStr">
        <is>
          <t>GÄVLEBORGS LÄN</t>
        </is>
      </c>
      <c r="G465" t="inlineStr">
        <is>
          <t>OCKELBO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3216-2026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46041</v>
      </c>
      <c r="E466" s="1" t="n">
        <v>46217</v>
      </c>
      <c r="F466" t="inlineStr">
        <is>
          <t>GÄVLEBORGS LÄN</t>
        </is>
      </c>
      <c r="G466" t="inlineStr">
        <is>
          <t>OCKELBO</t>
        </is>
      </c>
      <c r="I466" t="n">
        <v>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3999-2026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46044</v>
      </c>
      <c r="E467" s="1" t="n">
        <v>46217</v>
      </c>
      <c r="F467" t="inlineStr">
        <is>
          <t>GÄVLEBORGS LÄN</t>
        </is>
      </c>
      <c r="G467" t="inlineStr">
        <is>
          <t>OCKELBO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3883-2026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46043</v>
      </c>
      <c r="E468" s="1" t="n">
        <v>46217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4178-2026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46044</v>
      </c>
      <c r="E469" s="1" t="n">
        <v>46217</v>
      </c>
      <c r="F469" t="inlineStr">
        <is>
          <t>GÄVLEBORGS LÄN</t>
        </is>
      </c>
      <c r="G469" t="inlineStr">
        <is>
          <t>OCKELBO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50194-2024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45600</v>
      </c>
      <c r="E470" s="1" t="n">
        <v>46217</v>
      </c>
      <c r="F470" t="inlineStr">
        <is>
          <t>GÄVLEBORGS LÄN</t>
        </is>
      </c>
      <c r="G470" t="inlineStr">
        <is>
          <t>OCKELBO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3653-2026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46043</v>
      </c>
      <c r="E471" s="1" t="n">
        <v>46217</v>
      </c>
      <c r="F471" t="inlineStr">
        <is>
          <t>GÄVLEBORGS LÄN</t>
        </is>
      </c>
      <c r="G471" t="inlineStr">
        <is>
          <t>OCKELBO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3664-2026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46043</v>
      </c>
      <c r="E472" s="1" t="n">
        <v>46217</v>
      </c>
      <c r="F472" t="inlineStr">
        <is>
          <t>GÄVLEBORGS LÄN</t>
        </is>
      </c>
      <c r="G472" t="inlineStr">
        <is>
          <t>OCKELBO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2919-2026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46038</v>
      </c>
      <c r="E473" s="1" t="n">
        <v>46217</v>
      </c>
      <c r="F473" t="inlineStr">
        <is>
          <t>GÄVLEBORGS LÄN</t>
        </is>
      </c>
      <c r="G473" t="inlineStr">
        <is>
          <t>OCKELBO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14474-2026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46100</v>
      </c>
      <c r="E474" s="1" t="n">
        <v>46217</v>
      </c>
      <c r="F474" t="inlineStr">
        <is>
          <t>GÄVLEBORGS LÄN</t>
        </is>
      </c>
      <c r="G474" t="inlineStr">
        <is>
          <t>OCKELBO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14071-2026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46099</v>
      </c>
      <c r="E475" s="1" t="n">
        <v>46217</v>
      </c>
      <c r="F475" t="inlineStr">
        <is>
          <t>GÄVLEBORGS LÄN</t>
        </is>
      </c>
      <c r="G475" t="inlineStr">
        <is>
          <t>OCKELBO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2330-2026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46036</v>
      </c>
      <c r="E476" s="1" t="n">
        <v>46217</v>
      </c>
      <c r="F476" t="inlineStr">
        <is>
          <t>GÄVLEBORGS LÄN</t>
        </is>
      </c>
      <c r="G476" t="inlineStr">
        <is>
          <t>OCKELBO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4250-2026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46045</v>
      </c>
      <c r="E477" s="1" t="n">
        <v>46217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6.6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4891-2026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46048</v>
      </c>
      <c r="E478" s="1" t="n">
        <v>46217</v>
      </c>
      <c r="F478" t="inlineStr">
        <is>
          <t>GÄVLEBORGS LÄN</t>
        </is>
      </c>
      <c r="G478" t="inlineStr">
        <is>
          <t>OCKELBO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29001-2026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46199</v>
      </c>
      <c r="E479" s="1" t="n">
        <v>46217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10.2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4867-2026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46048</v>
      </c>
      <c r="E480" s="1" t="n">
        <v>46217</v>
      </c>
      <c r="F480" t="inlineStr">
        <is>
          <t>GÄVLEBORGS LÄN</t>
        </is>
      </c>
      <c r="G480" t="inlineStr">
        <is>
          <t>OCKELBO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2325-2026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46036</v>
      </c>
      <c r="E481" s="1" t="n">
        <v>46217</v>
      </c>
      <c r="F481" t="inlineStr">
        <is>
          <t>GÄVLEBORGS LÄN</t>
        </is>
      </c>
      <c r="G481" t="inlineStr">
        <is>
          <t>OCKELBO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4234-2026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46044</v>
      </c>
      <c r="E482" s="1" t="n">
        <v>46217</v>
      </c>
      <c r="F482" t="inlineStr">
        <is>
          <t>GÄVLEBORGS LÄN</t>
        </is>
      </c>
      <c r="G482" t="inlineStr">
        <is>
          <t>OCKELBO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4320-2026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46045</v>
      </c>
      <c r="E483" s="1" t="n">
        <v>46217</v>
      </c>
      <c r="F483" t="inlineStr">
        <is>
          <t>GÄVLEBORGS LÄN</t>
        </is>
      </c>
      <c r="G483" t="inlineStr">
        <is>
          <t>OCKELBO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4268-2026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46045</v>
      </c>
      <c r="E484" s="1" t="n">
        <v>46217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5232-2026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46049</v>
      </c>
      <c r="E485" s="1" t="n">
        <v>46217</v>
      </c>
      <c r="F485" t="inlineStr">
        <is>
          <t>GÄVLEBORGS LÄN</t>
        </is>
      </c>
      <c r="G485" t="inlineStr">
        <is>
          <t>OCKELBO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5330-2026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46050</v>
      </c>
      <c r="E486" s="1" t="n">
        <v>46217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7.8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5231-2026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46049</v>
      </c>
      <c r="E487" s="1" t="n">
        <v>46217</v>
      </c>
      <c r="F487" t="inlineStr">
        <is>
          <t>GÄVLEBORGS LÄN</t>
        </is>
      </c>
      <c r="G487" t="inlineStr">
        <is>
          <t>OCKELBO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54309-2024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45617</v>
      </c>
      <c r="E488" s="1" t="n">
        <v>46217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5337-2026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46050</v>
      </c>
      <c r="E489" s="1" t="n">
        <v>46217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6.9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22843-2026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46160</v>
      </c>
      <c r="E490" s="1" t="n">
        <v>46217</v>
      </c>
      <c r="F490" t="inlineStr">
        <is>
          <t>GÄVLEBORGS LÄN</t>
        </is>
      </c>
      <c r="G490" t="inlineStr">
        <is>
          <t>OCKELBO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5596-2026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46051</v>
      </c>
      <c r="E491" s="1" t="n">
        <v>46217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42585-2023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45181</v>
      </c>
      <c r="E492" s="1" t="n">
        <v>46217</v>
      </c>
      <c r="F492" t="inlineStr">
        <is>
          <t>GÄVLEBORGS LÄN</t>
        </is>
      </c>
      <c r="G492" t="inlineStr">
        <is>
          <t>OCKELBO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5887-2026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46052</v>
      </c>
      <c r="E493" s="1" t="n">
        <v>46217</v>
      </c>
      <c r="F493" t="inlineStr">
        <is>
          <t>GÄVLEBORGS LÄN</t>
        </is>
      </c>
      <c r="G493" t="inlineStr">
        <is>
          <t>OCKELBO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5846-2026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46052</v>
      </c>
      <c r="E494" s="1" t="n">
        <v>46217</v>
      </c>
      <c r="F494" t="inlineStr">
        <is>
          <t>GÄVLEBORGS LÄN</t>
        </is>
      </c>
      <c r="G494" t="inlineStr">
        <is>
          <t>OCKELBO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56352-2024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45624</v>
      </c>
      <c r="E495" s="1" t="n">
        <v>46217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6529-2026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46052</v>
      </c>
      <c r="E496" s="1" t="n">
        <v>46217</v>
      </c>
      <c r="F496" t="inlineStr">
        <is>
          <t>GÄVLEBORGS LÄN</t>
        </is>
      </c>
      <c r="G496" t="inlineStr">
        <is>
          <t>OCKELBO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6531-2026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46052</v>
      </c>
      <c r="E497" s="1" t="n">
        <v>46217</v>
      </c>
      <c r="F497" t="inlineStr">
        <is>
          <t>GÄVLEBORGS LÄN</t>
        </is>
      </c>
      <c r="G497" t="inlineStr">
        <is>
          <t>OCKELBO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17862-2026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46122</v>
      </c>
      <c r="E498" s="1" t="n">
        <v>46217</v>
      </c>
      <c r="F498" t="inlineStr">
        <is>
          <t>GÄVLEBORGS LÄN</t>
        </is>
      </c>
      <c r="G498" t="inlineStr">
        <is>
          <t>OCKELBO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42313-2023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45180</v>
      </c>
      <c r="E499" s="1" t="n">
        <v>46217</v>
      </c>
      <c r="F499" t="inlineStr">
        <is>
          <t>GÄVLEBORGS LÄN</t>
        </is>
      </c>
      <c r="G499" t="inlineStr">
        <is>
          <t>OCKELBO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5668-2026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46051</v>
      </c>
      <c r="E500" s="1" t="n">
        <v>46217</v>
      </c>
      <c r="F500" t="inlineStr">
        <is>
          <t>GÄVLEBORGS LÄN</t>
        </is>
      </c>
      <c r="G500" t="inlineStr">
        <is>
          <t>OCKELBO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6698-2026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46056</v>
      </c>
      <c r="E501" s="1" t="n">
        <v>46217</v>
      </c>
      <c r="F501" t="inlineStr">
        <is>
          <t>GÄVLEBORGS LÄN</t>
        </is>
      </c>
      <c r="G501" t="inlineStr">
        <is>
          <t>OCKELBO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6710-2026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46056</v>
      </c>
      <c r="E502" s="1" t="n">
        <v>46217</v>
      </c>
      <c r="F502" t="inlineStr">
        <is>
          <t>GÄVLEBORGS LÄN</t>
        </is>
      </c>
      <c r="G502" t="inlineStr">
        <is>
          <t>OCKELBO</t>
        </is>
      </c>
      <c r="I502" t="n">
        <v>4.3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6120-2026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46053</v>
      </c>
      <c r="E503" s="1" t="n">
        <v>46217</v>
      </c>
      <c r="F503" t="inlineStr">
        <is>
          <t>GÄVLEBORGS LÄN</t>
        </is>
      </c>
      <c r="G503" t="inlineStr">
        <is>
          <t>OCKELBO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6377-2026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46055</v>
      </c>
      <c r="E504" s="1" t="n">
        <v>46217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6588-2026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46056</v>
      </c>
      <c r="E505" s="1" t="n">
        <v>46217</v>
      </c>
      <c r="F505" t="inlineStr">
        <is>
          <t>GÄVLEBORGS LÄN</t>
        </is>
      </c>
      <c r="G505" t="inlineStr">
        <is>
          <t>OCKELBO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6589-2026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46056</v>
      </c>
      <c r="E506" s="1" t="n">
        <v>46217</v>
      </c>
      <c r="F506" t="inlineStr">
        <is>
          <t>GÄVLEBORGS LÄN</t>
        </is>
      </c>
      <c r="G506" t="inlineStr">
        <is>
          <t>OCKELBO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6598-2026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46056</v>
      </c>
      <c r="E507" s="1" t="n">
        <v>46217</v>
      </c>
      <c r="F507" t="inlineStr">
        <is>
          <t>GÄVLEBORGS LÄN</t>
        </is>
      </c>
      <c r="G507" t="inlineStr">
        <is>
          <t>OCKELBO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23040-2026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46161</v>
      </c>
      <c r="E508" s="1" t="n">
        <v>46217</v>
      </c>
      <c r="F508" t="inlineStr">
        <is>
          <t>GÄVLEBORGS LÄN</t>
        </is>
      </c>
      <c r="G508" t="inlineStr">
        <is>
          <t>OCKELBO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6590-2026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46056</v>
      </c>
      <c r="E509" s="1" t="n">
        <v>46217</v>
      </c>
      <c r="F509" t="inlineStr">
        <is>
          <t>GÄVLEBORGS LÄN</t>
        </is>
      </c>
      <c r="G509" t="inlineStr">
        <is>
          <t>OCKELBO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6266-2026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46055</v>
      </c>
      <c r="E510" s="1" t="n">
        <v>46217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6665-2026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46056</v>
      </c>
      <c r="E511" s="1" t="n">
        <v>46217</v>
      </c>
      <c r="F511" t="inlineStr">
        <is>
          <t>GÄVLEBORGS LÄN</t>
        </is>
      </c>
      <c r="G511" t="inlineStr">
        <is>
          <t>OCKELBO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6677-2026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46056</v>
      </c>
      <c r="E512" s="1" t="n">
        <v>46217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9.4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6862-2026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46057</v>
      </c>
      <c r="E513" s="1" t="n">
        <v>46217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60915-2024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45645</v>
      </c>
      <c r="E514" s="1" t="n">
        <v>46217</v>
      </c>
      <c r="F514" t="inlineStr">
        <is>
          <t>GÄVLEBORGS LÄN</t>
        </is>
      </c>
      <c r="G514" t="inlineStr">
        <is>
          <t>OCKELBO</t>
        </is>
      </c>
      <c r="H514" t="inlineStr">
        <is>
          <t>Kyrkan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29611-2026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46204</v>
      </c>
      <c r="E515" s="1" t="n">
        <v>46217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7765-2026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46062</v>
      </c>
      <c r="E516" s="1" t="n">
        <v>46217</v>
      </c>
      <c r="F516" t="inlineStr">
        <is>
          <t>GÄVLEBORGS LÄN</t>
        </is>
      </c>
      <c r="G516" t="inlineStr">
        <is>
          <t>OCKELBO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7544-2026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46059</v>
      </c>
      <c r="E517" s="1" t="n">
        <v>46217</v>
      </c>
      <c r="F517" t="inlineStr">
        <is>
          <t>GÄVLEBORGS LÄN</t>
        </is>
      </c>
      <c r="G517" t="inlineStr">
        <is>
          <t>OCKELBO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23149-2026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46161</v>
      </c>
      <c r="E518" s="1" t="n">
        <v>46217</v>
      </c>
      <c r="F518" t="inlineStr">
        <is>
          <t>GÄVLEBORGS LÄN</t>
        </is>
      </c>
      <c r="G518" t="inlineStr">
        <is>
          <t>OCKELBO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7639-2026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46062</v>
      </c>
      <c r="E519" s="1" t="n">
        <v>46217</v>
      </c>
      <c r="F519" t="inlineStr">
        <is>
          <t>GÄVLEBORGS LÄN</t>
        </is>
      </c>
      <c r="G519" t="inlineStr">
        <is>
          <t>OCKELBO</t>
        </is>
      </c>
      <c r="I519" t="n">
        <v>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7681-2026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46062</v>
      </c>
      <c r="E520" s="1" t="n">
        <v>46217</v>
      </c>
      <c r="F520" t="inlineStr">
        <is>
          <t>GÄVLEBORGS LÄN</t>
        </is>
      </c>
      <c r="G520" t="inlineStr">
        <is>
          <t>OCKELBO</t>
        </is>
      </c>
      <c r="H520" t="inlineStr">
        <is>
          <t>Kyrkan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7769-2026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46062</v>
      </c>
      <c r="E521" s="1" t="n">
        <v>46217</v>
      </c>
      <c r="F521" t="inlineStr">
        <is>
          <t>GÄVLEBORGS LÄN</t>
        </is>
      </c>
      <c r="G521" t="inlineStr">
        <is>
          <t>OCKELBO</t>
        </is>
      </c>
      <c r="I521" t="n">
        <v>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36343-2023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45152</v>
      </c>
      <c r="E522" s="1" t="n">
        <v>46217</v>
      </c>
      <c r="F522" t="inlineStr">
        <is>
          <t>GÄVLEBORGS LÄN</t>
        </is>
      </c>
      <c r="G522" t="inlineStr">
        <is>
          <t>OCKELBO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8351-2026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46064</v>
      </c>
      <c r="E523" s="1" t="n">
        <v>46217</v>
      </c>
      <c r="F523" t="inlineStr">
        <is>
          <t>GÄVLEBORGS LÄN</t>
        </is>
      </c>
      <c r="G523" t="inlineStr">
        <is>
          <t>OCKELBO</t>
        </is>
      </c>
      <c r="I523" t="n">
        <v>17.4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8274-2026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46064</v>
      </c>
      <c r="E524" s="1" t="n">
        <v>46217</v>
      </c>
      <c r="F524" t="inlineStr">
        <is>
          <t>GÄVLEBORGS LÄN</t>
        </is>
      </c>
      <c r="G524" t="inlineStr">
        <is>
          <t>OCKELBO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8354-2026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46064</v>
      </c>
      <c r="E525" s="1" t="n">
        <v>46217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19762-2024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45432</v>
      </c>
      <c r="E526" s="1" t="n">
        <v>46217</v>
      </c>
      <c r="F526" t="inlineStr">
        <is>
          <t>GÄVLEBORGS LÄN</t>
        </is>
      </c>
      <c r="G526" t="inlineStr">
        <is>
          <t>OCKELBO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8150-2026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46064</v>
      </c>
      <c r="E527" s="1" t="n">
        <v>46217</v>
      </c>
      <c r="F527" t="inlineStr">
        <is>
          <t>GÄVLEBORGS LÄN</t>
        </is>
      </c>
      <c r="G527" t="inlineStr">
        <is>
          <t>OCKELBO</t>
        </is>
      </c>
      <c r="H527" t="inlineStr">
        <is>
          <t>Kyrkan</t>
        </is>
      </c>
      <c r="I527" t="n">
        <v>4.4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21582-2024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45441</v>
      </c>
      <c r="E528" s="1" t="n">
        <v>46217</v>
      </c>
      <c r="F528" t="inlineStr">
        <is>
          <t>GÄVLEBORGS LÄN</t>
        </is>
      </c>
      <c r="G528" t="inlineStr">
        <is>
          <t>OCKELBO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8750-2026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46066</v>
      </c>
      <c r="E529" s="1" t="n">
        <v>46217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5.8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8404-2026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46065</v>
      </c>
      <c r="E530" s="1" t="n">
        <v>46217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6.2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8402-2026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46065</v>
      </c>
      <c r="E531" s="1" t="n">
        <v>46217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8429-2026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46065</v>
      </c>
      <c r="E532" s="1" t="n">
        <v>46217</v>
      </c>
      <c r="F532" t="inlineStr">
        <is>
          <t>GÄVLEBORGS LÄN</t>
        </is>
      </c>
      <c r="G532" t="inlineStr">
        <is>
          <t>OCKELBO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1716-2025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45671</v>
      </c>
      <c r="E533" s="1" t="n">
        <v>46217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8933-2026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46069</v>
      </c>
      <c r="E534" s="1" t="n">
        <v>46217</v>
      </c>
      <c r="F534" t="inlineStr">
        <is>
          <t>GÄVLEBORGS LÄN</t>
        </is>
      </c>
      <c r="G534" t="inlineStr">
        <is>
          <t>OCKELBO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6764-2026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46217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13.1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9505-2026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46071</v>
      </c>
      <c r="E536" s="1" t="n">
        <v>46217</v>
      </c>
      <c r="F536" t="inlineStr">
        <is>
          <t>GÄVLEBORGS LÄN</t>
        </is>
      </c>
      <c r="G536" t="inlineStr">
        <is>
          <t>OCKELBO</t>
        </is>
      </c>
      <c r="I536" t="n">
        <v>8.1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9414-2026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46071</v>
      </c>
      <c r="E537" s="1" t="n">
        <v>46217</v>
      </c>
      <c r="F537" t="inlineStr">
        <is>
          <t>GÄVLEBORGS LÄN</t>
        </is>
      </c>
      <c r="G537" t="inlineStr">
        <is>
          <t>OCKELBO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17548-2025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45757</v>
      </c>
      <c r="E538" s="1" t="n">
        <v>46217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9416-2026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46071</v>
      </c>
      <c r="E539" s="1" t="n">
        <v>46217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9464-2026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46071</v>
      </c>
      <c r="E540" s="1" t="n">
        <v>46217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9507-2026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46071</v>
      </c>
      <c r="E541" s="1" t="n">
        <v>46217</v>
      </c>
      <c r="F541" t="inlineStr">
        <is>
          <t>GÄVLEBORGS LÄN</t>
        </is>
      </c>
      <c r="G541" t="inlineStr">
        <is>
          <t>OCKELBO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9675-2026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46072</v>
      </c>
      <c r="E542" s="1" t="n">
        <v>46217</v>
      </c>
      <c r="F542" t="inlineStr">
        <is>
          <t>GÄVLEBORGS LÄN</t>
        </is>
      </c>
      <c r="G542" t="inlineStr">
        <is>
          <t>OCKELBO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9681-2026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46072</v>
      </c>
      <c r="E543" s="1" t="n">
        <v>46217</v>
      </c>
      <c r="F543" t="inlineStr">
        <is>
          <t>GÄVLEBORGS LÄN</t>
        </is>
      </c>
      <c r="G543" t="inlineStr">
        <is>
          <t>OCKELBO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9727-2026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46072</v>
      </c>
      <c r="E544" s="1" t="n">
        <v>46217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9732-2026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46072</v>
      </c>
      <c r="E545" s="1" t="n">
        <v>46217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9554-2026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46071</v>
      </c>
      <c r="E546" s="1" t="n">
        <v>46217</v>
      </c>
      <c r="F546" t="inlineStr">
        <is>
          <t>GÄVLEBORGS LÄN</t>
        </is>
      </c>
      <c r="G546" t="inlineStr">
        <is>
          <t>OCKELBO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9557-2026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46071</v>
      </c>
      <c r="E547" s="1" t="n">
        <v>46217</v>
      </c>
      <c r="F547" t="inlineStr">
        <is>
          <t>GÄVLEBORGS LÄN</t>
        </is>
      </c>
      <c r="G547" t="inlineStr">
        <is>
          <t>OCKELBO</t>
        </is>
      </c>
      <c r="I547" t="n">
        <v>10.4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9859-2025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45716</v>
      </c>
      <c r="E548" s="1" t="n">
        <v>46217</v>
      </c>
      <c r="F548" t="inlineStr">
        <is>
          <t>GÄVLEBORGS LÄN</t>
        </is>
      </c>
      <c r="G548" t="inlineStr">
        <is>
          <t>OCKELBO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7478-2025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45705</v>
      </c>
      <c r="E549" s="1" t="n">
        <v>46217</v>
      </c>
      <c r="F549" t="inlineStr">
        <is>
          <t>GÄVLEBORGS LÄN</t>
        </is>
      </c>
      <c r="G549" t="inlineStr">
        <is>
          <t>OCKELBO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1288-2026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46031</v>
      </c>
      <c r="E550" s="1" t="n">
        <v>46217</v>
      </c>
      <c r="F550" t="inlineStr">
        <is>
          <t>GÄVLEBORGS LÄN</t>
        </is>
      </c>
      <c r="G550" t="inlineStr">
        <is>
          <t>OCKELBO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9461-2026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46071</v>
      </c>
      <c r="E551" s="1" t="n">
        <v>46217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9470-2026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46071</v>
      </c>
      <c r="E552" s="1" t="n">
        <v>46217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1286-2026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46031</v>
      </c>
      <c r="E553" s="1" t="n">
        <v>46217</v>
      </c>
      <c r="F553" t="inlineStr">
        <is>
          <t>GÄVLEBORGS LÄN</t>
        </is>
      </c>
      <c r="G553" t="inlineStr">
        <is>
          <t>OCKELBO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10159-2026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46076</v>
      </c>
      <c r="E554" s="1" t="n">
        <v>46217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12.1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10437-2026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46077</v>
      </c>
      <c r="E555" s="1" t="n">
        <v>46217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10418-2026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46077</v>
      </c>
      <c r="E556" s="1" t="n">
        <v>46217</v>
      </c>
      <c r="F556" t="inlineStr">
        <is>
          <t>GÄVLEBORGS LÄN</t>
        </is>
      </c>
      <c r="G556" t="inlineStr">
        <is>
          <t>OCKELBO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10501-2026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46077</v>
      </c>
      <c r="E557" s="1" t="n">
        <v>46217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10498-2026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46077</v>
      </c>
      <c r="E558" s="1" t="n">
        <v>46217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10454-2026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46077</v>
      </c>
      <c r="E559" s="1" t="n">
        <v>46217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10.1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9997-2026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46073</v>
      </c>
      <c r="E560" s="1" t="n">
        <v>46217</v>
      </c>
      <c r="F560" t="inlineStr">
        <is>
          <t>GÄVLEBORGS LÄN</t>
        </is>
      </c>
      <c r="G560" t="inlineStr">
        <is>
          <t>OCKELBO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9927-2026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46073</v>
      </c>
      <c r="E561" s="1" t="n">
        <v>46217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10184-2026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46076</v>
      </c>
      <c r="E562" s="1" t="n">
        <v>46217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10529-2026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46077</v>
      </c>
      <c r="E563" s="1" t="n">
        <v>46217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öst AB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23060-2026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46161</v>
      </c>
      <c r="E564" s="1" t="n">
        <v>46217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17.6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12983-2022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44643</v>
      </c>
      <c r="E565" s="1" t="n">
        <v>46217</v>
      </c>
      <c r="F565" t="inlineStr">
        <is>
          <t>GÄVLEBORGS LÄN</t>
        </is>
      </c>
      <c r="G565" t="inlineStr">
        <is>
          <t>OCKELBO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10535-2026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46077</v>
      </c>
      <c r="E566" s="1" t="n">
        <v>46217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öst AB</t>
        </is>
      </c>
      <c r="I566" t="n">
        <v>6.2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37391-2023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45156</v>
      </c>
      <c r="E567" s="1" t="n">
        <v>46217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1293-2026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46031</v>
      </c>
      <c r="E568" s="1" t="n">
        <v>46217</v>
      </c>
      <c r="F568" t="inlineStr">
        <is>
          <t>GÄVLEBORGS LÄN</t>
        </is>
      </c>
      <c r="G568" t="inlineStr">
        <is>
          <t>OCKELBO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10456-2026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46077</v>
      </c>
      <c r="E569" s="1" t="n">
        <v>46217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öst AB</t>
        </is>
      </c>
      <c r="I569" t="n">
        <v>45.7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10682-2026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46078</v>
      </c>
      <c r="E570" s="1" t="n">
        <v>46217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11078-2026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46079</v>
      </c>
      <c r="E571" s="1" t="n">
        <v>46217</v>
      </c>
      <c r="F571" t="inlineStr">
        <is>
          <t>GÄVLEBORGS LÄN</t>
        </is>
      </c>
      <c r="G571" t="inlineStr">
        <is>
          <t>OCKELBO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56634-2023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45243</v>
      </c>
      <c r="E572" s="1" t="n">
        <v>46217</v>
      </c>
      <c r="F572" t="inlineStr">
        <is>
          <t>GÄVLEBORGS LÄN</t>
        </is>
      </c>
      <c r="G572" t="inlineStr">
        <is>
          <t>OCKELBO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11027-2026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46079</v>
      </c>
      <c r="E573" s="1" t="n">
        <v>46217</v>
      </c>
      <c r="F573" t="inlineStr">
        <is>
          <t>GÄVLEBORGS LÄN</t>
        </is>
      </c>
      <c r="G573" t="inlineStr">
        <is>
          <t>OCKELBO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10681-2026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46078</v>
      </c>
      <c r="E574" s="1" t="n">
        <v>46217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11234-2026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46080</v>
      </c>
      <c r="E575" s="1" t="n">
        <v>46217</v>
      </c>
      <c r="F575" t="inlineStr">
        <is>
          <t>GÄVLEBORGS LÄN</t>
        </is>
      </c>
      <c r="G575" t="inlineStr">
        <is>
          <t>OCKELBO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29789-2026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46205</v>
      </c>
      <c r="E576" s="1" t="n">
        <v>46217</v>
      </c>
      <c r="F576" t="inlineStr">
        <is>
          <t>GÄVLEBORGS LÄN</t>
        </is>
      </c>
      <c r="G576" t="inlineStr">
        <is>
          <t>OCKELBO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29078-2026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46199</v>
      </c>
      <c r="E577" s="1" t="n">
        <v>46217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47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11300-2026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46080</v>
      </c>
      <c r="E578" s="1" t="n">
        <v>46217</v>
      </c>
      <c r="F578" t="inlineStr">
        <is>
          <t>GÄVLEBORGS LÄN</t>
        </is>
      </c>
      <c r="G578" t="inlineStr">
        <is>
          <t>OCKELBO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11423-2026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46083</v>
      </c>
      <c r="E579" s="1" t="n">
        <v>46217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öst AB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23456-2026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46163</v>
      </c>
      <c r="E580" s="1" t="n">
        <v>46217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11496-2026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46083</v>
      </c>
      <c r="E581" s="1" t="n">
        <v>46217</v>
      </c>
      <c r="F581" t="inlineStr">
        <is>
          <t>GÄVLEBORGS LÄN</t>
        </is>
      </c>
      <c r="G581" t="inlineStr">
        <is>
          <t>OCKELBO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5898-2026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46052</v>
      </c>
      <c r="E582" s="1" t="n">
        <v>46217</v>
      </c>
      <c r="F582" t="inlineStr">
        <is>
          <t>GÄVLEBORGS LÄN</t>
        </is>
      </c>
      <c r="G582" t="inlineStr">
        <is>
          <t>OCKELBO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11432-2026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46083</v>
      </c>
      <c r="E583" s="1" t="n">
        <v>46217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7.4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11237-2026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46080</v>
      </c>
      <c r="E584" s="1" t="n">
        <v>46217</v>
      </c>
      <c r="F584" t="inlineStr">
        <is>
          <t>GÄVLEBORGS LÄN</t>
        </is>
      </c>
      <c r="G584" t="inlineStr">
        <is>
          <t>OCKELBO</t>
        </is>
      </c>
      <c r="I584" t="n">
        <v>6.2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11588-2026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46084</v>
      </c>
      <c r="E585" s="1" t="n">
        <v>46217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öst AB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23513-2026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46163</v>
      </c>
      <c r="E586" s="1" t="n">
        <v>46217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14.7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59533-2023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45254</v>
      </c>
      <c r="E587" s="1" t="n">
        <v>46217</v>
      </c>
      <c r="F587" t="inlineStr">
        <is>
          <t>GÄVLEBORGS LÄN</t>
        </is>
      </c>
      <c r="G587" t="inlineStr">
        <is>
          <t>OCKELBO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18326-2026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46126</v>
      </c>
      <c r="E588" s="1" t="n">
        <v>46217</v>
      </c>
      <c r="F588" t="inlineStr">
        <is>
          <t>GÄVLEBORGS LÄN</t>
        </is>
      </c>
      <c r="G588" t="inlineStr">
        <is>
          <t>OCKELBO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11810-2026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46085</v>
      </c>
      <c r="E589" s="1" t="n">
        <v>46217</v>
      </c>
      <c r="F589" t="inlineStr">
        <is>
          <t>GÄVLEBORGS LÄN</t>
        </is>
      </c>
      <c r="G589" t="inlineStr">
        <is>
          <t>OCKELBO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25128-2026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46175</v>
      </c>
      <c r="E590" s="1" t="n">
        <v>46217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12080-2026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46086</v>
      </c>
      <c r="E591" s="1" t="n">
        <v>46217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18.7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36521-2022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44804</v>
      </c>
      <c r="E592" s="1" t="n">
        <v>46217</v>
      </c>
      <c r="F592" t="inlineStr">
        <is>
          <t>GÄVLEBORGS LÄN</t>
        </is>
      </c>
      <c r="G592" t="inlineStr">
        <is>
          <t>OCKELBO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12341-2026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46087</v>
      </c>
      <c r="E593" s="1" t="n">
        <v>46217</v>
      </c>
      <c r="F593" t="inlineStr">
        <is>
          <t>GÄVLEBORGS LÄN</t>
        </is>
      </c>
      <c r="G593" t="inlineStr">
        <is>
          <t>OCKELBO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24228-2022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44725</v>
      </c>
      <c r="E594" s="1" t="n">
        <v>46217</v>
      </c>
      <c r="F594" t="inlineStr">
        <is>
          <t>GÄVLEBORGS LÄN</t>
        </is>
      </c>
      <c r="G594" t="inlineStr">
        <is>
          <t>OCKELBO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29835-2026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46205</v>
      </c>
      <c r="E595" s="1" t="n">
        <v>46217</v>
      </c>
      <c r="F595" t="inlineStr">
        <is>
          <t>GÄVLEBORGS LÄN</t>
        </is>
      </c>
      <c r="G595" t="inlineStr">
        <is>
          <t>OCKELBO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12370-2026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46089</v>
      </c>
      <c r="E596" s="1" t="n">
        <v>46217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29.9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32301-2022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44781</v>
      </c>
      <c r="E597" s="1" t="n">
        <v>46217</v>
      </c>
      <c r="F597" t="inlineStr">
        <is>
          <t>GÄVLEBORGS LÄN</t>
        </is>
      </c>
      <c r="G597" t="inlineStr">
        <is>
          <t>OCKELBO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12716-2026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46091</v>
      </c>
      <c r="E598" s="1" t="n">
        <v>46217</v>
      </c>
      <c r="F598" t="inlineStr">
        <is>
          <t>GÄVLEBORGS LÄN</t>
        </is>
      </c>
      <c r="G598" t="inlineStr">
        <is>
          <t>OCKELBO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27416-2026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46189</v>
      </c>
      <c r="E599" s="1" t="n">
        <v>46217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25525-2026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46177</v>
      </c>
      <c r="E600" s="1" t="n">
        <v>46217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9.4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13271-2026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46093</v>
      </c>
      <c r="E601" s="1" t="n">
        <v>46217</v>
      </c>
      <c r="F601" t="inlineStr">
        <is>
          <t>GÄVLEBORGS LÄN</t>
        </is>
      </c>
      <c r="G601" t="inlineStr">
        <is>
          <t>OCKELBO</t>
        </is>
      </c>
      <c r="I601" t="n">
        <v>6.4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13162-2026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46093</v>
      </c>
      <c r="E602" s="1" t="n">
        <v>46217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12.1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12807-2026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46092</v>
      </c>
      <c r="E603" s="1" t="n">
        <v>46217</v>
      </c>
      <c r="F603" t="inlineStr">
        <is>
          <t>GÄVLEBORGS LÄN</t>
        </is>
      </c>
      <c r="G603" t="inlineStr">
        <is>
          <t>OCKELBO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13208-2026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46093</v>
      </c>
      <c r="E604" s="1" t="n">
        <v>46217</v>
      </c>
      <c r="F604" t="inlineStr">
        <is>
          <t>GÄVLEBORGS LÄN</t>
        </is>
      </c>
      <c r="G604" t="inlineStr">
        <is>
          <t>OCKELBO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47841-2023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45204</v>
      </c>
      <c r="E605" s="1" t="n">
        <v>46217</v>
      </c>
      <c r="F605" t="inlineStr">
        <is>
          <t>GÄVLEBORGS LÄN</t>
        </is>
      </c>
      <c r="G605" t="inlineStr">
        <is>
          <t>OCKELBO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33985-2023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45134</v>
      </c>
      <c r="E606" s="1" t="n">
        <v>46217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13216-2026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46093</v>
      </c>
      <c r="E607" s="1" t="n">
        <v>46217</v>
      </c>
      <c r="F607" t="inlineStr">
        <is>
          <t>GÄVLEBORGS LÄN</t>
        </is>
      </c>
      <c r="G607" t="inlineStr">
        <is>
          <t>OCKELBO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30031-2026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46206</v>
      </c>
      <c r="E608" s="1" t="n">
        <v>46217</v>
      </c>
      <c r="F608" t="inlineStr">
        <is>
          <t>GÄVLEBORGS LÄN</t>
        </is>
      </c>
      <c r="G608" t="inlineStr">
        <is>
          <t>OCKELBO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23786-2026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46164</v>
      </c>
      <c r="E609" s="1" t="n">
        <v>46217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23663-2026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46164</v>
      </c>
      <c r="E610" s="1" t="n">
        <v>46217</v>
      </c>
      <c r="F610" t="inlineStr">
        <is>
          <t>GÄVLEBORGS LÄN</t>
        </is>
      </c>
      <c r="G610" t="inlineStr">
        <is>
          <t>OCKELBO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13481-2026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46094</v>
      </c>
      <c r="E611" s="1" t="n">
        <v>46217</v>
      </c>
      <c r="F611" t="inlineStr">
        <is>
          <t>GÄVLEBORGS LÄN</t>
        </is>
      </c>
      <c r="G611" t="inlineStr">
        <is>
          <t>OCKELBO</t>
        </is>
      </c>
      <c r="H611" t="inlineStr">
        <is>
          <t>Naturvårdsverket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13621-2026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46097</v>
      </c>
      <c r="E612" s="1" t="n">
        <v>46217</v>
      </c>
      <c r="F612" t="inlineStr">
        <is>
          <t>GÄVLEBORGS LÄN</t>
        </is>
      </c>
      <c r="G612" t="inlineStr">
        <is>
          <t>OCKELBO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29849-2026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46205</v>
      </c>
      <c r="E613" s="1" t="n">
        <v>46217</v>
      </c>
      <c r="F613" t="inlineStr">
        <is>
          <t>GÄVLEBORGS LÄN</t>
        </is>
      </c>
      <c r="G613" t="inlineStr">
        <is>
          <t>OCKELBO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13321-2026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46094</v>
      </c>
      <c r="E614" s="1" t="n">
        <v>46217</v>
      </c>
      <c r="F614" t="inlineStr">
        <is>
          <t>GÄVLEBORGS LÄN</t>
        </is>
      </c>
      <c r="G614" t="inlineStr">
        <is>
          <t>OCKELBO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13441-2026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46094</v>
      </c>
      <c r="E615" s="1" t="n">
        <v>46217</v>
      </c>
      <c r="F615" t="inlineStr">
        <is>
          <t>GÄVLEBORGS LÄN</t>
        </is>
      </c>
      <c r="G615" t="inlineStr">
        <is>
          <t>OCKELBO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20660-2022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44700</v>
      </c>
      <c r="E616" s="1" t="n">
        <v>46217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12947-2026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46092</v>
      </c>
      <c r="E617" s="1" t="n">
        <v>46217</v>
      </c>
      <c r="F617" t="inlineStr">
        <is>
          <t>GÄVLEBORGS LÄN</t>
        </is>
      </c>
      <c r="G617" t="inlineStr">
        <is>
          <t>OCKELBO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61750-2023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45265</v>
      </c>
      <c r="E618" s="1" t="n">
        <v>46217</v>
      </c>
      <c r="F618" t="inlineStr">
        <is>
          <t>GÄVLEBORGS LÄN</t>
        </is>
      </c>
      <c r="G618" t="inlineStr">
        <is>
          <t>OCKELBO</t>
        </is>
      </c>
      <c r="I618" t="n">
        <v>11.2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13882-2026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46098</v>
      </c>
      <c r="E619" s="1" t="n">
        <v>46217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13856-2026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46098</v>
      </c>
      <c r="E620" s="1" t="n">
        <v>46217</v>
      </c>
      <c r="F620" t="inlineStr">
        <is>
          <t>GÄVLEBORGS LÄN</t>
        </is>
      </c>
      <c r="G620" t="inlineStr">
        <is>
          <t>OCKELBO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14232-2026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46099</v>
      </c>
      <c r="E621" s="1" t="n">
        <v>46217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13931-2026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46098</v>
      </c>
      <c r="E622" s="1" t="n">
        <v>46217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15247-2025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45744</v>
      </c>
      <c r="E623" s="1" t="n">
        <v>46217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13972-2026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46098</v>
      </c>
      <c r="E624" s="1" t="n">
        <v>46217</v>
      </c>
      <c r="F624" t="inlineStr">
        <is>
          <t>GÄVLEBORGS LÄN</t>
        </is>
      </c>
      <c r="G624" t="inlineStr">
        <is>
          <t>OCKELBO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13825-2026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46098</v>
      </c>
      <c r="E625" s="1" t="n">
        <v>46217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36.6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13962-2026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46098</v>
      </c>
      <c r="E626" s="1" t="n">
        <v>46217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14037-2026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46098</v>
      </c>
      <c r="E627" s="1" t="n">
        <v>46217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14038-2026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46098</v>
      </c>
      <c r="E628" s="1" t="n">
        <v>46217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14100-2026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46099</v>
      </c>
      <c r="E629" s="1" t="n">
        <v>46217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24059-2026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46168</v>
      </c>
      <c r="E630" s="1" t="n">
        <v>46217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14439-2026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46100</v>
      </c>
      <c r="E631" s="1" t="n">
        <v>46217</v>
      </c>
      <c r="F631" t="inlineStr">
        <is>
          <t>GÄVLEBORGS LÄN</t>
        </is>
      </c>
      <c r="G631" t="inlineStr">
        <is>
          <t>OCKELBO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14441-2026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46100</v>
      </c>
      <c r="E632" s="1" t="n">
        <v>46217</v>
      </c>
      <c r="F632" t="inlineStr">
        <is>
          <t>GÄVLEBORGS LÄN</t>
        </is>
      </c>
      <c r="G632" t="inlineStr">
        <is>
          <t>OCKELBO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14419-2026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46100</v>
      </c>
      <c r="E633" s="1" t="n">
        <v>46217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35054-2022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44797</v>
      </c>
      <c r="E634" s="1" t="n">
        <v>46217</v>
      </c>
      <c r="F634" t="inlineStr">
        <is>
          <t>GÄVLEBORGS LÄN</t>
        </is>
      </c>
      <c r="G634" t="inlineStr">
        <is>
          <t>OCKELBO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14684-2026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46101</v>
      </c>
      <c r="E635" s="1" t="n">
        <v>46217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14756-2026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46101</v>
      </c>
      <c r="E636" s="1" t="n">
        <v>46217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15018-2026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46104</v>
      </c>
      <c r="E637" s="1" t="n">
        <v>46217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15151-2026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46105</v>
      </c>
      <c r="E638" s="1" t="n">
        <v>46217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öst AB</t>
        </is>
      </c>
      <c r="I638" t="n">
        <v>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15067-2026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46104</v>
      </c>
      <c r="E639" s="1" t="n">
        <v>46217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14972-2026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46104</v>
      </c>
      <c r="E640" s="1" t="n">
        <v>46217</v>
      </c>
      <c r="F640" t="inlineStr">
        <is>
          <t>GÄVLEBORGS LÄN</t>
        </is>
      </c>
      <c r="G640" t="inlineStr">
        <is>
          <t>OCKELBO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14827-2026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46104</v>
      </c>
      <c r="E641" s="1" t="n">
        <v>46217</v>
      </c>
      <c r="F641" t="inlineStr">
        <is>
          <t>GÄVLEBORGS LÄN</t>
        </is>
      </c>
      <c r="G641" t="inlineStr">
        <is>
          <t>OCKELBO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15029-2026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46104</v>
      </c>
      <c r="E642" s="1" t="n">
        <v>46217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34.1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20059-2025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45772</v>
      </c>
      <c r="E643" s="1" t="n">
        <v>46217</v>
      </c>
      <c r="F643" t="inlineStr">
        <is>
          <t>GÄVLEBORGS LÄN</t>
        </is>
      </c>
      <c r="G643" t="inlineStr">
        <is>
          <t>OCKELBO</t>
        </is>
      </c>
      <c r="I643" t="n">
        <v>14.8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55112-2023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45237</v>
      </c>
      <c r="E644" s="1" t="n">
        <v>46217</v>
      </c>
      <c r="F644" t="inlineStr">
        <is>
          <t>GÄVLEBORGS LÄN</t>
        </is>
      </c>
      <c r="G644" t="inlineStr">
        <is>
          <t>OCKELBO</t>
        </is>
      </c>
      <c r="I644" t="n">
        <v>14.6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15052-2026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46104</v>
      </c>
      <c r="E645" s="1" t="n">
        <v>46217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15042-2026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46104</v>
      </c>
      <c r="E646" s="1" t="n">
        <v>46217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6.2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15043-2026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46104</v>
      </c>
      <c r="E647" s="1" t="n">
        <v>46217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14973-2026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46104</v>
      </c>
      <c r="E648" s="1" t="n">
        <v>46217</v>
      </c>
      <c r="F648" t="inlineStr">
        <is>
          <t>GÄVLEBORGS LÄN</t>
        </is>
      </c>
      <c r="G648" t="inlineStr">
        <is>
          <t>OCKELBO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14169-2026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46099</v>
      </c>
      <c r="E649" s="1" t="n">
        <v>46217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59978-2023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45254</v>
      </c>
      <c r="E650" s="1" t="n">
        <v>46217</v>
      </c>
      <c r="F650" t="inlineStr">
        <is>
          <t>GÄVLEBORGS LÄN</t>
        </is>
      </c>
      <c r="G650" t="inlineStr">
        <is>
          <t>OCKELBO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15795-2026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46107</v>
      </c>
      <c r="E651" s="1" t="n">
        <v>46217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15679-2026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46106</v>
      </c>
      <c r="E652" s="1" t="n">
        <v>46217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6.2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15572-2026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46106</v>
      </c>
      <c r="E653" s="1" t="n">
        <v>46217</v>
      </c>
      <c r="F653" t="inlineStr">
        <is>
          <t>GÄVLEBORGS LÄN</t>
        </is>
      </c>
      <c r="G653" t="inlineStr">
        <is>
          <t>OCKELBO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15782-2026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46107</v>
      </c>
      <c r="E654" s="1" t="n">
        <v>46217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3.8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14168-2026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46099</v>
      </c>
      <c r="E655" s="1" t="n">
        <v>46217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24185-2026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46168</v>
      </c>
      <c r="E656" s="1" t="n">
        <v>46217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15678-2026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46106</v>
      </c>
      <c r="E657" s="1" t="n">
        <v>46217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15.4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53488-2023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45230</v>
      </c>
      <c r="E658" s="1" t="n">
        <v>46217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13.3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15648-2026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46106</v>
      </c>
      <c r="E659" s="1" t="n">
        <v>46217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15575-2026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46106</v>
      </c>
      <c r="E660" s="1" t="n">
        <v>46217</v>
      </c>
      <c r="F660" t="inlineStr">
        <is>
          <t>GÄVLEBORGS LÄN</t>
        </is>
      </c>
      <c r="G660" t="inlineStr">
        <is>
          <t>OCKELBO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16296-2026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46111</v>
      </c>
      <c r="E661" s="1" t="n">
        <v>46217</v>
      </c>
      <c r="F661" t="inlineStr">
        <is>
          <t>GÄVLEBORGS LÄN</t>
        </is>
      </c>
      <c r="G661" t="inlineStr">
        <is>
          <t>OCKELBO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4001-2026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46044</v>
      </c>
      <c r="E662" s="1" t="n">
        <v>46217</v>
      </c>
      <c r="F662" t="inlineStr">
        <is>
          <t>GÄVLEBORGS LÄN</t>
        </is>
      </c>
      <c r="G662" t="inlineStr">
        <is>
          <t>OCKELBO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16054-2026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46108</v>
      </c>
      <c r="E663" s="1" t="n">
        <v>46217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12.3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16419-2026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46111</v>
      </c>
      <c r="E664" s="1" t="n">
        <v>46217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16006-2026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46108</v>
      </c>
      <c r="E665" s="1" t="n">
        <v>46217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9.699999999999999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56034-2023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45240</v>
      </c>
      <c r="E666" s="1" t="n">
        <v>46217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16388-2026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46111</v>
      </c>
      <c r="E667" s="1" t="n">
        <v>46217</v>
      </c>
      <c r="F667" t="inlineStr">
        <is>
          <t>GÄVLEBORGS LÄN</t>
        </is>
      </c>
      <c r="G667" t="inlineStr">
        <is>
          <t>OCKELBO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24063-2026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46168</v>
      </c>
      <c r="E668" s="1" t="n">
        <v>46217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28725-2026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46198</v>
      </c>
      <c r="E669" s="1" t="n">
        <v>46217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16667-2026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46112</v>
      </c>
      <c r="E670" s="1" t="n">
        <v>46217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16481-2026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46112</v>
      </c>
      <c r="E671" s="1" t="n">
        <v>46217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16535-2026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46112</v>
      </c>
      <c r="E672" s="1" t="n">
        <v>46217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14.3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27630-2026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46190</v>
      </c>
      <c r="E673" s="1" t="n">
        <v>46217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10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24408-2026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46169</v>
      </c>
      <c r="E674" s="1" t="n">
        <v>46217</v>
      </c>
      <c r="F674" t="inlineStr">
        <is>
          <t>GÄVLEBORGS LÄN</t>
        </is>
      </c>
      <c r="G674" t="inlineStr">
        <is>
          <t>OCKELBO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16981-2026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46114</v>
      </c>
      <c r="E675" s="1" t="n">
        <v>46217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9.4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17112-2026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46114</v>
      </c>
      <c r="E676" s="1" t="n">
        <v>46217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16.3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16989-2026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46114</v>
      </c>
      <c r="E677" s="1" t="n">
        <v>46217</v>
      </c>
      <c r="F677" t="inlineStr">
        <is>
          <t>GÄVLEBORGS LÄN</t>
        </is>
      </c>
      <c r="G677" t="inlineStr">
        <is>
          <t>OCKELBO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16991-2026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46114</v>
      </c>
      <c r="E678" s="1" t="n">
        <v>46217</v>
      </c>
      <c r="F678" t="inlineStr">
        <is>
          <t>GÄVLEBORGS LÄN</t>
        </is>
      </c>
      <c r="G678" t="inlineStr">
        <is>
          <t>OCKELBO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13428-2026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46094</v>
      </c>
      <c r="E679" s="1" t="n">
        <v>46217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17113-2026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46114</v>
      </c>
      <c r="E680" s="1" t="n">
        <v>46217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9.1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17115-2026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46114</v>
      </c>
      <c r="E681" s="1" t="n">
        <v>46217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24267-2026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46169</v>
      </c>
      <c r="E682" s="1" t="n">
        <v>46217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17224-2026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46119</v>
      </c>
      <c r="E683" s="1" t="n">
        <v>46217</v>
      </c>
      <c r="F683" t="inlineStr">
        <is>
          <t>GÄVLEBORGS LÄN</t>
        </is>
      </c>
      <c r="G683" t="inlineStr">
        <is>
          <t>OCKELBO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24335-2026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46169</v>
      </c>
      <c r="E684" s="1" t="n">
        <v>46217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17241-2026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46119</v>
      </c>
      <c r="E685" s="1" t="n">
        <v>46217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17202-2026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46118</v>
      </c>
      <c r="E686" s="1" t="n">
        <v>46217</v>
      </c>
      <c r="F686" t="inlineStr">
        <is>
          <t>GÄVLEBORGS LÄN</t>
        </is>
      </c>
      <c r="G686" t="inlineStr">
        <is>
          <t>OCKELBO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17709-2026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46121</v>
      </c>
      <c r="E687" s="1" t="n">
        <v>46217</v>
      </c>
      <c r="F687" t="inlineStr">
        <is>
          <t>GÄVLEBORGS LÄN</t>
        </is>
      </c>
      <c r="G687" t="inlineStr">
        <is>
          <t>OCKELBO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10290-2026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46076</v>
      </c>
      <c r="E688" s="1" t="n">
        <v>46217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öst AB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10326-2026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46076</v>
      </c>
      <c r="E689" s="1" t="n">
        <v>46217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öst AB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10457-2026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46077</v>
      </c>
      <c r="E690" s="1" t="n">
        <v>46217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öst AB</t>
        </is>
      </c>
      <c r="I690" t="n">
        <v>6.5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10268-2026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46076</v>
      </c>
      <c r="E691" s="1" t="n">
        <v>46217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öst AB</t>
        </is>
      </c>
      <c r="I691" t="n">
        <v>7.7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17589-2026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46121</v>
      </c>
      <c r="E692" s="1" t="n">
        <v>46217</v>
      </c>
      <c r="F692" t="inlineStr">
        <is>
          <t>GÄVLEBORGS LÄN</t>
        </is>
      </c>
      <c r="G692" t="inlineStr">
        <is>
          <t>OCKELBO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17600-2026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46121</v>
      </c>
      <c r="E693" s="1" t="n">
        <v>46217</v>
      </c>
      <c r="F693" t="inlineStr">
        <is>
          <t>GÄVLEBORGS LÄN</t>
        </is>
      </c>
      <c r="G693" t="inlineStr">
        <is>
          <t>OCKELBO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24333-2026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46169</v>
      </c>
      <c r="E694" s="1" t="n">
        <v>46217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24409-2026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46169</v>
      </c>
      <c r="E695" s="1" t="n">
        <v>46217</v>
      </c>
      <c r="F695" t="inlineStr">
        <is>
          <t>GÄVLEBORGS LÄN</t>
        </is>
      </c>
      <c r="G695" t="inlineStr">
        <is>
          <t>OCKELBO</t>
        </is>
      </c>
      <c r="I695" t="n">
        <v>8.1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26924-2026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46217</v>
      </c>
      <c r="F696" t="inlineStr">
        <is>
          <t>GÄVLEBORGS LÄN</t>
        </is>
      </c>
      <c r="G696" t="inlineStr">
        <is>
          <t>OCKELBO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5240-2026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46049</v>
      </c>
      <c r="E697" s="1" t="n">
        <v>46217</v>
      </c>
      <c r="F697" t="inlineStr">
        <is>
          <t>GÄVLEBORGS LÄN</t>
        </is>
      </c>
      <c r="G697" t="inlineStr">
        <is>
          <t>OCKELBO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10309-2026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46076</v>
      </c>
      <c r="E698" s="1" t="n">
        <v>46217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öst AB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921-2024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45301</v>
      </c>
      <c r="E699" s="1" t="n">
        <v>46217</v>
      </c>
      <c r="F699" t="inlineStr">
        <is>
          <t>GÄVLEBORGS LÄN</t>
        </is>
      </c>
      <c r="G699" t="inlineStr">
        <is>
          <t>OCKELBO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27995-2026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46195</v>
      </c>
      <c r="E700" s="1" t="n">
        <v>46217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18133-2026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46125</v>
      </c>
      <c r="E701" s="1" t="n">
        <v>46217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29386-2026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46203</v>
      </c>
      <c r="E702" s="1" t="n">
        <v>46217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29437-2026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46203</v>
      </c>
      <c r="E703" s="1" t="n">
        <v>46217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18260-2026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46126</v>
      </c>
      <c r="E704" s="1" t="n">
        <v>46217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15581-2026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46106</v>
      </c>
      <c r="E705" s="1" t="n">
        <v>46217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öst AB</t>
        </is>
      </c>
      <c r="I705" t="n">
        <v>7.6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11974-2026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46085</v>
      </c>
      <c r="E706" s="1" t="n">
        <v>46217</v>
      </c>
      <c r="F706" t="inlineStr">
        <is>
          <t>GÄVLEBORGS LÄN</t>
        </is>
      </c>
      <c r="G706" t="inlineStr">
        <is>
          <t>OCKELBO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18248-2026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46126</v>
      </c>
      <c r="E707" s="1" t="n">
        <v>46217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15255-2026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46105</v>
      </c>
      <c r="E708" s="1" t="n">
        <v>46217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18234-2026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46126</v>
      </c>
      <c r="E709" s="1" t="n">
        <v>46217</v>
      </c>
      <c r="F709" t="inlineStr">
        <is>
          <t>GÄVLEBORGS LÄN</t>
        </is>
      </c>
      <c r="G709" t="inlineStr">
        <is>
          <t>OCKELBO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18457-2026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46127</v>
      </c>
      <c r="E710" s="1" t="n">
        <v>46217</v>
      </c>
      <c r="F710" t="inlineStr">
        <is>
          <t>GÄVLEBORGS LÄN</t>
        </is>
      </c>
      <c r="G710" t="inlineStr">
        <is>
          <t>OCKELBO</t>
        </is>
      </c>
      <c r="I710" t="n">
        <v>4.6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18513-2026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46127</v>
      </c>
      <c r="E711" s="1" t="n">
        <v>46217</v>
      </c>
      <c r="F711" t="inlineStr">
        <is>
          <t>GÄVLEBORGS LÄN</t>
        </is>
      </c>
      <c r="G711" t="inlineStr">
        <is>
          <t>OCKELBO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18426-2026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46127</v>
      </c>
      <c r="E712" s="1" t="n">
        <v>46217</v>
      </c>
      <c r="F712" t="inlineStr">
        <is>
          <t>GÄVLEBORGS LÄN</t>
        </is>
      </c>
      <c r="G712" t="inlineStr">
        <is>
          <t>OCKELBO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13855-2026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46098</v>
      </c>
      <c r="E713" s="1" t="n">
        <v>46217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24952-2026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46174</v>
      </c>
      <c r="E714" s="1" t="n">
        <v>46217</v>
      </c>
      <c r="F714" t="inlineStr">
        <is>
          <t>GÄVLEBORGS LÄN</t>
        </is>
      </c>
      <c r="G714" t="inlineStr">
        <is>
          <t>OCKELBO</t>
        </is>
      </c>
      <c r="I714" t="n">
        <v>7.9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46023</v>
      </c>
      <c r="E715" s="1" t="n">
        <v>46217</v>
      </c>
      <c r="F715" t="inlineStr">
        <is>
          <t>GÄVLEBORGS LÄN</t>
        </is>
      </c>
      <c r="G715" t="inlineStr">
        <is>
          <t>OCKELBO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24567-2026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46170</v>
      </c>
      <c r="E716" s="1" t="n">
        <v>46217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24578-2026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46170</v>
      </c>
      <c r="E717" s="1" t="n">
        <v>46217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19038-2026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46132</v>
      </c>
      <c r="E718" s="1" t="n">
        <v>46217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17.7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54944-2025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45967</v>
      </c>
      <c r="E719" s="1" t="n">
        <v>46217</v>
      </c>
      <c r="F719" t="inlineStr">
        <is>
          <t>GÄVLEBORGS LÄN</t>
        </is>
      </c>
      <c r="G719" t="inlineStr">
        <is>
          <t>OCKELBO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18646-2026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46128</v>
      </c>
      <c r="E720" s="1" t="n">
        <v>46217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27889-2026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46191</v>
      </c>
      <c r="E721" s="1" t="n">
        <v>46217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19068-2026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46132</v>
      </c>
      <c r="E722" s="1" t="n">
        <v>46217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13.8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19138-2026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46132</v>
      </c>
      <c r="E723" s="1" t="n">
        <v>46217</v>
      </c>
      <c r="F723" t="inlineStr">
        <is>
          <t>GÄVLEBORGS LÄN</t>
        </is>
      </c>
      <c r="G723" t="inlineStr">
        <is>
          <t>OCKELBO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19213-2026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46132</v>
      </c>
      <c r="E724" s="1" t="n">
        <v>46217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18705-2026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46128</v>
      </c>
      <c r="E725" s="1" t="n">
        <v>46217</v>
      </c>
      <c r="F725" t="inlineStr">
        <is>
          <t>GÄVLEBORGS LÄN</t>
        </is>
      </c>
      <c r="G725" t="inlineStr">
        <is>
          <t>OCKELBO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16572-2026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46112</v>
      </c>
      <c r="E726" s="1" t="n">
        <v>46217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16530-2026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46112</v>
      </c>
      <c r="E727" s="1" t="n">
        <v>46217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39710-2023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45167</v>
      </c>
      <c r="E728" s="1" t="n">
        <v>46217</v>
      </c>
      <c r="F728" t="inlineStr">
        <is>
          <t>GÄVLEBORGS LÄN</t>
        </is>
      </c>
      <c r="G728" t="inlineStr">
        <is>
          <t>OCKELBO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24451-2026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46170</v>
      </c>
      <c r="E729" s="1" t="n">
        <v>46217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55906-2024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45623</v>
      </c>
      <c r="E730" s="1" t="n">
        <v>46217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19142-2026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46132</v>
      </c>
      <c r="E731" s="1" t="n">
        <v>46217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19043-2026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46132</v>
      </c>
      <c r="E732" s="1" t="n">
        <v>46217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5.1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19139-2026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46132</v>
      </c>
      <c r="E733" s="1" t="n">
        <v>46217</v>
      </c>
      <c r="F733" t="inlineStr">
        <is>
          <t>GÄVLEBORGS LÄN</t>
        </is>
      </c>
      <c r="G733" t="inlineStr">
        <is>
          <t>OCKELBO</t>
        </is>
      </c>
      <c r="I733" t="n">
        <v>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18669-2026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46128</v>
      </c>
      <c r="E734" s="1" t="n">
        <v>46217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24569-2026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46170</v>
      </c>
      <c r="E735" s="1" t="n">
        <v>46217</v>
      </c>
      <c r="F735" t="inlineStr">
        <is>
          <t>GÄVLEBORGS LÄN</t>
        </is>
      </c>
      <c r="G735" t="inlineStr">
        <is>
          <t>OCKELBO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19040-2026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46132</v>
      </c>
      <c r="E736" s="1" t="n">
        <v>46217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11.9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19146-2026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46132</v>
      </c>
      <c r="E737" s="1" t="n">
        <v>46217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34449-2023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45139</v>
      </c>
      <c r="E738" s="1" t="n">
        <v>46217</v>
      </c>
      <c r="F738" t="inlineStr">
        <is>
          <t>GÄVLEBORGS LÄN</t>
        </is>
      </c>
      <c r="G738" t="inlineStr">
        <is>
          <t>OCKELBO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31083-2026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46216</v>
      </c>
      <c r="E739" s="1" t="n">
        <v>46217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24968-2026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46174</v>
      </c>
      <c r="E740" s="1" t="n">
        <v>46217</v>
      </c>
      <c r="F740" t="inlineStr">
        <is>
          <t>GÄVLEBORGS LÄN</t>
        </is>
      </c>
      <c r="G740" t="inlineStr">
        <is>
          <t>OCKELBO</t>
        </is>
      </c>
      <c r="I740" t="n">
        <v>6.2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19491-2026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46134</v>
      </c>
      <c r="E741" s="1" t="n">
        <v>46217</v>
      </c>
      <c r="F741" t="inlineStr">
        <is>
          <t>GÄVLEBORGS LÄN</t>
        </is>
      </c>
      <c r="G741" t="inlineStr">
        <is>
          <t>OCKELBO</t>
        </is>
      </c>
      <c r="I741" t="n">
        <v>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24449-2026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46170</v>
      </c>
      <c r="E742" s="1" t="n">
        <v>46217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24521-2026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46170</v>
      </c>
      <c r="E743" s="1" t="n">
        <v>46217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24974-2026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46174</v>
      </c>
      <c r="E744" s="1" t="n">
        <v>46217</v>
      </c>
      <c r="F744" t="inlineStr">
        <is>
          <t>GÄVLEBORGS LÄN</t>
        </is>
      </c>
      <c r="G744" t="inlineStr">
        <is>
          <t>OCKELBO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19603-2026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46134</v>
      </c>
      <c r="E745" s="1" t="n">
        <v>46217</v>
      </c>
      <c r="F745" t="inlineStr">
        <is>
          <t>GÄVLEBORGS LÄN</t>
        </is>
      </c>
      <c r="G745" t="inlineStr">
        <is>
          <t>OCKELBO</t>
        </is>
      </c>
      <c r="I745" t="n">
        <v>5.2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26481-2026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46183</v>
      </c>
      <c r="E746" s="1" t="n">
        <v>46217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30990-2026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46213</v>
      </c>
      <c r="E747" s="1" t="n">
        <v>46217</v>
      </c>
      <c r="F747" t="inlineStr">
        <is>
          <t>GÄVLEBORGS LÄN</t>
        </is>
      </c>
      <c r="G747" t="inlineStr">
        <is>
          <t>OCKELBO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19531-2026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46134</v>
      </c>
      <c r="E748" s="1" t="n">
        <v>46217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5.7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19431-2026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46133</v>
      </c>
      <c r="E749" s="1" t="n">
        <v>46217</v>
      </c>
      <c r="F749" t="inlineStr">
        <is>
          <t>GÄVLEBORGS LÄN</t>
        </is>
      </c>
      <c r="G749" t="inlineStr">
        <is>
          <t>OCKELBO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39062-2024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45548</v>
      </c>
      <c r="E750" s="1" t="n">
        <v>46217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10.1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19271-2026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46133</v>
      </c>
      <c r="E751" s="1" t="n">
        <v>46217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29415-2026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46203</v>
      </c>
      <c r="E752" s="1" t="n">
        <v>46217</v>
      </c>
      <c r="F752" t="inlineStr">
        <is>
          <t>GÄVLEBORGS LÄN</t>
        </is>
      </c>
      <c r="G752" t="inlineStr">
        <is>
          <t>OCKELBO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24624-2026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46171</v>
      </c>
      <c r="E753" s="1" t="n">
        <v>46217</v>
      </c>
      <c r="F753" t="inlineStr">
        <is>
          <t>GÄVLEBORGS LÄN</t>
        </is>
      </c>
      <c r="G753" t="inlineStr">
        <is>
          <t>OCKELBO</t>
        </is>
      </c>
      <c r="I753" t="n">
        <v>3.6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19277-2026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46133</v>
      </c>
      <c r="E754" s="1" t="n">
        <v>46217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24598-2026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46170</v>
      </c>
      <c r="E755" s="1" t="n">
        <v>46217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19424-2026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46133</v>
      </c>
      <c r="E756" s="1" t="n">
        <v>46217</v>
      </c>
      <c r="F756" t="inlineStr">
        <is>
          <t>GÄVLEBORGS LÄN</t>
        </is>
      </c>
      <c r="G756" t="inlineStr">
        <is>
          <t>OCKELBO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33617-2023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45132</v>
      </c>
      <c r="E757" s="1" t="n">
        <v>46217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34444-2023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45139</v>
      </c>
      <c r="E758" s="1" t="n">
        <v>46217</v>
      </c>
      <c r="F758" t="inlineStr">
        <is>
          <t>GÄVLEBORGS LÄN</t>
        </is>
      </c>
      <c r="G758" t="inlineStr">
        <is>
          <t>OCKELBO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3626-2023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44950</v>
      </c>
      <c r="E759" s="1" t="n">
        <v>46217</v>
      </c>
      <c r="F759" t="inlineStr">
        <is>
          <t>GÄVLEBORGS LÄN</t>
        </is>
      </c>
      <c r="G759" t="inlineStr">
        <is>
          <t>OCKELBO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50197-2024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45600</v>
      </c>
      <c r="E760" s="1" t="n">
        <v>46217</v>
      </c>
      <c r="F760" t="inlineStr">
        <is>
          <t>GÄVLEBORGS LÄN</t>
        </is>
      </c>
      <c r="G760" t="inlineStr">
        <is>
          <t>OCKELBO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52330-2024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45609</v>
      </c>
      <c r="E761" s="1" t="n">
        <v>46217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5.6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60148-2023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45258</v>
      </c>
      <c r="E762" s="1" t="n">
        <v>46217</v>
      </c>
      <c r="F762" t="inlineStr">
        <is>
          <t>GÄVLEBORGS LÄN</t>
        </is>
      </c>
      <c r="G762" t="inlineStr">
        <is>
          <t>OCKELBO</t>
        </is>
      </c>
      <c r="I762" t="n">
        <v>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38292-2021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44406</v>
      </c>
      <c r="E763" s="1" t="n">
        <v>46217</v>
      </c>
      <c r="F763" t="inlineStr">
        <is>
          <t>GÄVLEBORGS LÄN</t>
        </is>
      </c>
      <c r="G763" t="inlineStr">
        <is>
          <t>OCKELBO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61116-2023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45261</v>
      </c>
      <c r="E764" s="1" t="n">
        <v>46217</v>
      </c>
      <c r="F764" t="inlineStr">
        <is>
          <t>GÄVLEBORGS LÄN</t>
        </is>
      </c>
      <c r="G764" t="inlineStr">
        <is>
          <t>OCKELBO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44281-2022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44839</v>
      </c>
      <c r="E765" s="1" t="n">
        <v>46217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15325-2025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45747</v>
      </c>
      <c r="E766" s="1" t="n">
        <v>46217</v>
      </c>
      <c r="F766" t="inlineStr">
        <is>
          <t>GÄVLEBORGS LÄN</t>
        </is>
      </c>
      <c r="G766" t="inlineStr">
        <is>
          <t>OCKELBO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29687-2023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45107</v>
      </c>
      <c r="E767" s="1" t="n">
        <v>46217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37442-2023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45156</v>
      </c>
      <c r="E768" s="1" t="n">
        <v>46217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4.2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3620-2023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44950</v>
      </c>
      <c r="E769" s="1" t="n">
        <v>46217</v>
      </c>
      <c r="F769" t="inlineStr">
        <is>
          <t>GÄVLEBORGS LÄN</t>
        </is>
      </c>
      <c r="G769" t="inlineStr">
        <is>
          <t>OCKELBO</t>
        </is>
      </c>
      <c r="I769" t="n">
        <v>3.8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53702-2024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45615</v>
      </c>
      <c r="E770" s="1" t="n">
        <v>46217</v>
      </c>
      <c r="F770" t="inlineStr">
        <is>
          <t>GÄVLEBORGS LÄN</t>
        </is>
      </c>
      <c r="G770" t="inlineStr">
        <is>
          <t>OCKELBO</t>
        </is>
      </c>
      <c r="I770" t="n">
        <v>5.8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33879-2023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45134</v>
      </c>
      <c r="E771" s="1" t="n">
        <v>46217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33987-2023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45134</v>
      </c>
      <c r="E772" s="1" t="n">
        <v>46217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29963-2024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45488</v>
      </c>
      <c r="E773" s="1" t="n">
        <v>46217</v>
      </c>
      <c r="F773" t="inlineStr">
        <is>
          <t>GÄVLEBORGS LÄN</t>
        </is>
      </c>
      <c r="G773" t="inlineStr">
        <is>
          <t>OCKELBO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52241-2024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45608</v>
      </c>
      <c r="E774" s="1" t="n">
        <v>46217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7.7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52243-2024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45608</v>
      </c>
      <c r="E775" s="1" t="n">
        <v>46217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34440-2023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45139</v>
      </c>
      <c r="E776" s="1" t="n">
        <v>46217</v>
      </c>
      <c r="F776" t="inlineStr">
        <is>
          <t>GÄVLEBORGS LÄN</t>
        </is>
      </c>
      <c r="G776" t="inlineStr">
        <is>
          <t>OCKELBO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29968-2024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45488</v>
      </c>
      <c r="E777" s="1" t="n">
        <v>46217</v>
      </c>
      <c r="F777" t="inlineStr">
        <is>
          <t>GÄVLEBORGS LÄN</t>
        </is>
      </c>
      <c r="G777" t="inlineStr">
        <is>
          <t>OCKELBO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51989-2023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45223</v>
      </c>
      <c r="E778" s="1" t="n">
        <v>46217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21900-2023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45068</v>
      </c>
      <c r="E779" s="1" t="n">
        <v>46217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3034-2025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45678</v>
      </c>
      <c r="E780" s="1" t="n">
        <v>46217</v>
      </c>
      <c r="F780" t="inlineStr">
        <is>
          <t>GÄVLEBORGS LÄN</t>
        </is>
      </c>
      <c r="G780" t="inlineStr">
        <is>
          <t>OCKELBO</t>
        </is>
      </c>
      <c r="I780" t="n">
        <v>8.1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56741-2024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45628</v>
      </c>
      <c r="E781" s="1" t="n">
        <v>46217</v>
      </c>
      <c r="F781" t="inlineStr">
        <is>
          <t>GÄVLEBORGS LÄN</t>
        </is>
      </c>
      <c r="G781" t="inlineStr">
        <is>
          <t>OCKELBO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49448-2023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45211</v>
      </c>
      <c r="E782" s="1" t="n">
        <v>46217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19772-2025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45771</v>
      </c>
      <c r="E783" s="1" t="n">
        <v>46217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19774-2025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45771</v>
      </c>
      <c r="E784" s="1" t="n">
        <v>46217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5.3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46074-2024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45581</v>
      </c>
      <c r="E785" s="1" t="n">
        <v>46217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3.6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21878-2023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45068</v>
      </c>
      <c r="E786" s="1" t="n">
        <v>46217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39430-2024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45551</v>
      </c>
      <c r="E787" s="1" t="n">
        <v>46217</v>
      </c>
      <c r="F787" t="inlineStr">
        <is>
          <t>GÄVLEBORGS LÄN</t>
        </is>
      </c>
      <c r="G787" t="inlineStr">
        <is>
          <t>OCKELBO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55070-2023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45237</v>
      </c>
      <c r="E788" s="1" t="n">
        <v>46217</v>
      </c>
      <c r="F788" t="inlineStr">
        <is>
          <t>GÄVLEBORGS LÄN</t>
        </is>
      </c>
      <c r="G788" t="inlineStr">
        <is>
          <t>OCKELBO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40218-2023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45169</v>
      </c>
      <c r="E789" s="1" t="n">
        <v>46217</v>
      </c>
      <c r="F789" t="inlineStr">
        <is>
          <t>GÄVLEBORGS LÄN</t>
        </is>
      </c>
      <c r="G789" t="inlineStr">
        <is>
          <t>OCKELBO</t>
        </is>
      </c>
      <c r="I789" t="n">
        <v>13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19178-2023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45048</v>
      </c>
      <c r="E790" s="1" t="n">
        <v>46217</v>
      </c>
      <c r="F790" t="inlineStr">
        <is>
          <t>GÄVLEBORGS LÄN</t>
        </is>
      </c>
      <c r="G790" t="inlineStr">
        <is>
          <t>OCKELBO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37386-2023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45156</v>
      </c>
      <c r="E791" s="1" t="n">
        <v>46217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3.1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2556-2025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45674</v>
      </c>
      <c r="E792" s="1" t="n">
        <v>46217</v>
      </c>
      <c r="F792" t="inlineStr">
        <is>
          <t>GÄVLEBORGS LÄN</t>
        </is>
      </c>
      <c r="G792" t="inlineStr">
        <is>
          <t>OCKELBO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59063-2023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45252</v>
      </c>
      <c r="E793" s="1" t="n">
        <v>46217</v>
      </c>
      <c r="F793" t="inlineStr">
        <is>
          <t>GÄVLEBORGS LÄN</t>
        </is>
      </c>
      <c r="G793" t="inlineStr">
        <is>
          <t>OCKELBO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10150-2023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44986</v>
      </c>
      <c r="E794" s="1" t="n">
        <v>46217</v>
      </c>
      <c r="F794" t="inlineStr">
        <is>
          <t>GÄVLEBORGS LÄN</t>
        </is>
      </c>
      <c r="G794" t="inlineStr">
        <is>
          <t>OCKELBO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37845-2024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45544</v>
      </c>
      <c r="E795" s="1" t="n">
        <v>46217</v>
      </c>
      <c r="F795" t="inlineStr">
        <is>
          <t>GÄVLEBORGS LÄN</t>
        </is>
      </c>
      <c r="G795" t="inlineStr">
        <is>
          <t>OCKELBO</t>
        </is>
      </c>
      <c r="I795" t="n">
        <v>5.1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20775-2025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45776</v>
      </c>
      <c r="E796" s="1" t="n">
        <v>46217</v>
      </c>
      <c r="F796" t="inlineStr">
        <is>
          <t>GÄVLEBORGS LÄN</t>
        </is>
      </c>
      <c r="G796" t="inlineStr">
        <is>
          <t>OCKELBO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52273-2024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45608</v>
      </c>
      <c r="E797" s="1" t="n">
        <v>46217</v>
      </c>
      <c r="F797" t="inlineStr">
        <is>
          <t>GÄVLEBORGS LÄN</t>
        </is>
      </c>
      <c r="G797" t="inlineStr">
        <is>
          <t>OCKELBO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54323-2024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45617</v>
      </c>
      <c r="E798" s="1" t="n">
        <v>46217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60253-2023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45258</v>
      </c>
      <c r="E799" s="1" t="n">
        <v>46217</v>
      </c>
      <c r="F799" t="inlineStr">
        <is>
          <t>GÄVLEBORGS LÄN</t>
        </is>
      </c>
      <c r="G799" t="inlineStr">
        <is>
          <t>OCKELBO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37848-2024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45544</v>
      </c>
      <c r="E800" s="1" t="n">
        <v>46217</v>
      </c>
      <c r="F800" t="inlineStr">
        <is>
          <t>GÄVLEBORGS LÄN</t>
        </is>
      </c>
      <c r="G800" t="inlineStr">
        <is>
          <t>OCKELBO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22387-2025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45786</v>
      </c>
      <c r="E801" s="1" t="n">
        <v>46217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23780-2024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45455</v>
      </c>
      <c r="E802" s="1" t="n">
        <v>46217</v>
      </c>
      <c r="F802" t="inlineStr">
        <is>
          <t>GÄVLEBORGS LÄN</t>
        </is>
      </c>
      <c r="G802" t="inlineStr">
        <is>
          <t>OCKELBO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22385-2025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45786</v>
      </c>
      <c r="E803" s="1" t="n">
        <v>46217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28584-2024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45478</v>
      </c>
      <c r="E804" s="1" t="n">
        <v>46217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28181-2022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44746</v>
      </c>
      <c r="E805" s="1" t="n">
        <v>46217</v>
      </c>
      <c r="F805" t="inlineStr">
        <is>
          <t>GÄVLEBORGS LÄN</t>
        </is>
      </c>
      <c r="G805" t="inlineStr">
        <is>
          <t>OCKELBO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23004-2025</t>
        </is>
      </c>
      <c r="B806" t="inlineStr">
        <is>
          <t>avverkningsanmälan</t>
        </is>
      </c>
      <c r="C806" t="inlineStr">
        <is>
          <t>Avverkning för att bevara och utveckla /försöksver</t>
        </is>
      </c>
      <c r="D806" s="1" t="n">
        <v>45790</v>
      </c>
      <c r="E806" s="1" t="n">
        <v>46217</v>
      </c>
      <c r="F806" t="inlineStr">
        <is>
          <t>GÄVLEBORGS LÄN</t>
        </is>
      </c>
      <c r="G806" t="inlineStr">
        <is>
          <t>OCKELBO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48803-2024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45593</v>
      </c>
      <c r="E807" s="1" t="n">
        <v>46217</v>
      </c>
      <c r="F807" t="inlineStr">
        <is>
          <t>GÄVLEBORGS LÄN</t>
        </is>
      </c>
      <c r="G807" t="inlineStr">
        <is>
          <t>OCKELBO</t>
        </is>
      </c>
      <c r="I807" t="n">
        <v>9.4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20689-2025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45776</v>
      </c>
      <c r="E808" s="1" t="n">
        <v>46217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16.2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64924-2023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45282</v>
      </c>
      <c r="E809" s="1" t="n">
        <v>46217</v>
      </c>
      <c r="F809" t="inlineStr">
        <is>
          <t>GÄVLEBORGS LÄN</t>
        </is>
      </c>
      <c r="G809" t="inlineStr">
        <is>
          <t>OCKELBO</t>
        </is>
      </c>
      <c r="I809" t="n">
        <v>6.8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20207-2024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45434</v>
      </c>
      <c r="E810" s="1" t="n">
        <v>46217</v>
      </c>
      <c r="F810" t="inlineStr">
        <is>
          <t>GÄVLEBORGS LÄN</t>
        </is>
      </c>
      <c r="G810" t="inlineStr">
        <is>
          <t>OCKELBO</t>
        </is>
      </c>
      <c r="I810" t="n">
        <v>7.6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55011-2024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45621</v>
      </c>
      <c r="E811" s="1" t="n">
        <v>46217</v>
      </c>
      <c r="F811" t="inlineStr">
        <is>
          <t>GÄVLEBORGS LÄN</t>
        </is>
      </c>
      <c r="G811" t="inlineStr">
        <is>
          <t>OCKELBO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15403-2022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44659</v>
      </c>
      <c r="E812" s="1" t="n">
        <v>46217</v>
      </c>
      <c r="F812" t="inlineStr">
        <is>
          <t>GÄVLEBORGS LÄN</t>
        </is>
      </c>
      <c r="G812" t="inlineStr">
        <is>
          <t>OCKELBO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26085-2024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45468</v>
      </c>
      <c r="E813" s="1" t="n">
        <v>46217</v>
      </c>
      <c r="F813" t="inlineStr">
        <is>
          <t>GÄVLEBORGS LÄN</t>
        </is>
      </c>
      <c r="G813" t="inlineStr">
        <is>
          <t>OCKELBO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16752-2025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45754</v>
      </c>
      <c r="E814" s="1" t="n">
        <v>46217</v>
      </c>
      <c r="F814" t="inlineStr">
        <is>
          <t>GÄVLEBORGS LÄN</t>
        </is>
      </c>
      <c r="G814" t="inlineStr">
        <is>
          <t>OCKELBO</t>
        </is>
      </c>
      <c r="I814" t="n">
        <v>4.5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15502-2025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45747</v>
      </c>
      <c r="E815" s="1" t="n">
        <v>46217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5.7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49470-2024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45596</v>
      </c>
      <c r="E816" s="1" t="n">
        <v>46217</v>
      </c>
      <c r="F816" t="inlineStr">
        <is>
          <t>GÄVLEBORGS LÄN</t>
        </is>
      </c>
      <c r="G816" t="inlineStr">
        <is>
          <t>OCKELBO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25246-2025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45800</v>
      </c>
      <c r="E817" s="1" t="n">
        <v>46217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25250-2025</t>
        </is>
      </c>
      <c r="B818" t="inlineStr">
        <is>
          <t>avverkningsanmälan</t>
        </is>
      </c>
      <c r="C818" t="inlineStr">
        <is>
          <t>Avverkning för att bevara och utveckla /försöksver</t>
        </is>
      </c>
      <c r="D818" s="1" t="n">
        <v>45800</v>
      </c>
      <c r="E818" s="1" t="n">
        <v>46217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25248-2025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45800</v>
      </c>
      <c r="E819" s="1" t="n">
        <v>46217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25191-2025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45800</v>
      </c>
      <c r="E820" s="1" t="n">
        <v>46217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5.1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25233-2025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45800</v>
      </c>
      <c r="E821" s="1" t="n">
        <v>46217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6.1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25234-2025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45800</v>
      </c>
      <c r="E822" s="1" t="n">
        <v>46217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25640-2025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45803</v>
      </c>
      <c r="E823" s="1" t="n">
        <v>46217</v>
      </c>
      <c r="F823" t="inlineStr">
        <is>
          <t>GÄVLEBORGS LÄN</t>
        </is>
      </c>
      <c r="G823" t="inlineStr">
        <is>
          <t>OCKELBO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26195-2025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45805</v>
      </c>
      <c r="E824" s="1" t="n">
        <v>46217</v>
      </c>
      <c r="F824" t="inlineStr">
        <is>
          <t>GÄVLEBORGS LÄN</t>
        </is>
      </c>
      <c r="G824" t="inlineStr">
        <is>
          <t>OCKELBO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27990-2025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45817</v>
      </c>
      <c r="E825" s="1" t="n">
        <v>46217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7.8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28006-2025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45817</v>
      </c>
      <c r="E826" s="1" t="n">
        <v>46217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8.1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28080-2025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45817</v>
      </c>
      <c r="E827" s="1" t="n">
        <v>46217</v>
      </c>
      <c r="F827" t="inlineStr">
        <is>
          <t>GÄVLEBORGS LÄN</t>
        </is>
      </c>
      <c r="G827" t="inlineStr">
        <is>
          <t>OCKELBO</t>
        </is>
      </c>
      <c r="I827" t="n">
        <v>4.9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28576-2025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45819</v>
      </c>
      <c r="E828" s="1" t="n">
        <v>46217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28669-2025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45819</v>
      </c>
      <c r="E829" s="1" t="n">
        <v>46217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29274-2025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45824</v>
      </c>
      <c r="E830" s="1" t="n">
        <v>46217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väst AB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29158-2025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45821</v>
      </c>
      <c r="E831" s="1" t="n">
        <v>46217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väst AB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30331-2025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45827</v>
      </c>
      <c r="E832" s="1" t="n">
        <v>46217</v>
      </c>
      <c r="F832" t="inlineStr">
        <is>
          <t>GÄVLEBORGS LÄN</t>
        </is>
      </c>
      <c r="G832" t="inlineStr">
        <is>
          <t>OCKELBO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30229-2025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45827</v>
      </c>
      <c r="E833" s="1" t="n">
        <v>46217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väst AB</t>
        </is>
      </c>
      <c r="I833" t="n">
        <v>5.3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30152-2025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45827</v>
      </c>
      <c r="E834" s="1" t="n">
        <v>46217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väst AB</t>
        </is>
      </c>
      <c r="I834" t="n">
        <v>6.5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30179-2025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45827</v>
      </c>
      <c r="E835" s="1" t="n">
        <v>46217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32449-2025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45838</v>
      </c>
      <c r="E836" s="1" t="n">
        <v>46217</v>
      </c>
      <c r="F836" t="inlineStr">
        <is>
          <t>GÄVLEBORGS LÄN</t>
        </is>
      </c>
      <c r="G836" t="inlineStr">
        <is>
          <t>OCKELBO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33228-2025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45840</v>
      </c>
      <c r="E837" s="1" t="n">
        <v>46217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3.9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33231-2025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45840</v>
      </c>
      <c r="E838" s="1" t="n">
        <v>46217</v>
      </c>
      <c r="F838" t="inlineStr">
        <is>
          <t>GÄVLEBORGS LÄN</t>
        </is>
      </c>
      <c r="G838" t="inlineStr">
        <is>
          <t>OCKELBO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33384-2025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45841</v>
      </c>
      <c r="E839" s="1" t="n">
        <v>46217</v>
      </c>
      <c r="F839" t="inlineStr">
        <is>
          <t>GÄVLEBORGS LÄN</t>
        </is>
      </c>
      <c r="G839" t="inlineStr">
        <is>
          <t>OCKELBO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30011-2023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45109</v>
      </c>
      <c r="E840" s="1" t="n">
        <v>46217</v>
      </c>
      <c r="F840" t="inlineStr">
        <is>
          <t>GÄVLEBORGS LÄN</t>
        </is>
      </c>
      <c r="G840" t="inlineStr">
        <is>
          <t>OCKELBO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10149-2025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45719</v>
      </c>
      <c r="E841" s="1" t="n">
        <v>46217</v>
      </c>
      <c r="F841" t="inlineStr">
        <is>
          <t>GÄVLEBORGS LÄN</t>
        </is>
      </c>
      <c r="G841" t="inlineStr">
        <is>
          <t>OCKELBO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23006-2023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45073</v>
      </c>
      <c r="E842" s="1" t="n">
        <v>46217</v>
      </c>
      <c r="F842" t="inlineStr">
        <is>
          <t>GÄVLEBORGS LÄN</t>
        </is>
      </c>
      <c r="G842" t="inlineStr">
        <is>
          <t>OCKELBO</t>
        </is>
      </c>
      <c r="I842" t="n">
        <v>3.7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35017-2025</t>
        </is>
      </c>
      <c r="B843" t="inlineStr">
        <is>
          <t>avverkningsanmälan</t>
        </is>
      </c>
      <c r="C843" t="inlineStr">
        <is>
          <t>Avverkning för att bevara och utveckla /försöksver</t>
        </is>
      </c>
      <c r="D843" s="1" t="n">
        <v>45851</v>
      </c>
      <c r="E843" s="1" t="n">
        <v>46217</v>
      </c>
      <c r="F843" t="inlineStr">
        <is>
          <t>GÄVLEBORGS LÄN</t>
        </is>
      </c>
      <c r="G843" t="inlineStr">
        <is>
          <t>OCKELBO</t>
        </is>
      </c>
      <c r="H843" t="inlineStr">
        <is>
          <t>Bergvik skog väst AB</t>
        </is>
      </c>
      <c r="I843" t="n">
        <v>27.8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35614-2025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45859</v>
      </c>
      <c r="E844" s="1" t="n">
        <v>46217</v>
      </c>
      <c r="F844" t="inlineStr">
        <is>
          <t>GÄVLEBORGS LÄN</t>
        </is>
      </c>
      <c r="G844" t="inlineStr">
        <is>
          <t>OCKELBO</t>
        </is>
      </c>
      <c r="H844" t="inlineStr">
        <is>
          <t>Bergvik skog väst AB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S 282-2024</t>
        </is>
      </c>
      <c r="B845" t="inlineStr">
        <is>
          <t>samrådsanmälan</t>
        </is>
      </c>
      <c r="C845" t="inlineStr">
        <is>
          <t>Skogsgödsling</t>
        </is>
      </c>
      <c r="D845" s="1" t="n">
        <v>45323</v>
      </c>
      <c r="E845" s="1" t="n">
        <v>46217</v>
      </c>
      <c r="F845" t="inlineStr">
        <is>
          <t>GÄVLEBORGS LÄN</t>
        </is>
      </c>
      <c r="G845" t="inlineStr">
        <is>
          <t>OCKELBO</t>
        </is>
      </c>
      <c r="H845" t="inlineStr">
        <is>
          <t>Bergvik skog väst AB</t>
        </is>
      </c>
      <c r="I845" t="n">
        <v>14.5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S 5063-2024</t>
        </is>
      </c>
      <c r="B846" t="inlineStr">
        <is>
          <t>samrådsanmälan</t>
        </is>
      </c>
      <c r="C846" t="inlineStr">
        <is>
          <t>Skogsgödsling</t>
        </is>
      </c>
      <c r="D846" s="1" t="n">
        <v>45638</v>
      </c>
      <c r="E846" s="1" t="n">
        <v>46217</v>
      </c>
      <c r="F846" t="inlineStr">
        <is>
          <t>GÄVLEBORGS LÄN</t>
        </is>
      </c>
      <c r="G846" t="inlineStr">
        <is>
          <t>OCKELBO</t>
        </is>
      </c>
      <c r="H846" t="inlineStr">
        <is>
          <t>Bergvik skog väst AB</t>
        </is>
      </c>
      <c r="I846" t="n">
        <v>154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S 195-2024</t>
        </is>
      </c>
      <c r="B847" t="inlineStr">
        <is>
          <t>samrådsanmälan</t>
        </is>
      </c>
      <c r="C847" t="inlineStr">
        <is>
          <t>Skogsgödsling</t>
        </is>
      </c>
      <c r="D847" s="1" t="n">
        <v>45315</v>
      </c>
      <c r="E847" s="1" t="n">
        <v>46217</v>
      </c>
      <c r="F847" t="inlineStr">
        <is>
          <t>GÄVLEBORGS LÄN</t>
        </is>
      </c>
      <c r="G847" t="inlineStr">
        <is>
          <t>OCKELBO</t>
        </is>
      </c>
      <c r="H847" t="inlineStr">
        <is>
          <t>Bergvik skog öst AB</t>
        </is>
      </c>
      <c r="I847" t="n">
        <v>46.4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S 411-2025</t>
        </is>
      </c>
      <c r="B848" t="inlineStr">
        <is>
          <t>samrådsanmälan</t>
        </is>
      </c>
      <c r="C848" t="inlineStr">
        <is>
          <t>Skogsgödsling</t>
        </is>
      </c>
      <c r="D848" s="1" t="n">
        <v>45699</v>
      </c>
      <c r="E848" s="1" t="n">
        <v>46217</v>
      </c>
      <c r="F848" t="inlineStr">
        <is>
          <t>GÄVLEBORGS LÄN</t>
        </is>
      </c>
      <c r="G848" t="inlineStr">
        <is>
          <t>OCKELBO</t>
        </is>
      </c>
      <c r="H848" t="inlineStr">
        <is>
          <t>Bergvik skog öst AB</t>
        </is>
      </c>
      <c r="I848" t="n">
        <v>24.3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4360-2021</t>
        </is>
      </c>
      <c r="B849" t="inlineStr">
        <is>
          <t>samrådsanmälan</t>
        </is>
      </c>
      <c r="C849" t="inlineStr">
        <is>
          <t>Åtgärd i nyckelbiotop</t>
        </is>
      </c>
      <c r="D849" s="1" t="n">
        <v>44396</v>
      </c>
      <c r="E849" s="1" t="n">
        <v>46217</v>
      </c>
      <c r="F849" t="inlineStr">
        <is>
          <t>GÄVLEBORGS LÄN</t>
        </is>
      </c>
      <c r="G849" t="inlineStr">
        <is>
          <t>OCKELBO</t>
        </is>
      </c>
      <c r="H849" t="inlineStr">
        <is>
          <t>Bergvik skog väst AB</t>
        </is>
      </c>
      <c r="I849" t="n">
        <v>22.7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7041-2022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44904</v>
      </c>
      <c r="E850" s="1" t="n">
        <v>46217</v>
      </c>
      <c r="F850" t="inlineStr">
        <is>
          <t>GÄVLEBORGS LÄN</t>
        </is>
      </c>
      <c r="G850" t="inlineStr">
        <is>
          <t>OCKELBO</t>
        </is>
      </c>
      <c r="H850" t="inlineStr">
        <is>
          <t>Bergvik skog väst AB</t>
        </is>
      </c>
      <c r="I850" t="n">
        <v>22.8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297-2026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46058</v>
      </c>
      <c r="E851" s="1" t="n">
        <v>46217</v>
      </c>
      <c r="F851" t="inlineStr">
        <is>
          <t>GÄVLEBORGS LÄN</t>
        </is>
      </c>
      <c r="G851" t="inlineStr">
        <is>
          <t>OCKELBO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657-2026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46089</v>
      </c>
      <c r="E852" s="1" t="n">
        <v>46217</v>
      </c>
      <c r="F852" t="inlineStr">
        <is>
          <t>GÄVLEBORGS LÄN</t>
        </is>
      </c>
      <c r="G852" t="inlineStr">
        <is>
          <t>OCKELBO</t>
        </is>
      </c>
      <c r="H852" t="inlineStr">
        <is>
          <t>Bergvik skog öst AB</t>
        </is>
      </c>
      <c r="I852" t="n">
        <v>131.3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190-2026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46048</v>
      </c>
      <c r="E853" s="1" t="n">
        <v>46217</v>
      </c>
      <c r="F853" t="inlineStr">
        <is>
          <t>GÄVLEBORGS LÄN</t>
        </is>
      </c>
      <c r="G853" t="inlineStr">
        <is>
          <t>OCKELBO</t>
        </is>
      </c>
      <c r="I853" t="n">
        <v>4.7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1344-2026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46148</v>
      </c>
      <c r="E854" s="1" t="n">
        <v>46217</v>
      </c>
      <c r="F854" t="inlineStr">
        <is>
          <t>GÄVLEBORGS LÄN</t>
        </is>
      </c>
      <c r="G854" t="inlineStr">
        <is>
          <t>OCKELBO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>
      <c r="A855" t="inlineStr">
        <is>
          <t>S 1345-2026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46148</v>
      </c>
      <c r="E855" s="1" t="n">
        <v>46217</v>
      </c>
      <c r="F855" t="inlineStr">
        <is>
          <t>GÄVLEBORGS LÄN</t>
        </is>
      </c>
      <c r="G855" t="inlineStr">
        <is>
          <t>OCKELBO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2026-07-14T08:58:08Z</dcterms:created>
  <dcterms:modified xmlns:dcterms="http://purl.org/dc/terms/" xmlns:xsi="http://www.w3.org/2001/XMLSchema-instance" xsi:type="dcterms:W3CDTF">2026-07-14T08:58:09Z</dcterms:modified>
</cp:coreProperties>
</file>