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8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Antal fynd</t>
        </is>
      </c>
      <c r="U1" t="inlineStr">
        <is>
          <t>Artnamn</t>
        </is>
      </c>
      <c r="V1" t="inlineStr">
        <is>
          <t>Artfyndslänk</t>
        </is>
      </c>
      <c r="W1" t="inlineStr">
        <is>
          <t>Kartlänk</t>
        </is>
      </c>
      <c r="X1" t="inlineStr">
        <is>
          <t>Knärotsbuffertlänk</t>
        </is>
      </c>
      <c r="Y1" t="inlineStr">
        <is>
          <t>Klagomålslänk</t>
        </is>
      </c>
      <c r="Z1" t="inlineStr">
        <is>
          <t>Klagomålsmaillänk</t>
        </is>
      </c>
      <c r="AA1" t="inlineStr">
        <is>
          <t>Tillsynsbegäranslänk</t>
        </is>
      </c>
      <c r="AB1" t="inlineStr">
        <is>
          <t>Tillsynsbegäransmaillänk</t>
        </is>
      </c>
      <c r="AC1" t="inlineStr">
        <is>
          <t>Fågeltillsynsbegäranslänk</t>
        </is>
      </c>
    </row>
    <row r="2" ht="15" customHeight="1">
      <c r="A2" t="inlineStr">
        <is>
          <t>S 1081-2022</t>
        </is>
      </c>
      <c r="B2" t="inlineStr">
        <is>
          <t>samrådsanmälan</t>
        </is>
      </c>
      <c r="C2" t="inlineStr">
        <is>
          <t>Skogsgödsling</t>
        </is>
      </c>
      <c r="D2" s="1" t="n">
        <v>44614</v>
      </c>
      <c r="E2" s="1" t="n">
        <v>46218</v>
      </c>
      <c r="F2" t="inlineStr">
        <is>
          <t>GÄVLEBORGS LÄN</t>
        </is>
      </c>
      <c r="G2" t="inlineStr">
        <is>
          <t>OCKELBO</t>
        </is>
      </c>
      <c r="H2" t="inlineStr">
        <is>
          <t>Bergvik skog väst AB</t>
        </is>
      </c>
      <c r="I2" t="n">
        <v>635.8</v>
      </c>
      <c r="J2" t="n">
        <v>10</v>
      </c>
      <c r="K2" t="n">
        <v>4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17</v>
      </c>
      <c r="T2" t="n">
        <v>50</v>
      </c>
      <c r="U2" s="2" t="inlineStr">
        <is>
          <t>Garnlav
Knärot
Blanksvart spiklav
Höstlåsbräken
Motaggsvamp
Månlåsbräken
Svartvit taggsvamp
Grönpyrola
Korallrot
Plattlummer
Spädstarr
Blåsippa
Järpe
Mattlummer
Spillkråka
Lopplummer (aggregat)
Revlummer</t>
        </is>
      </c>
      <c r="V2">
        <f>HYPERLINK("https://klasma.github.io/Logging_2101/artfynd/S 1081-2022 artfynd.xlsx", "S 1081-2022")</f>
        <v/>
      </c>
      <c r="W2">
        <f>HYPERLINK("https://klasma.github.io/Logging_2101/kartor/S 1081-2022 karta.png", "S 1081-2022")</f>
        <v/>
      </c>
      <c r="X2">
        <f>HYPERLINK("https://klasma.github.io/Logging_2101/knärot/S 1081-2022 karta knärot.png", "S 1081-2022")</f>
        <v/>
      </c>
      <c r="Y2">
        <f>HYPERLINK("https://klasma.github.io/Logging_2101/klagomål/S 1081-2022 FSC-klagomål.docx", "S 1081-2022")</f>
        <v/>
      </c>
      <c r="Z2">
        <f>HYPERLINK("https://klasma.github.io/Logging_2101/klagomålsmail/S 1081-2022 FSC-klagomål mail.docx", "S 1081-2022")</f>
        <v/>
      </c>
      <c r="AA2">
        <f>HYPERLINK("https://klasma.github.io/Logging_2101/tillsyn/S 1081-2022 tillsynsbegäran.docx", "S 1081-2022")</f>
        <v/>
      </c>
      <c r="AB2">
        <f>HYPERLINK("https://klasma.github.io/Logging_2101/tillsynsmail/S 1081-2022 tillsynsbegäran mail.docx", "S 1081-2022")</f>
        <v/>
      </c>
      <c r="AC2">
        <f>HYPERLINK("https://klasma.github.io/Logging_2101/fåglar/S 1081-2022 prioriterade fågelarter.docx", "S 1081-2022")</f>
        <v/>
      </c>
    </row>
    <row r="3" ht="15" customHeight="1">
      <c r="A3" t="inlineStr">
        <is>
          <t>A 10492-2026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46077</v>
      </c>
      <c r="E3" s="1" t="n">
        <v>46218</v>
      </c>
      <c r="F3" t="inlineStr">
        <is>
          <t>GÄVLEBORGS LÄN</t>
        </is>
      </c>
      <c r="G3" t="inlineStr">
        <is>
          <t>OCKELBO</t>
        </is>
      </c>
      <c r="I3" t="n">
        <v>10.2</v>
      </c>
      <c r="J3" t="n">
        <v>1</v>
      </c>
      <c r="K3" t="n">
        <v>3</v>
      </c>
      <c r="L3" t="n">
        <v>4</v>
      </c>
      <c r="M3" t="n">
        <v>2</v>
      </c>
      <c r="N3" t="n">
        <v>0</v>
      </c>
      <c r="O3" t="n">
        <v>0</v>
      </c>
      <c r="P3" t="n">
        <v>0</v>
      </c>
      <c r="Q3" t="n">
        <v>6</v>
      </c>
      <c r="R3" t="n">
        <v>2</v>
      </c>
      <c r="S3" t="n">
        <v>9</v>
      </c>
      <c r="T3" t="n">
        <v>30</v>
      </c>
      <c r="U3" s="2" t="inlineStr">
        <is>
          <t>Garnlav
Knärot
Dropptaggsvamp
Rosenticka
Tallticka
Ullticka
Grönpyrola
Kornig nållav
Vedticka</t>
        </is>
      </c>
      <c r="V3">
        <f>HYPERLINK("https://klasma.github.io/Logging_2101/artfynd/A 10492-2026 artfynd.xlsx", "A 10492-2026")</f>
        <v/>
      </c>
      <c r="W3">
        <f>HYPERLINK("https://klasma.github.io/Logging_2101/kartor/A 10492-2026 karta.png", "A 10492-2026")</f>
        <v/>
      </c>
      <c r="X3">
        <f>HYPERLINK("https://klasma.github.io/Logging_2101/knärot/A 10492-2026 karta knärot.png", "A 10492-2026")</f>
        <v/>
      </c>
      <c r="Y3">
        <f>HYPERLINK("https://klasma.github.io/Logging_2101/klagomål/A 10492-2026 FSC-klagomål.docx", "A 10492-2026")</f>
        <v/>
      </c>
      <c r="Z3">
        <f>HYPERLINK("https://klasma.github.io/Logging_2101/klagomålsmail/A 10492-2026 FSC-klagomål mail.docx", "A 10492-2026")</f>
        <v/>
      </c>
      <c r="AA3">
        <f>HYPERLINK("https://klasma.github.io/Logging_2101/tillsyn/A 10492-2026 tillsynsbegäran.docx", "A 10492-2026")</f>
        <v/>
      </c>
      <c r="AB3">
        <f>HYPERLINK("https://klasma.github.io/Logging_2101/tillsynsmail/A 10492-2026 tillsynsbegäran mail.docx", "A 10492-2026")</f>
        <v/>
      </c>
    </row>
    <row r="4" ht="15" customHeight="1">
      <c r="A4" t="inlineStr">
        <is>
          <t>A 9898-2026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46218</v>
      </c>
      <c r="F4" t="inlineStr">
        <is>
          <t>GÄVLEBORGS LÄN</t>
        </is>
      </c>
      <c r="G4" t="inlineStr">
        <is>
          <t>OCKELBO</t>
        </is>
      </c>
      <c r="H4" t="inlineStr">
        <is>
          <t>Bergvik skog väst AB</t>
        </is>
      </c>
      <c r="I4" t="n">
        <v>13.3</v>
      </c>
      <c r="J4" t="n">
        <v>1</v>
      </c>
      <c r="K4" t="n">
        <v>4</v>
      </c>
      <c r="L4" t="n">
        <v>3</v>
      </c>
      <c r="M4" t="n">
        <v>1</v>
      </c>
      <c r="N4" t="n">
        <v>0</v>
      </c>
      <c r="O4" t="n">
        <v>0</v>
      </c>
      <c r="P4" t="n">
        <v>0</v>
      </c>
      <c r="Q4" t="n">
        <v>4</v>
      </c>
      <c r="R4" t="n">
        <v>1</v>
      </c>
      <c r="S4" t="n">
        <v>8</v>
      </c>
      <c r="T4" t="n">
        <v>10</v>
      </c>
      <c r="U4" s="2" t="inlineStr">
        <is>
          <t>Knärot
Kattfotslav
Lunglav
Stiftgelélav
Bårdlav
Korallblylav
Skinnlav
Stuplav</t>
        </is>
      </c>
      <c r="V4">
        <f>HYPERLINK("https://klasma.github.io/Logging_2101/artfynd/A 9898-2026 artfynd.xlsx", "A 9898-2026")</f>
        <v/>
      </c>
      <c r="W4">
        <f>HYPERLINK("https://klasma.github.io/Logging_2101/kartor/A 9898-2026 karta.png", "A 9898-2026")</f>
        <v/>
      </c>
      <c r="X4">
        <f>HYPERLINK("https://klasma.github.io/Logging_2101/knärot/A 9898-2026 karta knärot.png", "A 9898-2026")</f>
        <v/>
      </c>
      <c r="Y4">
        <f>HYPERLINK("https://klasma.github.io/Logging_2101/klagomål/A 9898-2026 FSC-klagomål.docx", "A 9898-2026")</f>
        <v/>
      </c>
      <c r="Z4">
        <f>HYPERLINK("https://klasma.github.io/Logging_2101/klagomålsmail/A 9898-2026 FSC-klagomål mail.docx", "A 9898-2026")</f>
        <v/>
      </c>
      <c r="AA4">
        <f>HYPERLINK("https://klasma.github.io/Logging_2101/tillsyn/A 9898-2026 tillsynsbegäran.docx", "A 9898-2026")</f>
        <v/>
      </c>
      <c r="AB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45545</v>
      </c>
      <c r="E5" s="1" t="n">
        <v>46218</v>
      </c>
      <c r="F5" t="inlineStr">
        <is>
          <t>GÄVLEBORGS LÄN</t>
        </is>
      </c>
      <c r="G5" t="inlineStr">
        <is>
          <t>OCKELBO</t>
        </is>
      </c>
      <c r="H5" t="inlineStr">
        <is>
          <t>Bergvik skog väst AB</t>
        </is>
      </c>
      <c r="I5" t="n">
        <v>17.2</v>
      </c>
      <c r="J5" t="n">
        <v>1</v>
      </c>
      <c r="K5" t="n">
        <v>1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7</v>
      </c>
      <c r="T5" t="n">
        <v>9</v>
      </c>
      <c r="U5" s="2" t="inlineStr">
        <is>
          <t>Skrovlig taggsvamp
Blå taggsvamp
Dropptaggsvamp
Svartvit taggsvamp
Tallriska
Korallblylav
Revlummer</t>
        </is>
      </c>
      <c r="V5">
        <f>HYPERLINK("https://klasma.github.io/Logging_2101/artfynd/A 38086-2024 artfynd.xlsx", "A 38086-2024")</f>
        <v/>
      </c>
      <c r="W5">
        <f>HYPERLINK("https://klasma.github.io/Logging_2101/kartor/A 38086-2024 karta.png", "A 38086-2024")</f>
        <v/>
      </c>
      <c r="Y5">
        <f>HYPERLINK("https://klasma.github.io/Logging_2101/klagomål/A 38086-2024 FSC-klagomål.docx", "A 38086-2024")</f>
        <v/>
      </c>
      <c r="Z5">
        <f>HYPERLINK("https://klasma.github.io/Logging_2101/klagomålsmail/A 38086-2024 FSC-klagomål mail.docx", "A 38086-2024")</f>
        <v/>
      </c>
      <c r="AA5">
        <f>HYPERLINK("https://klasma.github.io/Logging_2101/tillsyn/A 38086-2024 tillsynsbegäran.docx", "A 38086-2024")</f>
        <v/>
      </c>
      <c r="AB5">
        <f>HYPERLINK("https://klasma.github.io/Logging_2101/tillsynsmail/A 38086-2024 tillsynsbegäran mail.docx", "A 38086-2024")</f>
        <v/>
      </c>
    </row>
    <row r="6" ht="15" customHeight="1">
      <c r="A6" t="inlineStr">
        <is>
          <t>A 29544-2023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45106</v>
      </c>
      <c r="E6" s="1" t="n">
        <v>46218</v>
      </c>
      <c r="F6" t="inlineStr">
        <is>
          <t>GÄVLEBORGS LÄN</t>
        </is>
      </c>
      <c r="G6" t="inlineStr">
        <is>
          <t>OCKELBO</t>
        </is>
      </c>
      <c r="H6" t="inlineStr">
        <is>
          <t>Bergvik skog väst AB</t>
        </is>
      </c>
      <c r="I6" t="n">
        <v>6.5</v>
      </c>
      <c r="J6" t="n">
        <v>5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7</v>
      </c>
      <c r="T6" t="n">
        <v>10</v>
      </c>
      <c r="U6" s="2" t="inlineStr">
        <is>
          <t>Vårärt
Skogsknipprot
Tibast
Blåsippa
Fläcknycklar
Lopplummer (aggregat)
Revlummer</t>
        </is>
      </c>
      <c r="V6">
        <f>HYPERLINK("https://klasma.github.io/Logging_2101/artfynd/A 29544-2023 artfynd.xlsx", "A 29544-2023")</f>
        <v/>
      </c>
      <c r="W6">
        <f>HYPERLINK("https://klasma.github.io/Logging_2101/kartor/A 29544-2023 karta.png", "A 29544-2023")</f>
        <v/>
      </c>
      <c r="Y6">
        <f>HYPERLINK("https://klasma.github.io/Logging_2101/klagomål/A 29544-2023 FSC-klagomål.docx", "A 29544-2023")</f>
        <v/>
      </c>
      <c r="Z6">
        <f>HYPERLINK("https://klasma.github.io/Logging_2101/klagomålsmail/A 29544-2023 FSC-klagomål mail.docx", "A 29544-2023")</f>
        <v/>
      </c>
      <c r="AA6">
        <f>HYPERLINK("https://klasma.github.io/Logging_2101/tillsyn/A 29544-2023 tillsynsbegäran.docx", "A 29544-2023")</f>
        <v/>
      </c>
      <c r="AB6">
        <f>HYPERLINK("https://klasma.github.io/Logging_2101/tillsynsmail/A 29544-2023 tillsynsbegäran mail.docx", "A 29544-2023")</f>
        <v/>
      </c>
    </row>
    <row r="7" ht="15" customHeight="1">
      <c r="A7" t="inlineStr">
        <is>
          <t>A 14258-2026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46099</v>
      </c>
      <c r="E7" s="1" t="n">
        <v>46218</v>
      </c>
      <c r="F7" t="inlineStr">
        <is>
          <t>GÄVLEBORGS LÄN</t>
        </is>
      </c>
      <c r="G7" t="inlineStr">
        <is>
          <t>OCKELBO</t>
        </is>
      </c>
      <c r="H7" t="inlineStr">
        <is>
          <t>Bergvik skog väst AB</t>
        </is>
      </c>
      <c r="I7" t="n">
        <v>40.5</v>
      </c>
      <c r="J7" t="n">
        <v>0</v>
      </c>
      <c r="K7" t="n">
        <v>3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14</v>
      </c>
      <c r="U7" s="2" t="inlineStr">
        <is>
          <t>Garnlav
Blanksvart spiklav
Dropptaggsvamp
Vedskivlav
Mindre märgborre
Nästlav
Vågbandad barkbock</t>
        </is>
      </c>
      <c r="V7">
        <f>HYPERLINK("https://klasma.github.io/Logging_2101/artfynd/A 14258-2026 artfynd.xlsx", "A 14258-2026")</f>
        <v/>
      </c>
      <c r="W7">
        <f>HYPERLINK("https://klasma.github.io/Logging_2101/kartor/A 14258-2026 karta.png", "A 14258-2026")</f>
        <v/>
      </c>
      <c r="X7">
        <f>HYPERLINK("https://klasma.github.io/Logging_2101/knärot/A 14258-2026 karta knärot.png", "A 14258-2026")</f>
        <v/>
      </c>
      <c r="Y7">
        <f>HYPERLINK("https://klasma.github.io/Logging_2101/klagomål/A 14258-2026 FSC-klagomål.docx", "A 14258-2026")</f>
        <v/>
      </c>
      <c r="Z7">
        <f>HYPERLINK("https://klasma.github.io/Logging_2101/klagomålsmail/A 14258-2026 FSC-klagomål mail.docx", "A 14258-2026")</f>
        <v/>
      </c>
      <c r="AA7">
        <f>HYPERLINK("https://klasma.github.io/Logging_2101/tillsyn/A 14258-2026 tillsynsbegäran.docx", "A 14258-2026")</f>
        <v/>
      </c>
      <c r="AB7">
        <f>HYPERLINK("https://klasma.github.io/Logging_2101/tillsynsmail/A 14258-2026 tillsynsbegäran mail.docx", "A 14258-2026")</f>
        <v/>
      </c>
    </row>
    <row r="8" ht="15" customHeight="1">
      <c r="A8" t="inlineStr">
        <is>
          <t>A 4009-2026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46044</v>
      </c>
      <c r="E8" s="1" t="n">
        <v>46218</v>
      </c>
      <c r="F8" t="inlineStr">
        <is>
          <t>GÄVLEBORGS LÄN</t>
        </is>
      </c>
      <c r="G8" t="inlineStr">
        <is>
          <t>OCKELBO</t>
        </is>
      </c>
      <c r="I8" t="n">
        <v>3</v>
      </c>
      <c r="J8" t="n">
        <v>6</v>
      </c>
      <c r="K8" t="n">
        <v>0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7</v>
      </c>
      <c r="T8" t="n">
        <v>7</v>
      </c>
      <c r="U8" s="2" t="inlineStr">
        <is>
          <t>Ladusvala
Orange taggsvamp
Talltita
Gröngöling
Svartvit flugsnappare
Trana
Fläcknycklar</t>
        </is>
      </c>
      <c r="V8">
        <f>HYPERLINK("https://klasma.github.io/Logging_2101/artfynd/A 4009-2026 artfynd.xlsx", "A 4009-2026")</f>
        <v/>
      </c>
      <c r="W8">
        <f>HYPERLINK("https://klasma.github.io/Logging_2101/kartor/A 4009-2026 karta.png", "A 4009-2026")</f>
        <v/>
      </c>
      <c r="Y8">
        <f>HYPERLINK("https://klasma.github.io/Logging_2101/klagomål/A 4009-2026 FSC-klagomål.docx", "A 4009-2026")</f>
        <v/>
      </c>
      <c r="Z8">
        <f>HYPERLINK("https://klasma.github.io/Logging_2101/klagomålsmail/A 4009-2026 FSC-klagomål mail.docx", "A 4009-2026")</f>
        <v/>
      </c>
      <c r="AA8">
        <f>HYPERLINK("https://klasma.github.io/Logging_2101/tillsyn/A 4009-2026 tillsynsbegäran.docx", "A 4009-2026")</f>
        <v/>
      </c>
      <c r="AB8">
        <f>HYPERLINK("https://klasma.github.io/Logging_2101/tillsynsmail/A 4009-2026 tillsynsbegäran mail.docx", "A 4009-2026")</f>
        <v/>
      </c>
      <c r="AC8">
        <f>HYPERLINK("https://klasma.github.io/Logging_2101/fåglar/A 4009-2026 prioriterade fågelarter.docx", "A 4009-2026")</f>
        <v/>
      </c>
    </row>
    <row r="9" ht="15" customHeight="1">
      <c r="A9" t="inlineStr">
        <is>
          <t>A 19165-2026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46132</v>
      </c>
      <c r="E9" s="1" t="n">
        <v>46218</v>
      </c>
      <c r="F9" t="inlineStr">
        <is>
          <t>GÄVLEBORGS LÄN</t>
        </is>
      </c>
      <c r="G9" t="inlineStr">
        <is>
          <t>OCKELBO</t>
        </is>
      </c>
      <c r="H9" t="inlineStr">
        <is>
          <t>Bergvik skog väst AB</t>
        </is>
      </c>
      <c r="I9" t="n">
        <v>7.1</v>
      </c>
      <c r="J9" t="n">
        <v>3</v>
      </c>
      <c r="K9" t="n">
        <v>2</v>
      </c>
      <c r="L9" t="n">
        <v>2</v>
      </c>
      <c r="M9" t="n">
        <v>1</v>
      </c>
      <c r="N9" t="n">
        <v>0</v>
      </c>
      <c r="O9" t="n">
        <v>0</v>
      </c>
      <c r="P9" t="n">
        <v>0</v>
      </c>
      <c r="Q9" t="n">
        <v>3</v>
      </c>
      <c r="R9" t="n">
        <v>1</v>
      </c>
      <c r="S9" t="n">
        <v>7</v>
      </c>
      <c r="T9" t="n">
        <v>9</v>
      </c>
      <c r="U9" s="2" t="inlineStr">
        <is>
          <t>Garnlav
Dropptaggsvamp
Motaggsvamp
Plattlummer
Skinnlav
Fläcknycklar
Revlummer</t>
        </is>
      </c>
      <c r="V9">
        <f>HYPERLINK("https://klasma.github.io/Logging_2101/artfynd/A 19165-2026 artfynd.xlsx", "A 19165-2026")</f>
        <v/>
      </c>
      <c r="W9">
        <f>HYPERLINK("https://klasma.github.io/Logging_2101/kartor/A 19165-2026 karta.png", "A 19165-2026")</f>
        <v/>
      </c>
      <c r="Y9">
        <f>HYPERLINK("https://klasma.github.io/Logging_2101/klagomål/A 19165-2026 FSC-klagomål.docx", "A 19165-2026")</f>
        <v/>
      </c>
      <c r="Z9">
        <f>HYPERLINK("https://klasma.github.io/Logging_2101/klagomålsmail/A 19165-2026 FSC-klagomål mail.docx", "A 19165-2026")</f>
        <v/>
      </c>
      <c r="AA9">
        <f>HYPERLINK("https://klasma.github.io/Logging_2101/tillsyn/A 19165-2026 tillsynsbegäran.docx", "A 19165-2026")</f>
        <v/>
      </c>
      <c r="AB9">
        <f>HYPERLINK("https://klasma.github.io/Logging_2101/tillsynsmail/A 19165-2026 tillsynsbegäran mail.docx", "A 19165-2026")</f>
        <v/>
      </c>
    </row>
    <row r="10" ht="15" customHeight="1">
      <c r="A10" t="inlineStr">
        <is>
          <t>S 1534-2023</t>
        </is>
      </c>
      <c r="B10" t="inlineStr">
        <is>
          <t>samrådsanmälan</t>
        </is>
      </c>
      <c r="C10" t="inlineStr">
        <is>
          <t>Skogsgödsling</t>
        </is>
      </c>
      <c r="D10" s="1" t="n">
        <v>45054</v>
      </c>
      <c r="E10" s="1" t="n">
        <v>46218</v>
      </c>
      <c r="F10" t="inlineStr">
        <is>
          <t>GÄVLEBORGS LÄN</t>
        </is>
      </c>
      <c r="G10" t="inlineStr">
        <is>
          <t>OCKELBO</t>
        </is>
      </c>
      <c r="H10" t="inlineStr">
        <is>
          <t>Bergvik skog väst AB</t>
        </is>
      </c>
      <c r="I10" t="n">
        <v>426.4</v>
      </c>
      <c r="J10" t="n">
        <v>5</v>
      </c>
      <c r="K10" t="n">
        <v>2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10</v>
      </c>
      <c r="U10" s="2" t="inlineStr">
        <is>
          <t>Motaggsvamp
Strandlummer
Talltita
Grönpyrola
Plattlummer
Gråspett
Grönsiska</t>
        </is>
      </c>
      <c r="V10">
        <f>HYPERLINK("https://klasma.github.io/Logging_2101/artfynd/S 1534-2023 artfynd.xlsx", "S 1534-2023")</f>
        <v/>
      </c>
      <c r="W10">
        <f>HYPERLINK("https://klasma.github.io/Logging_2101/kartor/S 1534-2023 karta.png", "S 1534-2023")</f>
        <v/>
      </c>
      <c r="Y10">
        <f>HYPERLINK("https://klasma.github.io/Logging_2101/klagomål/S 1534-2023 FSC-klagomål.docx", "S 1534-2023")</f>
        <v/>
      </c>
      <c r="Z10">
        <f>HYPERLINK("https://klasma.github.io/Logging_2101/klagomålsmail/S 1534-2023 FSC-klagomål mail.docx", "S 1534-2023")</f>
        <v/>
      </c>
      <c r="AA10">
        <f>HYPERLINK("https://klasma.github.io/Logging_2101/tillsyn/S 1534-2023 tillsynsbegäran.docx", "S 1534-2023")</f>
        <v/>
      </c>
      <c r="AB10">
        <f>HYPERLINK("https://klasma.github.io/Logging_2101/tillsynsmail/S 1534-2023 tillsynsbegäran mail.docx", "S 1534-2023")</f>
        <v/>
      </c>
      <c r="AC10">
        <f>HYPERLINK("https://klasma.github.io/Logging_2101/fåglar/S 1534-2023 prioriterade fågelarter.docx", "S 1534-2023")</f>
        <v/>
      </c>
    </row>
    <row r="11" ht="15" customHeight="1">
      <c r="A11" t="inlineStr">
        <is>
          <t>S 1051-2024</t>
        </is>
      </c>
      <c r="B11" t="inlineStr">
        <is>
          <t>samrådsanmälan</t>
        </is>
      </c>
      <c r="C11" t="inlineStr">
        <is>
          <t>Skogsgödsling</t>
        </is>
      </c>
      <c r="D11" s="1" t="n">
        <v>45387</v>
      </c>
      <c r="E11" s="1" t="n">
        <v>46218</v>
      </c>
      <c r="F11" t="inlineStr">
        <is>
          <t>GÄVLEBORGS LÄN</t>
        </is>
      </c>
      <c r="G11" t="inlineStr">
        <is>
          <t>OCKELBO</t>
        </is>
      </c>
      <c r="H11" t="inlineStr">
        <is>
          <t>Bergvik skog väst AB</t>
        </is>
      </c>
      <c r="I11" t="n">
        <v>339.3</v>
      </c>
      <c r="J11" t="n">
        <v>4</v>
      </c>
      <c r="K11" t="n">
        <v>0</v>
      </c>
      <c r="L11" t="n">
        <v>1</v>
      </c>
      <c r="M11" t="n">
        <v>2</v>
      </c>
      <c r="N11" t="n">
        <v>0</v>
      </c>
      <c r="O11" t="n">
        <v>0</v>
      </c>
      <c r="P11" t="n">
        <v>0</v>
      </c>
      <c r="Q11" t="n">
        <v>3</v>
      </c>
      <c r="R11" t="n">
        <v>2</v>
      </c>
      <c r="S11" t="n">
        <v>7</v>
      </c>
      <c r="T11" t="n">
        <v>11</v>
      </c>
      <c r="U11" s="2" t="inlineStr">
        <is>
          <t>Brunfläckig pärlemorfjäril
Garnlav
Motaggsvamp
Blåsippa
Tjäder
Fläcknycklar
Revlummer</t>
        </is>
      </c>
      <c r="V11">
        <f>HYPERLINK("https://klasma.github.io/Logging_2101/artfynd/S 1051-2024 artfynd.xlsx", "S 1051-2024")</f>
        <v/>
      </c>
      <c r="W11">
        <f>HYPERLINK("https://klasma.github.io/Logging_2101/kartor/S 1051-2024 karta.png", "S 1051-2024")</f>
        <v/>
      </c>
      <c r="Y11">
        <f>HYPERLINK("https://klasma.github.io/Logging_2101/klagomål/S 1051-2024 FSC-klagomål.docx", "S 1051-2024")</f>
        <v/>
      </c>
      <c r="Z11">
        <f>HYPERLINK("https://klasma.github.io/Logging_2101/klagomålsmail/S 1051-2024 FSC-klagomål mail.docx", "S 1051-2024")</f>
        <v/>
      </c>
      <c r="AA11">
        <f>HYPERLINK("https://klasma.github.io/Logging_2101/tillsyn/S 1051-2024 tillsynsbegäran.docx", "S 1051-2024")</f>
        <v/>
      </c>
      <c r="AB11">
        <f>HYPERLINK("https://klasma.github.io/Logging_2101/tillsynsmail/S 1051-2024 tillsynsbegäran mail.docx", "S 1051-2024")</f>
        <v/>
      </c>
      <c r="AC11">
        <f>HYPERLINK("https://klasma.github.io/Logging_2101/fåglar/S 1051-2024 prioriterade fågelarter.docx", "S 1051-2024")</f>
        <v/>
      </c>
    </row>
    <row r="12" ht="15" customHeight="1">
      <c r="A12" t="inlineStr">
        <is>
          <t>A 33367-2025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45841</v>
      </c>
      <c r="E12" s="1" t="n">
        <v>46218</v>
      </c>
      <c r="F12" t="inlineStr">
        <is>
          <t>GÄVLEBORGS LÄN</t>
        </is>
      </c>
      <c r="G12" t="inlineStr">
        <is>
          <t>OCKELBO</t>
        </is>
      </c>
      <c r="I12" t="n">
        <v>1.7</v>
      </c>
      <c r="J12" t="n">
        <v>3</v>
      </c>
      <c r="K12" t="n">
        <v>2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6</v>
      </c>
      <c r="T12" t="n">
        <v>6</v>
      </c>
      <c r="U12" s="2" t="inlineStr">
        <is>
          <t>Talltita
Vedskivlav
Bronshjon
Vågbandad barkbock
Spillkråka
Tjäder</t>
        </is>
      </c>
      <c r="V12">
        <f>HYPERLINK("https://klasma.github.io/Logging_2101/artfynd/A 33367-2025 artfynd.xlsx", "A 33367-2025")</f>
        <v/>
      </c>
      <c r="W12">
        <f>HYPERLINK("https://klasma.github.io/Logging_2101/kartor/A 33367-2025 karta.png", "A 33367-2025")</f>
        <v/>
      </c>
      <c r="Y12">
        <f>HYPERLINK("https://klasma.github.io/Logging_2101/klagomål/A 33367-2025 FSC-klagomål.docx", "A 33367-2025")</f>
        <v/>
      </c>
      <c r="Z12">
        <f>HYPERLINK("https://klasma.github.io/Logging_2101/klagomålsmail/A 33367-2025 FSC-klagomål mail.docx", "A 33367-2025")</f>
        <v/>
      </c>
      <c r="AA12">
        <f>HYPERLINK("https://klasma.github.io/Logging_2101/tillsyn/A 33367-2025 tillsynsbegäran.docx", "A 33367-2025")</f>
        <v/>
      </c>
      <c r="AB12">
        <f>HYPERLINK("https://klasma.github.io/Logging_2101/tillsynsmail/A 33367-2025 tillsynsbegäran mail.docx", "A 33367-2025")</f>
        <v/>
      </c>
      <c r="AC12">
        <f>HYPERLINK("https://klasma.github.io/Logging_2101/fåglar/A 33367-2025 prioriterade fågelarter.docx", "A 33367-2025")</f>
        <v/>
      </c>
    </row>
    <row r="13" ht="15" customHeight="1">
      <c r="A13" t="inlineStr">
        <is>
          <t>A 10518-2026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46218</v>
      </c>
      <c r="F13" t="inlineStr">
        <is>
          <t>GÄVLEBORGS LÄN</t>
        </is>
      </c>
      <c r="G13" t="inlineStr">
        <is>
          <t>OCKELBO</t>
        </is>
      </c>
      <c r="I13" t="n">
        <v>5.1</v>
      </c>
      <c r="J13" t="n">
        <v>1</v>
      </c>
      <c r="K13" t="n">
        <v>1</v>
      </c>
      <c r="L13" t="n">
        <v>3</v>
      </c>
      <c r="M13" t="n">
        <v>2</v>
      </c>
      <c r="N13" t="n">
        <v>0</v>
      </c>
      <c r="O13" t="n">
        <v>0</v>
      </c>
      <c r="P13" t="n">
        <v>0</v>
      </c>
      <c r="Q13" t="n">
        <v>5</v>
      </c>
      <c r="R13" t="n">
        <v>2</v>
      </c>
      <c r="S13" t="n">
        <v>6</v>
      </c>
      <c r="T13" t="n">
        <v>17</v>
      </c>
      <c r="U13" s="2" t="inlineStr">
        <is>
          <t>Garnlav
Knärot
Rynkskinn
Tallticka
Ullticka
Bronshjon</t>
        </is>
      </c>
      <c r="V13">
        <f>HYPERLINK("https://klasma.github.io/Logging_2101/artfynd/A 10518-2026 artfynd.xlsx", "A 10518-2026")</f>
        <v/>
      </c>
      <c r="W13">
        <f>HYPERLINK("https://klasma.github.io/Logging_2101/kartor/A 10518-2026 karta.png", "A 10518-2026")</f>
        <v/>
      </c>
      <c r="X13">
        <f>HYPERLINK("https://klasma.github.io/Logging_2101/knärot/A 10518-2026 karta knärot.png", "A 10518-2026")</f>
        <v/>
      </c>
      <c r="Y13">
        <f>HYPERLINK("https://klasma.github.io/Logging_2101/klagomål/A 10518-2026 FSC-klagomål.docx", "A 10518-2026")</f>
        <v/>
      </c>
      <c r="Z13">
        <f>HYPERLINK("https://klasma.github.io/Logging_2101/klagomålsmail/A 10518-2026 FSC-klagomål mail.docx", "A 10518-2026")</f>
        <v/>
      </c>
      <c r="AA13">
        <f>HYPERLINK("https://klasma.github.io/Logging_2101/tillsyn/A 10518-2026 tillsynsbegäran.docx", "A 10518-2026")</f>
        <v/>
      </c>
      <c r="AB13">
        <f>HYPERLINK("https://klasma.github.io/Logging_2101/tillsynsmail/A 10518-2026 tillsynsbegäran mail.docx", "A 10518-2026")</f>
        <v/>
      </c>
    </row>
    <row r="14" ht="15" customHeight="1">
      <c r="A14" t="inlineStr">
        <is>
          <t>A 14671-2026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46101</v>
      </c>
      <c r="E14" s="1" t="n">
        <v>46218</v>
      </c>
      <c r="F14" t="inlineStr">
        <is>
          <t>GÄVLEBORGS LÄN</t>
        </is>
      </c>
      <c r="G14" t="inlineStr">
        <is>
          <t>OCKELBO</t>
        </is>
      </c>
      <c r="H14" t="inlineStr">
        <is>
          <t>Bergvik skog väst AB</t>
        </is>
      </c>
      <c r="I14" t="n">
        <v>19.6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6</v>
      </c>
      <c r="T14" t="n">
        <v>16</v>
      </c>
      <c r="U14" s="2" t="inlineStr">
        <is>
          <t>Kortskaftad ärgspik
Motaggsvamp
Järpe
Tjäder
Buskskvätta
Fläcknycklar</t>
        </is>
      </c>
      <c r="V14">
        <f>HYPERLINK("https://klasma.github.io/Logging_2101/artfynd/A 14671-2026 artfynd.xlsx", "A 14671-2026")</f>
        <v/>
      </c>
      <c r="W14">
        <f>HYPERLINK("https://klasma.github.io/Logging_2101/kartor/A 14671-2026 karta.png", "A 14671-2026")</f>
        <v/>
      </c>
      <c r="Y14">
        <f>HYPERLINK("https://klasma.github.io/Logging_2101/klagomål/A 14671-2026 FSC-klagomål.docx", "A 14671-2026")</f>
        <v/>
      </c>
      <c r="Z14">
        <f>HYPERLINK("https://klasma.github.io/Logging_2101/klagomålsmail/A 14671-2026 FSC-klagomål mail.docx", "A 14671-2026")</f>
        <v/>
      </c>
      <c r="AA14">
        <f>HYPERLINK("https://klasma.github.io/Logging_2101/tillsyn/A 14671-2026 tillsynsbegäran.docx", "A 14671-2026")</f>
        <v/>
      </c>
      <c r="AB14">
        <f>HYPERLINK("https://klasma.github.io/Logging_2101/tillsynsmail/A 14671-2026 tillsynsbegäran mail.docx", "A 14671-2026")</f>
        <v/>
      </c>
      <c r="AC14">
        <f>HYPERLINK("https://klasma.github.io/Logging_2101/fåglar/A 14671-2026 prioriterade fågelarter.docx", "A 14671-2026")</f>
        <v/>
      </c>
    </row>
    <row r="15" ht="15" customHeight="1">
      <c r="A15" t="inlineStr">
        <is>
          <t>A 19141-2026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46132</v>
      </c>
      <c r="E15" s="1" t="n">
        <v>46218</v>
      </c>
      <c r="F15" t="inlineStr">
        <is>
          <t>GÄVLEBORGS LÄN</t>
        </is>
      </c>
      <c r="G15" t="inlineStr">
        <is>
          <t>OCKELBO</t>
        </is>
      </c>
      <c r="H15" t="inlineStr">
        <is>
          <t>Bergvik skog väst AB</t>
        </is>
      </c>
      <c r="I15" t="n">
        <v>55.5</v>
      </c>
      <c r="J15" t="n">
        <v>1</v>
      </c>
      <c r="K15" t="n">
        <v>1</v>
      </c>
      <c r="L15" t="n">
        <v>3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t="n">
        <v>0</v>
      </c>
      <c r="S15" t="n">
        <v>5</v>
      </c>
      <c r="T15" t="n">
        <v>11</v>
      </c>
      <c r="U15" s="2" t="inlineStr">
        <is>
          <t>Blanksvart spiklav
Motaggsvamp
Vedskivlav
Nästlav
Revlummer</t>
        </is>
      </c>
      <c r="V15">
        <f>HYPERLINK("https://klasma.github.io/Logging_2101/artfynd/A 19141-2026 artfynd.xlsx", "A 19141-2026")</f>
        <v/>
      </c>
      <c r="W15">
        <f>HYPERLINK("https://klasma.github.io/Logging_2101/kartor/A 19141-2026 karta.png", "A 19141-2026")</f>
        <v/>
      </c>
      <c r="Y15">
        <f>HYPERLINK("https://klasma.github.io/Logging_2101/klagomål/A 19141-2026 FSC-klagomål.docx", "A 19141-2026")</f>
        <v/>
      </c>
      <c r="Z15">
        <f>HYPERLINK("https://klasma.github.io/Logging_2101/klagomålsmail/A 19141-2026 FSC-klagomål mail.docx", "A 19141-2026")</f>
        <v/>
      </c>
      <c r="AA15">
        <f>HYPERLINK("https://klasma.github.io/Logging_2101/tillsyn/A 19141-2026 tillsynsbegäran.docx", "A 19141-2026")</f>
        <v/>
      </c>
      <c r="AB15">
        <f>HYPERLINK("https://klasma.github.io/Logging_2101/tillsynsmail/A 19141-2026 tillsynsbegäran mail.docx", "A 19141-2026")</f>
        <v/>
      </c>
    </row>
    <row r="16" ht="15" customHeight="1">
      <c r="A16" t="inlineStr">
        <is>
          <t>S 890-2023</t>
        </is>
      </c>
      <c r="B16" t="inlineStr">
        <is>
          <t>samrådsanmälan</t>
        </is>
      </c>
      <c r="C16" t="inlineStr">
        <is>
          <t>Skogsgödsling</t>
        </is>
      </c>
      <c r="D16" s="1" t="n">
        <v>44995</v>
      </c>
      <c r="E16" s="1" t="n">
        <v>46218</v>
      </c>
      <c r="F16" t="inlineStr">
        <is>
          <t>GÄVLEBORGS LÄN</t>
        </is>
      </c>
      <c r="G16" t="inlineStr">
        <is>
          <t>OCKELBO</t>
        </is>
      </c>
      <c r="H16" t="inlineStr">
        <is>
          <t>Bergvik skog väst AB</t>
        </is>
      </c>
      <c r="I16" t="n">
        <v>151</v>
      </c>
      <c r="J16" t="n">
        <v>0</v>
      </c>
      <c r="K16" t="n">
        <v>1</v>
      </c>
      <c r="L16" t="n">
        <v>3</v>
      </c>
      <c r="M16" t="n">
        <v>1</v>
      </c>
      <c r="N16" t="n">
        <v>0</v>
      </c>
      <c r="O16" t="n">
        <v>0</v>
      </c>
      <c r="P16" t="n">
        <v>0</v>
      </c>
      <c r="Q16" t="n">
        <v>4</v>
      </c>
      <c r="R16" t="n">
        <v>1</v>
      </c>
      <c r="S16" t="n">
        <v>5</v>
      </c>
      <c r="T16" t="n">
        <v>6</v>
      </c>
      <c r="U16" s="2" t="inlineStr">
        <is>
          <t>Garnlav
Dropptaggsvamp
Motaggsvamp
Skarp dropptaggsvamp
Smal svampklubba</t>
        </is>
      </c>
      <c r="V16">
        <f>HYPERLINK("https://klasma.github.io/Logging_2101/artfynd/S 890-2023 artfynd.xlsx", "S 890-2023")</f>
        <v/>
      </c>
      <c r="W16">
        <f>HYPERLINK("https://klasma.github.io/Logging_2101/kartor/S 890-2023 karta.png", "S 890-2023")</f>
        <v/>
      </c>
      <c r="Y16">
        <f>HYPERLINK("https://klasma.github.io/Logging_2101/klagomål/S 890-2023 FSC-klagomål.docx", "S 890-2023")</f>
        <v/>
      </c>
      <c r="Z16">
        <f>HYPERLINK("https://klasma.github.io/Logging_2101/klagomålsmail/S 890-2023 FSC-klagomål mail.docx", "S 890-2023")</f>
        <v/>
      </c>
      <c r="AA16">
        <f>HYPERLINK("https://klasma.github.io/Logging_2101/tillsyn/S 890-2023 tillsynsbegäran.docx", "S 890-2023")</f>
        <v/>
      </c>
      <c r="AB16">
        <f>HYPERLINK("https://klasma.github.io/Logging_2101/tillsynsmail/S 890-2023 tillsynsbegäran mail.docx", "S 890-2023")</f>
        <v/>
      </c>
    </row>
    <row r="17" ht="15" customHeight="1">
      <c r="A17" t="inlineStr">
        <is>
          <t>A 24596-2026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46170</v>
      </c>
      <c r="E17" s="1" t="n">
        <v>46218</v>
      </c>
      <c r="F17" t="inlineStr">
        <is>
          <t>GÄVLEBORGS LÄN</t>
        </is>
      </c>
      <c r="G17" t="inlineStr">
        <is>
          <t>OCKELBO</t>
        </is>
      </c>
      <c r="H17" t="inlineStr">
        <is>
          <t>Bergvik skog väst AB</t>
        </is>
      </c>
      <c r="I17" t="n">
        <v>3.1</v>
      </c>
      <c r="J17" t="n">
        <v>1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4</v>
      </c>
      <c r="U17" s="2" t="inlineStr">
        <is>
          <t>Dropptaggsvamp
Violettgrå tagellav
Vågbandad barkbock
Tjäder</t>
        </is>
      </c>
      <c r="V17">
        <f>HYPERLINK("https://klasma.github.io/Logging_2101/artfynd/A 24596-2026 artfynd.xlsx", "A 24596-2026")</f>
        <v/>
      </c>
      <c r="W17">
        <f>HYPERLINK("https://klasma.github.io/Logging_2101/kartor/A 24596-2026 karta.png", "A 24596-2026")</f>
        <v/>
      </c>
      <c r="Y17">
        <f>HYPERLINK("https://klasma.github.io/Logging_2101/klagomål/A 24596-2026 FSC-klagomål.docx", "A 24596-2026")</f>
        <v/>
      </c>
      <c r="Z17">
        <f>HYPERLINK("https://klasma.github.io/Logging_2101/klagomålsmail/A 24596-2026 FSC-klagomål mail.docx", "A 24596-2026")</f>
        <v/>
      </c>
      <c r="AA17">
        <f>HYPERLINK("https://klasma.github.io/Logging_2101/tillsyn/A 24596-2026 tillsynsbegäran.docx", "A 24596-2026")</f>
        <v/>
      </c>
      <c r="AB17">
        <f>HYPERLINK("https://klasma.github.io/Logging_2101/tillsynsmail/A 24596-2026 tillsynsbegäran mail.docx", "A 24596-2026")</f>
        <v/>
      </c>
      <c r="AC17">
        <f>HYPERLINK("https://klasma.github.io/Logging_2101/fåglar/A 24596-2026 prioriterade fågelarter.docx", "A 24596-2026")</f>
        <v/>
      </c>
    </row>
    <row r="18" ht="15" customHeight="1">
      <c r="A18" t="inlineStr">
        <is>
          <t>A 14115-2026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46099</v>
      </c>
      <c r="E18" s="1" t="n">
        <v>46218</v>
      </c>
      <c r="F18" t="inlineStr">
        <is>
          <t>GÄVLEBORGS LÄN</t>
        </is>
      </c>
      <c r="G18" t="inlineStr">
        <is>
          <t>OCKELBO</t>
        </is>
      </c>
      <c r="H18" t="inlineStr">
        <is>
          <t>Bergvik skog väst AB</t>
        </is>
      </c>
      <c r="I18" t="n">
        <v>10.7</v>
      </c>
      <c r="J18" t="n">
        <v>0</v>
      </c>
      <c r="K18" t="n">
        <v>2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4</v>
      </c>
      <c r="T18" t="n">
        <v>6</v>
      </c>
      <c r="U18" s="2" t="inlineStr">
        <is>
          <t>Lunglav
Vedskivlav
Bårdlav
Stuplav</t>
        </is>
      </c>
      <c r="V18">
        <f>HYPERLINK("https://klasma.github.io/Logging_2101/artfynd/A 14115-2026 artfynd.xlsx", "A 14115-2026")</f>
        <v/>
      </c>
      <c r="W18">
        <f>HYPERLINK("https://klasma.github.io/Logging_2101/kartor/A 14115-2026 karta.png", "A 14115-2026")</f>
        <v/>
      </c>
      <c r="Y18">
        <f>HYPERLINK("https://klasma.github.io/Logging_2101/klagomål/A 14115-2026 FSC-klagomål.docx", "A 14115-2026")</f>
        <v/>
      </c>
      <c r="Z18">
        <f>HYPERLINK("https://klasma.github.io/Logging_2101/klagomålsmail/A 14115-2026 FSC-klagomål mail.docx", "A 14115-2026")</f>
        <v/>
      </c>
      <c r="AA18">
        <f>HYPERLINK("https://klasma.github.io/Logging_2101/tillsyn/A 14115-2026 tillsynsbegäran.docx", "A 14115-2026")</f>
        <v/>
      </c>
      <c r="AB18">
        <f>HYPERLINK("https://klasma.github.io/Logging_2101/tillsynsmail/A 14115-2026 tillsynsbegäran mail.docx", "A 14115-2026")</f>
        <v/>
      </c>
    </row>
    <row r="19" ht="15" customHeight="1">
      <c r="A19" t="inlineStr">
        <is>
          <t>A 26463-2024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45469</v>
      </c>
      <c r="E19" s="1" t="n">
        <v>46218</v>
      </c>
      <c r="F19" t="inlineStr">
        <is>
          <t>GÄVLEBORGS LÄN</t>
        </is>
      </c>
      <c r="G19" t="inlineStr">
        <is>
          <t>OCKELBO</t>
        </is>
      </c>
      <c r="H19" t="inlineStr">
        <is>
          <t>Bergvik skog väst AB</t>
        </is>
      </c>
      <c r="I19" t="n">
        <v>3.6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8</v>
      </c>
      <c r="U19" s="2" t="inlineStr">
        <is>
          <t>Tvåblad
Fläcknycklar
Revlummer</t>
        </is>
      </c>
      <c r="V19">
        <f>HYPERLINK("https://klasma.github.io/Logging_2101/artfynd/A 26463-2024 artfynd.xlsx", "A 26463-2024")</f>
        <v/>
      </c>
      <c r="W19">
        <f>HYPERLINK("https://klasma.github.io/Logging_2101/kartor/A 26463-2024 karta.png", "A 26463-2024")</f>
        <v/>
      </c>
      <c r="Y19">
        <f>HYPERLINK("https://klasma.github.io/Logging_2101/klagomål/A 26463-2024 FSC-klagomål.docx", "A 26463-2024")</f>
        <v/>
      </c>
      <c r="Z19">
        <f>HYPERLINK("https://klasma.github.io/Logging_2101/klagomålsmail/A 26463-2024 FSC-klagomål mail.docx", "A 26463-2024")</f>
        <v/>
      </c>
      <c r="AA19">
        <f>HYPERLINK("https://klasma.github.io/Logging_2101/tillsyn/A 26463-2024 tillsynsbegäran.docx", "A 26463-2024")</f>
        <v/>
      </c>
      <c r="AB19">
        <f>HYPERLINK("https://klasma.github.io/Logging_2101/tillsynsmail/A 26463-2024 tillsynsbegäran mail.docx", "A 26463-2024")</f>
        <v/>
      </c>
    </row>
    <row r="20" ht="15" customHeight="1">
      <c r="A20" t="inlineStr">
        <is>
          <t>A 9324-2026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46070</v>
      </c>
      <c r="E20" s="1" t="n">
        <v>46218</v>
      </c>
      <c r="F20" t="inlineStr">
        <is>
          <t>GÄVLEBORGS LÄN</t>
        </is>
      </c>
      <c r="G20" t="inlineStr">
        <is>
          <t>OCKELBO</t>
        </is>
      </c>
      <c r="H20" t="inlineStr">
        <is>
          <t>Bergvik skog väst AB</t>
        </is>
      </c>
      <c r="I20" t="n">
        <v>38.6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s="2" t="inlineStr">
        <is>
          <t>Grönpyrola
Vedticka
Spillkråka</t>
        </is>
      </c>
      <c r="V20">
        <f>HYPERLINK("https://klasma.github.io/Logging_2101/artfynd/A 9324-2026 artfynd.xlsx", "A 9324-2026")</f>
        <v/>
      </c>
      <c r="W20">
        <f>HYPERLINK("https://klasma.github.io/Logging_2101/kartor/A 9324-2026 karta.png", "A 9324-2026")</f>
        <v/>
      </c>
      <c r="Y20">
        <f>HYPERLINK("https://klasma.github.io/Logging_2101/klagomål/A 9324-2026 FSC-klagomål.docx", "A 9324-2026")</f>
        <v/>
      </c>
      <c r="Z20">
        <f>HYPERLINK("https://klasma.github.io/Logging_2101/klagomålsmail/A 9324-2026 FSC-klagomål mail.docx", "A 9324-2026")</f>
        <v/>
      </c>
      <c r="AA20">
        <f>HYPERLINK("https://klasma.github.io/Logging_2101/tillsyn/A 9324-2026 tillsynsbegäran.docx", "A 9324-2026")</f>
        <v/>
      </c>
      <c r="AB20">
        <f>HYPERLINK("https://klasma.github.io/Logging_2101/tillsynsmail/A 9324-2026 tillsynsbegäran mail.docx", "A 9324-2026")</f>
        <v/>
      </c>
      <c r="AC20">
        <f>HYPERLINK("https://klasma.github.io/Logging_2101/fåglar/A 9324-2026 prioriterade fågelarter.docx", "A 9324-2026")</f>
        <v/>
      </c>
    </row>
    <row r="21" ht="15" customHeight="1">
      <c r="A21" t="inlineStr">
        <is>
          <t>A 13474-2026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46094</v>
      </c>
      <c r="E21" s="1" t="n">
        <v>46218</v>
      </c>
      <c r="F21" t="inlineStr">
        <is>
          <t>GÄVLEBORGS LÄN</t>
        </is>
      </c>
      <c r="G21" t="inlineStr">
        <is>
          <t>OCKELBO</t>
        </is>
      </c>
      <c r="H21" t="inlineStr">
        <is>
          <t>Naturvårdsverket</t>
        </is>
      </c>
      <c r="I21" t="n">
        <v>3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s="2" t="inlineStr">
        <is>
          <t>Orange taggsvamp
Ullticka
Vedtrappmossa</t>
        </is>
      </c>
      <c r="V21">
        <f>HYPERLINK("https://klasma.github.io/Logging_2101/artfynd/A 13474-2026 artfynd.xlsx", "A 13474-2026")</f>
        <v/>
      </c>
      <c r="W21">
        <f>HYPERLINK("https://klasma.github.io/Logging_2101/kartor/A 13474-2026 karta.png", "A 13474-2026")</f>
        <v/>
      </c>
      <c r="Y21">
        <f>HYPERLINK("https://klasma.github.io/Logging_2101/klagomål/A 13474-2026 FSC-klagomål.docx", "A 13474-2026")</f>
        <v/>
      </c>
      <c r="Z21">
        <f>HYPERLINK("https://klasma.github.io/Logging_2101/klagomålsmail/A 13474-2026 FSC-klagomål mail.docx", "A 13474-2026")</f>
        <v/>
      </c>
      <c r="AA21">
        <f>HYPERLINK("https://klasma.github.io/Logging_2101/tillsyn/A 13474-2026 tillsynsbegäran.docx", "A 13474-2026")</f>
        <v/>
      </c>
      <c r="AB21">
        <f>HYPERLINK("https://klasma.github.io/Logging_2101/tillsynsmail/A 13474-2026 tillsynsbegäran mail.docx", "A 13474-2026")</f>
        <v/>
      </c>
    </row>
    <row r="22" ht="15" customHeight="1">
      <c r="A22" t="inlineStr">
        <is>
          <t>A 18091-2026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46125</v>
      </c>
      <c r="E22" s="1" t="n">
        <v>46218</v>
      </c>
      <c r="F22" t="inlineStr">
        <is>
          <t>GÄVLEBORGS LÄN</t>
        </is>
      </c>
      <c r="G22" t="inlineStr">
        <is>
          <t>OCKELBO</t>
        </is>
      </c>
      <c r="H22" t="inlineStr">
        <is>
          <t>Bergvik skog väst AB</t>
        </is>
      </c>
      <c r="I22" t="n">
        <v>21.6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9</v>
      </c>
      <c r="U22" s="2" t="inlineStr">
        <is>
          <t>Vanlig groda
Vanlig padda
Fläcknycklar</t>
        </is>
      </c>
      <c r="V22">
        <f>HYPERLINK("https://klasma.github.io/Logging_2101/artfynd/A 18091-2026 artfynd.xlsx", "A 18091-2026")</f>
        <v/>
      </c>
      <c r="W22">
        <f>HYPERLINK("https://klasma.github.io/Logging_2101/kartor/A 18091-2026 karta.png", "A 18091-2026")</f>
        <v/>
      </c>
      <c r="Y22">
        <f>HYPERLINK("https://klasma.github.io/Logging_2101/klagomål/A 18091-2026 FSC-klagomål.docx", "A 18091-2026")</f>
        <v/>
      </c>
      <c r="Z22">
        <f>HYPERLINK("https://klasma.github.io/Logging_2101/klagomålsmail/A 18091-2026 FSC-klagomål mail.docx", "A 18091-2026")</f>
        <v/>
      </c>
      <c r="AA22">
        <f>HYPERLINK("https://klasma.github.io/Logging_2101/tillsyn/A 18091-2026 tillsynsbegäran.docx", "A 18091-2026")</f>
        <v/>
      </c>
      <c r="AB22">
        <f>HYPERLINK("https://klasma.github.io/Logging_2101/tillsynsmail/A 18091-2026 tillsynsbegäran mail.docx", "A 18091-2026")</f>
        <v/>
      </c>
    </row>
    <row r="23" ht="15" customHeight="1">
      <c r="A23" t="inlineStr">
        <is>
          <t>A 26870-2026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46185</v>
      </c>
      <c r="E23" s="1" t="n">
        <v>46218</v>
      </c>
      <c r="F23" t="inlineStr">
        <is>
          <t>GÄVLEBORGS LÄN</t>
        </is>
      </c>
      <c r="G23" t="inlineStr">
        <is>
          <t>OCKELBO</t>
        </is>
      </c>
      <c r="I23" t="n">
        <v>1.7</v>
      </c>
      <c r="J23" t="n">
        <v>3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3</v>
      </c>
      <c r="T23" t="n">
        <v>4</v>
      </c>
      <c r="U23" s="2" t="inlineStr">
        <is>
          <t>Korallrot
Spindelblomster
Fläcknycklar</t>
        </is>
      </c>
      <c r="V23">
        <f>HYPERLINK("https://klasma.github.io/Logging_2101/artfynd/A 26870-2026 artfynd.xlsx", "A 26870-2026")</f>
        <v/>
      </c>
      <c r="W23">
        <f>HYPERLINK("https://klasma.github.io/Logging_2101/kartor/A 26870-2026 karta.png", "A 26870-2026")</f>
        <v/>
      </c>
      <c r="Y23">
        <f>HYPERLINK("https://klasma.github.io/Logging_2101/klagomål/A 26870-2026 FSC-klagomål.docx", "A 26870-2026")</f>
        <v/>
      </c>
      <c r="Z23">
        <f>HYPERLINK("https://klasma.github.io/Logging_2101/klagomålsmail/A 26870-2026 FSC-klagomål mail.docx", "A 26870-2026")</f>
        <v/>
      </c>
      <c r="AA23">
        <f>HYPERLINK("https://klasma.github.io/Logging_2101/tillsyn/A 26870-2026 tillsynsbegäran.docx", "A 26870-2026")</f>
        <v/>
      </c>
      <c r="AB23">
        <f>HYPERLINK("https://klasma.github.io/Logging_2101/tillsynsmail/A 26870-2026 tillsynsbegäran mail.docx", "A 26870-2026")</f>
        <v/>
      </c>
    </row>
    <row r="24" ht="15" customHeight="1">
      <c r="A24" t="inlineStr">
        <is>
          <t>A 18253-2026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46126</v>
      </c>
      <c r="E24" s="1" t="n">
        <v>46218</v>
      </c>
      <c r="F24" t="inlineStr">
        <is>
          <t>GÄVLEBORGS LÄN</t>
        </is>
      </c>
      <c r="G24" t="inlineStr">
        <is>
          <t>OCKELBO</t>
        </is>
      </c>
      <c r="H24" t="inlineStr">
        <is>
          <t>Bergvik skog väst AB</t>
        </is>
      </c>
      <c r="I24" t="n">
        <v>14.5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3</v>
      </c>
      <c r="U24" s="2" t="inlineStr">
        <is>
          <t>Vårärt
Blåsippa
Nattviol</t>
        </is>
      </c>
      <c r="V24">
        <f>HYPERLINK("https://klasma.github.io/Logging_2101/artfynd/A 18253-2026 artfynd.xlsx", "A 18253-2026")</f>
        <v/>
      </c>
      <c r="W24">
        <f>HYPERLINK("https://klasma.github.io/Logging_2101/kartor/A 18253-2026 karta.png", "A 18253-2026")</f>
        <v/>
      </c>
      <c r="Y24">
        <f>HYPERLINK("https://klasma.github.io/Logging_2101/klagomål/A 18253-2026 FSC-klagomål.docx", "A 18253-2026")</f>
        <v/>
      </c>
      <c r="Z24">
        <f>HYPERLINK("https://klasma.github.io/Logging_2101/klagomålsmail/A 18253-2026 FSC-klagomål mail.docx", "A 18253-2026")</f>
        <v/>
      </c>
      <c r="AA24">
        <f>HYPERLINK("https://klasma.github.io/Logging_2101/tillsyn/A 18253-2026 tillsynsbegäran.docx", "A 18253-2026")</f>
        <v/>
      </c>
      <c r="AB24">
        <f>HYPERLINK("https://klasma.github.io/Logging_2101/tillsynsmail/A 18253-2026 tillsynsbegäran mail.docx", "A 18253-2026")</f>
        <v/>
      </c>
    </row>
    <row r="25" ht="15" customHeight="1">
      <c r="A25" t="inlineStr">
        <is>
          <t>A 27199-2025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45812</v>
      </c>
      <c r="E25" s="1" t="n">
        <v>46218</v>
      </c>
      <c r="F25" t="inlineStr">
        <is>
          <t>GÄVLEBORGS LÄN</t>
        </is>
      </c>
      <c r="G25" t="inlineStr">
        <is>
          <t>OCKELBO</t>
        </is>
      </c>
      <c r="I25" t="n">
        <v>1.6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4</v>
      </c>
      <c r="U25" s="2" t="inlineStr">
        <is>
          <t>Knärot
Dropptaggsvamp
Mattlummer</t>
        </is>
      </c>
      <c r="V25">
        <f>HYPERLINK("https://klasma.github.io/Logging_2101/artfynd/A 27199-2025 artfynd.xlsx", "A 27199-2025")</f>
        <v/>
      </c>
      <c r="W25">
        <f>HYPERLINK("https://klasma.github.io/Logging_2101/kartor/A 27199-2025 karta.png", "A 27199-2025")</f>
        <v/>
      </c>
      <c r="X25">
        <f>HYPERLINK("https://klasma.github.io/Logging_2101/knärot/A 27199-2025 karta knärot.png", "A 27199-2025")</f>
        <v/>
      </c>
      <c r="Y25">
        <f>HYPERLINK("https://klasma.github.io/Logging_2101/klagomål/A 27199-2025 FSC-klagomål.docx", "A 27199-2025")</f>
        <v/>
      </c>
      <c r="Z25">
        <f>HYPERLINK("https://klasma.github.io/Logging_2101/klagomålsmail/A 27199-2025 FSC-klagomål mail.docx", "A 27199-2025")</f>
        <v/>
      </c>
      <c r="AA25">
        <f>HYPERLINK("https://klasma.github.io/Logging_2101/tillsyn/A 27199-2025 tillsynsbegäran.docx", "A 27199-2025")</f>
        <v/>
      </c>
      <c r="AB25">
        <f>HYPERLINK("https://klasma.github.io/Logging_2101/tillsynsmail/A 27199-2025 tillsynsbegäran mail.docx", "A 27199-2025")</f>
        <v/>
      </c>
    </row>
    <row r="26" ht="15" customHeight="1">
      <c r="A26" t="inlineStr">
        <is>
          <t>A 18117-2026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46125</v>
      </c>
      <c r="E26" s="1" t="n">
        <v>46218</v>
      </c>
      <c r="F26" t="inlineStr">
        <is>
          <t>GÄVLEBORGS LÄN</t>
        </is>
      </c>
      <c r="G26" t="inlineStr">
        <is>
          <t>OCKELBO</t>
        </is>
      </c>
      <c r="H26" t="inlineStr">
        <is>
          <t>Bergvik skog väst AB</t>
        </is>
      </c>
      <c r="I26" t="n">
        <v>14.1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4</v>
      </c>
      <c r="U26" s="2" t="inlineStr">
        <is>
          <t>Vanlig groda
Fläcknycklar</t>
        </is>
      </c>
      <c r="V26">
        <f>HYPERLINK("https://klasma.github.io/Logging_2101/artfynd/A 18117-2026 artfynd.xlsx", "A 18117-2026")</f>
        <v/>
      </c>
      <c r="W26">
        <f>HYPERLINK("https://klasma.github.io/Logging_2101/kartor/A 18117-2026 karta.png", "A 18117-2026")</f>
        <v/>
      </c>
      <c r="Y26">
        <f>HYPERLINK("https://klasma.github.io/Logging_2101/klagomål/A 18117-2026 FSC-klagomål.docx", "A 18117-2026")</f>
        <v/>
      </c>
      <c r="Z26">
        <f>HYPERLINK("https://klasma.github.io/Logging_2101/klagomålsmail/A 18117-2026 FSC-klagomål mail.docx", "A 18117-2026")</f>
        <v/>
      </c>
      <c r="AA26">
        <f>HYPERLINK("https://klasma.github.io/Logging_2101/tillsyn/A 18117-2026 tillsynsbegäran.docx", "A 18117-2026")</f>
        <v/>
      </c>
      <c r="AB26">
        <f>HYPERLINK("https://klasma.github.io/Logging_2101/tillsynsmail/A 18117-2026 tillsynsbegäran mail.docx", "A 18117-2026")</f>
        <v/>
      </c>
    </row>
    <row r="27" ht="15" customHeight="1">
      <c r="A27" t="inlineStr">
        <is>
          <t>A 18120-2026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46125</v>
      </c>
      <c r="E27" s="1" t="n">
        <v>46218</v>
      </c>
      <c r="F27" t="inlineStr">
        <is>
          <t>GÄVLEBORGS LÄN</t>
        </is>
      </c>
      <c r="G27" t="inlineStr">
        <is>
          <t>OCKELBO</t>
        </is>
      </c>
      <c r="H27" t="inlineStr">
        <is>
          <t>Bergvik skog väst AB</t>
        </is>
      </c>
      <c r="I27" t="n">
        <v>5.8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2</v>
      </c>
      <c r="T27" t="n">
        <v>7</v>
      </c>
      <c r="U27" s="2" t="inlineStr">
        <is>
          <t>Vanlig padda
Fläcknycklar</t>
        </is>
      </c>
      <c r="V27">
        <f>HYPERLINK("https://klasma.github.io/Logging_2101/artfynd/A 18120-2026 artfynd.xlsx", "A 18120-2026")</f>
        <v/>
      </c>
      <c r="W27">
        <f>HYPERLINK("https://klasma.github.io/Logging_2101/kartor/A 18120-2026 karta.png", "A 18120-2026")</f>
        <v/>
      </c>
      <c r="Y27">
        <f>HYPERLINK("https://klasma.github.io/Logging_2101/klagomål/A 18120-2026 FSC-klagomål.docx", "A 18120-2026")</f>
        <v/>
      </c>
      <c r="Z27">
        <f>HYPERLINK("https://klasma.github.io/Logging_2101/klagomålsmail/A 18120-2026 FSC-klagomål mail.docx", "A 18120-2026")</f>
        <v/>
      </c>
      <c r="AA27">
        <f>HYPERLINK("https://klasma.github.io/Logging_2101/tillsyn/A 18120-2026 tillsynsbegäran.docx", "A 18120-2026")</f>
        <v/>
      </c>
      <c r="AB27">
        <f>HYPERLINK("https://klasma.github.io/Logging_2101/tillsynsmail/A 18120-2026 tillsynsbegäran mail.docx", "A 18120-2026")</f>
        <v/>
      </c>
    </row>
    <row r="28" ht="15" customHeight="1">
      <c r="A28" t="inlineStr">
        <is>
          <t>A 20299-2026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46139</v>
      </c>
      <c r="E28" s="1" t="n">
        <v>46218</v>
      </c>
      <c r="F28" t="inlineStr">
        <is>
          <t>GÄVLEBORGS LÄN</t>
        </is>
      </c>
      <c r="G28" t="inlineStr">
        <is>
          <t>OCKELBO</t>
        </is>
      </c>
      <c r="H28" t="inlineStr">
        <is>
          <t>Bergvik skog väst AB</t>
        </is>
      </c>
      <c r="I28" t="n">
        <v>6.5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s="2" t="inlineStr">
        <is>
          <t>Motaggsvamp
Lopplummer (aggregat)</t>
        </is>
      </c>
      <c r="V28">
        <f>HYPERLINK("https://klasma.github.io/Logging_2101/artfynd/A 20299-2026 artfynd.xlsx", "A 20299-2026")</f>
        <v/>
      </c>
      <c r="W28">
        <f>HYPERLINK("https://klasma.github.io/Logging_2101/kartor/A 20299-2026 karta.png", "A 20299-2026")</f>
        <v/>
      </c>
      <c r="Y28">
        <f>HYPERLINK("https://klasma.github.io/Logging_2101/klagomål/A 20299-2026 FSC-klagomål.docx", "A 20299-2026")</f>
        <v/>
      </c>
      <c r="Z28">
        <f>HYPERLINK("https://klasma.github.io/Logging_2101/klagomålsmail/A 20299-2026 FSC-klagomål mail.docx", "A 20299-2026")</f>
        <v/>
      </c>
      <c r="AA28">
        <f>HYPERLINK("https://klasma.github.io/Logging_2101/tillsyn/A 20299-2026 tillsynsbegäran.docx", "A 20299-2026")</f>
        <v/>
      </c>
      <c r="AB28">
        <f>HYPERLINK("https://klasma.github.io/Logging_2101/tillsynsmail/A 20299-2026 tillsynsbegäran mail.docx", "A 20299-2026")</f>
        <v/>
      </c>
    </row>
    <row r="29" ht="15" customHeight="1">
      <c r="A29" t="inlineStr">
        <is>
          <t>A 2201-2026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46036</v>
      </c>
      <c r="E29" s="1" t="n">
        <v>46218</v>
      </c>
      <c r="F29" t="inlineStr">
        <is>
          <t>GÄVLEBORGS LÄN</t>
        </is>
      </c>
      <c r="G29" t="inlineStr">
        <is>
          <t>OCKELBO</t>
        </is>
      </c>
      <c r="I29" t="n">
        <v>2.4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2</v>
      </c>
      <c r="U29" s="2" t="inlineStr">
        <is>
          <t>Korallrot
Revlummer</t>
        </is>
      </c>
      <c r="V29">
        <f>HYPERLINK("https://klasma.github.io/Logging_2101/artfynd/A 2201-2026 artfynd.xlsx", "A 2201-2026")</f>
        <v/>
      </c>
      <c r="W29">
        <f>HYPERLINK("https://klasma.github.io/Logging_2101/kartor/A 2201-2026 karta.png", "A 2201-2026")</f>
        <v/>
      </c>
      <c r="Y29">
        <f>HYPERLINK("https://klasma.github.io/Logging_2101/klagomål/A 2201-2026 FSC-klagomål.docx", "A 2201-2026")</f>
        <v/>
      </c>
      <c r="Z29">
        <f>HYPERLINK("https://klasma.github.io/Logging_2101/klagomålsmail/A 2201-2026 FSC-klagomål mail.docx", "A 2201-2026")</f>
        <v/>
      </c>
      <c r="AA29">
        <f>HYPERLINK("https://klasma.github.io/Logging_2101/tillsyn/A 2201-2026 tillsynsbegäran.docx", "A 2201-2026")</f>
        <v/>
      </c>
      <c r="AB29">
        <f>HYPERLINK("https://klasma.github.io/Logging_2101/tillsynsmail/A 2201-2026 tillsynsbegäran mail.docx", "A 2201-2026")</f>
        <v/>
      </c>
    </row>
    <row r="30" ht="15" customHeight="1">
      <c r="A30" t="inlineStr">
        <is>
          <t>A 4180-2026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46044</v>
      </c>
      <c r="E30" s="1" t="n">
        <v>46218</v>
      </c>
      <c r="F30" t="inlineStr">
        <is>
          <t>GÄVLEBORGS LÄN</t>
        </is>
      </c>
      <c r="G30" t="inlineStr">
        <is>
          <t>OCKELBO</t>
        </is>
      </c>
      <c r="I30" t="n">
        <v>15.9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2</v>
      </c>
      <c r="T30" t="n">
        <v>2</v>
      </c>
      <c r="U30" s="2" t="inlineStr">
        <is>
          <t>Tjäder
Revlummer</t>
        </is>
      </c>
      <c r="V30">
        <f>HYPERLINK("https://klasma.github.io/Logging_2101/artfynd/A 4180-2026 artfynd.xlsx", "A 4180-2026")</f>
        <v/>
      </c>
      <c r="W30">
        <f>HYPERLINK("https://klasma.github.io/Logging_2101/kartor/A 4180-2026 karta.png", "A 4180-2026")</f>
        <v/>
      </c>
      <c r="Y30">
        <f>HYPERLINK("https://klasma.github.io/Logging_2101/klagomål/A 4180-2026 FSC-klagomål.docx", "A 4180-2026")</f>
        <v/>
      </c>
      <c r="Z30">
        <f>HYPERLINK("https://klasma.github.io/Logging_2101/klagomålsmail/A 4180-2026 FSC-klagomål mail.docx", "A 4180-2026")</f>
        <v/>
      </c>
      <c r="AA30">
        <f>HYPERLINK("https://klasma.github.io/Logging_2101/tillsyn/A 4180-2026 tillsynsbegäran.docx", "A 4180-2026")</f>
        <v/>
      </c>
      <c r="AB30">
        <f>HYPERLINK("https://klasma.github.io/Logging_2101/tillsynsmail/A 4180-2026 tillsynsbegäran mail.docx", "A 4180-2026")</f>
        <v/>
      </c>
      <c r="AC30">
        <f>HYPERLINK("https://klasma.github.io/Logging_2101/fåglar/A 4180-2026 prioriterade fågelarter.docx", "A 4180-2026")</f>
        <v/>
      </c>
    </row>
    <row r="31" ht="15" customHeight="1">
      <c r="A31" t="inlineStr">
        <is>
          <t>A 17107-2026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46114</v>
      </c>
      <c r="E31" s="1" t="n">
        <v>46218</v>
      </c>
      <c r="F31" t="inlineStr">
        <is>
          <t>GÄVLEBORGS LÄN</t>
        </is>
      </c>
      <c r="G31" t="inlineStr">
        <is>
          <t>OCKELBO</t>
        </is>
      </c>
      <c r="H31" t="inlineStr">
        <is>
          <t>Bergvik skog väst AB</t>
        </is>
      </c>
      <c r="I31" t="n">
        <v>36.8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2</v>
      </c>
      <c r="T31" t="n">
        <v>3</v>
      </c>
      <c r="U31" s="2" t="inlineStr">
        <is>
          <t>Fläcknycklar
Revlummer</t>
        </is>
      </c>
      <c r="V31">
        <f>HYPERLINK("https://klasma.github.io/Logging_2101/artfynd/A 17107-2026 artfynd.xlsx", "A 17107-2026")</f>
        <v/>
      </c>
      <c r="W31">
        <f>HYPERLINK("https://klasma.github.io/Logging_2101/kartor/A 17107-2026 karta.png", "A 17107-2026")</f>
        <v/>
      </c>
      <c r="Y31">
        <f>HYPERLINK("https://klasma.github.io/Logging_2101/klagomål/A 17107-2026 FSC-klagomål.docx", "A 17107-2026")</f>
        <v/>
      </c>
      <c r="Z31">
        <f>HYPERLINK("https://klasma.github.io/Logging_2101/klagomålsmail/A 17107-2026 FSC-klagomål mail.docx", "A 17107-2026")</f>
        <v/>
      </c>
      <c r="AA31">
        <f>HYPERLINK("https://klasma.github.io/Logging_2101/tillsyn/A 17107-2026 tillsynsbegäran.docx", "A 17107-2026")</f>
        <v/>
      </c>
      <c r="AB31">
        <f>HYPERLINK("https://klasma.github.io/Logging_2101/tillsynsmail/A 17107-2026 tillsynsbegäran mail.docx", "A 17107-2026")</f>
        <v/>
      </c>
    </row>
    <row r="32" ht="15" customHeight="1">
      <c r="A32" t="inlineStr">
        <is>
          <t>A 19145-2026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46132</v>
      </c>
      <c r="E32" s="1" t="n">
        <v>46218</v>
      </c>
      <c r="F32" t="inlineStr">
        <is>
          <t>GÄVLEBORGS LÄN</t>
        </is>
      </c>
      <c r="G32" t="inlineStr">
        <is>
          <t>OCKELBO</t>
        </is>
      </c>
      <c r="H32" t="inlineStr">
        <is>
          <t>Bergvik skog väst AB</t>
        </is>
      </c>
      <c r="I32" t="n">
        <v>11.9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4</v>
      </c>
      <c r="U32" s="2" t="inlineStr">
        <is>
          <t>Garnlav
Revlummer</t>
        </is>
      </c>
      <c r="V32">
        <f>HYPERLINK("https://klasma.github.io/Logging_2101/artfynd/A 19145-2026 artfynd.xlsx", "A 19145-2026")</f>
        <v/>
      </c>
      <c r="W32">
        <f>HYPERLINK("https://klasma.github.io/Logging_2101/kartor/A 19145-2026 karta.png", "A 19145-2026")</f>
        <v/>
      </c>
      <c r="Y32">
        <f>HYPERLINK("https://klasma.github.io/Logging_2101/klagomål/A 19145-2026 FSC-klagomål.docx", "A 19145-2026")</f>
        <v/>
      </c>
      <c r="Z32">
        <f>HYPERLINK("https://klasma.github.io/Logging_2101/klagomålsmail/A 19145-2026 FSC-klagomål mail.docx", "A 19145-2026")</f>
        <v/>
      </c>
      <c r="AA32">
        <f>HYPERLINK("https://klasma.github.io/Logging_2101/tillsyn/A 19145-2026 tillsynsbegäran.docx", "A 19145-2026")</f>
        <v/>
      </c>
      <c r="AB32">
        <f>HYPERLINK("https://klasma.github.io/Logging_2101/tillsynsmail/A 19145-2026 tillsynsbegäran mail.docx", "A 19145-2026")</f>
        <v/>
      </c>
    </row>
    <row r="33" ht="15" customHeight="1">
      <c r="A33" t="inlineStr">
        <is>
          <t>S 475-2022</t>
        </is>
      </c>
      <c r="B33" t="inlineStr">
        <is>
          <t>samrådsanmälan</t>
        </is>
      </c>
      <c r="C33" t="inlineStr">
        <is>
          <t>Skogsgödsling</t>
        </is>
      </c>
      <c r="D33" s="1" t="n">
        <v>44587</v>
      </c>
      <c r="E33" s="1" t="n">
        <v>46218</v>
      </c>
      <c r="F33" t="inlineStr">
        <is>
          <t>GÄVLEBORGS LÄN</t>
        </is>
      </c>
      <c r="G33" t="inlineStr">
        <is>
          <t>OCKELBO</t>
        </is>
      </c>
      <c r="H33" t="inlineStr">
        <is>
          <t>Bergvik skog väst AB</t>
        </is>
      </c>
      <c r="I33" t="n">
        <v>69.59999999999999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3</v>
      </c>
      <c r="U33" s="2" t="inlineStr">
        <is>
          <t>Dropptaggsvamp
Slät tallkapuschongbagge</t>
        </is>
      </c>
      <c r="V33">
        <f>HYPERLINK("https://klasma.github.io/Logging_2101/artfynd/S 475-2022 artfynd.xlsx", "S 475-2022")</f>
        <v/>
      </c>
      <c r="W33">
        <f>HYPERLINK("https://klasma.github.io/Logging_2101/kartor/S 475-2022 karta.png", "S 475-2022")</f>
        <v/>
      </c>
      <c r="Y33">
        <f>HYPERLINK("https://klasma.github.io/Logging_2101/klagomål/S 475-2022 FSC-klagomål.docx", "S 475-2022")</f>
        <v/>
      </c>
      <c r="Z33">
        <f>HYPERLINK("https://klasma.github.io/Logging_2101/klagomålsmail/S 475-2022 FSC-klagomål mail.docx", "S 475-2022")</f>
        <v/>
      </c>
      <c r="AA33">
        <f>HYPERLINK("https://klasma.github.io/Logging_2101/tillsyn/S 475-2022 tillsynsbegäran.docx", "S 475-2022")</f>
        <v/>
      </c>
      <c r="AB33">
        <f>HYPERLINK("https://klasma.github.io/Logging_2101/tillsynsmail/S 475-2022 tillsynsbegäran mail.docx", "S 475-2022")</f>
        <v/>
      </c>
    </row>
    <row r="34" ht="15" customHeight="1">
      <c r="A34" t="inlineStr">
        <is>
          <t>S 4508-2023</t>
        </is>
      </c>
      <c r="B34" t="inlineStr">
        <is>
          <t>samrådsanmälan</t>
        </is>
      </c>
      <c r="C34" t="inlineStr">
        <is>
          <t>Skogsgödsling</t>
        </is>
      </c>
      <c r="D34" s="1" t="n">
        <v>45274</v>
      </c>
      <c r="E34" s="1" t="n">
        <v>46218</v>
      </c>
      <c r="F34" t="inlineStr">
        <is>
          <t>GÄVLEBORGS LÄN</t>
        </is>
      </c>
      <c r="G34" t="inlineStr">
        <is>
          <t>OCKELBO</t>
        </is>
      </c>
      <c r="H34" t="inlineStr">
        <is>
          <t>Bergvik skog väst AB</t>
        </is>
      </c>
      <c r="I34" t="n">
        <v>90.09999999999999</v>
      </c>
      <c r="J34" t="n">
        <v>0</v>
      </c>
      <c r="K34" t="n">
        <v>0</v>
      </c>
      <c r="L34" t="n">
        <v>2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t="n">
        <v>0</v>
      </c>
      <c r="S34" t="n">
        <v>2</v>
      </c>
      <c r="T34" t="n">
        <v>3</v>
      </c>
      <c r="U34" s="2" t="inlineStr">
        <is>
          <t>Dropptaggsvamp
Slät tallkapuschongbagge</t>
        </is>
      </c>
      <c r="V34">
        <f>HYPERLINK("https://klasma.github.io/Logging_2101/artfynd/S 4508-2023 artfynd.xlsx", "S 4508-2023")</f>
        <v/>
      </c>
      <c r="W34">
        <f>HYPERLINK("https://klasma.github.io/Logging_2101/kartor/S 4508-2023 karta.png", "S 4508-2023")</f>
        <v/>
      </c>
      <c r="Y34">
        <f>HYPERLINK("https://klasma.github.io/Logging_2101/klagomål/S 4508-2023 FSC-klagomål.docx", "S 4508-2023")</f>
        <v/>
      </c>
      <c r="Z34">
        <f>HYPERLINK("https://klasma.github.io/Logging_2101/klagomålsmail/S 4508-2023 FSC-klagomål mail.docx", "S 4508-2023")</f>
        <v/>
      </c>
      <c r="AA34">
        <f>HYPERLINK("https://klasma.github.io/Logging_2101/tillsyn/S 4508-2023 tillsynsbegäran.docx", "S 4508-2023")</f>
        <v/>
      </c>
      <c r="AB34">
        <f>HYPERLINK("https://klasma.github.io/Logging_2101/tillsynsmail/S 4508-2023 tillsynsbegäran mail.docx", "S 4508-2023")</f>
        <v/>
      </c>
    </row>
    <row r="35" ht="15" customHeight="1">
      <c r="A35" t="inlineStr">
        <is>
          <t>A 64364-2023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45280</v>
      </c>
      <c r="E35" s="1" t="n">
        <v>46218</v>
      </c>
      <c r="F35" t="inlineStr">
        <is>
          <t>GÄVLEBORGS LÄN</t>
        </is>
      </c>
      <c r="G35" t="inlineStr">
        <is>
          <t>OCKELBO</t>
        </is>
      </c>
      <c r="I35" t="n">
        <v>1.8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s="2" t="inlineStr">
        <is>
          <t>Revlummer</t>
        </is>
      </c>
      <c r="V35">
        <f>HYPERLINK("https://klasma.github.io/Logging_2101/artfynd/A 64364-2023 artfynd.xlsx", "A 64364-2023")</f>
        <v/>
      </c>
      <c r="W35">
        <f>HYPERLINK("https://klasma.github.io/Logging_2101/kartor/A 64364-2023 karta.png", "A 64364-2023")</f>
        <v/>
      </c>
      <c r="Y35">
        <f>HYPERLINK("https://klasma.github.io/Logging_2101/klagomål/A 64364-2023 FSC-klagomål.docx", "A 64364-2023")</f>
        <v/>
      </c>
      <c r="Z35">
        <f>HYPERLINK("https://klasma.github.io/Logging_2101/klagomålsmail/A 64364-2023 FSC-klagomål mail.docx", "A 64364-2023")</f>
        <v/>
      </c>
      <c r="AA35">
        <f>HYPERLINK("https://klasma.github.io/Logging_2101/tillsyn/A 64364-2023 tillsynsbegäran.docx", "A 64364-2023")</f>
        <v/>
      </c>
      <c r="AB35">
        <f>HYPERLINK("https://klasma.github.io/Logging_2101/tillsynsmail/A 64364-2023 tillsynsbegäran mail.docx", "A 64364-2023")</f>
        <v/>
      </c>
    </row>
    <row r="36" ht="15" customHeight="1">
      <c r="A36" t="inlineStr">
        <is>
          <t>A 60615-2021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44496</v>
      </c>
      <c r="E36" s="1" t="n">
        <v>46218</v>
      </c>
      <c r="F36" t="inlineStr">
        <is>
          <t>GÄVLEBORGS LÄN</t>
        </is>
      </c>
      <c r="G36" t="inlineStr">
        <is>
          <t>OCKELBO</t>
        </is>
      </c>
      <c r="H36" t="inlineStr">
        <is>
          <t>Bergvik skog väst AB</t>
        </is>
      </c>
      <c r="I36" t="n">
        <v>1.4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s="2" t="inlineStr">
        <is>
          <t>Vanlig padda</t>
        </is>
      </c>
      <c r="V36">
        <f>HYPERLINK("https://klasma.github.io/Logging_2101/artfynd/A 60615-2021 artfynd.xlsx", "A 60615-2021")</f>
        <v/>
      </c>
      <c r="W36">
        <f>HYPERLINK("https://klasma.github.io/Logging_2101/kartor/A 60615-2021 karta.png", "A 60615-2021")</f>
        <v/>
      </c>
      <c r="Y36">
        <f>HYPERLINK("https://klasma.github.io/Logging_2101/klagomål/A 60615-2021 FSC-klagomål.docx", "A 60615-2021")</f>
        <v/>
      </c>
      <c r="Z36">
        <f>HYPERLINK("https://klasma.github.io/Logging_2101/klagomålsmail/A 60615-2021 FSC-klagomål mail.docx", "A 60615-2021")</f>
        <v/>
      </c>
      <c r="AA36">
        <f>HYPERLINK("https://klasma.github.io/Logging_2101/tillsyn/A 60615-2021 tillsynsbegäran.docx", "A 60615-2021")</f>
        <v/>
      </c>
      <c r="AB36">
        <f>HYPERLINK("https://klasma.github.io/Logging_2101/tillsynsmail/A 60615-2021 tillsynsbegäran mail.docx", "A 60615-2021")</f>
        <v/>
      </c>
    </row>
    <row r="37" ht="15" customHeight="1">
      <c r="A37" t="inlineStr">
        <is>
          <t>A 57946-2023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45247</v>
      </c>
      <c r="E37" s="1" t="n">
        <v>46218</v>
      </c>
      <c r="F37" t="inlineStr">
        <is>
          <t>GÄVLEBORGS LÄN</t>
        </is>
      </c>
      <c r="G37" t="inlineStr">
        <is>
          <t>OCKELBO</t>
        </is>
      </c>
      <c r="H37" t="inlineStr">
        <is>
          <t>Bergvik skog väst AB</t>
        </is>
      </c>
      <c r="I37" t="n">
        <v>2.4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s="2" t="inlineStr">
        <is>
          <t>Revlummer</t>
        </is>
      </c>
      <c r="V37">
        <f>HYPERLINK("https://klasma.github.io/Logging_2101/artfynd/A 57946-2023 artfynd.xlsx", "A 57946-2023")</f>
        <v/>
      </c>
      <c r="W37">
        <f>HYPERLINK("https://klasma.github.io/Logging_2101/kartor/A 57946-2023 karta.png", "A 57946-2023")</f>
        <v/>
      </c>
      <c r="Y37">
        <f>HYPERLINK("https://klasma.github.io/Logging_2101/klagomål/A 57946-2023 FSC-klagomål.docx", "A 57946-2023")</f>
        <v/>
      </c>
      <c r="Z37">
        <f>HYPERLINK("https://klasma.github.io/Logging_2101/klagomålsmail/A 57946-2023 FSC-klagomål mail.docx", "A 57946-2023")</f>
        <v/>
      </c>
      <c r="AA37">
        <f>HYPERLINK("https://klasma.github.io/Logging_2101/tillsyn/A 57946-2023 tillsynsbegäran.docx", "A 57946-2023")</f>
        <v/>
      </c>
      <c r="AB37">
        <f>HYPERLINK("https://klasma.github.io/Logging_2101/tillsynsmail/A 57946-2023 tillsynsbegäran mail.docx", "A 57946-2023")</f>
        <v/>
      </c>
    </row>
    <row r="38" ht="15" customHeight="1">
      <c r="A38" t="inlineStr">
        <is>
          <t>A 46481-2024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45582</v>
      </c>
      <c r="E38" s="1" t="n">
        <v>46218</v>
      </c>
      <c r="F38" t="inlineStr">
        <is>
          <t>GÄVLEBORGS LÄN</t>
        </is>
      </c>
      <c r="G38" t="inlineStr">
        <is>
          <t>OCKELBO</t>
        </is>
      </c>
      <c r="H38" t="inlineStr">
        <is>
          <t>Bergvik skog väst AB</t>
        </is>
      </c>
      <c r="I38" t="n">
        <v>2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s="2" t="inlineStr">
        <is>
          <t>Dropptaggsvamp</t>
        </is>
      </c>
      <c r="V38">
        <f>HYPERLINK("https://klasma.github.io/Logging_2101/artfynd/A 46481-2024 artfynd.xlsx", "A 46481-2024")</f>
        <v/>
      </c>
      <c r="W38">
        <f>HYPERLINK("https://klasma.github.io/Logging_2101/kartor/A 46481-2024 karta.png", "A 46481-2024")</f>
        <v/>
      </c>
      <c r="Y38">
        <f>HYPERLINK("https://klasma.github.io/Logging_2101/klagomål/A 46481-2024 FSC-klagomål.docx", "A 46481-2024")</f>
        <v/>
      </c>
      <c r="Z38">
        <f>HYPERLINK("https://klasma.github.io/Logging_2101/klagomålsmail/A 46481-2024 FSC-klagomål mail.docx", "A 46481-2024")</f>
        <v/>
      </c>
      <c r="AA38">
        <f>HYPERLINK("https://klasma.github.io/Logging_2101/tillsyn/A 46481-2024 tillsynsbegäran.docx", "A 46481-2024")</f>
        <v/>
      </c>
      <c r="AB38">
        <f>HYPERLINK("https://klasma.github.io/Logging_2101/tillsynsmail/A 46481-2024 tillsynsbegäran mail.docx", "A 46481-2024")</f>
        <v/>
      </c>
    </row>
    <row r="39" ht="15" customHeight="1">
      <c r="A39" t="inlineStr">
        <is>
          <t>A 15841-2023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45022</v>
      </c>
      <c r="E39" s="1" t="n">
        <v>46218</v>
      </c>
      <c r="F39" t="inlineStr">
        <is>
          <t>GÄVLEBORGS LÄN</t>
        </is>
      </c>
      <c r="G39" t="inlineStr">
        <is>
          <t>OCKELBO</t>
        </is>
      </c>
      <c r="H39" t="inlineStr">
        <is>
          <t>Bergvik skog väst AB</t>
        </is>
      </c>
      <c r="I39" t="n">
        <v>2.1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s="2" t="inlineStr">
        <is>
          <t>Havsörn</t>
        </is>
      </c>
      <c r="V39">
        <f>HYPERLINK("https://klasma.github.io/Logging_2101/artfynd/A 15841-2023 artfynd.xlsx", "A 15841-2023")</f>
        <v/>
      </c>
      <c r="W39">
        <f>HYPERLINK("https://klasma.github.io/Logging_2101/kartor/A 15841-2023 karta.png", "A 15841-2023")</f>
        <v/>
      </c>
      <c r="Y39">
        <f>HYPERLINK("https://klasma.github.io/Logging_2101/klagomål/A 15841-2023 FSC-klagomål.docx", "A 15841-2023")</f>
        <v/>
      </c>
      <c r="Z39">
        <f>HYPERLINK("https://klasma.github.io/Logging_2101/klagomålsmail/A 15841-2023 FSC-klagomål mail.docx", "A 15841-2023")</f>
        <v/>
      </c>
      <c r="AA39">
        <f>HYPERLINK("https://klasma.github.io/Logging_2101/tillsyn/A 15841-2023 tillsynsbegäran.docx", "A 15841-2023")</f>
        <v/>
      </c>
      <c r="AB39">
        <f>HYPERLINK("https://klasma.github.io/Logging_2101/tillsynsmail/A 15841-2023 tillsynsbegäran mail.docx", "A 15841-2023")</f>
        <v/>
      </c>
      <c r="AC39">
        <f>HYPERLINK("https://klasma.github.io/Logging_2101/fåglar/A 15841-2023 prioriterade fågelarter.docx", "A 15841-2023")</f>
        <v/>
      </c>
    </row>
    <row r="40" ht="15" customHeight="1">
      <c r="A40" t="inlineStr">
        <is>
          <t>A 4226-2023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44953</v>
      </c>
      <c r="E40" s="1" t="n">
        <v>46218</v>
      </c>
      <c r="F40" t="inlineStr">
        <is>
          <t>GÄVLEBORGS LÄN</t>
        </is>
      </c>
      <c r="G40" t="inlineStr">
        <is>
          <t>OCKELBO</t>
        </is>
      </c>
      <c r="H40" t="inlineStr">
        <is>
          <t>Bergvik skog väst AB</t>
        </is>
      </c>
      <c r="I40" t="n">
        <v>2.4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s="2" t="inlineStr">
        <is>
          <t>Skogsknipprot</t>
        </is>
      </c>
      <c r="V40">
        <f>HYPERLINK("https://klasma.github.io/Logging_2101/artfynd/A 4226-2023 artfynd.xlsx", "A 4226-2023")</f>
        <v/>
      </c>
      <c r="W40">
        <f>HYPERLINK("https://klasma.github.io/Logging_2101/kartor/A 4226-2023 karta.png", "A 4226-2023")</f>
        <v/>
      </c>
      <c r="Y40">
        <f>HYPERLINK("https://klasma.github.io/Logging_2101/klagomål/A 4226-2023 FSC-klagomål.docx", "A 4226-2023")</f>
        <v/>
      </c>
      <c r="Z40">
        <f>HYPERLINK("https://klasma.github.io/Logging_2101/klagomålsmail/A 4226-2023 FSC-klagomål mail.docx", "A 4226-2023")</f>
        <v/>
      </c>
      <c r="AA40">
        <f>HYPERLINK("https://klasma.github.io/Logging_2101/tillsyn/A 4226-2023 tillsynsbegäran.docx", "A 4226-2023")</f>
        <v/>
      </c>
      <c r="AB40">
        <f>HYPERLINK("https://klasma.github.io/Logging_2101/tillsynsmail/A 4226-2023 tillsynsbegäran mail.docx", "A 4226-2023")</f>
        <v/>
      </c>
    </row>
    <row r="41" ht="15" customHeight="1">
      <c r="A41" t="inlineStr">
        <is>
          <t>A 16738-2025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45754</v>
      </c>
      <c r="E41" s="1" t="n">
        <v>46218</v>
      </c>
      <c r="F41" t="inlineStr">
        <is>
          <t>GÄVLEBORGS LÄN</t>
        </is>
      </c>
      <c r="G41" t="inlineStr">
        <is>
          <t>OCKELBO</t>
        </is>
      </c>
      <c r="I41" t="n">
        <v>0.5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s="2" t="inlineStr">
        <is>
          <t>Fläcknycklar</t>
        </is>
      </c>
      <c r="V41">
        <f>HYPERLINK("https://klasma.github.io/Logging_2101/artfynd/A 16738-2025 artfynd.xlsx", "A 16738-2025")</f>
        <v/>
      </c>
      <c r="W41">
        <f>HYPERLINK("https://klasma.github.io/Logging_2101/kartor/A 16738-2025 karta.png", "A 16738-2025")</f>
        <v/>
      </c>
      <c r="Y41">
        <f>HYPERLINK("https://klasma.github.io/Logging_2101/klagomål/A 16738-2025 FSC-klagomål.docx", "A 16738-2025")</f>
        <v/>
      </c>
      <c r="Z41">
        <f>HYPERLINK("https://klasma.github.io/Logging_2101/klagomålsmail/A 16738-2025 FSC-klagomål mail.docx", "A 16738-2025")</f>
        <v/>
      </c>
      <c r="AA41">
        <f>HYPERLINK("https://klasma.github.io/Logging_2101/tillsyn/A 16738-2025 tillsynsbegäran.docx", "A 16738-2025")</f>
        <v/>
      </c>
      <c r="AB41">
        <f>HYPERLINK("https://klasma.github.io/Logging_2101/tillsynsmail/A 16738-2025 tillsynsbegäran mail.docx", "A 16738-2025")</f>
        <v/>
      </c>
    </row>
    <row r="42" ht="15" customHeight="1">
      <c r="A42" t="inlineStr">
        <is>
          <t>A 33384-2024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45519</v>
      </c>
      <c r="E42" s="1" t="n">
        <v>46218</v>
      </c>
      <c r="F42" t="inlineStr">
        <is>
          <t>GÄVLEBORGS LÄN</t>
        </is>
      </c>
      <c r="G42" t="inlineStr">
        <is>
          <t>OCKELBO</t>
        </is>
      </c>
      <c r="I42" t="n">
        <v>3.8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s="2" t="inlineStr">
        <is>
          <t>Plattlummer</t>
        </is>
      </c>
      <c r="V42">
        <f>HYPERLINK("https://klasma.github.io/Logging_2101/artfynd/A 33384-2024 artfynd.xlsx", "A 33384-2024")</f>
        <v/>
      </c>
      <c r="W42">
        <f>HYPERLINK("https://klasma.github.io/Logging_2101/kartor/A 33384-2024 karta.png", "A 33384-2024")</f>
        <v/>
      </c>
      <c r="Y42">
        <f>HYPERLINK("https://klasma.github.io/Logging_2101/klagomål/A 33384-2024 FSC-klagomål.docx", "A 33384-2024")</f>
        <v/>
      </c>
      <c r="Z42">
        <f>HYPERLINK("https://klasma.github.io/Logging_2101/klagomålsmail/A 33384-2024 FSC-klagomål mail.docx", "A 33384-2024")</f>
        <v/>
      </c>
      <c r="AA42">
        <f>HYPERLINK("https://klasma.github.io/Logging_2101/tillsyn/A 33384-2024 tillsynsbegäran.docx", "A 33384-2024")</f>
        <v/>
      </c>
      <c r="AB42">
        <f>HYPERLINK("https://klasma.github.io/Logging_2101/tillsynsmail/A 33384-2024 tillsynsbegäran mail.docx", "A 33384-2024")</f>
        <v/>
      </c>
    </row>
    <row r="43" ht="15" customHeight="1">
      <c r="A43" t="inlineStr">
        <is>
          <t>A 55778-2025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45972</v>
      </c>
      <c r="E43" s="1" t="n">
        <v>46218</v>
      </c>
      <c r="F43" t="inlineStr">
        <is>
          <t>GÄVLEBORGS LÄN</t>
        </is>
      </c>
      <c r="G43" t="inlineStr">
        <is>
          <t>OCKELBO</t>
        </is>
      </c>
      <c r="H43" t="inlineStr">
        <is>
          <t>Bergvik skog väst AB</t>
        </is>
      </c>
      <c r="I43" t="n">
        <v>12.3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s="2" t="inlineStr">
        <is>
          <t>Fläcknycklar</t>
        </is>
      </c>
      <c r="V43">
        <f>HYPERLINK("https://klasma.github.io/Logging_2101/artfynd/A 55778-2025 artfynd.xlsx", "A 55778-2025")</f>
        <v/>
      </c>
      <c r="W43">
        <f>HYPERLINK("https://klasma.github.io/Logging_2101/kartor/A 55778-2025 karta.png", "A 55778-2025")</f>
        <v/>
      </c>
      <c r="Y43">
        <f>HYPERLINK("https://klasma.github.io/Logging_2101/klagomål/A 55778-2025 FSC-klagomål.docx", "A 55778-2025")</f>
        <v/>
      </c>
      <c r="Z43">
        <f>HYPERLINK("https://klasma.github.io/Logging_2101/klagomålsmail/A 55778-2025 FSC-klagomål mail.docx", "A 55778-2025")</f>
        <v/>
      </c>
      <c r="AA43">
        <f>HYPERLINK("https://klasma.github.io/Logging_2101/tillsyn/A 55778-2025 tillsynsbegäran.docx", "A 55778-2025")</f>
        <v/>
      </c>
      <c r="AB43">
        <f>HYPERLINK("https://klasma.github.io/Logging_2101/tillsynsmail/A 55778-2025 tillsynsbegäran mail.docx", "A 55778-2025")</f>
        <v/>
      </c>
    </row>
    <row r="44" ht="15" customHeight="1">
      <c r="A44" t="inlineStr">
        <is>
          <t>A 8475-2026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46065</v>
      </c>
      <c r="E44" s="1" t="n">
        <v>46218</v>
      </c>
      <c r="F44" t="inlineStr">
        <is>
          <t>GÄVLEBORGS LÄN</t>
        </is>
      </c>
      <c r="G44" t="inlineStr">
        <is>
          <t>OCKELBO</t>
        </is>
      </c>
      <c r="H44" t="inlineStr">
        <is>
          <t>Bergvik skog väst AB</t>
        </is>
      </c>
      <c r="I44" t="n">
        <v>5.2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s="2" t="inlineStr">
        <is>
          <t>Revlummer</t>
        </is>
      </c>
      <c r="V44">
        <f>HYPERLINK("https://klasma.github.io/Logging_2101/artfynd/A 8475-2026 artfynd.xlsx", "A 8475-2026")</f>
        <v/>
      </c>
      <c r="W44">
        <f>HYPERLINK("https://klasma.github.io/Logging_2101/kartor/A 8475-2026 karta.png", "A 8475-2026")</f>
        <v/>
      </c>
      <c r="Y44">
        <f>HYPERLINK("https://klasma.github.io/Logging_2101/klagomål/A 8475-2026 FSC-klagomål.docx", "A 8475-2026")</f>
        <v/>
      </c>
      <c r="Z44">
        <f>HYPERLINK("https://klasma.github.io/Logging_2101/klagomålsmail/A 8475-2026 FSC-klagomål mail.docx", "A 8475-2026")</f>
        <v/>
      </c>
      <c r="AA44">
        <f>HYPERLINK("https://klasma.github.io/Logging_2101/tillsyn/A 8475-2026 tillsynsbegäran.docx", "A 8475-2026")</f>
        <v/>
      </c>
      <c r="AB44">
        <f>HYPERLINK("https://klasma.github.io/Logging_2101/tillsynsmail/A 8475-2026 tillsynsbegäran mail.docx", "A 8475-2026")</f>
        <v/>
      </c>
    </row>
    <row r="45" ht="15" customHeight="1">
      <c r="A45" t="inlineStr">
        <is>
          <t>A 22821-2024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45448</v>
      </c>
      <c r="E45" s="1" t="n">
        <v>46218</v>
      </c>
      <c r="F45" t="inlineStr">
        <is>
          <t>GÄVLEBORGS LÄN</t>
        </is>
      </c>
      <c r="G45" t="inlineStr">
        <is>
          <t>OCKELBO</t>
        </is>
      </c>
      <c r="H45" t="inlineStr">
        <is>
          <t>Bergvik skog väst AB</t>
        </is>
      </c>
      <c r="I45" t="n">
        <v>2.5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s="2" t="inlineStr">
        <is>
          <t>Tibast</t>
        </is>
      </c>
      <c r="V45">
        <f>HYPERLINK("https://klasma.github.io/Logging_2101/artfynd/A 22821-2024 artfynd.xlsx", "A 22821-2024")</f>
        <v/>
      </c>
      <c r="W45">
        <f>HYPERLINK("https://klasma.github.io/Logging_2101/kartor/A 22821-2024 karta.png", "A 22821-2024")</f>
        <v/>
      </c>
      <c r="Y45">
        <f>HYPERLINK("https://klasma.github.io/Logging_2101/klagomål/A 22821-2024 FSC-klagomål.docx", "A 22821-2024")</f>
        <v/>
      </c>
      <c r="Z45">
        <f>HYPERLINK("https://klasma.github.io/Logging_2101/klagomålsmail/A 22821-2024 FSC-klagomål mail.docx", "A 22821-2024")</f>
        <v/>
      </c>
      <c r="AA45">
        <f>HYPERLINK("https://klasma.github.io/Logging_2101/tillsyn/A 22821-2024 tillsynsbegäran.docx", "A 22821-2024")</f>
        <v/>
      </c>
      <c r="AB45">
        <f>HYPERLINK("https://klasma.github.io/Logging_2101/tillsynsmail/A 22821-2024 tillsynsbegäran mail.docx", "A 22821-2024")</f>
        <v/>
      </c>
    </row>
    <row r="46" ht="15" customHeight="1">
      <c r="A46" t="inlineStr">
        <is>
          <t>A 9155-2026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46070</v>
      </c>
      <c r="E46" s="1" t="n">
        <v>46218</v>
      </c>
      <c r="F46" t="inlineStr">
        <is>
          <t>GÄVLEBORGS LÄN</t>
        </is>
      </c>
      <c r="G46" t="inlineStr">
        <is>
          <t>OCKELBO</t>
        </is>
      </c>
      <c r="H46" t="inlineStr">
        <is>
          <t>Bergvik skog väst AB</t>
        </is>
      </c>
      <c r="I46" t="n">
        <v>4.2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s="2" t="inlineStr">
        <is>
          <t>Kolflarnlav</t>
        </is>
      </c>
      <c r="V46">
        <f>HYPERLINK("https://klasma.github.io/Logging_2101/artfynd/A 9155-2026 artfynd.xlsx", "A 9155-2026")</f>
        <v/>
      </c>
      <c r="W46">
        <f>HYPERLINK("https://klasma.github.io/Logging_2101/kartor/A 9155-2026 karta.png", "A 9155-2026")</f>
        <v/>
      </c>
      <c r="Y46">
        <f>HYPERLINK("https://klasma.github.io/Logging_2101/klagomål/A 9155-2026 FSC-klagomål.docx", "A 9155-2026")</f>
        <v/>
      </c>
      <c r="Z46">
        <f>HYPERLINK("https://klasma.github.io/Logging_2101/klagomålsmail/A 9155-2026 FSC-klagomål mail.docx", "A 9155-2026")</f>
        <v/>
      </c>
      <c r="AA46">
        <f>HYPERLINK("https://klasma.github.io/Logging_2101/tillsyn/A 9155-2026 tillsynsbegäran.docx", "A 9155-2026")</f>
        <v/>
      </c>
      <c r="AB46">
        <f>HYPERLINK("https://klasma.github.io/Logging_2101/tillsynsmail/A 9155-2026 tillsynsbegäran mail.docx", "A 9155-2026")</f>
        <v/>
      </c>
    </row>
    <row r="47" ht="15" customHeight="1">
      <c r="A47" t="inlineStr">
        <is>
          <t>A 26448-2024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45469</v>
      </c>
      <c r="E47" s="1" t="n">
        <v>46218</v>
      </c>
      <c r="F47" t="inlineStr">
        <is>
          <t>GÄVLEBORGS LÄN</t>
        </is>
      </c>
      <c r="G47" t="inlineStr">
        <is>
          <t>OCKELBO</t>
        </is>
      </c>
      <c r="H47" t="inlineStr">
        <is>
          <t>Bergvik skog väst AB</t>
        </is>
      </c>
      <c r="I47" t="n">
        <v>4.5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s="2" t="inlineStr">
        <is>
          <t>Fläcknycklar</t>
        </is>
      </c>
      <c r="V47">
        <f>HYPERLINK("https://klasma.github.io/Logging_2101/artfynd/A 26448-2024 artfynd.xlsx", "A 26448-2024")</f>
        <v/>
      </c>
      <c r="W47">
        <f>HYPERLINK("https://klasma.github.io/Logging_2101/kartor/A 26448-2024 karta.png", "A 26448-2024")</f>
        <v/>
      </c>
      <c r="Y47">
        <f>HYPERLINK("https://klasma.github.io/Logging_2101/klagomål/A 26448-2024 FSC-klagomål.docx", "A 26448-2024")</f>
        <v/>
      </c>
      <c r="Z47">
        <f>HYPERLINK("https://klasma.github.io/Logging_2101/klagomålsmail/A 26448-2024 FSC-klagomål mail.docx", "A 26448-2024")</f>
        <v/>
      </c>
      <c r="AA47">
        <f>HYPERLINK("https://klasma.github.io/Logging_2101/tillsyn/A 26448-2024 tillsynsbegäran.docx", "A 26448-2024")</f>
        <v/>
      </c>
      <c r="AB47">
        <f>HYPERLINK("https://klasma.github.io/Logging_2101/tillsynsmail/A 26448-2024 tillsynsbegäran mail.docx", "A 26448-2024")</f>
        <v/>
      </c>
    </row>
    <row r="48" ht="15" customHeight="1">
      <c r="A48" t="inlineStr">
        <is>
          <t>A 20233-2026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46139</v>
      </c>
      <c r="E48" s="1" t="n">
        <v>46218</v>
      </c>
      <c r="F48" t="inlineStr">
        <is>
          <t>GÄVLEBORGS LÄN</t>
        </is>
      </c>
      <c r="G48" t="inlineStr">
        <is>
          <t>OCKELBO</t>
        </is>
      </c>
      <c r="H48" t="inlineStr">
        <is>
          <t>Bergvik skog väst AB</t>
        </is>
      </c>
      <c r="I48" t="n">
        <v>17.9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3</v>
      </c>
      <c r="U48" s="2" t="inlineStr">
        <is>
          <t>Tibast</t>
        </is>
      </c>
      <c r="V48">
        <f>HYPERLINK("https://klasma.github.io/Logging_2101/artfynd/A 20233-2026 artfynd.xlsx", "A 20233-2026")</f>
        <v/>
      </c>
      <c r="W48">
        <f>HYPERLINK("https://klasma.github.io/Logging_2101/kartor/A 20233-2026 karta.png", "A 20233-2026")</f>
        <v/>
      </c>
      <c r="Y48">
        <f>HYPERLINK("https://klasma.github.io/Logging_2101/klagomål/A 20233-2026 FSC-klagomål.docx", "A 20233-2026")</f>
        <v/>
      </c>
      <c r="Z48">
        <f>HYPERLINK("https://klasma.github.io/Logging_2101/klagomålsmail/A 20233-2026 FSC-klagomål mail.docx", "A 20233-2026")</f>
        <v/>
      </c>
      <c r="AA48">
        <f>HYPERLINK("https://klasma.github.io/Logging_2101/tillsyn/A 20233-2026 tillsynsbegäran.docx", "A 20233-2026")</f>
        <v/>
      </c>
      <c r="AB48">
        <f>HYPERLINK("https://klasma.github.io/Logging_2101/tillsynsmail/A 20233-2026 tillsynsbegäran mail.docx", "A 20233-2026")</f>
        <v/>
      </c>
    </row>
    <row r="49" ht="15" customHeight="1">
      <c r="A49" t="inlineStr">
        <is>
          <t>A 15039-2026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46104</v>
      </c>
      <c r="E49" s="1" t="n">
        <v>46218</v>
      </c>
      <c r="F49" t="inlineStr">
        <is>
          <t>GÄVLEBORGS LÄN</t>
        </is>
      </c>
      <c r="G49" t="inlineStr">
        <is>
          <t>OCKELBO</t>
        </is>
      </c>
      <c r="H49" t="inlineStr">
        <is>
          <t>Bergvik skog väst AB</t>
        </is>
      </c>
      <c r="I49" t="n">
        <v>18.2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s="2" t="inlineStr">
        <is>
          <t>Tjäder</t>
        </is>
      </c>
      <c r="V49">
        <f>HYPERLINK("https://klasma.github.io/Logging_2101/artfynd/A 15039-2026 artfynd.xlsx", "A 15039-2026")</f>
        <v/>
      </c>
      <c r="W49">
        <f>HYPERLINK("https://klasma.github.io/Logging_2101/kartor/A 15039-2026 karta.png", "A 15039-2026")</f>
        <v/>
      </c>
      <c r="Y49">
        <f>HYPERLINK("https://klasma.github.io/Logging_2101/klagomål/A 15039-2026 FSC-klagomål.docx", "A 15039-2026")</f>
        <v/>
      </c>
      <c r="Z49">
        <f>HYPERLINK("https://klasma.github.io/Logging_2101/klagomålsmail/A 15039-2026 FSC-klagomål mail.docx", "A 15039-2026")</f>
        <v/>
      </c>
      <c r="AA49">
        <f>HYPERLINK("https://klasma.github.io/Logging_2101/tillsyn/A 15039-2026 tillsynsbegäran.docx", "A 15039-2026")</f>
        <v/>
      </c>
      <c r="AB49">
        <f>HYPERLINK("https://klasma.github.io/Logging_2101/tillsynsmail/A 15039-2026 tillsynsbegäran mail.docx", "A 15039-2026")</f>
        <v/>
      </c>
      <c r="AC49">
        <f>HYPERLINK("https://klasma.github.io/Logging_2101/fåglar/A 15039-2026 prioriterade fågelarter.docx", "A 15039-2026")</f>
        <v/>
      </c>
    </row>
    <row r="50" ht="15" customHeight="1">
      <c r="A50" t="inlineStr">
        <is>
          <t>A 11970-2026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46085</v>
      </c>
      <c r="E50" s="1" t="n">
        <v>46218</v>
      </c>
      <c r="F50" t="inlineStr">
        <is>
          <t>GÄVLEBORGS LÄN</t>
        </is>
      </c>
      <c r="G50" t="inlineStr">
        <is>
          <t>OCKELBO</t>
        </is>
      </c>
      <c r="H50" t="inlineStr">
        <is>
          <t>Bergvik skog väst AB</t>
        </is>
      </c>
      <c r="I50" t="n">
        <v>10.9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s="2" t="inlineStr">
        <is>
          <t>Järpe</t>
        </is>
      </c>
      <c r="V50">
        <f>HYPERLINK("https://klasma.github.io/Logging_2101/artfynd/A 11970-2026 artfynd.xlsx", "A 11970-2026")</f>
        <v/>
      </c>
      <c r="W50">
        <f>HYPERLINK("https://klasma.github.io/Logging_2101/kartor/A 11970-2026 karta.png", "A 11970-2026")</f>
        <v/>
      </c>
      <c r="Y50">
        <f>HYPERLINK("https://klasma.github.io/Logging_2101/klagomål/A 11970-2026 FSC-klagomål.docx", "A 11970-2026")</f>
        <v/>
      </c>
      <c r="Z50">
        <f>HYPERLINK("https://klasma.github.io/Logging_2101/klagomålsmail/A 11970-2026 FSC-klagomål mail.docx", "A 11970-2026")</f>
        <v/>
      </c>
      <c r="AA50">
        <f>HYPERLINK("https://klasma.github.io/Logging_2101/tillsyn/A 11970-2026 tillsynsbegäran.docx", "A 11970-2026")</f>
        <v/>
      </c>
      <c r="AB50">
        <f>HYPERLINK("https://klasma.github.io/Logging_2101/tillsynsmail/A 11970-2026 tillsynsbegäran mail.docx", "A 11970-2026")</f>
        <v/>
      </c>
      <c r="AC50">
        <f>HYPERLINK("https://klasma.github.io/Logging_2101/fåglar/A 11970-2026 prioriterade fågelarter.docx", "A 11970-2026")</f>
        <v/>
      </c>
    </row>
    <row r="51" ht="15" customHeight="1">
      <c r="A51" t="inlineStr">
        <is>
          <t>A 10448-2026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46077</v>
      </c>
      <c r="E51" s="1" t="n">
        <v>46218</v>
      </c>
      <c r="F51" t="inlineStr">
        <is>
          <t>GÄVLEBORGS LÄN</t>
        </is>
      </c>
      <c r="G51" t="inlineStr">
        <is>
          <t>OCKELBO</t>
        </is>
      </c>
      <c r="H51" t="inlineStr">
        <is>
          <t>Bergvik skog väst AB</t>
        </is>
      </c>
      <c r="I51" t="n">
        <v>3.6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s="2" t="inlineStr">
        <is>
          <t>Plattlummer</t>
        </is>
      </c>
      <c r="V51">
        <f>HYPERLINK("https://klasma.github.io/Logging_2101/artfynd/A 10448-2026 artfynd.xlsx", "A 10448-2026")</f>
        <v/>
      </c>
      <c r="W51">
        <f>HYPERLINK("https://klasma.github.io/Logging_2101/kartor/A 10448-2026 karta.png", "A 10448-2026")</f>
        <v/>
      </c>
      <c r="Y51">
        <f>HYPERLINK("https://klasma.github.io/Logging_2101/klagomål/A 10448-2026 FSC-klagomål.docx", "A 10448-2026")</f>
        <v/>
      </c>
      <c r="Z51">
        <f>HYPERLINK("https://klasma.github.io/Logging_2101/klagomålsmail/A 10448-2026 FSC-klagomål mail.docx", "A 10448-2026")</f>
        <v/>
      </c>
      <c r="AA51">
        <f>HYPERLINK("https://klasma.github.io/Logging_2101/tillsyn/A 10448-2026 tillsynsbegäran.docx", "A 10448-2026")</f>
        <v/>
      </c>
      <c r="AB51">
        <f>HYPERLINK("https://klasma.github.io/Logging_2101/tillsynsmail/A 10448-2026 tillsynsbegäran mail.docx", "A 10448-2026")</f>
        <v/>
      </c>
    </row>
    <row r="52" ht="15" customHeight="1">
      <c r="A52" t="inlineStr">
        <is>
          <t>A 62989-2025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46009</v>
      </c>
      <c r="E52" s="1" t="n">
        <v>46218</v>
      </c>
      <c r="F52" t="inlineStr">
        <is>
          <t>GÄVLEBORGS LÄN</t>
        </is>
      </c>
      <c r="G52" t="inlineStr">
        <is>
          <t>OCKELBO</t>
        </is>
      </c>
      <c r="I52" t="n">
        <v>1.7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s="2" t="inlineStr">
        <is>
          <t>Kortskaftad ärgspik</t>
        </is>
      </c>
      <c r="V52">
        <f>HYPERLINK("https://klasma.github.io/Logging_2101/artfynd/A 62989-2025 artfynd.xlsx", "A 62989-2025")</f>
        <v/>
      </c>
      <c r="W52">
        <f>HYPERLINK("https://klasma.github.io/Logging_2101/kartor/A 62989-2025 karta.png", "A 62989-2025")</f>
        <v/>
      </c>
      <c r="Y52">
        <f>HYPERLINK("https://klasma.github.io/Logging_2101/klagomål/A 62989-2025 FSC-klagomål.docx", "A 62989-2025")</f>
        <v/>
      </c>
      <c r="Z52">
        <f>HYPERLINK("https://klasma.github.io/Logging_2101/klagomålsmail/A 62989-2025 FSC-klagomål mail.docx", "A 62989-2025")</f>
        <v/>
      </c>
      <c r="AA52">
        <f>HYPERLINK("https://klasma.github.io/Logging_2101/tillsyn/A 62989-2025 tillsynsbegäran.docx", "A 62989-2025")</f>
        <v/>
      </c>
      <c r="AB52">
        <f>HYPERLINK("https://klasma.github.io/Logging_2101/tillsynsmail/A 62989-2025 tillsynsbegäran mail.docx", "A 62989-2025")</f>
        <v/>
      </c>
    </row>
    <row r="53" ht="15" customHeight="1">
      <c r="A53" t="inlineStr">
        <is>
          <t>A 2923-2026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46038</v>
      </c>
      <c r="E53" s="1" t="n">
        <v>46218</v>
      </c>
      <c r="F53" t="inlineStr">
        <is>
          <t>GÄVLEBORGS LÄN</t>
        </is>
      </c>
      <c r="G53" t="inlineStr">
        <is>
          <t>OCKELBO</t>
        </is>
      </c>
      <c r="I53" t="n">
        <v>2.8</v>
      </c>
      <c r="J53" t="n">
        <v>1</v>
      </c>
      <c r="K53" t="n">
        <v>0</v>
      </c>
      <c r="L53" t="n">
        <v>0</v>
      </c>
      <c r="M53" t="n">
        <v>1</v>
      </c>
      <c r="N53" t="n">
        <v>0</v>
      </c>
      <c r="O53" t="n">
        <v>0</v>
      </c>
      <c r="P53" t="n">
        <v>0</v>
      </c>
      <c r="Q53" t="n">
        <v>1</v>
      </c>
      <c r="R53" t="n">
        <v>1</v>
      </c>
      <c r="S53" t="n">
        <v>1</v>
      </c>
      <c r="T53" t="n">
        <v>1</v>
      </c>
      <c r="U53" s="2" t="inlineStr">
        <is>
          <t>Knärot</t>
        </is>
      </c>
      <c r="V53">
        <f>HYPERLINK("https://klasma.github.io/Logging_2101/artfynd/A 2923-2026 artfynd.xlsx", "A 2923-2026")</f>
        <v/>
      </c>
      <c r="W53">
        <f>HYPERLINK("https://klasma.github.io/Logging_2101/kartor/A 2923-2026 karta.png", "A 2923-2026")</f>
        <v/>
      </c>
      <c r="X53">
        <f>HYPERLINK("https://klasma.github.io/Logging_2101/knärot/A 2923-2026 karta knärot.png", "A 2923-2026")</f>
        <v/>
      </c>
      <c r="Y53">
        <f>HYPERLINK("https://klasma.github.io/Logging_2101/klagomål/A 2923-2026 FSC-klagomål.docx", "A 2923-2026")</f>
        <v/>
      </c>
      <c r="Z53">
        <f>HYPERLINK("https://klasma.github.io/Logging_2101/klagomålsmail/A 2923-2026 FSC-klagomål mail.docx", "A 2923-2026")</f>
        <v/>
      </c>
      <c r="AA53">
        <f>HYPERLINK("https://klasma.github.io/Logging_2101/tillsyn/A 2923-2026 tillsynsbegäran.docx", "A 2923-2026")</f>
        <v/>
      </c>
      <c r="AB53">
        <f>HYPERLINK("https://klasma.github.io/Logging_2101/tillsynsmail/A 2923-2026 tillsynsbegäran mail.docx", "A 2923-2026")</f>
        <v/>
      </c>
    </row>
    <row r="54" ht="15" customHeight="1">
      <c r="A54" t="inlineStr">
        <is>
          <t>A 6121-2026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46053</v>
      </c>
      <c r="E54" s="1" t="n">
        <v>46218</v>
      </c>
      <c r="F54" t="inlineStr">
        <is>
          <t>GÄVLEBORGS LÄN</t>
        </is>
      </c>
      <c r="G54" t="inlineStr">
        <is>
          <t>OCKELBO</t>
        </is>
      </c>
      <c r="I54" t="n">
        <v>2.6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s="2" t="inlineStr">
        <is>
          <t>Tjäder</t>
        </is>
      </c>
      <c r="V54">
        <f>HYPERLINK("https://klasma.github.io/Logging_2101/artfynd/A 6121-2026 artfynd.xlsx", "A 6121-2026")</f>
        <v/>
      </c>
      <c r="W54">
        <f>HYPERLINK("https://klasma.github.io/Logging_2101/kartor/A 6121-2026 karta.png", "A 6121-2026")</f>
        <v/>
      </c>
      <c r="Y54">
        <f>HYPERLINK("https://klasma.github.io/Logging_2101/klagomål/A 6121-2026 FSC-klagomål.docx", "A 6121-2026")</f>
        <v/>
      </c>
      <c r="Z54">
        <f>HYPERLINK("https://klasma.github.io/Logging_2101/klagomålsmail/A 6121-2026 FSC-klagomål mail.docx", "A 6121-2026")</f>
        <v/>
      </c>
      <c r="AA54">
        <f>HYPERLINK("https://klasma.github.io/Logging_2101/tillsyn/A 6121-2026 tillsynsbegäran.docx", "A 6121-2026")</f>
        <v/>
      </c>
      <c r="AB54">
        <f>HYPERLINK("https://klasma.github.io/Logging_2101/tillsynsmail/A 6121-2026 tillsynsbegäran mail.docx", "A 6121-2026")</f>
        <v/>
      </c>
      <c r="AC54">
        <f>HYPERLINK("https://klasma.github.io/Logging_2101/fåglar/A 6121-2026 prioriterade fågelarter.docx", "A 6121-2026")</f>
        <v/>
      </c>
    </row>
    <row r="55" ht="15" customHeight="1">
      <c r="A55" t="inlineStr">
        <is>
          <t>A 6586-2026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46056</v>
      </c>
      <c r="E55" s="1" t="n">
        <v>46218</v>
      </c>
      <c r="F55" t="inlineStr">
        <is>
          <t>GÄVLEBORGS LÄN</t>
        </is>
      </c>
      <c r="G55" t="inlineStr">
        <is>
          <t>OCKELBO</t>
        </is>
      </c>
      <c r="I55" t="n">
        <v>1.6</v>
      </c>
      <c r="J55" t="n">
        <v>0</v>
      </c>
      <c r="K55" t="n">
        <v>0</v>
      </c>
      <c r="L55" t="n">
        <v>0</v>
      </c>
      <c r="M55" t="n">
        <v>1</v>
      </c>
      <c r="N55" t="n">
        <v>0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1</v>
      </c>
      <c r="U55" s="2" t="inlineStr">
        <is>
          <t>Igelkott</t>
        </is>
      </c>
      <c r="V55">
        <f>HYPERLINK("https://klasma.github.io/Logging_2101/artfynd/A 6586-2026 artfynd.xlsx", "A 6586-2026")</f>
        <v/>
      </c>
      <c r="W55">
        <f>HYPERLINK("https://klasma.github.io/Logging_2101/kartor/A 6586-2026 karta.png", "A 6586-2026")</f>
        <v/>
      </c>
      <c r="Y55">
        <f>HYPERLINK("https://klasma.github.io/Logging_2101/klagomål/A 6586-2026 FSC-klagomål.docx", "A 6586-2026")</f>
        <v/>
      </c>
      <c r="Z55">
        <f>HYPERLINK("https://klasma.github.io/Logging_2101/klagomålsmail/A 6586-2026 FSC-klagomål mail.docx", "A 6586-2026")</f>
        <v/>
      </c>
      <c r="AA55">
        <f>HYPERLINK("https://klasma.github.io/Logging_2101/tillsyn/A 6586-2026 tillsynsbegäran.docx", "A 6586-2026")</f>
        <v/>
      </c>
      <c r="AB55">
        <f>HYPERLINK("https://klasma.github.io/Logging_2101/tillsynsmail/A 6586-2026 tillsynsbegäran mail.docx", "A 6586-2026")</f>
        <v/>
      </c>
    </row>
    <row r="56" ht="15" customHeight="1">
      <c r="A56" t="inlineStr">
        <is>
          <t>A 8451-2026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46065</v>
      </c>
      <c r="E56" s="1" t="n">
        <v>46218</v>
      </c>
      <c r="F56" t="inlineStr">
        <is>
          <t>GÄVLEBORGS LÄN</t>
        </is>
      </c>
      <c r="G56" t="inlineStr">
        <is>
          <t>OCKELBO</t>
        </is>
      </c>
      <c r="H56" t="inlineStr">
        <is>
          <t>Bergvik skog väst AB</t>
        </is>
      </c>
      <c r="I56" t="n">
        <v>2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2</v>
      </c>
      <c r="U56" s="2" t="inlineStr">
        <is>
          <t>Lavskrika</t>
        </is>
      </c>
      <c r="V56">
        <f>HYPERLINK("https://klasma.github.io/Logging_2101/artfynd/A 8451-2026 artfynd.xlsx", "A 8451-2026")</f>
        <v/>
      </c>
      <c r="W56">
        <f>HYPERLINK("https://klasma.github.io/Logging_2101/kartor/A 8451-2026 karta.png", "A 8451-2026")</f>
        <v/>
      </c>
      <c r="Y56">
        <f>HYPERLINK("https://klasma.github.io/Logging_2101/klagomål/A 8451-2026 FSC-klagomål.docx", "A 8451-2026")</f>
        <v/>
      </c>
      <c r="Z56">
        <f>HYPERLINK("https://klasma.github.io/Logging_2101/klagomålsmail/A 8451-2026 FSC-klagomål mail.docx", "A 8451-2026")</f>
        <v/>
      </c>
      <c r="AA56">
        <f>HYPERLINK("https://klasma.github.io/Logging_2101/tillsyn/A 8451-2026 tillsynsbegäran.docx", "A 8451-2026")</f>
        <v/>
      </c>
      <c r="AB56">
        <f>HYPERLINK("https://klasma.github.io/Logging_2101/tillsynsmail/A 8451-2026 tillsynsbegäran mail.docx", "A 8451-2026")</f>
        <v/>
      </c>
      <c r="AC56">
        <f>HYPERLINK("https://klasma.github.io/Logging_2101/fåglar/A 8451-2026 prioriterade fågelarter.docx", "A 8451-2026")</f>
        <v/>
      </c>
    </row>
    <row r="57" ht="15" customHeight="1">
      <c r="A57" t="inlineStr">
        <is>
          <t>A 10484-2026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46077</v>
      </c>
      <c r="E57" s="1" t="n">
        <v>46218</v>
      </c>
      <c r="F57" t="inlineStr">
        <is>
          <t>GÄVLEBORGS LÄN</t>
        </is>
      </c>
      <c r="G57" t="inlineStr">
        <is>
          <t>OCKELBO</t>
        </is>
      </c>
      <c r="I57" t="n">
        <v>1.8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2</v>
      </c>
      <c r="U57" s="2" t="inlineStr">
        <is>
          <t>Ullticka</t>
        </is>
      </c>
      <c r="V57">
        <f>HYPERLINK("https://klasma.github.io/Logging_2101/artfynd/A 10484-2026 artfynd.xlsx", "A 10484-2026")</f>
        <v/>
      </c>
      <c r="W57">
        <f>HYPERLINK("https://klasma.github.io/Logging_2101/kartor/A 10484-2026 karta.png", "A 10484-2026")</f>
        <v/>
      </c>
      <c r="Y57">
        <f>HYPERLINK("https://klasma.github.io/Logging_2101/klagomål/A 10484-2026 FSC-klagomål.docx", "A 10484-2026")</f>
        <v/>
      </c>
      <c r="Z57">
        <f>HYPERLINK("https://klasma.github.io/Logging_2101/klagomålsmail/A 10484-2026 FSC-klagomål mail.docx", "A 10484-2026")</f>
        <v/>
      </c>
      <c r="AA57">
        <f>HYPERLINK("https://klasma.github.io/Logging_2101/tillsyn/A 10484-2026 tillsynsbegäran.docx", "A 10484-2026")</f>
        <v/>
      </c>
      <c r="AB57">
        <f>HYPERLINK("https://klasma.github.io/Logging_2101/tillsynsmail/A 10484-2026 tillsynsbegäran mail.docx", "A 10484-2026")</f>
        <v/>
      </c>
    </row>
    <row r="58" ht="15" customHeight="1">
      <c r="A58" t="inlineStr">
        <is>
          <t>A 13640-2026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46097</v>
      </c>
      <c r="E58" s="1" t="n">
        <v>46218</v>
      </c>
      <c r="F58" t="inlineStr">
        <is>
          <t>GÄVLEBORGS LÄN</t>
        </is>
      </c>
      <c r="G58" t="inlineStr">
        <is>
          <t>OCKELBO</t>
        </is>
      </c>
      <c r="H58" t="inlineStr">
        <is>
          <t>Bergvik skog väst AB</t>
        </is>
      </c>
      <c r="I58" t="n">
        <v>3.8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s="2" t="inlineStr">
        <is>
          <t>Mattlummer</t>
        </is>
      </c>
      <c r="V58">
        <f>HYPERLINK("https://klasma.github.io/Logging_2101/artfynd/A 13640-2026 artfynd.xlsx", "A 13640-2026")</f>
        <v/>
      </c>
      <c r="W58">
        <f>HYPERLINK("https://klasma.github.io/Logging_2101/kartor/A 13640-2026 karta.png", "A 13640-2026")</f>
        <v/>
      </c>
      <c r="Y58">
        <f>HYPERLINK("https://klasma.github.io/Logging_2101/klagomål/A 13640-2026 FSC-klagomål.docx", "A 13640-2026")</f>
        <v/>
      </c>
      <c r="Z58">
        <f>HYPERLINK("https://klasma.github.io/Logging_2101/klagomålsmail/A 13640-2026 FSC-klagomål mail.docx", "A 13640-2026")</f>
        <v/>
      </c>
      <c r="AA58">
        <f>HYPERLINK("https://klasma.github.io/Logging_2101/tillsyn/A 13640-2026 tillsynsbegäran.docx", "A 13640-2026")</f>
        <v/>
      </c>
      <c r="AB58">
        <f>HYPERLINK("https://klasma.github.io/Logging_2101/tillsynsmail/A 13640-2026 tillsynsbegäran mail.docx", "A 13640-2026")</f>
        <v/>
      </c>
    </row>
    <row r="59" ht="15" customHeight="1">
      <c r="A59" t="inlineStr">
        <is>
          <t>A 14479-2026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46100</v>
      </c>
      <c r="E59" s="1" t="n">
        <v>46218</v>
      </c>
      <c r="F59" t="inlineStr">
        <is>
          <t>GÄVLEBORGS LÄN</t>
        </is>
      </c>
      <c r="G59" t="inlineStr">
        <is>
          <t>OCKELBO</t>
        </is>
      </c>
      <c r="I59" t="n">
        <v>4.8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1</v>
      </c>
      <c r="T59" t="n">
        <v>1</v>
      </c>
      <c r="U59" s="2" t="inlineStr">
        <is>
          <t>Igelkott</t>
        </is>
      </c>
      <c r="V59">
        <f>HYPERLINK("https://klasma.github.io/Logging_2101/artfynd/A 14479-2026 artfynd.xlsx", "A 14479-2026")</f>
        <v/>
      </c>
      <c r="W59">
        <f>HYPERLINK("https://klasma.github.io/Logging_2101/kartor/A 14479-2026 karta.png", "A 14479-2026")</f>
        <v/>
      </c>
      <c r="Y59">
        <f>HYPERLINK("https://klasma.github.io/Logging_2101/klagomål/A 14479-2026 FSC-klagomål.docx", "A 14479-2026")</f>
        <v/>
      </c>
      <c r="Z59">
        <f>HYPERLINK("https://klasma.github.io/Logging_2101/klagomålsmail/A 14479-2026 FSC-klagomål mail.docx", "A 14479-2026")</f>
        <v/>
      </c>
      <c r="AA59">
        <f>HYPERLINK("https://klasma.github.io/Logging_2101/tillsyn/A 14479-2026 tillsynsbegäran.docx", "A 14479-2026")</f>
        <v/>
      </c>
      <c r="AB59">
        <f>HYPERLINK("https://klasma.github.io/Logging_2101/tillsynsmail/A 14479-2026 tillsynsbegäran mail.docx", "A 14479-2026")</f>
        <v/>
      </c>
    </row>
    <row r="60" ht="15" customHeight="1">
      <c r="A60" t="inlineStr">
        <is>
          <t>A 14664-2026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46101</v>
      </c>
      <c r="E60" s="1" t="n">
        <v>46218</v>
      </c>
      <c r="F60" t="inlineStr">
        <is>
          <t>GÄVLEBORGS LÄN</t>
        </is>
      </c>
      <c r="G60" t="inlineStr">
        <is>
          <t>OCKELBO</t>
        </is>
      </c>
      <c r="H60" t="inlineStr">
        <is>
          <t>Bergvik skog väst AB</t>
        </is>
      </c>
      <c r="I60" t="n">
        <v>11.5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2</v>
      </c>
      <c r="U60" s="2" t="inlineStr">
        <is>
          <t>Tjäder</t>
        </is>
      </c>
      <c r="V60">
        <f>HYPERLINK("https://klasma.github.io/Logging_2101/artfynd/A 14664-2026 artfynd.xlsx", "A 14664-2026")</f>
        <v/>
      </c>
      <c r="W60">
        <f>HYPERLINK("https://klasma.github.io/Logging_2101/kartor/A 14664-2026 karta.png", "A 14664-2026")</f>
        <v/>
      </c>
      <c r="Y60">
        <f>HYPERLINK("https://klasma.github.io/Logging_2101/klagomål/A 14664-2026 FSC-klagomål.docx", "A 14664-2026")</f>
        <v/>
      </c>
      <c r="Z60">
        <f>HYPERLINK("https://klasma.github.io/Logging_2101/klagomålsmail/A 14664-2026 FSC-klagomål mail.docx", "A 14664-2026")</f>
        <v/>
      </c>
      <c r="AA60">
        <f>HYPERLINK("https://klasma.github.io/Logging_2101/tillsyn/A 14664-2026 tillsynsbegäran.docx", "A 14664-2026")</f>
        <v/>
      </c>
      <c r="AB60">
        <f>HYPERLINK("https://klasma.github.io/Logging_2101/tillsynsmail/A 14664-2026 tillsynsbegäran mail.docx", "A 14664-2026")</f>
        <v/>
      </c>
      <c r="AC60">
        <f>HYPERLINK("https://klasma.github.io/Logging_2101/fåglar/A 14664-2026 prioriterade fågelarter.docx", "A 14664-2026")</f>
        <v/>
      </c>
    </row>
    <row r="61" ht="15" customHeight="1">
      <c r="A61" t="inlineStr">
        <is>
          <t>A 18188-2026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46125</v>
      </c>
      <c r="E61" s="1" t="n">
        <v>46218</v>
      </c>
      <c r="F61" t="inlineStr">
        <is>
          <t>GÄVLEBORGS LÄN</t>
        </is>
      </c>
      <c r="G61" t="inlineStr">
        <is>
          <t>OCKELBO</t>
        </is>
      </c>
      <c r="H61" t="inlineStr">
        <is>
          <t>Bergvik skog väst AB</t>
        </is>
      </c>
      <c r="I61" t="n">
        <v>32.9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s="2" t="inlineStr">
        <is>
          <t>Järpe</t>
        </is>
      </c>
      <c r="V61">
        <f>HYPERLINK("https://klasma.github.io/Logging_2101/artfynd/A 18188-2026 artfynd.xlsx", "A 18188-2026")</f>
        <v/>
      </c>
      <c r="W61">
        <f>HYPERLINK("https://klasma.github.io/Logging_2101/kartor/A 18188-2026 karta.png", "A 18188-2026")</f>
        <v/>
      </c>
      <c r="Y61">
        <f>HYPERLINK("https://klasma.github.io/Logging_2101/klagomål/A 18188-2026 FSC-klagomål.docx", "A 18188-2026")</f>
        <v/>
      </c>
      <c r="Z61">
        <f>HYPERLINK("https://klasma.github.io/Logging_2101/klagomålsmail/A 18188-2026 FSC-klagomål mail.docx", "A 18188-2026")</f>
        <v/>
      </c>
      <c r="AA61">
        <f>HYPERLINK("https://klasma.github.io/Logging_2101/tillsyn/A 18188-2026 tillsynsbegäran.docx", "A 18188-2026")</f>
        <v/>
      </c>
      <c r="AB61">
        <f>HYPERLINK("https://klasma.github.io/Logging_2101/tillsynsmail/A 18188-2026 tillsynsbegäran mail.docx", "A 18188-2026")</f>
        <v/>
      </c>
      <c r="AC61">
        <f>HYPERLINK("https://klasma.github.io/Logging_2101/fåglar/A 18188-2026 prioriterade fågelarter.docx", "A 18188-2026")</f>
        <v/>
      </c>
    </row>
    <row r="62" ht="15" customHeight="1">
      <c r="A62" t="inlineStr">
        <is>
          <t>A 12777-2026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46091</v>
      </c>
      <c r="E62" s="1" t="n">
        <v>46218</v>
      </c>
      <c r="F62" t="inlineStr">
        <is>
          <t>GÄVLEBORGS LÄN</t>
        </is>
      </c>
      <c r="G62" t="inlineStr">
        <is>
          <t>OCKELBO</t>
        </is>
      </c>
      <c r="I62" t="n">
        <v>4.2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s="2" t="inlineStr">
        <is>
          <t>Spillkråka</t>
        </is>
      </c>
      <c r="V62">
        <f>HYPERLINK("https://klasma.github.io/Logging_2101/artfynd/A 12777-2026 artfynd.xlsx", "A 12777-2026")</f>
        <v/>
      </c>
      <c r="W62">
        <f>HYPERLINK("https://klasma.github.io/Logging_2101/kartor/A 12777-2026 karta.png", "A 12777-2026")</f>
        <v/>
      </c>
      <c r="Y62">
        <f>HYPERLINK("https://klasma.github.io/Logging_2101/klagomål/A 12777-2026 FSC-klagomål.docx", "A 12777-2026")</f>
        <v/>
      </c>
      <c r="Z62">
        <f>HYPERLINK("https://klasma.github.io/Logging_2101/klagomålsmail/A 12777-2026 FSC-klagomål mail.docx", "A 12777-2026")</f>
        <v/>
      </c>
      <c r="AA62">
        <f>HYPERLINK("https://klasma.github.io/Logging_2101/tillsyn/A 12777-2026 tillsynsbegäran.docx", "A 12777-2026")</f>
        <v/>
      </c>
      <c r="AB62">
        <f>HYPERLINK("https://klasma.github.io/Logging_2101/tillsynsmail/A 12777-2026 tillsynsbegäran mail.docx", "A 12777-2026")</f>
        <v/>
      </c>
      <c r="AC62">
        <f>HYPERLINK("https://klasma.github.io/Logging_2101/fåglar/A 12777-2026 prioriterade fågelarter.docx", "A 12777-2026")</f>
        <v/>
      </c>
    </row>
    <row r="63" ht="15" customHeight="1">
      <c r="A63" t="inlineStr">
        <is>
          <t>A 10145-2026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46076</v>
      </c>
      <c r="E63" s="1" t="n">
        <v>46218</v>
      </c>
      <c r="F63" t="inlineStr">
        <is>
          <t>GÄVLEBORGS LÄN</t>
        </is>
      </c>
      <c r="G63" t="inlineStr">
        <is>
          <t>OCKELBO</t>
        </is>
      </c>
      <c r="H63" t="inlineStr">
        <is>
          <t>Bergvik skog öst AB</t>
        </is>
      </c>
      <c r="I63" t="n">
        <v>10.5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2</v>
      </c>
      <c r="U63" s="2" t="inlineStr">
        <is>
          <t>Fläcknycklar</t>
        </is>
      </c>
      <c r="V63">
        <f>HYPERLINK("https://klasma.github.io/Logging_2101/artfynd/A 10145-2026 artfynd.xlsx", "A 10145-2026")</f>
        <v/>
      </c>
      <c r="W63">
        <f>HYPERLINK("https://klasma.github.io/Logging_2101/kartor/A 10145-2026 karta.png", "A 10145-2026")</f>
        <v/>
      </c>
      <c r="X63">
        <f>HYPERLINK("https://klasma.github.io/Logging_2101/knärot/A 10145-2026 karta knärot.png", "A 10145-2026")</f>
        <v/>
      </c>
      <c r="Y63">
        <f>HYPERLINK("https://klasma.github.io/Logging_2101/klagomål/A 10145-2026 FSC-klagomål.docx", "A 10145-2026")</f>
        <v/>
      </c>
      <c r="Z63">
        <f>HYPERLINK("https://klasma.github.io/Logging_2101/klagomålsmail/A 10145-2026 FSC-klagomål mail.docx", "A 10145-2026")</f>
        <v/>
      </c>
      <c r="AA63">
        <f>HYPERLINK("https://klasma.github.io/Logging_2101/tillsyn/A 10145-2026 tillsynsbegäran.docx", "A 10145-2026")</f>
        <v/>
      </c>
      <c r="AB63">
        <f>HYPERLINK("https://klasma.github.io/Logging_2101/tillsynsmail/A 10145-2026 tillsynsbegäran mail.docx", "A 10145-2026")</f>
        <v/>
      </c>
    </row>
    <row r="64" ht="15" customHeight="1">
      <c r="A64" t="inlineStr">
        <is>
          <t>S 1497-2023</t>
        </is>
      </c>
      <c r="B64" t="inlineStr">
        <is>
          <t>samrådsanmälan</t>
        </is>
      </c>
      <c r="C64" t="inlineStr">
        <is>
          <t>Skogsgödsling</t>
        </is>
      </c>
      <c r="D64" s="1" t="n">
        <v>45051</v>
      </c>
      <c r="E64" s="1" t="n">
        <v>46218</v>
      </c>
      <c r="F64" t="inlineStr">
        <is>
          <t>GÄVLEBORGS LÄN</t>
        </is>
      </c>
      <c r="G64" t="inlineStr">
        <is>
          <t>OCKELBO</t>
        </is>
      </c>
      <c r="H64" t="inlineStr">
        <is>
          <t>Bergvik skog väst AB</t>
        </is>
      </c>
      <c r="I64" t="n">
        <v>701.6</v>
      </c>
      <c r="J64" t="n">
        <v>0</v>
      </c>
      <c r="K64" t="n">
        <v>0</v>
      </c>
      <c r="L64" t="n">
        <v>0</v>
      </c>
      <c r="M64" t="n">
        <v>0</v>
      </c>
      <c r="N64" t="n">
        <v>1</v>
      </c>
      <c r="O64" t="n">
        <v>0</v>
      </c>
      <c r="P64" t="n">
        <v>0</v>
      </c>
      <c r="Q64" t="n">
        <v>1</v>
      </c>
      <c r="R64" t="n">
        <v>1</v>
      </c>
      <c r="S64" t="n">
        <v>1</v>
      </c>
      <c r="T64" t="n">
        <v>1</v>
      </c>
      <c r="U64" s="2" t="inlineStr">
        <is>
          <t>Skogsalm</t>
        </is>
      </c>
      <c r="V64">
        <f>HYPERLINK("https://klasma.github.io/Logging_2101/artfynd/S 1497-2023 artfynd.xlsx", "S 1497-2023")</f>
        <v/>
      </c>
      <c r="W64">
        <f>HYPERLINK("https://klasma.github.io/Logging_2101/kartor/S 1497-2023 karta.png", "S 1497-2023")</f>
        <v/>
      </c>
      <c r="Y64">
        <f>HYPERLINK("https://klasma.github.io/Logging_2101/klagomål/S 1497-2023 FSC-klagomål.docx", "S 1497-2023")</f>
        <v/>
      </c>
      <c r="Z64">
        <f>HYPERLINK("https://klasma.github.io/Logging_2101/klagomålsmail/S 1497-2023 FSC-klagomål mail.docx", "S 1497-2023")</f>
        <v/>
      </c>
      <c r="AA64">
        <f>HYPERLINK("https://klasma.github.io/Logging_2101/tillsyn/S 1497-2023 tillsynsbegäran.docx", "S 1497-2023")</f>
        <v/>
      </c>
      <c r="AB64">
        <f>HYPERLINK("https://klasma.github.io/Logging_2101/tillsynsmail/S 1497-2023 tillsynsbegäran mail.docx", "S 1497-2023")</f>
        <v/>
      </c>
    </row>
    <row r="65" ht="15" customHeight="1">
      <c r="A65" t="inlineStr">
        <is>
          <t>S 3258-2025</t>
        </is>
      </c>
      <c r="B65" t="inlineStr">
        <is>
          <t>samrådsanmälan</t>
        </is>
      </c>
      <c r="C65" t="inlineStr">
        <is>
          <t>Skogsgödsling</t>
        </is>
      </c>
      <c r="D65" s="1" t="n">
        <v>45982</v>
      </c>
      <c r="E65" s="1" t="n">
        <v>46218</v>
      </c>
      <c r="F65" t="inlineStr">
        <is>
          <t>GÄVLEBORGS LÄN</t>
        </is>
      </c>
      <c r="G65" t="inlineStr">
        <is>
          <t>OCKELBO</t>
        </is>
      </c>
      <c r="H65" t="inlineStr">
        <is>
          <t>Bergvik skog väst AB</t>
        </is>
      </c>
      <c r="I65" t="n">
        <v>15.2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s="2" t="inlineStr">
        <is>
          <t>Fläcknycklar</t>
        </is>
      </c>
      <c r="V65">
        <f>HYPERLINK("https://klasma.github.io/Logging_2101/artfynd/S 3258-2025 artfynd.xlsx", "S 3258-2025")</f>
        <v/>
      </c>
      <c r="W65">
        <f>HYPERLINK("https://klasma.github.io/Logging_2101/kartor/S 3258-2025 karta.png", "S 3258-2025")</f>
        <v/>
      </c>
      <c r="Y65">
        <f>HYPERLINK("https://klasma.github.io/Logging_2101/klagomål/S 3258-2025 FSC-klagomål.docx", "S 3258-2025")</f>
        <v/>
      </c>
      <c r="Z65">
        <f>HYPERLINK("https://klasma.github.io/Logging_2101/klagomålsmail/S 3258-2025 FSC-klagomål mail.docx", "S 3258-2025")</f>
        <v/>
      </c>
      <c r="AA65">
        <f>HYPERLINK("https://klasma.github.io/Logging_2101/tillsyn/S 3258-2025 tillsynsbegäran.docx", "S 3258-2025")</f>
        <v/>
      </c>
      <c r="AB65">
        <f>HYPERLINK("https://klasma.github.io/Logging_2101/tillsynsmail/S 3258-2025 tillsynsbegäran mail.docx", "S 3258-2025")</f>
        <v/>
      </c>
    </row>
    <row r="66" ht="15" customHeight="1">
      <c r="A66" t="inlineStr">
        <is>
          <t>S 3581-2025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46019</v>
      </c>
      <c r="E66" s="1" t="n">
        <v>46218</v>
      </c>
      <c r="F66" t="inlineStr">
        <is>
          <t>GÄVLEBORGS LÄN</t>
        </is>
      </c>
      <c r="G66" t="inlineStr">
        <is>
          <t>OCKELBO</t>
        </is>
      </c>
      <c r="I66" t="n">
        <v>3.9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s="2" t="inlineStr">
        <is>
          <t>Gullpudra</t>
        </is>
      </c>
      <c r="V66">
        <f>HYPERLINK("https://klasma.github.io/Logging_2101/artfynd/S 3581-2025 artfynd.xlsx", "S 3581-2025")</f>
        <v/>
      </c>
      <c r="W66">
        <f>HYPERLINK("https://klasma.github.io/Logging_2101/kartor/S 3581-2025 karta.png", "S 3581-2025")</f>
        <v/>
      </c>
      <c r="Y66">
        <f>HYPERLINK("https://klasma.github.io/Logging_2101/klagomål/S 3581-2025 FSC-klagomål.docx", "S 3581-2025")</f>
        <v/>
      </c>
      <c r="Z66">
        <f>HYPERLINK("https://klasma.github.io/Logging_2101/klagomålsmail/S 3581-2025 FSC-klagomål mail.docx", "S 3581-2025")</f>
        <v/>
      </c>
      <c r="AA66">
        <f>HYPERLINK("https://klasma.github.io/Logging_2101/tillsyn/S 3581-2025 tillsynsbegäran.docx", "S 3581-2025")</f>
        <v/>
      </c>
      <c r="AB66">
        <f>HYPERLINK("https://klasma.github.io/Logging_2101/tillsynsmail/S 3581-2025 tillsynsbegäran mail.docx", "S 3581-2025")</f>
        <v/>
      </c>
    </row>
    <row r="67" ht="15" customHeight="1">
      <c r="A67" t="inlineStr">
        <is>
          <t>A 34722-2022</t>
        </is>
      </c>
      <c r="B67" t="inlineStr">
        <is>
          <t>avverkningsanmälan</t>
        </is>
      </c>
      <c r="C67" t="inlineStr">
        <is>
          <t>Avverkning för att bevara och utveckla /försöksver</t>
        </is>
      </c>
      <c r="D67" s="1" t="n">
        <v>44795</v>
      </c>
      <c r="E67" s="1" t="n">
        <v>46218</v>
      </c>
      <c r="F67" t="inlineStr">
        <is>
          <t>GÄVLEBORGS LÄN</t>
        </is>
      </c>
      <c r="G67" t="inlineStr">
        <is>
          <t>OCKELBO</t>
        </is>
      </c>
      <c r="I67" t="n">
        <v>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s="2" t="inlineStr"/>
    </row>
    <row r="68" ht="15" customHeight="1">
      <c r="A68" t="inlineStr">
        <is>
          <t>A 48201-2022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44858</v>
      </c>
      <c r="E68" s="1" t="n">
        <v>46218</v>
      </c>
      <c r="F68" t="inlineStr">
        <is>
          <t>GÄVLEBORGS LÄN</t>
        </is>
      </c>
      <c r="G68" t="inlineStr">
        <is>
          <t>OCKELBO</t>
        </is>
      </c>
      <c r="H68" t="inlineStr">
        <is>
          <t>Bergvik skog väst AB</t>
        </is>
      </c>
      <c r="I68" t="n">
        <v>2.4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s="2" t="inlineStr"/>
    </row>
    <row r="69" ht="15" customHeight="1">
      <c r="A69" t="inlineStr">
        <is>
          <t>A 51257-2021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44460</v>
      </c>
      <c r="E69" s="1" t="n">
        <v>46218</v>
      </c>
      <c r="F69" t="inlineStr">
        <is>
          <t>GÄVLEBORGS LÄN</t>
        </is>
      </c>
      <c r="G69" t="inlineStr">
        <is>
          <t>OCKELBO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s="2" t="inlineStr"/>
    </row>
    <row r="70" ht="15" customHeight="1">
      <c r="A70" t="inlineStr">
        <is>
          <t>A 34712-2022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44795</v>
      </c>
      <c r="E70" s="1" t="n">
        <v>46218</v>
      </c>
      <c r="F70" t="inlineStr">
        <is>
          <t>GÄVLEBORGS LÄN</t>
        </is>
      </c>
      <c r="G70" t="inlineStr">
        <is>
          <t>OCKELBO</t>
        </is>
      </c>
      <c r="I70" t="n">
        <v>0.3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s="2" t="inlineStr"/>
    </row>
    <row r="71" ht="15" customHeight="1">
      <c r="A71" t="inlineStr">
        <is>
          <t>A 39888-2021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44417</v>
      </c>
      <c r="E71" s="1" t="n">
        <v>46218</v>
      </c>
      <c r="F71" t="inlineStr">
        <is>
          <t>GÄVLEBORGS LÄN</t>
        </is>
      </c>
      <c r="G71" t="inlineStr">
        <is>
          <t>OCKELBO</t>
        </is>
      </c>
      <c r="I71" t="n">
        <v>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s="2" t="inlineStr"/>
    </row>
    <row r="72" ht="15" customHeight="1">
      <c r="A72" t="inlineStr">
        <is>
          <t>A 51206-2021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44460</v>
      </c>
      <c r="E72" s="1" t="n">
        <v>46218</v>
      </c>
      <c r="F72" t="inlineStr">
        <is>
          <t>GÄVLEBORGS LÄN</t>
        </is>
      </c>
      <c r="G72" t="inlineStr">
        <is>
          <t>OCKELBO</t>
        </is>
      </c>
      <c r="I72" t="n">
        <v>16.8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s="2" t="inlineStr"/>
    </row>
    <row r="73" ht="15" customHeight="1">
      <c r="A73" t="inlineStr">
        <is>
          <t>A 56282-2021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44479</v>
      </c>
      <c r="E73" s="1" t="n">
        <v>46218</v>
      </c>
      <c r="F73" t="inlineStr">
        <is>
          <t>GÄVLEBORGS LÄN</t>
        </is>
      </c>
      <c r="G73" t="inlineStr">
        <is>
          <t>OCKELBO</t>
        </is>
      </c>
      <c r="I73" t="n">
        <v>0.7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s="2" t="inlineStr"/>
    </row>
    <row r="74" ht="15" customHeight="1">
      <c r="A74" t="inlineStr">
        <is>
          <t>A 68541-2021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44529</v>
      </c>
      <c r="E74" s="1" t="n">
        <v>46218</v>
      </c>
      <c r="F74" t="inlineStr">
        <is>
          <t>GÄVLEBORGS LÄN</t>
        </is>
      </c>
      <c r="G74" t="inlineStr">
        <is>
          <t>OCKELBO</t>
        </is>
      </c>
      <c r="I74" t="n">
        <v>3.4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s="2" t="inlineStr"/>
    </row>
    <row r="75" ht="15" customHeight="1">
      <c r="A75" t="inlineStr">
        <is>
          <t>A 69833-2021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44532</v>
      </c>
      <c r="E75" s="1" t="n">
        <v>46218</v>
      </c>
      <c r="F75" t="inlineStr">
        <is>
          <t>GÄVLEBORGS LÄN</t>
        </is>
      </c>
      <c r="G75" t="inlineStr">
        <is>
          <t>OCKELBO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s="2" t="inlineStr"/>
    </row>
    <row r="76" ht="15" customHeight="1">
      <c r="A76" t="inlineStr">
        <is>
          <t>A 39325-2022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44817</v>
      </c>
      <c r="E76" s="1" t="n">
        <v>46218</v>
      </c>
      <c r="F76" t="inlineStr">
        <is>
          <t>GÄVLEBORGS LÄN</t>
        </is>
      </c>
      <c r="G76" t="inlineStr">
        <is>
          <t>OCKELBO</t>
        </is>
      </c>
      <c r="H76" t="inlineStr">
        <is>
          <t>Bergvik skog väst AB</t>
        </is>
      </c>
      <c r="I76" t="n">
        <v>0.6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s="2" t="inlineStr"/>
    </row>
    <row r="77" ht="15" customHeight="1">
      <c r="A77" t="inlineStr">
        <is>
          <t>A 34718-2022</t>
        </is>
      </c>
      <c r="B77" t="inlineStr">
        <is>
          <t>avverkningsanmälan</t>
        </is>
      </c>
      <c r="C77" t="inlineStr">
        <is>
          <t>Avverkning för att bevara och utveckla /försöksver</t>
        </is>
      </c>
      <c r="D77" s="1" t="n">
        <v>44795</v>
      </c>
      <c r="E77" s="1" t="n">
        <v>46218</v>
      </c>
      <c r="F77" t="inlineStr">
        <is>
          <t>GÄVLEBORGS LÄN</t>
        </is>
      </c>
      <c r="G77" t="inlineStr">
        <is>
          <t>OCKELBO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s="2" t="inlineStr"/>
    </row>
    <row r="78" ht="15" customHeight="1">
      <c r="A78" t="inlineStr">
        <is>
          <t>A 63731-2021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44509</v>
      </c>
      <c r="E78" s="1" t="n">
        <v>46218</v>
      </c>
      <c r="F78" t="inlineStr">
        <is>
          <t>GÄVLEBORGS LÄN</t>
        </is>
      </c>
      <c r="G78" t="inlineStr">
        <is>
          <t>OCKELBO</t>
        </is>
      </c>
      <c r="I78" t="n">
        <v>2.1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s="2" t="inlineStr"/>
    </row>
    <row r="79" ht="15" customHeight="1">
      <c r="A79" t="inlineStr">
        <is>
          <t>A 40159-2021</t>
        </is>
      </c>
      <c r="B79" t="inlineStr">
        <is>
          <t>avverkningsanmälan</t>
        </is>
      </c>
      <c r="C79" t="inlineStr">
        <is>
          <t>Avverkning för annat ändamål</t>
        </is>
      </c>
      <c r="D79" s="1" t="n">
        <v>44418</v>
      </c>
      <c r="E79" s="1" t="n">
        <v>46218</v>
      </c>
      <c r="F79" t="inlineStr">
        <is>
          <t>GÄVLEBORGS LÄN</t>
        </is>
      </c>
      <c r="G79" t="inlineStr">
        <is>
          <t>OCKELBO</t>
        </is>
      </c>
      <c r="I79" t="n">
        <v>0.4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s="2" t="inlineStr"/>
    </row>
    <row r="80" ht="15" customHeight="1">
      <c r="A80" t="inlineStr">
        <is>
          <t>A 51250-2021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44460</v>
      </c>
      <c r="E80" s="1" t="n">
        <v>46218</v>
      </c>
      <c r="F80" t="inlineStr">
        <is>
          <t>GÄVLEBORGS LÄN</t>
        </is>
      </c>
      <c r="G80" t="inlineStr">
        <is>
          <t>OCKELBO</t>
        </is>
      </c>
      <c r="I80" t="n">
        <v>4.5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s="2" t="inlineStr"/>
    </row>
    <row r="81" ht="15" customHeight="1">
      <c r="A81" t="inlineStr">
        <is>
          <t>A 48381-2022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44858</v>
      </c>
      <c r="E81" s="1" t="n">
        <v>46218</v>
      </c>
      <c r="F81" t="inlineStr">
        <is>
          <t>GÄVLEBORGS LÄN</t>
        </is>
      </c>
      <c r="G81" t="inlineStr">
        <is>
          <t>OCKELBO</t>
        </is>
      </c>
      <c r="H81" t="inlineStr">
        <is>
          <t>Bergvik skog väst AB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s="2" t="inlineStr"/>
    </row>
    <row r="82" ht="15" customHeight="1">
      <c r="A82" t="inlineStr">
        <is>
          <t>A 59629-2021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44492</v>
      </c>
      <c r="E82" s="1" t="n">
        <v>46218</v>
      </c>
      <c r="F82" t="inlineStr">
        <is>
          <t>GÄVLEBORGS LÄN</t>
        </is>
      </c>
      <c r="G82" t="inlineStr">
        <is>
          <t>OCKELBO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s="2" t="inlineStr"/>
    </row>
    <row r="83" ht="15" customHeight="1">
      <c r="A83" t="inlineStr">
        <is>
          <t>A 37694-2021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44400</v>
      </c>
      <c r="E83" s="1" t="n">
        <v>46218</v>
      </c>
      <c r="F83" t="inlineStr">
        <is>
          <t>GÄVLEBORGS LÄN</t>
        </is>
      </c>
      <c r="G83" t="inlineStr">
        <is>
          <t>OCKELBO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s="2" t="inlineStr"/>
    </row>
    <row r="84" ht="15" customHeight="1">
      <c r="A84" t="inlineStr">
        <is>
          <t>A 22035-2022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44711</v>
      </c>
      <c r="E84" s="1" t="n">
        <v>46218</v>
      </c>
      <c r="F84" t="inlineStr">
        <is>
          <t>GÄVLEBORGS LÄN</t>
        </is>
      </c>
      <c r="G84" t="inlineStr">
        <is>
          <t>OCKELBO</t>
        </is>
      </c>
      <c r="H84" t="inlineStr">
        <is>
          <t>Bergvik skog väst AB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s="2" t="inlineStr"/>
    </row>
    <row r="85" ht="15" customHeight="1">
      <c r="A85" t="inlineStr">
        <is>
          <t>A 45522-2021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44440</v>
      </c>
      <c r="E85" s="1" t="n">
        <v>46218</v>
      </c>
      <c r="F85" t="inlineStr">
        <is>
          <t>GÄVLEBORGS LÄN</t>
        </is>
      </c>
      <c r="G85" t="inlineStr">
        <is>
          <t>OCKELBO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s="2" t="inlineStr"/>
    </row>
    <row r="86" ht="15" customHeight="1">
      <c r="A86" t="inlineStr">
        <is>
          <t>A 34709-2022</t>
        </is>
      </c>
      <c r="B86" t="inlineStr">
        <is>
          <t>avverkningsanmälan</t>
        </is>
      </c>
      <c r="C86" t="inlineStr">
        <is>
          <t>Avverkning för att bevara och utveckla /försöksver</t>
        </is>
      </c>
      <c r="D86" s="1" t="n">
        <v>44795</v>
      </c>
      <c r="E86" s="1" t="n">
        <v>46218</v>
      </c>
      <c r="F86" t="inlineStr">
        <is>
          <t>GÄVLEBORGS LÄN</t>
        </is>
      </c>
      <c r="G86" t="inlineStr">
        <is>
          <t>OCKELBO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s="2" t="inlineStr"/>
    </row>
    <row r="87" ht="15" customHeight="1">
      <c r="A87" t="inlineStr">
        <is>
          <t>A 48205-2022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44858</v>
      </c>
      <c r="E87" s="1" t="n">
        <v>46218</v>
      </c>
      <c r="F87" t="inlineStr">
        <is>
          <t>GÄVLEBORGS LÄN</t>
        </is>
      </c>
      <c r="G87" t="inlineStr">
        <is>
          <t>OCKELBO</t>
        </is>
      </c>
      <c r="H87" t="inlineStr">
        <is>
          <t>Bergvik skog väst AB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s="2" t="inlineStr"/>
    </row>
    <row r="88" ht="15" customHeight="1">
      <c r="A88" t="inlineStr">
        <is>
          <t>A 41622-2021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44425</v>
      </c>
      <c r="E88" s="1" t="n">
        <v>46218</v>
      </c>
      <c r="F88" t="inlineStr">
        <is>
          <t>GÄVLEBORGS LÄN</t>
        </is>
      </c>
      <c r="G88" t="inlineStr">
        <is>
          <t>OCKELBO</t>
        </is>
      </c>
      <c r="I88" t="n">
        <v>2.2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s="2" t="inlineStr"/>
    </row>
    <row r="89" ht="15" customHeight="1">
      <c r="A89" t="inlineStr">
        <is>
          <t>A 51708-2021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44462</v>
      </c>
      <c r="E89" s="1" t="n">
        <v>46218</v>
      </c>
      <c r="F89" t="inlineStr">
        <is>
          <t>GÄVLEBORGS LÄN</t>
        </is>
      </c>
      <c r="G89" t="inlineStr">
        <is>
          <t>OCKELBO</t>
        </is>
      </c>
      <c r="H89" t="inlineStr">
        <is>
          <t>Bergvik skog väst AB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s="2" t="inlineStr"/>
    </row>
    <row r="90" ht="15" customHeight="1">
      <c r="A90" t="inlineStr">
        <is>
          <t>A 69580-2021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44532</v>
      </c>
      <c r="E90" s="1" t="n">
        <v>46218</v>
      </c>
      <c r="F90" t="inlineStr">
        <is>
          <t>GÄVLEBORGS LÄN</t>
        </is>
      </c>
      <c r="G90" t="inlineStr">
        <is>
          <t>OCKELBO</t>
        </is>
      </c>
      <c r="H90" t="inlineStr">
        <is>
          <t>Bergvik skog väst AB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s="2" t="inlineStr"/>
    </row>
    <row r="91" ht="15" customHeight="1">
      <c r="A91" t="inlineStr">
        <is>
          <t>A 56635-2021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44480</v>
      </c>
      <c r="E91" s="1" t="n">
        <v>46218</v>
      </c>
      <c r="F91" t="inlineStr">
        <is>
          <t>GÄVLEBORGS LÄN</t>
        </is>
      </c>
      <c r="G91" t="inlineStr">
        <is>
          <t>OCKELBO</t>
        </is>
      </c>
      <c r="I91" t="n">
        <v>10.8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s="2" t="inlineStr"/>
    </row>
    <row r="92" ht="15" customHeight="1">
      <c r="A92" t="inlineStr">
        <is>
          <t>A 12987-2022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44643</v>
      </c>
      <c r="E92" s="1" t="n">
        <v>46218</v>
      </c>
      <c r="F92" t="inlineStr">
        <is>
          <t>GÄVLEBORGS LÄN</t>
        </is>
      </c>
      <c r="G92" t="inlineStr">
        <is>
          <t>OCKELBO</t>
        </is>
      </c>
      <c r="I92" t="n">
        <v>7.6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s="2" t="inlineStr"/>
    </row>
    <row r="93" ht="15" customHeight="1">
      <c r="A93" t="inlineStr">
        <is>
          <t>A 51271-2021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44460</v>
      </c>
      <c r="E93" s="1" t="n">
        <v>46218</v>
      </c>
      <c r="F93" t="inlineStr">
        <is>
          <t>GÄVLEBORGS LÄN</t>
        </is>
      </c>
      <c r="G93" t="inlineStr">
        <is>
          <t>OCKELBO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s="2" t="inlineStr"/>
    </row>
    <row r="94" ht="15" customHeight="1">
      <c r="A94" t="inlineStr">
        <is>
          <t>A 35846-2022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44802</v>
      </c>
      <c r="E94" s="1" t="n">
        <v>46218</v>
      </c>
      <c r="F94" t="inlineStr">
        <is>
          <t>GÄVLEBORGS LÄN</t>
        </is>
      </c>
      <c r="G94" t="inlineStr">
        <is>
          <t>OCKELBO</t>
        </is>
      </c>
      <c r="I94" t="n">
        <v>0.9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s="2" t="inlineStr"/>
    </row>
    <row r="95" ht="15" customHeight="1">
      <c r="A95" t="inlineStr">
        <is>
          <t>A 54152-2022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44881</v>
      </c>
      <c r="E95" s="1" t="n">
        <v>46218</v>
      </c>
      <c r="F95" t="inlineStr">
        <is>
          <t>GÄVLEBORGS LÄN</t>
        </is>
      </c>
      <c r="G95" t="inlineStr">
        <is>
          <t>OCKELBO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s="2" t="inlineStr"/>
    </row>
    <row r="96" ht="15" customHeight="1">
      <c r="A96" t="inlineStr">
        <is>
          <t>A 51565-2021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44460</v>
      </c>
      <c r="E96" s="1" t="n">
        <v>46218</v>
      </c>
      <c r="F96" t="inlineStr">
        <is>
          <t>GÄVLEBORGS LÄN</t>
        </is>
      </c>
      <c r="G96" t="inlineStr">
        <is>
          <t>OCKELBO</t>
        </is>
      </c>
      <c r="I96" t="n">
        <v>8.800000000000001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s="2" t="inlineStr"/>
    </row>
    <row r="97" ht="15" customHeight="1">
      <c r="A97" t="inlineStr">
        <is>
          <t>A 15705-2022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44663</v>
      </c>
      <c r="E97" s="1" t="n">
        <v>46218</v>
      </c>
      <c r="F97" t="inlineStr">
        <is>
          <t>GÄVLEBORGS LÄN</t>
        </is>
      </c>
      <c r="G97" t="inlineStr">
        <is>
          <t>OCKELBO</t>
        </is>
      </c>
      <c r="H97" t="inlineStr">
        <is>
          <t>Bergvik skog väst AB</t>
        </is>
      </c>
      <c r="I97" t="n">
        <v>0.6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s="2" t="inlineStr"/>
    </row>
    <row r="98" ht="15" customHeight="1">
      <c r="A98" t="inlineStr">
        <is>
          <t>A 21291-2022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44705</v>
      </c>
      <c r="E98" s="1" t="n">
        <v>46218</v>
      </c>
      <c r="F98" t="inlineStr">
        <is>
          <t>GÄVLEBORGS LÄN</t>
        </is>
      </c>
      <c r="G98" t="inlineStr">
        <is>
          <t>OCKELBO</t>
        </is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s="2" t="inlineStr"/>
    </row>
    <row r="99" ht="15" customHeight="1">
      <c r="A99" t="inlineStr">
        <is>
          <t>A 51747-2022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44872</v>
      </c>
      <c r="E99" s="1" t="n">
        <v>46218</v>
      </c>
      <c r="F99" t="inlineStr">
        <is>
          <t>GÄVLEBORGS LÄN</t>
        </is>
      </c>
      <c r="G99" t="inlineStr">
        <is>
          <t>OCKELBO</t>
        </is>
      </c>
      <c r="H99" t="inlineStr">
        <is>
          <t>Bergvik skog väst AB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s="2" t="inlineStr"/>
    </row>
    <row r="100" ht="15" customHeight="1">
      <c r="A100" t="inlineStr">
        <is>
          <t>A 37386-2023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45156</v>
      </c>
      <c r="E100" s="1" t="n">
        <v>46218</v>
      </c>
      <c r="F100" t="inlineStr">
        <is>
          <t>GÄVLEBORGS LÄN</t>
        </is>
      </c>
      <c r="G100" t="inlineStr">
        <is>
          <t>OCKELBO</t>
        </is>
      </c>
      <c r="H100" t="inlineStr">
        <is>
          <t>Bergvik skog väst AB</t>
        </is>
      </c>
      <c r="I100" t="n">
        <v>3.1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s="2" t="inlineStr"/>
    </row>
    <row r="101" ht="15" customHeight="1">
      <c r="A101" t="inlineStr">
        <is>
          <t>A 55952-2022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44889</v>
      </c>
      <c r="E101" s="1" t="n">
        <v>46218</v>
      </c>
      <c r="F101" t="inlineStr">
        <is>
          <t>GÄVLEBORGS LÄN</t>
        </is>
      </c>
      <c r="G101" t="inlineStr">
        <is>
          <t>OCKELBO</t>
        </is>
      </c>
      <c r="I101" t="n">
        <v>0.9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s="2" t="inlineStr"/>
    </row>
    <row r="102" ht="15" customHeight="1">
      <c r="A102" t="inlineStr">
        <is>
          <t>A 36210-2024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45534</v>
      </c>
      <c r="E102" s="1" t="n">
        <v>46218</v>
      </c>
      <c r="F102" t="inlineStr">
        <is>
          <t>GÄVLEBORGS LÄN</t>
        </is>
      </c>
      <c r="G102" t="inlineStr">
        <is>
          <t>OCKELBO</t>
        </is>
      </c>
      <c r="H102" t="inlineStr">
        <is>
          <t>Kyrkan</t>
        </is>
      </c>
      <c r="I102" t="n">
        <v>4.4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s="2" t="inlineStr"/>
    </row>
    <row r="103" ht="15" customHeight="1">
      <c r="A103" t="inlineStr">
        <is>
          <t>A 33879-2023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45134</v>
      </c>
      <c r="E103" s="1" t="n">
        <v>46218</v>
      </c>
      <c r="F103" t="inlineStr">
        <is>
          <t>GÄVLEBORGS LÄN</t>
        </is>
      </c>
      <c r="G103" t="inlineStr">
        <is>
          <t>OCKELBO</t>
        </is>
      </c>
      <c r="H103" t="inlineStr">
        <is>
          <t>Bergvik skog väst AB</t>
        </is>
      </c>
      <c r="I103" t="n">
        <v>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s="2" t="inlineStr"/>
    </row>
    <row r="104" ht="15" customHeight="1">
      <c r="A104" t="inlineStr">
        <is>
          <t>A 49529-2024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45596</v>
      </c>
      <c r="E104" s="1" t="n">
        <v>46218</v>
      </c>
      <c r="F104" t="inlineStr">
        <is>
          <t>GÄVLEBORGS LÄN</t>
        </is>
      </c>
      <c r="G104" t="inlineStr">
        <is>
          <t>OCKELBO</t>
        </is>
      </c>
      <c r="I104" t="n">
        <v>2.4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s="2" t="inlineStr"/>
    </row>
    <row r="105" ht="15" customHeight="1">
      <c r="A105" t="inlineStr">
        <is>
          <t>A 42313-2023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45180</v>
      </c>
      <c r="E105" s="1" t="n">
        <v>46218</v>
      </c>
      <c r="F105" t="inlineStr">
        <is>
          <t>GÄVLEBORGS LÄN</t>
        </is>
      </c>
      <c r="G105" t="inlineStr">
        <is>
          <t>OCKELBO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s="2" t="inlineStr"/>
    </row>
    <row r="106" ht="15" customHeight="1">
      <c r="A106" t="inlineStr">
        <is>
          <t>A 36521-2022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44804</v>
      </c>
      <c r="E106" s="1" t="n">
        <v>46218</v>
      </c>
      <c r="F106" t="inlineStr">
        <is>
          <t>GÄVLEBORGS LÄN</t>
        </is>
      </c>
      <c r="G106" t="inlineStr">
        <is>
          <t>OCKELBO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s="2" t="inlineStr"/>
    </row>
    <row r="107" ht="15" customHeight="1">
      <c r="A107" t="inlineStr">
        <is>
          <t>A 53702-2024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45615</v>
      </c>
      <c r="E107" s="1" t="n">
        <v>46218</v>
      </c>
      <c r="F107" t="inlineStr">
        <is>
          <t>GÄVLEBORGS LÄN</t>
        </is>
      </c>
      <c r="G107" t="inlineStr">
        <is>
          <t>OCKELBO</t>
        </is>
      </c>
      <c r="I107" t="n">
        <v>5.8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s="2" t="inlineStr"/>
    </row>
    <row r="108" ht="15" customHeight="1">
      <c r="A108" t="inlineStr">
        <is>
          <t>A 53139-2024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45611</v>
      </c>
      <c r="E108" s="1" t="n">
        <v>46218</v>
      </c>
      <c r="F108" t="inlineStr">
        <is>
          <t>GÄVLEBORGS LÄN</t>
        </is>
      </c>
      <c r="G108" t="inlineStr">
        <is>
          <t>OCKELBO</t>
        </is>
      </c>
      <c r="H108" t="inlineStr">
        <is>
          <t>Bergvik skog väst AB</t>
        </is>
      </c>
      <c r="I108" t="n">
        <v>4.1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s="2" t="inlineStr"/>
    </row>
    <row r="109" ht="15" customHeight="1">
      <c r="A109" t="inlineStr">
        <is>
          <t>A 56034-2023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45240</v>
      </c>
      <c r="E109" s="1" t="n">
        <v>46218</v>
      </c>
      <c r="F109" t="inlineStr">
        <is>
          <t>GÄVLEBORGS LÄN</t>
        </is>
      </c>
      <c r="G109" t="inlineStr">
        <is>
          <t>OCKELBO</t>
        </is>
      </c>
      <c r="H109" t="inlineStr">
        <is>
          <t>Bergvik skog väst AB</t>
        </is>
      </c>
      <c r="I109" t="n">
        <v>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s="2" t="inlineStr"/>
    </row>
    <row r="110" ht="15" customHeight="1">
      <c r="A110" t="inlineStr">
        <is>
          <t>A 52330-2024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45609</v>
      </c>
      <c r="E110" s="1" t="n">
        <v>46218</v>
      </c>
      <c r="F110" t="inlineStr">
        <is>
          <t>GÄVLEBORGS LÄN</t>
        </is>
      </c>
      <c r="G110" t="inlineStr">
        <is>
          <t>OCKELBO</t>
        </is>
      </c>
      <c r="H110" t="inlineStr">
        <is>
          <t>Bergvik skog väst AB</t>
        </is>
      </c>
      <c r="I110" t="n">
        <v>5.6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s="2" t="inlineStr"/>
    </row>
    <row r="111" ht="15" customHeight="1">
      <c r="A111" t="inlineStr">
        <is>
          <t>A 34449-2023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45139</v>
      </c>
      <c r="E111" s="1" t="n">
        <v>46218</v>
      </c>
      <c r="F111" t="inlineStr">
        <is>
          <t>GÄVLEBORGS LÄN</t>
        </is>
      </c>
      <c r="G111" t="inlineStr">
        <is>
          <t>OCKELBO</t>
        </is>
      </c>
      <c r="I111" t="n">
        <v>3.4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s="2" t="inlineStr"/>
    </row>
    <row r="112" ht="15" customHeight="1">
      <c r="A112" t="inlineStr">
        <is>
          <t>A 43538-2023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45184</v>
      </c>
      <c r="E112" s="1" t="n">
        <v>46218</v>
      </c>
      <c r="F112" t="inlineStr">
        <is>
          <t>GÄVLEBORGS LÄN</t>
        </is>
      </c>
      <c r="G112" t="inlineStr">
        <is>
          <t>OCKELBO</t>
        </is>
      </c>
      <c r="H112" t="inlineStr">
        <is>
          <t>Bergvik skog väst AB</t>
        </is>
      </c>
      <c r="I112" t="n">
        <v>3.3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s="2" t="inlineStr"/>
    </row>
    <row r="113" ht="15" customHeight="1">
      <c r="A113" t="inlineStr">
        <is>
          <t>A 38652-2025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45884</v>
      </c>
      <c r="E113" s="1" t="n">
        <v>46218</v>
      </c>
      <c r="F113" t="inlineStr">
        <is>
          <t>GÄVLEBORGS LÄN</t>
        </is>
      </c>
      <c r="G113" t="inlineStr">
        <is>
          <t>OCKELBO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s="2" t="inlineStr"/>
    </row>
    <row r="114" ht="15" customHeight="1">
      <c r="A114" t="inlineStr">
        <is>
          <t>A 30242-2024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45490</v>
      </c>
      <c r="E114" s="1" t="n">
        <v>46218</v>
      </c>
      <c r="F114" t="inlineStr">
        <is>
          <t>GÄVLEBORGS LÄN</t>
        </is>
      </c>
      <c r="G114" t="inlineStr">
        <is>
          <t>OCKELBO</t>
        </is>
      </c>
      <c r="H114" t="inlineStr">
        <is>
          <t>Bergvik skog väst AB</t>
        </is>
      </c>
      <c r="I114" t="n">
        <v>0.3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s="2" t="inlineStr"/>
    </row>
    <row r="115" ht="15" customHeight="1">
      <c r="A115" t="inlineStr">
        <is>
          <t>A 56232-2022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44890</v>
      </c>
      <c r="E115" s="1" t="n">
        <v>46218</v>
      </c>
      <c r="F115" t="inlineStr">
        <is>
          <t>GÄVLEBORGS LÄN</t>
        </is>
      </c>
      <c r="G115" t="inlineStr">
        <is>
          <t>OCKELBO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s="2" t="inlineStr"/>
    </row>
    <row r="116" ht="15" customHeight="1">
      <c r="A116" t="inlineStr">
        <is>
          <t>A 34440-2023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45139</v>
      </c>
      <c r="E116" s="1" t="n">
        <v>46218</v>
      </c>
      <c r="F116" t="inlineStr">
        <is>
          <t>GÄVLEBORGS LÄN</t>
        </is>
      </c>
      <c r="G116" t="inlineStr">
        <is>
          <t>OCKELBO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s="2" t="inlineStr"/>
    </row>
    <row r="117" ht="15" customHeight="1">
      <c r="A117" t="inlineStr">
        <is>
          <t>A 24927-2025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45799</v>
      </c>
      <c r="E117" s="1" t="n">
        <v>46218</v>
      </c>
      <c r="F117" t="inlineStr">
        <is>
          <t>GÄVLEBORGS LÄN</t>
        </is>
      </c>
      <c r="G117" t="inlineStr">
        <is>
          <t>OCKELBO</t>
        </is>
      </c>
      <c r="H117" t="inlineStr">
        <is>
          <t>Bergvik skog väst AB</t>
        </is>
      </c>
      <c r="I117" t="n">
        <v>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s="2" t="inlineStr"/>
    </row>
    <row r="118" ht="15" customHeight="1">
      <c r="A118" t="inlineStr">
        <is>
          <t>A 7478-2025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45705</v>
      </c>
      <c r="E118" s="1" t="n">
        <v>46218</v>
      </c>
      <c r="F118" t="inlineStr">
        <is>
          <t>GÄVLEBORGS LÄN</t>
        </is>
      </c>
      <c r="G118" t="inlineStr">
        <is>
          <t>OCKELBO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s="2" t="inlineStr"/>
    </row>
    <row r="119" ht="15" customHeight="1">
      <c r="A119" t="inlineStr">
        <is>
          <t>A 39360-2025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45889</v>
      </c>
      <c r="E119" s="1" t="n">
        <v>46218</v>
      </c>
      <c r="F119" t="inlineStr">
        <is>
          <t>GÄVLEBORGS LÄN</t>
        </is>
      </c>
      <c r="G119" t="inlineStr">
        <is>
          <t>OCKELBO</t>
        </is>
      </c>
      <c r="I119" t="n">
        <v>0.9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s="2" t="inlineStr"/>
    </row>
    <row r="120" ht="15" customHeight="1">
      <c r="A120" t="inlineStr">
        <is>
          <t>A 37845-2024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45544</v>
      </c>
      <c r="E120" s="1" t="n">
        <v>46218</v>
      </c>
      <c r="F120" t="inlineStr">
        <is>
          <t>GÄVLEBORGS LÄN</t>
        </is>
      </c>
      <c r="G120" t="inlineStr">
        <is>
          <t>OCKELBO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s="2" t="inlineStr"/>
    </row>
    <row r="121" ht="15" customHeight="1">
      <c r="A121" t="inlineStr">
        <is>
          <t>A 39035-2025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45888</v>
      </c>
      <c r="E121" s="1" t="n">
        <v>46218</v>
      </c>
      <c r="F121" t="inlineStr">
        <is>
          <t>GÄVLEBORGS LÄN</t>
        </is>
      </c>
      <c r="G121" t="inlineStr">
        <is>
          <t>OCKELBO</t>
        </is>
      </c>
      <c r="H121" t="inlineStr">
        <is>
          <t>Kyrkan</t>
        </is>
      </c>
      <c r="I121" t="n">
        <v>12.5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s="2" t="inlineStr"/>
    </row>
    <row r="122" ht="15" customHeight="1">
      <c r="A122" t="inlineStr">
        <is>
          <t>A 39142-2025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45888</v>
      </c>
      <c r="E122" s="1" t="n">
        <v>46218</v>
      </c>
      <c r="F122" t="inlineStr">
        <is>
          <t>GÄVLEBORGS LÄN</t>
        </is>
      </c>
      <c r="G122" t="inlineStr">
        <is>
          <t>OCKELBO</t>
        </is>
      </c>
      <c r="H122" t="inlineStr">
        <is>
          <t>Bergvik skog väst AB</t>
        </is>
      </c>
      <c r="I122" t="n">
        <v>3.3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s="2" t="inlineStr"/>
    </row>
    <row r="123" ht="15" customHeight="1">
      <c r="A123" t="inlineStr">
        <is>
          <t>A 39324-2025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45889</v>
      </c>
      <c r="E123" s="1" t="n">
        <v>46218</v>
      </c>
      <c r="F123" t="inlineStr">
        <is>
          <t>GÄVLEBORGS LÄN</t>
        </is>
      </c>
      <c r="G123" t="inlineStr">
        <is>
          <t>OCKELBO</t>
        </is>
      </c>
      <c r="I123" t="n">
        <v>8.6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s="2" t="inlineStr"/>
    </row>
    <row r="124" ht="15" customHeight="1">
      <c r="A124" t="inlineStr">
        <is>
          <t>A 39325-2025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45889</v>
      </c>
      <c r="E124" s="1" t="n">
        <v>46218</v>
      </c>
      <c r="F124" t="inlineStr">
        <is>
          <t>GÄVLEBORGS LÄN</t>
        </is>
      </c>
      <c r="G124" t="inlineStr">
        <is>
          <t>OCKELBO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s="2" t="inlineStr"/>
    </row>
    <row r="125" ht="15" customHeight="1">
      <c r="A125" t="inlineStr">
        <is>
          <t>A 39723-2025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45891</v>
      </c>
      <c r="E125" s="1" t="n">
        <v>46218</v>
      </c>
      <c r="F125" t="inlineStr">
        <is>
          <t>GÄVLEBORGS LÄN</t>
        </is>
      </c>
      <c r="G125" t="inlineStr">
        <is>
          <t>OCKELBO</t>
        </is>
      </c>
      <c r="H125" t="inlineStr">
        <is>
          <t>Bergvik skog väst AB</t>
        </is>
      </c>
      <c r="I125" t="n">
        <v>17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s="2" t="inlineStr"/>
    </row>
    <row r="126" ht="15" customHeight="1">
      <c r="A126" t="inlineStr">
        <is>
          <t>A 42585-2023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45181</v>
      </c>
      <c r="E126" s="1" t="n">
        <v>46218</v>
      </c>
      <c r="F126" t="inlineStr">
        <is>
          <t>GÄVLEBORGS LÄN</t>
        </is>
      </c>
      <c r="G126" t="inlineStr">
        <is>
          <t>OCKELBO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s="2" t="inlineStr"/>
    </row>
    <row r="127" ht="15" customHeight="1">
      <c r="A127" t="inlineStr">
        <is>
          <t>A 15195-2025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45744</v>
      </c>
      <c r="E127" s="1" t="n">
        <v>46218</v>
      </c>
      <c r="F127" t="inlineStr">
        <is>
          <t>GÄVLEBORGS LÄN</t>
        </is>
      </c>
      <c r="G127" t="inlineStr">
        <is>
          <t>OCKELBO</t>
        </is>
      </c>
      <c r="H127" t="inlineStr">
        <is>
          <t>Bergvik skog väst AB</t>
        </is>
      </c>
      <c r="I127" t="n">
        <v>1.4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s="2" t="inlineStr"/>
    </row>
    <row r="128" ht="15" customHeight="1">
      <c r="A128" t="inlineStr">
        <is>
          <t>A 52241-2024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45608</v>
      </c>
      <c r="E128" s="1" t="n">
        <v>46218</v>
      </c>
      <c r="F128" t="inlineStr">
        <is>
          <t>GÄVLEBORGS LÄN</t>
        </is>
      </c>
      <c r="G128" t="inlineStr">
        <is>
          <t>OCKELBO</t>
        </is>
      </c>
      <c r="H128" t="inlineStr">
        <is>
          <t>Bergvik skog väst AB</t>
        </is>
      </c>
      <c r="I128" t="n">
        <v>7.7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s="2" t="inlineStr"/>
    </row>
    <row r="129" ht="15" customHeight="1">
      <c r="A129" t="inlineStr">
        <is>
          <t>A 52243-2024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45608</v>
      </c>
      <c r="E129" s="1" t="n">
        <v>46218</v>
      </c>
      <c r="F129" t="inlineStr">
        <is>
          <t>GÄVLEBORGS LÄN</t>
        </is>
      </c>
      <c r="G129" t="inlineStr">
        <is>
          <t>OCKELBO</t>
        </is>
      </c>
      <c r="H129" t="inlineStr">
        <is>
          <t>Bergvik skog väst AB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s="2" t="inlineStr"/>
    </row>
    <row r="130" ht="15" customHeight="1">
      <c r="A130" t="inlineStr">
        <is>
          <t>A 20660-2022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44700</v>
      </c>
      <c r="E130" s="1" t="n">
        <v>46218</v>
      </c>
      <c r="F130" t="inlineStr">
        <is>
          <t>GÄVLEBORGS LÄN</t>
        </is>
      </c>
      <c r="G130" t="inlineStr">
        <is>
          <t>OCKELBO</t>
        </is>
      </c>
      <c r="H130" t="inlineStr">
        <is>
          <t>Bergvik skog väst AB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s="2" t="inlineStr"/>
    </row>
    <row r="131" ht="15" customHeight="1">
      <c r="A131" t="inlineStr">
        <is>
          <t>A 39062-2024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45548</v>
      </c>
      <c r="E131" s="1" t="n">
        <v>46218</v>
      </c>
      <c r="F131" t="inlineStr">
        <is>
          <t>GÄVLEBORGS LÄN</t>
        </is>
      </c>
      <c r="G131" t="inlineStr">
        <is>
          <t>OCKELBO</t>
        </is>
      </c>
      <c r="H131" t="inlineStr">
        <is>
          <t>Bergvik skog väst AB</t>
        </is>
      </c>
      <c r="I131" t="n">
        <v>10.1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s="2" t="inlineStr"/>
    </row>
    <row r="132" ht="15" customHeight="1">
      <c r="A132" t="inlineStr">
        <is>
          <t>A 40148-2025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45894</v>
      </c>
      <c r="E132" s="1" t="n">
        <v>46218</v>
      </c>
      <c r="F132" t="inlineStr">
        <is>
          <t>GÄVLEBORGS LÄN</t>
        </is>
      </c>
      <c r="G132" t="inlineStr">
        <is>
          <t>OCKELBO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s="2" t="inlineStr"/>
    </row>
    <row r="133" ht="15" customHeight="1">
      <c r="A133" t="inlineStr">
        <is>
          <t>A 40525-2025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45896</v>
      </c>
      <c r="E133" s="1" t="n">
        <v>46218</v>
      </c>
      <c r="F133" t="inlineStr">
        <is>
          <t>GÄVLEBORGS LÄN</t>
        </is>
      </c>
      <c r="G133" t="inlineStr">
        <is>
          <t>OCKELBO</t>
        </is>
      </c>
      <c r="I133" t="n">
        <v>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s="2" t="inlineStr"/>
    </row>
    <row r="134" ht="15" customHeight="1">
      <c r="A134" t="inlineStr">
        <is>
          <t>A 53393-2022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44879</v>
      </c>
      <c r="E134" s="1" t="n">
        <v>46218</v>
      </c>
      <c r="F134" t="inlineStr">
        <is>
          <t>GÄVLEBORGS LÄN</t>
        </is>
      </c>
      <c r="G134" t="inlineStr">
        <is>
          <t>OCKELBO</t>
        </is>
      </c>
      <c r="I134" t="n">
        <v>4.2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s="2" t="inlineStr"/>
    </row>
    <row r="135" ht="15" customHeight="1">
      <c r="A135" t="inlineStr">
        <is>
          <t>A 47841-2023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45204</v>
      </c>
      <c r="E135" s="1" t="n">
        <v>46218</v>
      </c>
      <c r="F135" t="inlineStr">
        <is>
          <t>GÄVLEBORGS LÄN</t>
        </is>
      </c>
      <c r="G135" t="inlineStr">
        <is>
          <t>OCKELBO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s="2" t="inlineStr"/>
    </row>
    <row r="136" ht="15" customHeight="1">
      <c r="A136" t="inlineStr">
        <is>
          <t>A 49448-2023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45211</v>
      </c>
      <c r="E136" s="1" t="n">
        <v>46218</v>
      </c>
      <c r="F136" t="inlineStr">
        <is>
          <t>GÄVLEBORGS LÄN</t>
        </is>
      </c>
      <c r="G136" t="inlineStr">
        <is>
          <t>OCKELBO</t>
        </is>
      </c>
      <c r="H136" t="inlineStr">
        <is>
          <t>Bergvik skog väst AB</t>
        </is>
      </c>
      <c r="I136" t="n">
        <v>0.7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s="2" t="inlineStr"/>
    </row>
    <row r="137" ht="15" customHeight="1">
      <c r="A137" t="inlineStr">
        <is>
          <t>A 28965-2024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45481</v>
      </c>
      <c r="E137" s="1" t="n">
        <v>46218</v>
      </c>
      <c r="F137" t="inlineStr">
        <is>
          <t>GÄVLEBORGS LÄN</t>
        </is>
      </c>
      <c r="G137" t="inlineStr">
        <is>
          <t>OCKELBO</t>
        </is>
      </c>
      <c r="I137" t="n">
        <v>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s="2" t="inlineStr"/>
    </row>
    <row r="138" ht="15" customHeight="1">
      <c r="A138" t="inlineStr">
        <is>
          <t>A 55906-2024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45623</v>
      </c>
      <c r="E138" s="1" t="n">
        <v>46218</v>
      </c>
      <c r="F138" t="inlineStr">
        <is>
          <t>GÄVLEBORGS LÄN</t>
        </is>
      </c>
      <c r="G138" t="inlineStr">
        <is>
          <t>OCKELBO</t>
        </is>
      </c>
      <c r="H138" t="inlineStr">
        <is>
          <t>Bergvik skog väst AB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s="2" t="inlineStr"/>
    </row>
    <row r="139" ht="15" customHeight="1">
      <c r="A139" t="inlineStr">
        <is>
          <t>A 59063-2023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45252</v>
      </c>
      <c r="E139" s="1" t="n">
        <v>46218</v>
      </c>
      <c r="F139" t="inlineStr">
        <is>
          <t>GÄVLEBORGS LÄN</t>
        </is>
      </c>
      <c r="G139" t="inlineStr">
        <is>
          <t>OCKELBO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s="2" t="inlineStr"/>
    </row>
    <row r="140" ht="15" customHeight="1">
      <c r="A140" t="inlineStr">
        <is>
          <t>A 5571-2024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45334</v>
      </c>
      <c r="E140" s="1" t="n">
        <v>46218</v>
      </c>
      <c r="F140" t="inlineStr">
        <is>
          <t>GÄVLEBORGS LÄN</t>
        </is>
      </c>
      <c r="G140" t="inlineStr">
        <is>
          <t>OCKELBO</t>
        </is>
      </c>
      <c r="I140" t="n">
        <v>0.3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s="2" t="inlineStr"/>
    </row>
    <row r="141" ht="15" customHeight="1">
      <c r="A141" t="inlineStr">
        <is>
          <t>A 60915-2024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45645</v>
      </c>
      <c r="E141" s="1" t="n">
        <v>46218</v>
      </c>
      <c r="F141" t="inlineStr">
        <is>
          <t>GÄVLEBORGS LÄN</t>
        </is>
      </c>
      <c r="G141" t="inlineStr">
        <is>
          <t>OCKELBO</t>
        </is>
      </c>
      <c r="H141" t="inlineStr">
        <is>
          <t>Kyrkan</t>
        </is>
      </c>
      <c r="I141" t="n">
        <v>2.6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s="2" t="inlineStr"/>
    </row>
    <row r="142" ht="15" customHeight="1">
      <c r="A142" t="inlineStr">
        <is>
          <t>A 41901-2025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45903</v>
      </c>
      <c r="E142" s="1" t="n">
        <v>46218</v>
      </c>
      <c r="F142" t="inlineStr">
        <is>
          <t>GÄVLEBORGS LÄN</t>
        </is>
      </c>
      <c r="G142" t="inlineStr">
        <is>
          <t>OCKELBO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s="2" t="inlineStr"/>
    </row>
    <row r="143" ht="15" customHeight="1">
      <c r="A143" t="inlineStr">
        <is>
          <t>A 41897-2025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45903</v>
      </c>
      <c r="E143" s="1" t="n">
        <v>46218</v>
      </c>
      <c r="F143" t="inlineStr">
        <is>
          <t>GÄVLEBORGS LÄN</t>
        </is>
      </c>
      <c r="G143" t="inlineStr">
        <is>
          <t>OCKELBO</t>
        </is>
      </c>
      <c r="I143" t="n">
        <v>4.7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s="2" t="inlineStr"/>
    </row>
    <row r="144" ht="15" customHeight="1">
      <c r="A144" t="inlineStr">
        <is>
          <t>A 41899-2025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45903</v>
      </c>
      <c r="E144" s="1" t="n">
        <v>46218</v>
      </c>
      <c r="F144" t="inlineStr">
        <is>
          <t>GÄVLEBORGS LÄN</t>
        </is>
      </c>
      <c r="G144" t="inlineStr">
        <is>
          <t>OCKELBO</t>
        </is>
      </c>
      <c r="H144" t="inlineStr">
        <is>
          <t>Bergvik skog väst AB</t>
        </is>
      </c>
      <c r="I144" t="n">
        <v>5.9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s="2" t="inlineStr"/>
    </row>
    <row r="145" ht="15" customHeight="1">
      <c r="A145" t="inlineStr">
        <is>
          <t>A 28586-2024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45478</v>
      </c>
      <c r="E145" s="1" t="n">
        <v>46218</v>
      </c>
      <c r="F145" t="inlineStr">
        <is>
          <t>GÄVLEBORGS LÄN</t>
        </is>
      </c>
      <c r="G145" t="inlineStr">
        <is>
          <t>OCKELBO</t>
        </is>
      </c>
      <c r="H145" t="inlineStr">
        <is>
          <t>Bergvik skog väst AB</t>
        </is>
      </c>
      <c r="I145" t="n">
        <v>0.3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s="2" t="inlineStr"/>
    </row>
    <row r="146" ht="15" customHeight="1">
      <c r="A146" t="inlineStr">
        <is>
          <t>A 21582-2024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45441</v>
      </c>
      <c r="E146" s="1" t="n">
        <v>46218</v>
      </c>
      <c r="F146" t="inlineStr">
        <is>
          <t>GÄVLEBORGS LÄN</t>
        </is>
      </c>
      <c r="G146" t="inlineStr">
        <is>
          <t>OCKELBO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s="2" t="inlineStr"/>
    </row>
    <row r="147" ht="15" customHeight="1">
      <c r="A147" t="inlineStr">
        <is>
          <t>A 24228-2022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44725</v>
      </c>
      <c r="E147" s="1" t="n">
        <v>46218</v>
      </c>
      <c r="F147" t="inlineStr">
        <is>
          <t>GÄVLEBORGS LÄN</t>
        </is>
      </c>
      <c r="G147" t="inlineStr">
        <is>
          <t>OCKELBO</t>
        </is>
      </c>
      <c r="I147" t="n">
        <v>2.3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s="2" t="inlineStr"/>
    </row>
    <row r="148" ht="15" customHeight="1">
      <c r="A148" t="inlineStr">
        <is>
          <t>A 59978-2023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45254</v>
      </c>
      <c r="E148" s="1" t="n">
        <v>46218</v>
      </c>
      <c r="F148" t="inlineStr">
        <is>
          <t>GÄVLEBORGS LÄN</t>
        </is>
      </c>
      <c r="G148" t="inlineStr">
        <is>
          <t>OCKELBO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s="2" t="inlineStr"/>
    </row>
    <row r="149" ht="15" customHeight="1">
      <c r="A149" t="inlineStr">
        <is>
          <t>A 39710-2023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45167</v>
      </c>
      <c r="E149" s="1" t="n">
        <v>46218</v>
      </c>
      <c r="F149" t="inlineStr">
        <is>
          <t>GÄVLEBORGS LÄN</t>
        </is>
      </c>
      <c r="G149" t="inlineStr">
        <is>
          <t>OCKELBO</t>
        </is>
      </c>
      <c r="I149" t="n">
        <v>0.5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s="2" t="inlineStr"/>
    </row>
    <row r="150" ht="15" customHeight="1">
      <c r="A150" t="inlineStr">
        <is>
          <t>A 23072-2024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45450</v>
      </c>
      <c r="E150" s="1" t="n">
        <v>46218</v>
      </c>
      <c r="F150" t="inlineStr">
        <is>
          <t>GÄVLEBORGS LÄN</t>
        </is>
      </c>
      <c r="G150" t="inlineStr">
        <is>
          <t>OCKELBO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s="2" t="inlineStr"/>
    </row>
    <row r="151" ht="15" customHeight="1">
      <c r="A151" t="inlineStr">
        <is>
          <t>A 42386-2025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45905</v>
      </c>
      <c r="E151" s="1" t="n">
        <v>46218</v>
      </c>
      <c r="F151" t="inlineStr">
        <is>
          <t>GÄVLEBORGS LÄN</t>
        </is>
      </c>
      <c r="G151" t="inlineStr">
        <is>
          <t>OCKELBO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s="2" t="inlineStr"/>
    </row>
    <row r="152" ht="15" customHeight="1">
      <c r="A152" t="inlineStr">
        <is>
          <t>A 64609-2023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45281</v>
      </c>
      <c r="E152" s="1" t="n">
        <v>46218</v>
      </c>
      <c r="F152" t="inlineStr">
        <is>
          <t>GÄVLEBORGS LÄN</t>
        </is>
      </c>
      <c r="G152" t="inlineStr">
        <is>
          <t>OCKELBO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s="2" t="inlineStr"/>
    </row>
    <row r="153" ht="15" customHeight="1">
      <c r="A153" t="inlineStr">
        <is>
          <t>A 10445-2024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45366</v>
      </c>
      <c r="E153" s="1" t="n">
        <v>46218</v>
      </c>
      <c r="F153" t="inlineStr">
        <is>
          <t>GÄVLEBORGS LÄN</t>
        </is>
      </c>
      <c r="G153" t="inlineStr">
        <is>
          <t>OCKELBO</t>
        </is>
      </c>
      <c r="H153" t="inlineStr">
        <is>
          <t>Bergvik skog väst AB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s="2" t="inlineStr"/>
    </row>
    <row r="154" ht="15" customHeight="1">
      <c r="A154" t="inlineStr">
        <is>
          <t>A 32087-2025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45835</v>
      </c>
      <c r="E154" s="1" t="n">
        <v>46218</v>
      </c>
      <c r="F154" t="inlineStr">
        <is>
          <t>GÄVLEBORGS LÄN</t>
        </is>
      </c>
      <c r="G154" t="inlineStr">
        <is>
          <t>OCKELBO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s="2" t="inlineStr"/>
    </row>
    <row r="155" ht="15" customHeight="1">
      <c r="A155" t="inlineStr">
        <is>
          <t>A 3626-2023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44950</v>
      </c>
      <c r="E155" s="1" t="n">
        <v>46218</v>
      </c>
      <c r="F155" t="inlineStr">
        <is>
          <t>GÄVLEBORGS LÄN</t>
        </is>
      </c>
      <c r="G155" t="inlineStr">
        <is>
          <t>OCKELBO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s="2" t="inlineStr"/>
    </row>
    <row r="156" ht="15" customHeight="1">
      <c r="A156" t="inlineStr">
        <is>
          <t>A 54309-2024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45617</v>
      </c>
      <c r="E156" s="1" t="n">
        <v>46218</v>
      </c>
      <c r="F156" t="inlineStr">
        <is>
          <t>GÄVLEBORGS LÄN</t>
        </is>
      </c>
      <c r="G156" t="inlineStr">
        <is>
          <t>OCKELBO</t>
        </is>
      </c>
      <c r="H156" t="inlineStr">
        <is>
          <t>Bergvik skog väst AB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s="2" t="inlineStr"/>
    </row>
    <row r="157" ht="15" customHeight="1">
      <c r="A157" t="inlineStr">
        <is>
          <t>A 43436-2025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45911</v>
      </c>
      <c r="E157" s="1" t="n">
        <v>46218</v>
      </c>
      <c r="F157" t="inlineStr">
        <is>
          <t>GÄVLEBORGS LÄN</t>
        </is>
      </c>
      <c r="G157" t="inlineStr">
        <is>
          <t>OCKELBO</t>
        </is>
      </c>
      <c r="I157" t="n">
        <v>1.3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s="2" t="inlineStr"/>
    </row>
    <row r="158" ht="15" customHeight="1">
      <c r="A158" t="inlineStr">
        <is>
          <t>A 20892-2025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45777</v>
      </c>
      <c r="E158" s="1" t="n">
        <v>46218</v>
      </c>
      <c r="F158" t="inlineStr">
        <is>
          <t>GÄVLEBORGS LÄN</t>
        </is>
      </c>
      <c r="G158" t="inlineStr">
        <is>
          <t>OCKELBO</t>
        </is>
      </c>
      <c r="H158" t="inlineStr">
        <is>
          <t>Bergvik skog väst AB</t>
        </is>
      </c>
      <c r="I158" t="n">
        <v>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s="2" t="inlineStr"/>
    </row>
    <row r="159" ht="15" customHeight="1">
      <c r="A159" t="inlineStr">
        <is>
          <t>A 29963-2024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45488</v>
      </c>
      <c r="E159" s="1" t="n">
        <v>46218</v>
      </c>
      <c r="F159" t="inlineStr">
        <is>
          <t>GÄVLEBORGS LÄN</t>
        </is>
      </c>
      <c r="G159" t="inlineStr">
        <is>
          <t>OCKELBO</t>
        </is>
      </c>
      <c r="I159" t="n">
        <v>3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s="2" t="inlineStr"/>
    </row>
    <row r="160" ht="15" customHeight="1">
      <c r="A160" t="inlineStr">
        <is>
          <t>A 22151-2022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44712</v>
      </c>
      <c r="E160" s="1" t="n">
        <v>46218</v>
      </c>
      <c r="F160" t="inlineStr">
        <is>
          <t>GÄVLEBORGS LÄN</t>
        </is>
      </c>
      <c r="G160" t="inlineStr">
        <is>
          <t>OCKELBO</t>
        </is>
      </c>
      <c r="I160" t="n">
        <v>4.4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s="2" t="inlineStr"/>
    </row>
    <row r="161" ht="15" customHeight="1">
      <c r="A161" t="inlineStr">
        <is>
          <t>A 921-2024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45301</v>
      </c>
      <c r="E161" s="1" t="n">
        <v>46218</v>
      </c>
      <c r="F161" t="inlineStr">
        <is>
          <t>GÄVLEBORGS LÄN</t>
        </is>
      </c>
      <c r="G161" t="inlineStr">
        <is>
          <t>OCKELBO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s="2" t="inlineStr"/>
    </row>
    <row r="162" ht="15" customHeight="1">
      <c r="A162" t="inlineStr">
        <is>
          <t>A 21900-2023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45068</v>
      </c>
      <c r="E162" s="1" t="n">
        <v>46218</v>
      </c>
      <c r="F162" t="inlineStr">
        <is>
          <t>GÄVLEBORGS LÄN</t>
        </is>
      </c>
      <c r="G162" t="inlineStr">
        <is>
          <t>OCKELBO</t>
        </is>
      </c>
      <c r="H162" t="inlineStr">
        <is>
          <t>Bergvik skog väst AB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s="2" t="inlineStr"/>
    </row>
    <row r="163" ht="15" customHeight="1">
      <c r="A163" t="inlineStr">
        <is>
          <t>A 43424-2025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45911</v>
      </c>
      <c r="E163" s="1" t="n">
        <v>46218</v>
      </c>
      <c r="F163" t="inlineStr">
        <is>
          <t>GÄVLEBORGS LÄN</t>
        </is>
      </c>
      <c r="G163" t="inlineStr">
        <is>
          <t>OCKELBO</t>
        </is>
      </c>
      <c r="I163" t="n">
        <v>4.4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s="2" t="inlineStr"/>
    </row>
    <row r="164" ht="15" customHeight="1">
      <c r="A164" t="inlineStr">
        <is>
          <t>A 19774-2025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45771</v>
      </c>
      <c r="E164" s="1" t="n">
        <v>46218</v>
      </c>
      <c r="F164" t="inlineStr">
        <is>
          <t>GÄVLEBORGS LÄN</t>
        </is>
      </c>
      <c r="G164" t="inlineStr">
        <is>
          <t>OCKELBO</t>
        </is>
      </c>
      <c r="H164" t="inlineStr">
        <is>
          <t>Bergvik skog väst AB</t>
        </is>
      </c>
      <c r="I164" t="n">
        <v>5.3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s="2" t="inlineStr"/>
    </row>
    <row r="165" ht="15" customHeight="1">
      <c r="A165" t="inlineStr">
        <is>
          <t>A 55112-2023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45237</v>
      </c>
      <c r="E165" s="1" t="n">
        <v>46218</v>
      </c>
      <c r="F165" t="inlineStr">
        <is>
          <t>GÄVLEBORGS LÄN</t>
        </is>
      </c>
      <c r="G165" t="inlineStr">
        <is>
          <t>OCKELBO</t>
        </is>
      </c>
      <c r="I165" t="n">
        <v>14.6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s="2" t="inlineStr"/>
    </row>
    <row r="166" ht="15" customHeight="1">
      <c r="A166" t="inlineStr">
        <is>
          <t>A 21878-2023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45068</v>
      </c>
      <c r="E166" s="1" t="n">
        <v>46218</v>
      </c>
      <c r="F166" t="inlineStr">
        <is>
          <t>GÄVLEBORGS LÄN</t>
        </is>
      </c>
      <c r="G166" t="inlineStr">
        <is>
          <t>OCKELBO</t>
        </is>
      </c>
      <c r="H166" t="inlineStr">
        <is>
          <t>Bergvik skog väst AB</t>
        </is>
      </c>
      <c r="I166" t="n">
        <v>1.3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s="2" t="inlineStr"/>
    </row>
    <row r="167" ht="15" customHeight="1">
      <c r="A167" t="inlineStr">
        <is>
          <t>A 36295-2024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45534</v>
      </c>
      <c r="E167" s="1" t="n">
        <v>46218</v>
      </c>
      <c r="F167" t="inlineStr">
        <is>
          <t>GÄVLEBORGS LÄN</t>
        </is>
      </c>
      <c r="G167" t="inlineStr">
        <is>
          <t>OCKELBO</t>
        </is>
      </c>
      <c r="I167" t="n">
        <v>7.9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s="2" t="inlineStr"/>
    </row>
    <row r="168" ht="15" customHeight="1">
      <c r="A168" t="inlineStr">
        <is>
          <t>A 43423-2025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45911</v>
      </c>
      <c r="E168" s="1" t="n">
        <v>46218</v>
      </c>
      <c r="F168" t="inlineStr">
        <is>
          <t>GÄVLEBORGS LÄN</t>
        </is>
      </c>
      <c r="G168" t="inlineStr">
        <is>
          <t>OCKELBO</t>
        </is>
      </c>
      <c r="H168" t="inlineStr">
        <is>
          <t>Bergvik skog väst AB</t>
        </is>
      </c>
      <c r="I168" t="n">
        <v>24.8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s="2" t="inlineStr"/>
    </row>
    <row r="169" ht="15" customHeight="1">
      <c r="A169" t="inlineStr">
        <is>
          <t>A 43447-2025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45911</v>
      </c>
      <c r="E169" s="1" t="n">
        <v>46218</v>
      </c>
      <c r="F169" t="inlineStr">
        <is>
          <t>GÄVLEBORGS LÄN</t>
        </is>
      </c>
      <c r="G169" t="inlineStr">
        <is>
          <t>OCKELBO</t>
        </is>
      </c>
      <c r="H169" t="inlineStr">
        <is>
          <t>Bergvik skog väst AB</t>
        </is>
      </c>
      <c r="I169" t="n">
        <v>4.9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s="2" t="inlineStr"/>
    </row>
    <row r="170" ht="15" customHeight="1">
      <c r="A170" t="inlineStr">
        <is>
          <t>A 6568-2024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45341</v>
      </c>
      <c r="E170" s="1" t="n">
        <v>46218</v>
      </c>
      <c r="F170" t="inlineStr">
        <is>
          <t>GÄVLEBORGS LÄN</t>
        </is>
      </c>
      <c r="G170" t="inlineStr">
        <is>
          <t>OCKELBO</t>
        </is>
      </c>
      <c r="I170" t="n">
        <v>2.9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s="2" t="inlineStr"/>
    </row>
    <row r="171" ht="15" customHeight="1">
      <c r="A171" t="inlineStr">
        <is>
          <t>A 15325-2025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45747</v>
      </c>
      <c r="E171" s="1" t="n">
        <v>46218</v>
      </c>
      <c r="F171" t="inlineStr">
        <is>
          <t>GÄVLEBORGS LÄN</t>
        </is>
      </c>
      <c r="G171" t="inlineStr">
        <is>
          <t>OCKELBO</t>
        </is>
      </c>
      <c r="I171" t="n">
        <v>0.7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s="2" t="inlineStr"/>
    </row>
    <row r="172" ht="15" customHeight="1">
      <c r="A172" t="inlineStr">
        <is>
          <t>A 60962-2024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45645</v>
      </c>
      <c r="E172" s="1" t="n">
        <v>46218</v>
      </c>
      <c r="F172" t="inlineStr">
        <is>
          <t>GÄVLEBORGS LÄN</t>
        </is>
      </c>
      <c r="G172" t="inlineStr">
        <is>
          <t>OCKELBO</t>
        </is>
      </c>
      <c r="H172" t="inlineStr">
        <is>
          <t>Kyrkan</t>
        </is>
      </c>
      <c r="I172" t="n">
        <v>5.9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s="2" t="inlineStr"/>
    </row>
    <row r="173" ht="15" customHeight="1">
      <c r="A173" t="inlineStr">
        <is>
          <t>A 29968-2024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45488</v>
      </c>
      <c r="E173" s="1" t="n">
        <v>46218</v>
      </c>
      <c r="F173" t="inlineStr">
        <is>
          <t>GÄVLEBORGS LÄN</t>
        </is>
      </c>
      <c r="G173" t="inlineStr">
        <is>
          <t>OCKELBO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s="2" t="inlineStr"/>
    </row>
    <row r="174" ht="15" customHeight="1">
      <c r="A174" t="inlineStr">
        <is>
          <t>A 53488-2023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45230</v>
      </c>
      <c r="E174" s="1" t="n">
        <v>46218</v>
      </c>
      <c r="F174" t="inlineStr">
        <is>
          <t>GÄVLEBORGS LÄN</t>
        </is>
      </c>
      <c r="G174" t="inlineStr">
        <is>
          <t>OCKELBO</t>
        </is>
      </c>
      <c r="H174" t="inlineStr">
        <is>
          <t>Bergvik skog väst AB</t>
        </is>
      </c>
      <c r="I174" t="n">
        <v>13.3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s="2" t="inlineStr"/>
    </row>
    <row r="175" ht="15" customHeight="1">
      <c r="A175" t="inlineStr">
        <is>
          <t>A 37442-2023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45156</v>
      </c>
      <c r="E175" s="1" t="n">
        <v>46218</v>
      </c>
      <c r="F175" t="inlineStr">
        <is>
          <t>GÄVLEBORGS LÄN</t>
        </is>
      </c>
      <c r="G175" t="inlineStr">
        <is>
          <t>OCKELBO</t>
        </is>
      </c>
      <c r="H175" t="inlineStr">
        <is>
          <t>Bergvik skog väst AB</t>
        </is>
      </c>
      <c r="I175" t="n">
        <v>4.2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s="2" t="inlineStr"/>
    </row>
    <row r="176" ht="15" customHeight="1">
      <c r="A176" t="inlineStr">
        <is>
          <t>A 22385-2023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45070</v>
      </c>
      <c r="E176" s="1" t="n">
        <v>46218</v>
      </c>
      <c r="F176" t="inlineStr">
        <is>
          <t>GÄVLEBORGS LÄN</t>
        </is>
      </c>
      <c r="G176" t="inlineStr">
        <is>
          <t>OCKELBO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s="2" t="inlineStr"/>
    </row>
    <row r="177" ht="15" customHeight="1">
      <c r="A177" t="inlineStr">
        <is>
          <t>A 46320-2025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45925</v>
      </c>
      <c r="E177" s="1" t="n">
        <v>46218</v>
      </c>
      <c r="F177" t="inlineStr">
        <is>
          <t>GÄVLEBORGS LÄN</t>
        </is>
      </c>
      <c r="G177" t="inlineStr">
        <is>
          <t>OCKELBO</t>
        </is>
      </c>
      <c r="H177" t="inlineStr">
        <is>
          <t>Bergvik skog väst AB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s="2" t="inlineStr"/>
    </row>
    <row r="178" ht="15" customHeight="1">
      <c r="A178" t="inlineStr">
        <is>
          <t>A 56741-2024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45628</v>
      </c>
      <c r="E178" s="1" t="n">
        <v>46218</v>
      </c>
      <c r="F178" t="inlineStr">
        <is>
          <t>GÄVLEBORGS LÄN</t>
        </is>
      </c>
      <c r="G178" t="inlineStr">
        <is>
          <t>OCKELBO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s="2" t="inlineStr"/>
    </row>
    <row r="179" ht="15" customHeight="1">
      <c r="A179" t="inlineStr">
        <is>
          <t>A 19772-2025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45771</v>
      </c>
      <c r="E179" s="1" t="n">
        <v>46218</v>
      </c>
      <c r="F179" t="inlineStr">
        <is>
          <t>GÄVLEBORGS LÄN</t>
        </is>
      </c>
      <c r="G179" t="inlineStr">
        <is>
          <t>OCKELBO</t>
        </is>
      </c>
      <c r="H179" t="inlineStr">
        <is>
          <t>Bergvik skog väst AB</t>
        </is>
      </c>
      <c r="I179" t="n">
        <v>4.8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s="2" t="inlineStr"/>
    </row>
    <row r="180" ht="15" customHeight="1">
      <c r="A180" t="inlineStr">
        <is>
          <t>A 60699-2024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45644</v>
      </c>
      <c r="E180" s="1" t="n">
        <v>46218</v>
      </c>
      <c r="F180" t="inlineStr">
        <is>
          <t>GÄVLEBORGS LÄN</t>
        </is>
      </c>
      <c r="G180" t="inlineStr">
        <is>
          <t>OCKELBO</t>
        </is>
      </c>
      <c r="H180" t="inlineStr">
        <is>
          <t>Bergvik skog väst AB</t>
        </is>
      </c>
      <c r="I180" t="n">
        <v>5.3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s="2" t="inlineStr"/>
    </row>
    <row r="181" ht="15" customHeight="1">
      <c r="A181" t="inlineStr">
        <is>
          <t>A 50693-2024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45602</v>
      </c>
      <c r="E181" s="1" t="n">
        <v>46218</v>
      </c>
      <c r="F181" t="inlineStr">
        <is>
          <t>GÄVLEBORGS LÄN</t>
        </is>
      </c>
      <c r="G181" t="inlineStr">
        <is>
          <t>OCKELBO</t>
        </is>
      </c>
      <c r="H181" t="inlineStr">
        <is>
          <t>Bergvik skog väst AB</t>
        </is>
      </c>
      <c r="I181" t="n">
        <v>2.6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s="2" t="inlineStr"/>
    </row>
    <row r="182" ht="15" customHeight="1">
      <c r="A182" t="inlineStr">
        <is>
          <t>A 16141-2023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45027</v>
      </c>
      <c r="E182" s="1" t="n">
        <v>46218</v>
      </c>
      <c r="F182" t="inlineStr">
        <is>
          <t>GÄVLEBORGS LÄN</t>
        </is>
      </c>
      <c r="G182" t="inlineStr">
        <is>
          <t>OCKELBO</t>
        </is>
      </c>
      <c r="H182" t="inlineStr">
        <is>
          <t>Bergvik skog väst AB</t>
        </is>
      </c>
      <c r="I182" t="n">
        <v>1.7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s="2" t="inlineStr"/>
    </row>
    <row r="183" ht="15" customHeight="1">
      <c r="A183" t="inlineStr">
        <is>
          <t>A 50689-2024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45602</v>
      </c>
      <c r="E183" s="1" t="n">
        <v>46218</v>
      </c>
      <c r="F183" t="inlineStr">
        <is>
          <t>GÄVLEBORGS LÄN</t>
        </is>
      </c>
      <c r="G183" t="inlineStr">
        <is>
          <t>OCKELBO</t>
        </is>
      </c>
      <c r="H183" t="inlineStr">
        <is>
          <t>Bergvik skog väst AB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s="2" t="inlineStr"/>
    </row>
    <row r="184" ht="15" customHeight="1">
      <c r="A184" t="inlineStr">
        <is>
          <t>A 50692-2024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45602</v>
      </c>
      <c r="E184" s="1" t="n">
        <v>46218</v>
      </c>
      <c r="F184" t="inlineStr">
        <is>
          <t>GÄVLEBORGS LÄN</t>
        </is>
      </c>
      <c r="G184" t="inlineStr">
        <is>
          <t>OCKELBO</t>
        </is>
      </c>
      <c r="H184" t="inlineStr">
        <is>
          <t>Bergvik skog väst AB</t>
        </is>
      </c>
      <c r="I184" t="n">
        <v>2.2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s="2" t="inlineStr"/>
    </row>
    <row r="185" ht="15" customHeight="1">
      <c r="A185" t="inlineStr">
        <is>
          <t>A 52140-2024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45608</v>
      </c>
      <c r="E185" s="1" t="n">
        <v>46218</v>
      </c>
      <c r="F185" t="inlineStr">
        <is>
          <t>GÄVLEBORGS LÄN</t>
        </is>
      </c>
      <c r="G185" t="inlineStr">
        <is>
          <t>OCKELBO</t>
        </is>
      </c>
      <c r="H185" t="inlineStr">
        <is>
          <t>Bergvik skog väst AB</t>
        </is>
      </c>
      <c r="I185" t="n">
        <v>9.800000000000001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s="2" t="inlineStr"/>
    </row>
    <row r="186" ht="15" customHeight="1">
      <c r="A186" t="inlineStr">
        <is>
          <t>A 38401-2023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45162</v>
      </c>
      <c r="E186" s="1" t="n">
        <v>46218</v>
      </c>
      <c r="F186" t="inlineStr">
        <is>
          <t>GÄVLEBORGS LÄN</t>
        </is>
      </c>
      <c r="G186" t="inlineStr">
        <is>
          <t>OCKELBO</t>
        </is>
      </c>
      <c r="H186" t="inlineStr">
        <is>
          <t>Bergvik skog väst AB</t>
        </is>
      </c>
      <c r="I186" t="n">
        <v>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s="2" t="inlineStr"/>
    </row>
    <row r="187" ht="15" customHeight="1">
      <c r="A187" t="inlineStr">
        <is>
          <t>A 66825-2021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44522</v>
      </c>
      <c r="E187" s="1" t="n">
        <v>46218</v>
      </c>
      <c r="F187" t="inlineStr">
        <is>
          <t>GÄVLEBORGS LÄN</t>
        </is>
      </c>
      <c r="G187" t="inlineStr">
        <is>
          <t>OCKELBO</t>
        </is>
      </c>
      <c r="H187" t="inlineStr">
        <is>
          <t>Bergvik skog väst AB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s="2" t="inlineStr"/>
    </row>
    <row r="188" ht="15" customHeight="1">
      <c r="A188" t="inlineStr">
        <is>
          <t>A 34291-2025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45846</v>
      </c>
      <c r="E188" s="1" t="n">
        <v>46218</v>
      </c>
      <c r="F188" t="inlineStr">
        <is>
          <t>GÄVLEBORGS LÄN</t>
        </is>
      </c>
      <c r="G188" t="inlineStr">
        <is>
          <t>OCKELBO</t>
        </is>
      </c>
      <c r="H188" t="inlineStr">
        <is>
          <t>Bergvik skog väst AB</t>
        </is>
      </c>
      <c r="I188" t="n">
        <v>6.4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s="2" t="inlineStr"/>
    </row>
    <row r="189" ht="15" customHeight="1">
      <c r="A189" t="inlineStr">
        <is>
          <t>A 40283-2024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45554</v>
      </c>
      <c r="E189" s="1" t="n">
        <v>46218</v>
      </c>
      <c r="F189" t="inlineStr">
        <is>
          <t>GÄVLEBORGS LÄN</t>
        </is>
      </c>
      <c r="G189" t="inlineStr">
        <is>
          <t>OCKELBO</t>
        </is>
      </c>
      <c r="H189" t="inlineStr">
        <is>
          <t>Bergvik skog väst AB</t>
        </is>
      </c>
      <c r="I189" t="n">
        <v>1.3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s="2" t="inlineStr"/>
    </row>
    <row r="190" ht="15" customHeight="1">
      <c r="A190" t="inlineStr">
        <is>
          <t>A 50235-2023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45216</v>
      </c>
      <c r="E190" s="1" t="n">
        <v>46218</v>
      </c>
      <c r="F190" t="inlineStr">
        <is>
          <t>GÄVLEBORGS LÄN</t>
        </is>
      </c>
      <c r="G190" t="inlineStr">
        <is>
          <t>OCKELBO</t>
        </is>
      </c>
      <c r="H190" t="inlineStr">
        <is>
          <t>Bergvik skog väst AB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s="2" t="inlineStr"/>
    </row>
    <row r="191" ht="15" customHeight="1">
      <c r="A191" t="inlineStr">
        <is>
          <t>A 29567-2024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45484</v>
      </c>
      <c r="E191" s="1" t="n">
        <v>46218</v>
      </c>
      <c r="F191" t="inlineStr">
        <is>
          <t>GÄVLEBORGS LÄN</t>
        </is>
      </c>
      <c r="G191" t="inlineStr">
        <is>
          <t>OCKELBO</t>
        </is>
      </c>
      <c r="I191" t="n">
        <v>3.7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s="2" t="inlineStr"/>
    </row>
    <row r="192" ht="15" customHeight="1">
      <c r="A192" t="inlineStr">
        <is>
          <t>A 40281-2024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45554</v>
      </c>
      <c r="E192" s="1" t="n">
        <v>46218</v>
      </c>
      <c r="F192" t="inlineStr">
        <is>
          <t>GÄVLEBORGS LÄN</t>
        </is>
      </c>
      <c r="G192" t="inlineStr">
        <is>
          <t>OCKELBO</t>
        </is>
      </c>
      <c r="H192" t="inlineStr">
        <is>
          <t>Bergvik skog väst AB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s="2" t="inlineStr"/>
    </row>
    <row r="193" ht="15" customHeight="1">
      <c r="A193" t="inlineStr">
        <is>
          <t>A 6617-2025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45700</v>
      </c>
      <c r="E193" s="1" t="n">
        <v>46218</v>
      </c>
      <c r="F193" t="inlineStr">
        <is>
          <t>GÄVLEBORGS LÄN</t>
        </is>
      </c>
      <c r="G193" t="inlineStr">
        <is>
          <t>OCKELBO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s="2" t="inlineStr"/>
    </row>
    <row r="194" ht="15" customHeight="1">
      <c r="A194" t="inlineStr">
        <is>
          <t>A 64367-2023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45280</v>
      </c>
      <c r="E194" s="1" t="n">
        <v>46218</v>
      </c>
      <c r="F194" t="inlineStr">
        <is>
          <t>GÄVLEBORGS LÄN</t>
        </is>
      </c>
      <c r="G194" t="inlineStr">
        <is>
          <t>OCKELBO</t>
        </is>
      </c>
      <c r="I194" t="n">
        <v>0.4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s="2" t="inlineStr"/>
    </row>
    <row r="195" ht="15" customHeight="1">
      <c r="A195" t="inlineStr">
        <is>
          <t>A 38893-2022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44816</v>
      </c>
      <c r="E195" s="1" t="n">
        <v>46218</v>
      </c>
      <c r="F195" t="inlineStr">
        <is>
          <t>GÄVLEBORGS LÄN</t>
        </is>
      </c>
      <c r="G195" t="inlineStr">
        <is>
          <t>OCKELBO</t>
        </is>
      </c>
      <c r="H195" t="inlineStr">
        <is>
          <t>Bergvik skog väst AB</t>
        </is>
      </c>
      <c r="I195" t="n">
        <v>3.1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s="2" t="inlineStr"/>
    </row>
    <row r="196" ht="15" customHeight="1">
      <c r="A196" t="inlineStr">
        <is>
          <t>A 48221-2024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45590</v>
      </c>
      <c r="E196" s="1" t="n">
        <v>46218</v>
      </c>
      <c r="F196" t="inlineStr">
        <is>
          <t>GÄVLEBORGS LÄN</t>
        </is>
      </c>
      <c r="G196" t="inlineStr">
        <is>
          <t>OCKELBO</t>
        </is>
      </c>
      <c r="H196" t="inlineStr">
        <is>
          <t>Bergvik skog väst AB</t>
        </is>
      </c>
      <c r="I196" t="n">
        <v>5.5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s="2" t="inlineStr"/>
    </row>
    <row r="197" ht="15" customHeight="1">
      <c r="A197" t="inlineStr">
        <is>
          <t>A 47011-2025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45929</v>
      </c>
      <c r="E197" s="1" t="n">
        <v>46218</v>
      </c>
      <c r="F197" t="inlineStr">
        <is>
          <t>GÄVLEBORGS LÄN</t>
        </is>
      </c>
      <c r="G197" t="inlineStr">
        <is>
          <t>OCKELBO</t>
        </is>
      </c>
      <c r="I197" t="n">
        <v>0.6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s="2" t="inlineStr"/>
    </row>
    <row r="198" ht="15" customHeight="1">
      <c r="A198" t="inlineStr">
        <is>
          <t>A 47016-2025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45929</v>
      </c>
      <c r="E198" s="1" t="n">
        <v>46218</v>
      </c>
      <c r="F198" t="inlineStr">
        <is>
          <t>GÄVLEBORGS LÄN</t>
        </is>
      </c>
      <c r="G198" t="inlineStr">
        <is>
          <t>OCKELBO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s="2" t="inlineStr"/>
    </row>
    <row r="199" ht="15" customHeight="1">
      <c r="A199" t="inlineStr">
        <is>
          <t>A 61622-2021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44501</v>
      </c>
      <c r="E199" s="1" t="n">
        <v>46218</v>
      </c>
      <c r="F199" t="inlineStr">
        <is>
          <t>GÄVLEBORGS LÄN</t>
        </is>
      </c>
      <c r="G199" t="inlineStr">
        <is>
          <t>OCKELBO</t>
        </is>
      </c>
      <c r="H199" t="inlineStr">
        <is>
          <t>Bergvik skog väst AB</t>
        </is>
      </c>
      <c r="I199" t="n">
        <v>1.1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s="2" t="inlineStr"/>
    </row>
    <row r="200" ht="15" customHeight="1">
      <c r="A200" t="inlineStr">
        <is>
          <t>A 54454-2024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45617</v>
      </c>
      <c r="E200" s="1" t="n">
        <v>46218</v>
      </c>
      <c r="F200" t="inlineStr">
        <is>
          <t>GÄVLEBORGS LÄN</t>
        </is>
      </c>
      <c r="G200" t="inlineStr">
        <is>
          <t>OCKELBO</t>
        </is>
      </c>
      <c r="H200" t="inlineStr">
        <is>
          <t>Bergvik skog väst AB</t>
        </is>
      </c>
      <c r="I200" t="n">
        <v>6.8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s="2" t="inlineStr"/>
    </row>
    <row r="201" ht="15" customHeight="1">
      <c r="A201" t="inlineStr">
        <is>
          <t>A 45519-2022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44845</v>
      </c>
      <c r="E201" s="1" t="n">
        <v>46218</v>
      </c>
      <c r="F201" t="inlineStr">
        <is>
          <t>GÄVLEBORGS LÄN</t>
        </is>
      </c>
      <c r="G201" t="inlineStr">
        <is>
          <t>OCKELBO</t>
        </is>
      </c>
      <c r="H201" t="inlineStr">
        <is>
          <t>Bergvik skog väst AB</t>
        </is>
      </c>
      <c r="I201" t="n">
        <v>2.5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s="2" t="inlineStr"/>
    </row>
    <row r="202" ht="15" customHeight="1">
      <c r="A202" t="inlineStr">
        <is>
          <t>A 67768-2021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44525</v>
      </c>
      <c r="E202" s="1" t="n">
        <v>46218</v>
      </c>
      <c r="F202" t="inlineStr">
        <is>
          <t>GÄVLEBORGS LÄN</t>
        </is>
      </c>
      <c r="G202" t="inlineStr">
        <is>
          <t>OCKELBO</t>
        </is>
      </c>
      <c r="H202" t="inlineStr">
        <is>
          <t>Bergvik skog väst AB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s="2" t="inlineStr"/>
    </row>
    <row r="203" ht="15" customHeight="1">
      <c r="A203" t="inlineStr">
        <is>
          <t>A 55715-2023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45239</v>
      </c>
      <c r="E203" s="1" t="n">
        <v>46218</v>
      </c>
      <c r="F203" t="inlineStr">
        <is>
          <t>GÄVLEBORGS LÄN</t>
        </is>
      </c>
      <c r="G203" t="inlineStr">
        <is>
          <t>OCKELBO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s="2" t="inlineStr"/>
    </row>
    <row r="204" ht="15" customHeight="1">
      <c r="A204" t="inlineStr">
        <is>
          <t>A 46485-2024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45582</v>
      </c>
      <c r="E204" s="1" t="n">
        <v>46218</v>
      </c>
      <c r="F204" t="inlineStr">
        <is>
          <t>GÄVLEBORGS LÄN</t>
        </is>
      </c>
      <c r="G204" t="inlineStr">
        <is>
          <t>OCKELBO</t>
        </is>
      </c>
      <c r="H204" t="inlineStr">
        <is>
          <t>Bergvik skog väst AB</t>
        </is>
      </c>
      <c r="I204" t="n">
        <v>6.7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s="2" t="inlineStr"/>
    </row>
    <row r="205" ht="15" customHeight="1">
      <c r="A205" t="inlineStr">
        <is>
          <t>A 29768-2023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45107</v>
      </c>
      <c r="E205" s="1" t="n">
        <v>46218</v>
      </c>
      <c r="F205" t="inlineStr">
        <is>
          <t>GÄVLEBORGS LÄN</t>
        </is>
      </c>
      <c r="G205" t="inlineStr">
        <is>
          <t>OCKELBO</t>
        </is>
      </c>
      <c r="H205" t="inlineStr">
        <is>
          <t>Bergvik skog väst AB</t>
        </is>
      </c>
      <c r="I205" t="n">
        <v>2.9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s="2" t="inlineStr"/>
    </row>
    <row r="206" ht="15" customHeight="1">
      <c r="A206" t="inlineStr">
        <is>
          <t>A 6742-2024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45342</v>
      </c>
      <c r="E206" s="1" t="n">
        <v>46218</v>
      </c>
      <c r="F206" t="inlineStr">
        <is>
          <t>GÄVLEBORGS LÄN</t>
        </is>
      </c>
      <c r="G206" t="inlineStr">
        <is>
          <t>OCKELBO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s="2" t="inlineStr"/>
    </row>
    <row r="207" ht="15" customHeight="1">
      <c r="A207" t="inlineStr">
        <is>
          <t>A 47267-2025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45930</v>
      </c>
      <c r="E207" s="1" t="n">
        <v>46218</v>
      </c>
      <c r="F207" t="inlineStr">
        <is>
          <t>GÄVLEBORGS LÄN</t>
        </is>
      </c>
      <c r="G207" t="inlineStr">
        <is>
          <t>OCKELBO</t>
        </is>
      </c>
      <c r="I207" t="n">
        <v>2.1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s="2" t="inlineStr"/>
    </row>
    <row r="208" ht="15" customHeight="1">
      <c r="A208" t="inlineStr">
        <is>
          <t>A 7276-2023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44970</v>
      </c>
      <c r="E208" s="1" t="n">
        <v>46218</v>
      </c>
      <c r="F208" t="inlineStr">
        <is>
          <t>GÄVLEBORGS LÄN</t>
        </is>
      </c>
      <c r="G208" t="inlineStr">
        <is>
          <t>OCKELBO</t>
        </is>
      </c>
      <c r="I208" t="n">
        <v>1.4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s="2" t="inlineStr"/>
    </row>
    <row r="209" ht="15" customHeight="1">
      <c r="A209" t="inlineStr">
        <is>
          <t>A 3620-2023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44950</v>
      </c>
      <c r="E209" s="1" t="n">
        <v>46218</v>
      </c>
      <c r="F209" t="inlineStr">
        <is>
          <t>GÄVLEBORGS LÄN</t>
        </is>
      </c>
      <c r="G209" t="inlineStr">
        <is>
          <t>OCKELBO</t>
        </is>
      </c>
      <c r="I209" t="n">
        <v>3.8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s="2" t="inlineStr"/>
    </row>
    <row r="210" ht="15" customHeight="1">
      <c r="A210" t="inlineStr">
        <is>
          <t>A 20059-2025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45772</v>
      </c>
      <c r="E210" s="1" t="n">
        <v>46218</v>
      </c>
      <c r="F210" t="inlineStr">
        <is>
          <t>GÄVLEBORGS LÄN</t>
        </is>
      </c>
      <c r="G210" t="inlineStr">
        <is>
          <t>OCKELBO</t>
        </is>
      </c>
      <c r="I210" t="n">
        <v>14.8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s="2" t="inlineStr"/>
    </row>
    <row r="211" ht="15" customHeight="1">
      <c r="A211" t="inlineStr">
        <is>
          <t>A 47849-2021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44448</v>
      </c>
      <c r="E211" s="1" t="n">
        <v>46218</v>
      </c>
      <c r="F211" t="inlineStr">
        <is>
          <t>GÄVLEBORGS LÄN</t>
        </is>
      </c>
      <c r="G211" t="inlineStr">
        <is>
          <t>OCKELBO</t>
        </is>
      </c>
      <c r="I211" t="n">
        <v>1.1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s="2" t="inlineStr"/>
    </row>
    <row r="212" ht="15" customHeight="1">
      <c r="A212" t="inlineStr">
        <is>
          <t>A 59533-2023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45254</v>
      </c>
      <c r="E212" s="1" t="n">
        <v>46218</v>
      </c>
      <c r="F212" t="inlineStr">
        <is>
          <t>GÄVLEBORGS LÄN</t>
        </is>
      </c>
      <c r="G212" t="inlineStr">
        <is>
          <t>OCKELBO</t>
        </is>
      </c>
      <c r="I212" t="n">
        <v>2.7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s="2" t="inlineStr"/>
    </row>
    <row r="213" ht="15" customHeight="1">
      <c r="A213" t="inlineStr">
        <is>
          <t>A 50194-2024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45600</v>
      </c>
      <c r="E213" s="1" t="n">
        <v>46218</v>
      </c>
      <c r="F213" t="inlineStr">
        <is>
          <t>GÄVLEBORGS LÄN</t>
        </is>
      </c>
      <c r="G213" t="inlineStr">
        <is>
          <t>OCKELBO</t>
        </is>
      </c>
      <c r="I213" t="n">
        <v>0.8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s="2" t="inlineStr"/>
    </row>
    <row r="214" ht="15" customHeight="1">
      <c r="A214" t="inlineStr">
        <is>
          <t>A 15247-2025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45744</v>
      </c>
      <c r="E214" s="1" t="n">
        <v>46218</v>
      </c>
      <c r="F214" t="inlineStr">
        <is>
          <t>GÄVLEBORGS LÄN</t>
        </is>
      </c>
      <c r="G214" t="inlineStr">
        <is>
          <t>OCKELBO</t>
        </is>
      </c>
      <c r="H214" t="inlineStr">
        <is>
          <t>Bergvik skog väst AB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s="2" t="inlineStr"/>
    </row>
    <row r="215" ht="15" customHeight="1">
      <c r="A215" t="inlineStr">
        <is>
          <t>A 16629-2025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45754</v>
      </c>
      <c r="E215" s="1" t="n">
        <v>46218</v>
      </c>
      <c r="F215" t="inlineStr">
        <is>
          <t>GÄVLEBORGS LÄN</t>
        </is>
      </c>
      <c r="G215" t="inlineStr">
        <is>
          <t>OCKELBO</t>
        </is>
      </c>
      <c r="I215" t="n">
        <v>0.5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s="2" t="inlineStr"/>
    </row>
    <row r="216" ht="15" customHeight="1">
      <c r="A216" t="inlineStr">
        <is>
          <t>A 47987-2025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45932</v>
      </c>
      <c r="E216" s="1" t="n">
        <v>46218</v>
      </c>
      <c r="F216" t="inlineStr">
        <is>
          <t>GÄVLEBORGS LÄN</t>
        </is>
      </c>
      <c r="G216" t="inlineStr">
        <is>
          <t>OCKELBO</t>
        </is>
      </c>
      <c r="H216" t="inlineStr">
        <is>
          <t>Bergvik skog väst AB</t>
        </is>
      </c>
      <c r="I216" t="n">
        <v>3.7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s="2" t="inlineStr"/>
    </row>
    <row r="217" ht="15" customHeight="1">
      <c r="A217" t="inlineStr">
        <is>
          <t>A 5131-2024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45330</v>
      </c>
      <c r="E217" s="1" t="n">
        <v>46218</v>
      </c>
      <c r="F217" t="inlineStr">
        <is>
          <t>GÄVLEBORGS LÄN</t>
        </is>
      </c>
      <c r="G217" t="inlineStr">
        <is>
          <t>OCKELBO</t>
        </is>
      </c>
      <c r="H217" t="inlineStr">
        <is>
          <t>Bergvik skog väst AB</t>
        </is>
      </c>
      <c r="I217" t="n">
        <v>1.3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s="2" t="inlineStr"/>
    </row>
    <row r="218" ht="15" customHeight="1">
      <c r="A218" t="inlineStr">
        <is>
          <t>A 22952-2023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45072</v>
      </c>
      <c r="E218" s="1" t="n">
        <v>46218</v>
      </c>
      <c r="F218" t="inlineStr">
        <is>
          <t>GÄVLEBORGS LÄN</t>
        </is>
      </c>
      <c r="G218" t="inlineStr">
        <is>
          <t>OCKELBO</t>
        </is>
      </c>
      <c r="I218" t="n">
        <v>5.6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s="2" t="inlineStr"/>
    </row>
    <row r="219" ht="15" customHeight="1">
      <c r="A219" t="inlineStr">
        <is>
          <t>A 29534-2023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45106</v>
      </c>
      <c r="E219" s="1" t="n">
        <v>46218</v>
      </c>
      <c r="F219" t="inlineStr">
        <is>
          <t>GÄVLEBORGS LÄN</t>
        </is>
      </c>
      <c r="G219" t="inlineStr">
        <is>
          <t>OCKELBO</t>
        </is>
      </c>
      <c r="H219" t="inlineStr">
        <is>
          <t>Bergvik skog väst AB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s="2" t="inlineStr"/>
    </row>
    <row r="220" ht="15" customHeight="1">
      <c r="A220" t="inlineStr">
        <is>
          <t>A 49027-2025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45937</v>
      </c>
      <c r="E220" s="1" t="n">
        <v>46218</v>
      </c>
      <c r="F220" t="inlineStr">
        <is>
          <t>GÄVLEBORGS LÄN</t>
        </is>
      </c>
      <c r="G220" t="inlineStr">
        <is>
          <t>OCKELBO</t>
        </is>
      </c>
      <c r="I220" t="n">
        <v>11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s="2" t="inlineStr"/>
    </row>
    <row r="221" ht="15" customHeight="1">
      <c r="A221" t="inlineStr">
        <is>
          <t>A 20231-2024</t>
        </is>
      </c>
      <c r="B221" t="inlineStr">
        <is>
          <t>avverkningsanmälan</t>
        </is>
      </c>
      <c r="C221" t="inlineStr">
        <is>
          <t>Avverkning för annat ändamål</t>
        </is>
      </c>
      <c r="D221" s="1" t="n">
        <v>45434</v>
      </c>
      <c r="E221" s="1" t="n">
        <v>46218</v>
      </c>
      <c r="F221" t="inlineStr">
        <is>
          <t>GÄVLEBORGS LÄN</t>
        </is>
      </c>
      <c r="G221" t="inlineStr">
        <is>
          <t>OCKELBO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s="2" t="inlineStr"/>
    </row>
    <row r="222" ht="15" customHeight="1">
      <c r="A222" t="inlineStr">
        <is>
          <t>A 49014-2025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45937</v>
      </c>
      <c r="E222" s="1" t="n">
        <v>46218</v>
      </c>
      <c r="F222" t="inlineStr">
        <is>
          <t>GÄVLEBORGS LÄN</t>
        </is>
      </c>
      <c r="G222" t="inlineStr">
        <is>
          <t>OCKELBO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s="2" t="inlineStr"/>
    </row>
    <row r="223" ht="15" customHeight="1">
      <c r="A223" t="inlineStr">
        <is>
          <t>A 35054-2022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44797</v>
      </c>
      <c r="E223" s="1" t="n">
        <v>46218</v>
      </c>
      <c r="F223" t="inlineStr">
        <is>
          <t>GÄVLEBORGS LÄN</t>
        </is>
      </c>
      <c r="G223" t="inlineStr">
        <is>
          <t>OCKELBO</t>
        </is>
      </c>
      <c r="I223" t="n">
        <v>3.6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s="2" t="inlineStr"/>
    </row>
    <row r="224" ht="15" customHeight="1">
      <c r="A224" t="inlineStr">
        <is>
          <t>A 49008-2025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45937</v>
      </c>
      <c r="E224" s="1" t="n">
        <v>46218</v>
      </c>
      <c r="F224" t="inlineStr">
        <is>
          <t>GÄVLEBORGS LÄN</t>
        </is>
      </c>
      <c r="G224" t="inlineStr">
        <is>
          <t>OCKELBO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s="2" t="inlineStr"/>
    </row>
    <row r="225" ht="15" customHeight="1">
      <c r="A225" t="inlineStr">
        <is>
          <t>A 22824-2024</t>
        </is>
      </c>
      <c r="B225" t="inlineStr">
        <is>
          <t>avverkningsanmälan</t>
        </is>
      </c>
      <c r="C225" t="inlineStr">
        <is>
          <t>Avverkning för att bevara och utveckla /försöksver</t>
        </is>
      </c>
      <c r="D225" s="1" t="n">
        <v>45448</v>
      </c>
      <c r="E225" s="1" t="n">
        <v>46218</v>
      </c>
      <c r="F225" t="inlineStr">
        <is>
          <t>GÄVLEBORGS LÄN</t>
        </is>
      </c>
      <c r="G225" t="inlineStr">
        <is>
          <t>OCKELBO</t>
        </is>
      </c>
      <c r="H225" t="inlineStr">
        <is>
          <t>Bergvik skog väst AB</t>
        </is>
      </c>
      <c r="I225" t="n">
        <v>0.1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s="2" t="inlineStr"/>
    </row>
    <row r="226" ht="15" customHeight="1">
      <c r="A226" t="inlineStr">
        <is>
          <t>A 48996-2025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45937</v>
      </c>
      <c r="E226" s="1" t="n">
        <v>46218</v>
      </c>
      <c r="F226" t="inlineStr">
        <is>
          <t>GÄVLEBORGS LÄN</t>
        </is>
      </c>
      <c r="G226" t="inlineStr">
        <is>
          <t>OCKELBO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s="2" t="inlineStr"/>
    </row>
    <row r="227" ht="15" customHeight="1">
      <c r="A227" t="inlineStr">
        <is>
          <t>A 48855-2025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45937</v>
      </c>
      <c r="E227" s="1" t="n">
        <v>46218</v>
      </c>
      <c r="F227" t="inlineStr">
        <is>
          <t>GÄVLEBORGS LÄN</t>
        </is>
      </c>
      <c r="G227" t="inlineStr">
        <is>
          <t>OCKELBO</t>
        </is>
      </c>
      <c r="H227" t="inlineStr">
        <is>
          <t>Bergvik skog väst AB</t>
        </is>
      </c>
      <c r="I227" t="n">
        <v>6.1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s="2" t="inlineStr"/>
    </row>
    <row r="228" ht="15" customHeight="1">
      <c r="A228" t="inlineStr">
        <is>
          <t>A 49032-2025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45937</v>
      </c>
      <c r="E228" s="1" t="n">
        <v>46218</v>
      </c>
      <c r="F228" t="inlineStr">
        <is>
          <t>GÄVLEBORGS LÄN</t>
        </is>
      </c>
      <c r="G228" t="inlineStr">
        <is>
          <t>OCKELBO</t>
        </is>
      </c>
      <c r="I228" t="n">
        <v>11.1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s="2" t="inlineStr"/>
    </row>
    <row r="229" ht="15" customHeight="1">
      <c r="A229" t="inlineStr">
        <is>
          <t>A 1143-2025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45666</v>
      </c>
      <c r="E229" s="1" t="n">
        <v>46218</v>
      </c>
      <c r="F229" t="inlineStr">
        <is>
          <t>GÄVLEBORGS LÄN</t>
        </is>
      </c>
      <c r="G229" t="inlineStr">
        <is>
          <t>OCKELBO</t>
        </is>
      </c>
      <c r="I229" t="n">
        <v>3.5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s="2" t="inlineStr"/>
    </row>
    <row r="230" ht="15" customHeight="1">
      <c r="A230" t="inlineStr">
        <is>
          <t>A 31822-2025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45834</v>
      </c>
      <c r="E230" s="1" t="n">
        <v>46218</v>
      </c>
      <c r="F230" t="inlineStr">
        <is>
          <t>GÄVLEBORGS LÄN</t>
        </is>
      </c>
      <c r="G230" t="inlineStr">
        <is>
          <t>OCKELBO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s="2" t="inlineStr"/>
    </row>
    <row r="231" ht="15" customHeight="1">
      <c r="A231" t="inlineStr">
        <is>
          <t>A 10150-2023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44986</v>
      </c>
      <c r="E231" s="1" t="n">
        <v>46218</v>
      </c>
      <c r="F231" t="inlineStr">
        <is>
          <t>GÄVLEBORGS LÄN</t>
        </is>
      </c>
      <c r="G231" t="inlineStr">
        <is>
          <t>OCKELBO</t>
        </is>
      </c>
      <c r="I231" t="n">
        <v>3.2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s="2" t="inlineStr"/>
    </row>
    <row r="232" ht="15" customHeight="1">
      <c r="A232" t="inlineStr">
        <is>
          <t>A 61750-2023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45265</v>
      </c>
      <c r="E232" s="1" t="n">
        <v>46218</v>
      </c>
      <c r="F232" t="inlineStr">
        <is>
          <t>GÄVLEBORGS LÄN</t>
        </is>
      </c>
      <c r="G232" t="inlineStr">
        <is>
          <t>OCKELBO</t>
        </is>
      </c>
      <c r="I232" t="n">
        <v>11.2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s="2" t="inlineStr"/>
    </row>
    <row r="233" ht="15" customHeight="1">
      <c r="A233" t="inlineStr">
        <is>
          <t>A 2556-2025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45674</v>
      </c>
      <c r="E233" s="1" t="n">
        <v>46218</v>
      </c>
      <c r="F233" t="inlineStr">
        <is>
          <t>GÄVLEBORGS LÄN</t>
        </is>
      </c>
      <c r="G233" t="inlineStr">
        <is>
          <t>OCKELBO</t>
        </is>
      </c>
      <c r="I233" t="n">
        <v>2.5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s="2" t="inlineStr"/>
    </row>
    <row r="234" ht="15" customHeight="1">
      <c r="A234" t="inlineStr">
        <is>
          <t>A 33985-2023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45134</v>
      </c>
      <c r="E234" s="1" t="n">
        <v>46218</v>
      </c>
      <c r="F234" t="inlineStr">
        <is>
          <t>GÄVLEBORGS LÄN</t>
        </is>
      </c>
      <c r="G234" t="inlineStr">
        <is>
          <t>OCKELBO</t>
        </is>
      </c>
      <c r="H234" t="inlineStr">
        <is>
          <t>Bergvik skog väst AB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s="2" t="inlineStr"/>
    </row>
    <row r="235" ht="15" customHeight="1">
      <c r="A235" t="inlineStr">
        <is>
          <t>A 54807-2024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45618</v>
      </c>
      <c r="E235" s="1" t="n">
        <v>46218</v>
      </c>
      <c r="F235" t="inlineStr">
        <is>
          <t>GÄVLEBORGS LÄN</t>
        </is>
      </c>
      <c r="G235" t="inlineStr">
        <is>
          <t>OCKELBO</t>
        </is>
      </c>
      <c r="I235" t="n">
        <v>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s="2" t="inlineStr"/>
    </row>
    <row r="236" ht="15" customHeight="1">
      <c r="A236" t="inlineStr">
        <is>
          <t>A 60148-2023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45258</v>
      </c>
      <c r="E236" s="1" t="n">
        <v>46218</v>
      </c>
      <c r="F236" t="inlineStr">
        <is>
          <t>GÄVLEBORGS LÄN</t>
        </is>
      </c>
      <c r="G236" t="inlineStr">
        <is>
          <t>OCKELBO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s="2" t="inlineStr"/>
    </row>
    <row r="237" ht="15" customHeight="1">
      <c r="A237" t="inlineStr">
        <is>
          <t>A 3628-2023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44950</v>
      </c>
      <c r="E237" s="1" t="n">
        <v>46218</v>
      </c>
      <c r="F237" t="inlineStr">
        <is>
          <t>GÄVLEBORGS LÄN</t>
        </is>
      </c>
      <c r="G237" t="inlineStr">
        <is>
          <t>OCKELBO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s="2" t="inlineStr"/>
    </row>
    <row r="238" ht="15" customHeight="1">
      <c r="A238" t="inlineStr">
        <is>
          <t>A 53137-2024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45611</v>
      </c>
      <c r="E238" s="1" t="n">
        <v>46218</v>
      </c>
      <c r="F238" t="inlineStr">
        <is>
          <t>GÄVLEBORGS LÄN</t>
        </is>
      </c>
      <c r="G238" t="inlineStr">
        <is>
          <t>OCKELBO</t>
        </is>
      </c>
      <c r="H238" t="inlineStr">
        <is>
          <t>Bergvik skog väst AB</t>
        </is>
      </c>
      <c r="I238" t="n">
        <v>5.5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s="2" t="inlineStr"/>
    </row>
    <row r="239" ht="15" customHeight="1">
      <c r="A239" t="inlineStr">
        <is>
          <t>A 33617-2023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45132</v>
      </c>
      <c r="E239" s="1" t="n">
        <v>46218</v>
      </c>
      <c r="F239" t="inlineStr">
        <is>
          <t>GÄVLEBORGS LÄN</t>
        </is>
      </c>
      <c r="G239" t="inlineStr">
        <is>
          <t>OCKELBO</t>
        </is>
      </c>
      <c r="H239" t="inlineStr">
        <is>
          <t>Bergvik skog väst AB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s="2" t="inlineStr"/>
    </row>
    <row r="240" ht="15" customHeight="1">
      <c r="A240" t="inlineStr">
        <is>
          <t>A 65259-2023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45291</v>
      </c>
      <c r="E240" s="1" t="n">
        <v>46218</v>
      </c>
      <c r="F240" t="inlineStr">
        <is>
          <t>GÄVLEBORGS LÄN</t>
        </is>
      </c>
      <c r="G240" t="inlineStr">
        <is>
          <t>OCKELBO</t>
        </is>
      </c>
      <c r="I240" t="n">
        <v>3.6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s="2" t="inlineStr"/>
    </row>
    <row r="241" ht="15" customHeight="1">
      <c r="A241" t="inlineStr">
        <is>
          <t>A 56352-2024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45624</v>
      </c>
      <c r="E241" s="1" t="n">
        <v>46218</v>
      </c>
      <c r="F241" t="inlineStr">
        <is>
          <t>GÄVLEBORGS LÄN</t>
        </is>
      </c>
      <c r="G241" t="inlineStr">
        <is>
          <t>OCKELBO</t>
        </is>
      </c>
      <c r="H241" t="inlineStr">
        <is>
          <t>Bergvik skog väst AB</t>
        </is>
      </c>
      <c r="I241" t="n">
        <v>4.6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s="2" t="inlineStr"/>
    </row>
    <row r="242" ht="15" customHeight="1">
      <c r="A242" t="inlineStr">
        <is>
          <t>A 20775-2025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45776</v>
      </c>
      <c r="E242" s="1" t="n">
        <v>46218</v>
      </c>
      <c r="F242" t="inlineStr">
        <is>
          <t>GÄVLEBORGS LÄN</t>
        </is>
      </c>
      <c r="G242" t="inlineStr">
        <is>
          <t>OCKELBO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s="2" t="inlineStr"/>
    </row>
    <row r="243" ht="15" customHeight="1">
      <c r="A243" t="inlineStr">
        <is>
          <t>A 52259-2025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45953</v>
      </c>
      <c r="E243" s="1" t="n">
        <v>46218</v>
      </c>
      <c r="F243" t="inlineStr">
        <is>
          <t>GÄVLEBORGS LÄN</t>
        </is>
      </c>
      <c r="G243" t="inlineStr">
        <is>
          <t>OCKELBO</t>
        </is>
      </c>
      <c r="I243" t="n">
        <v>3.3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s="2" t="inlineStr"/>
    </row>
    <row r="244" ht="15" customHeight="1">
      <c r="A244" t="inlineStr">
        <is>
          <t>A 39430-2024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45551</v>
      </c>
      <c r="E244" s="1" t="n">
        <v>46218</v>
      </c>
      <c r="F244" t="inlineStr">
        <is>
          <t>GÄVLEBORGS LÄN</t>
        </is>
      </c>
      <c r="G244" t="inlineStr">
        <is>
          <t>OCKELBO</t>
        </is>
      </c>
      <c r="I244" t="n">
        <v>2.1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s="2" t="inlineStr"/>
    </row>
    <row r="245" ht="15" customHeight="1">
      <c r="A245" t="inlineStr">
        <is>
          <t>A 3593-2023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44950</v>
      </c>
      <c r="E245" s="1" t="n">
        <v>46218</v>
      </c>
      <c r="F245" t="inlineStr">
        <is>
          <t>GÄVLEBORGS LÄN</t>
        </is>
      </c>
      <c r="G245" t="inlineStr">
        <is>
          <t>OCKELBO</t>
        </is>
      </c>
      <c r="I245" t="n">
        <v>4.1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s="2" t="inlineStr"/>
    </row>
    <row r="246" ht="15" customHeight="1">
      <c r="A246" t="inlineStr">
        <is>
          <t>A 23780-2024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45455</v>
      </c>
      <c r="E246" s="1" t="n">
        <v>46218</v>
      </c>
      <c r="F246" t="inlineStr">
        <is>
          <t>GÄVLEBORGS LÄN</t>
        </is>
      </c>
      <c r="G246" t="inlineStr">
        <is>
          <t>OCKELBO</t>
        </is>
      </c>
      <c r="I246" t="n">
        <v>3.2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s="2" t="inlineStr"/>
    </row>
    <row r="247" ht="15" customHeight="1">
      <c r="A247" t="inlineStr">
        <is>
          <t>A 51892-2025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45952</v>
      </c>
      <c r="E247" s="1" t="n">
        <v>46218</v>
      </c>
      <c r="F247" t="inlineStr">
        <is>
          <t>GÄVLEBORGS LÄN</t>
        </is>
      </c>
      <c r="G247" t="inlineStr">
        <is>
          <t>OCKELBO</t>
        </is>
      </c>
      <c r="H247" t="inlineStr">
        <is>
          <t>Bergvik skog väst AB</t>
        </is>
      </c>
      <c r="I247" t="n">
        <v>7.5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s="2" t="inlineStr"/>
    </row>
    <row r="248" ht="15" customHeight="1">
      <c r="A248" t="inlineStr">
        <is>
          <t>A 52241-2025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45953</v>
      </c>
      <c r="E248" s="1" t="n">
        <v>46218</v>
      </c>
      <c r="F248" t="inlineStr">
        <is>
          <t>GÄVLEBORGS LÄN</t>
        </is>
      </c>
      <c r="G248" t="inlineStr">
        <is>
          <t>OCKELBO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s="2" t="inlineStr"/>
    </row>
    <row r="249" ht="15" customHeight="1">
      <c r="A249" t="inlineStr">
        <is>
          <t>A 52273-2024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45608</v>
      </c>
      <c r="E249" s="1" t="n">
        <v>46218</v>
      </c>
      <c r="F249" t="inlineStr">
        <is>
          <t>GÄVLEBORGS LÄN</t>
        </is>
      </c>
      <c r="G249" t="inlineStr">
        <is>
          <t>OCKELBO</t>
        </is>
      </c>
      <c r="I249" t="n">
        <v>2.9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s="2" t="inlineStr"/>
    </row>
    <row r="250" ht="15" customHeight="1">
      <c r="A250" t="inlineStr">
        <is>
          <t>A 37848-2024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45544</v>
      </c>
      <c r="E250" s="1" t="n">
        <v>46218</v>
      </c>
      <c r="F250" t="inlineStr">
        <is>
          <t>GÄVLEBORGS LÄN</t>
        </is>
      </c>
      <c r="G250" t="inlineStr">
        <is>
          <t>OCKELBO</t>
        </is>
      </c>
      <c r="I250" t="n">
        <v>1.4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s="2" t="inlineStr"/>
    </row>
    <row r="251" ht="15" customHeight="1">
      <c r="A251" t="inlineStr">
        <is>
          <t>A 60253-2023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45258</v>
      </c>
      <c r="E251" s="1" t="n">
        <v>46218</v>
      </c>
      <c r="F251" t="inlineStr">
        <is>
          <t>GÄVLEBORGS LÄN</t>
        </is>
      </c>
      <c r="G251" t="inlineStr">
        <is>
          <t>OCKELBO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s="2" t="inlineStr"/>
    </row>
    <row r="252" ht="15" customHeight="1">
      <c r="A252" t="inlineStr">
        <is>
          <t>A 52880-2025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45957</v>
      </c>
      <c r="E252" s="1" t="n">
        <v>46218</v>
      </c>
      <c r="F252" t="inlineStr">
        <is>
          <t>GÄVLEBORGS LÄN</t>
        </is>
      </c>
      <c r="G252" t="inlineStr">
        <is>
          <t>OCKELBO</t>
        </is>
      </c>
      <c r="H252" t="inlineStr">
        <is>
          <t>Bergvik skog väst AB</t>
        </is>
      </c>
      <c r="I252" t="n">
        <v>1.1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s="2" t="inlineStr"/>
    </row>
    <row r="253" ht="15" customHeight="1">
      <c r="A253" t="inlineStr">
        <is>
          <t>A 52635-2025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45954</v>
      </c>
      <c r="E253" s="1" t="n">
        <v>46218</v>
      </c>
      <c r="F253" t="inlineStr">
        <is>
          <t>GÄVLEBORGS LÄN</t>
        </is>
      </c>
      <c r="G253" t="inlineStr">
        <is>
          <t>OCKELBO</t>
        </is>
      </c>
      <c r="H253" t="inlineStr">
        <is>
          <t>Bergvik skog väst AB</t>
        </is>
      </c>
      <c r="I253" t="n">
        <v>5.1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s="2" t="inlineStr"/>
    </row>
    <row r="254" ht="15" customHeight="1">
      <c r="A254" t="inlineStr">
        <is>
          <t>A 52461-2025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45954</v>
      </c>
      <c r="E254" s="1" t="n">
        <v>46218</v>
      </c>
      <c r="F254" t="inlineStr">
        <is>
          <t>GÄVLEBORGS LÄN</t>
        </is>
      </c>
      <c r="G254" t="inlineStr">
        <is>
          <t>OCKELBO</t>
        </is>
      </c>
      <c r="H254" t="inlineStr">
        <is>
          <t>Bergvik skog väst AB</t>
        </is>
      </c>
      <c r="I254" t="n">
        <v>5.6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s="2" t="inlineStr"/>
    </row>
    <row r="255" ht="15" customHeight="1">
      <c r="A255" t="inlineStr">
        <is>
          <t>A 22385-2025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45786</v>
      </c>
      <c r="E255" s="1" t="n">
        <v>46218</v>
      </c>
      <c r="F255" t="inlineStr">
        <is>
          <t>GÄVLEBORGS LÄN</t>
        </is>
      </c>
      <c r="G255" t="inlineStr">
        <is>
          <t>OCKELBO</t>
        </is>
      </c>
      <c r="H255" t="inlineStr">
        <is>
          <t>Bergvik skog väst AB</t>
        </is>
      </c>
      <c r="I255" t="n">
        <v>1.2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s="2" t="inlineStr"/>
    </row>
    <row r="256" ht="15" customHeight="1">
      <c r="A256" t="inlineStr">
        <is>
          <t>A 22387-2025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45786</v>
      </c>
      <c r="E256" s="1" t="n">
        <v>46218</v>
      </c>
      <c r="F256" t="inlineStr">
        <is>
          <t>GÄVLEBORGS LÄN</t>
        </is>
      </c>
      <c r="G256" t="inlineStr">
        <is>
          <t>OCKELBO</t>
        </is>
      </c>
      <c r="H256" t="inlineStr">
        <is>
          <t>Bergvik skog väst AB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s="2" t="inlineStr"/>
    </row>
    <row r="257" ht="15" customHeight="1">
      <c r="A257" t="inlineStr">
        <is>
          <t>A 28584-2024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45478</v>
      </c>
      <c r="E257" s="1" t="n">
        <v>46218</v>
      </c>
      <c r="F257" t="inlineStr">
        <is>
          <t>GÄVLEBORGS LÄN</t>
        </is>
      </c>
      <c r="G257" t="inlineStr">
        <is>
          <t>OCKELBO</t>
        </is>
      </c>
      <c r="H257" t="inlineStr">
        <is>
          <t>Bergvik skog väst AB</t>
        </is>
      </c>
      <c r="I257" t="n">
        <v>1.2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s="2" t="inlineStr"/>
    </row>
    <row r="258" ht="15" customHeight="1">
      <c r="A258" t="inlineStr">
        <is>
          <t>A 54323-2024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45617</v>
      </c>
      <c r="E258" s="1" t="n">
        <v>46218</v>
      </c>
      <c r="F258" t="inlineStr">
        <is>
          <t>GÄVLEBORGS LÄN</t>
        </is>
      </c>
      <c r="G258" t="inlineStr">
        <is>
          <t>OCKELBO</t>
        </is>
      </c>
      <c r="H258" t="inlineStr">
        <is>
          <t>Bergvik skog väst AB</t>
        </is>
      </c>
      <c r="I258" t="n">
        <v>2.2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s="2" t="inlineStr"/>
    </row>
    <row r="259" ht="15" customHeight="1">
      <c r="A259" t="inlineStr">
        <is>
          <t>A 28181-2022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44746</v>
      </c>
      <c r="E259" s="1" t="n">
        <v>46218</v>
      </c>
      <c r="F259" t="inlineStr">
        <is>
          <t>GÄVLEBORGS LÄN</t>
        </is>
      </c>
      <c r="G259" t="inlineStr">
        <is>
          <t>OCKELBO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s="2" t="inlineStr"/>
    </row>
    <row r="260" ht="15" customHeight="1">
      <c r="A260" t="inlineStr">
        <is>
          <t>A 61732-2024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45649</v>
      </c>
      <c r="E260" s="1" t="n">
        <v>46218</v>
      </c>
      <c r="F260" t="inlineStr">
        <is>
          <t>GÄVLEBORGS LÄN</t>
        </is>
      </c>
      <c r="G260" t="inlineStr">
        <is>
          <t>OCKELBO</t>
        </is>
      </c>
      <c r="I260" t="n">
        <v>1.1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s="2" t="inlineStr"/>
    </row>
    <row r="261" ht="15" customHeight="1">
      <c r="A261" t="inlineStr">
        <is>
          <t>A 19762-2024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45432</v>
      </c>
      <c r="E261" s="1" t="n">
        <v>46218</v>
      </c>
      <c r="F261" t="inlineStr">
        <is>
          <t>GÄVLEBORGS LÄN</t>
        </is>
      </c>
      <c r="G261" t="inlineStr">
        <is>
          <t>OCKELBO</t>
        </is>
      </c>
      <c r="I261" t="n">
        <v>3.5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s="2" t="inlineStr"/>
    </row>
    <row r="262" ht="15" customHeight="1">
      <c r="A262" t="inlineStr">
        <is>
          <t>A 53391-2025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45959</v>
      </c>
      <c r="E262" s="1" t="n">
        <v>46218</v>
      </c>
      <c r="F262" t="inlineStr">
        <is>
          <t>GÄVLEBORGS LÄN</t>
        </is>
      </c>
      <c r="G262" t="inlineStr">
        <is>
          <t>OCKELBO</t>
        </is>
      </c>
      <c r="H262" t="inlineStr">
        <is>
          <t>Bergvik skog väst AB</t>
        </is>
      </c>
      <c r="I262" t="n">
        <v>11.3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s="2" t="inlineStr"/>
    </row>
    <row r="263" ht="15" customHeight="1">
      <c r="A263" t="inlineStr">
        <is>
          <t>A 20689-2025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45776</v>
      </c>
      <c r="E263" s="1" t="n">
        <v>46218</v>
      </c>
      <c r="F263" t="inlineStr">
        <is>
          <t>GÄVLEBORGS LÄN</t>
        </is>
      </c>
      <c r="G263" t="inlineStr">
        <is>
          <t>OCKELBO</t>
        </is>
      </c>
      <c r="H263" t="inlineStr">
        <is>
          <t>Bergvik skog väst AB</t>
        </is>
      </c>
      <c r="I263" t="n">
        <v>16.2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s="2" t="inlineStr"/>
    </row>
    <row r="264" ht="15" customHeight="1">
      <c r="A264" t="inlineStr">
        <is>
          <t>A 21878-2024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45443</v>
      </c>
      <c r="E264" s="1" t="n">
        <v>46218</v>
      </c>
      <c r="F264" t="inlineStr">
        <is>
          <t>GÄVLEBORGS LÄN</t>
        </is>
      </c>
      <c r="G264" t="inlineStr">
        <is>
          <t>OCKELBO</t>
        </is>
      </c>
      <c r="I264" t="n">
        <v>2.5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s="2" t="inlineStr"/>
    </row>
    <row r="265" ht="15" customHeight="1">
      <c r="A265" t="inlineStr">
        <is>
          <t>A 50197-2024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45600</v>
      </c>
      <c r="E265" s="1" t="n">
        <v>46218</v>
      </c>
      <c r="F265" t="inlineStr">
        <is>
          <t>GÄVLEBORGS LÄN</t>
        </is>
      </c>
      <c r="G265" t="inlineStr">
        <is>
          <t>OCKELBO</t>
        </is>
      </c>
      <c r="I265" t="n">
        <v>0.6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s="2" t="inlineStr"/>
    </row>
    <row r="266" ht="15" customHeight="1">
      <c r="A266" t="inlineStr">
        <is>
          <t>A 23004-2025</t>
        </is>
      </c>
      <c r="B266" t="inlineStr">
        <is>
          <t>avverkningsanmälan</t>
        </is>
      </c>
      <c r="C266" t="inlineStr">
        <is>
          <t>Avverkning för att bevara och utveckla /försöksver</t>
        </is>
      </c>
      <c r="D266" s="1" t="n">
        <v>45790</v>
      </c>
      <c r="E266" s="1" t="n">
        <v>46218</v>
      </c>
      <c r="F266" t="inlineStr">
        <is>
          <t>GÄVLEBORGS LÄN</t>
        </is>
      </c>
      <c r="G266" t="inlineStr">
        <is>
          <t>OCKELBO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s="2" t="inlineStr"/>
    </row>
    <row r="267" ht="15" customHeight="1">
      <c r="A267" t="inlineStr">
        <is>
          <t>A 55011-2024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45621</v>
      </c>
      <c r="E267" s="1" t="n">
        <v>46218</v>
      </c>
      <c r="F267" t="inlineStr">
        <is>
          <t>GÄVLEBORGS LÄN</t>
        </is>
      </c>
      <c r="G267" t="inlineStr">
        <is>
          <t>OCKELBO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s="2" t="inlineStr"/>
    </row>
    <row r="268" ht="15" customHeight="1">
      <c r="A268" t="inlineStr">
        <is>
          <t>A 26085-2024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45468</v>
      </c>
      <c r="E268" s="1" t="n">
        <v>46218</v>
      </c>
      <c r="F268" t="inlineStr">
        <is>
          <t>GÄVLEBORGS LÄN</t>
        </is>
      </c>
      <c r="G268" t="inlineStr">
        <is>
          <t>OCKELBO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s="2" t="inlineStr"/>
    </row>
    <row r="269" ht="15" customHeight="1">
      <c r="A269" t="inlineStr">
        <is>
          <t>A 48803-2024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45593</v>
      </c>
      <c r="E269" s="1" t="n">
        <v>46218</v>
      </c>
      <c r="F269" t="inlineStr">
        <is>
          <t>GÄVLEBORGS LÄN</t>
        </is>
      </c>
      <c r="G269" t="inlineStr">
        <is>
          <t>OCKELBO</t>
        </is>
      </c>
      <c r="I269" t="n">
        <v>9.4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s="2" t="inlineStr"/>
    </row>
    <row r="270" ht="15" customHeight="1">
      <c r="A270" t="inlineStr">
        <is>
          <t>A 16752-2025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45754</v>
      </c>
      <c r="E270" s="1" t="n">
        <v>46218</v>
      </c>
      <c r="F270" t="inlineStr">
        <is>
          <t>GÄVLEBORGS LÄN</t>
        </is>
      </c>
      <c r="G270" t="inlineStr">
        <is>
          <t>OCKELBO</t>
        </is>
      </c>
      <c r="I270" t="n">
        <v>4.5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s="2" t="inlineStr"/>
    </row>
    <row r="271" ht="15" customHeight="1">
      <c r="A271" t="inlineStr">
        <is>
          <t>A 40218-2023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45169</v>
      </c>
      <c r="E271" s="1" t="n">
        <v>46218</v>
      </c>
      <c r="F271" t="inlineStr">
        <is>
          <t>GÄVLEBORGS LÄN</t>
        </is>
      </c>
      <c r="G271" t="inlineStr">
        <is>
          <t>OCKELBO</t>
        </is>
      </c>
      <c r="I271" t="n">
        <v>13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s="2" t="inlineStr"/>
    </row>
    <row r="272" ht="15" customHeight="1">
      <c r="A272" t="inlineStr">
        <is>
          <t>A 15403-2022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44659</v>
      </c>
      <c r="E272" s="1" t="n">
        <v>46218</v>
      </c>
      <c r="F272" t="inlineStr">
        <is>
          <t>GÄVLEBORGS LÄN</t>
        </is>
      </c>
      <c r="G272" t="inlineStr">
        <is>
          <t>OCKELBO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s="2" t="inlineStr"/>
    </row>
    <row r="273" ht="15" customHeight="1">
      <c r="A273" t="inlineStr">
        <is>
          <t>A 64924-2023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45282</v>
      </c>
      <c r="E273" s="1" t="n">
        <v>46218</v>
      </c>
      <c r="F273" t="inlineStr">
        <is>
          <t>GÄVLEBORGS LÄN</t>
        </is>
      </c>
      <c r="G273" t="inlineStr">
        <is>
          <t>OCKELBO</t>
        </is>
      </c>
      <c r="I273" t="n">
        <v>6.8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s="2" t="inlineStr"/>
    </row>
    <row r="274" ht="15" customHeight="1">
      <c r="A274" t="inlineStr">
        <is>
          <t>A 23772-2024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45455</v>
      </c>
      <c r="E274" s="1" t="n">
        <v>46218</v>
      </c>
      <c r="F274" t="inlineStr">
        <is>
          <t>GÄVLEBORGS LÄN</t>
        </is>
      </c>
      <c r="G274" t="inlineStr">
        <is>
          <t>OCKELBO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s="2" t="inlineStr"/>
    </row>
    <row r="275" ht="15" customHeight="1">
      <c r="A275" t="inlineStr">
        <is>
          <t>A 20207-2024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45434</v>
      </c>
      <c r="E275" s="1" t="n">
        <v>46218</v>
      </c>
      <c r="F275" t="inlineStr">
        <is>
          <t>GÄVLEBORGS LÄN</t>
        </is>
      </c>
      <c r="G275" t="inlineStr">
        <is>
          <t>OCKELBO</t>
        </is>
      </c>
      <c r="I275" t="n">
        <v>7.6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s="2" t="inlineStr"/>
    </row>
    <row r="276" ht="15" customHeight="1">
      <c r="A276" t="inlineStr">
        <is>
          <t>A 26367-2024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45469</v>
      </c>
      <c r="E276" s="1" t="n">
        <v>46218</v>
      </c>
      <c r="F276" t="inlineStr">
        <is>
          <t>GÄVLEBORGS LÄN</t>
        </is>
      </c>
      <c r="G276" t="inlineStr">
        <is>
          <t>OCKELBO</t>
        </is>
      </c>
      <c r="I276" t="n">
        <v>3.7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s="2" t="inlineStr"/>
    </row>
    <row r="277" ht="15" customHeight="1">
      <c r="A277" t="inlineStr">
        <is>
          <t>A 54655-2025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45966</v>
      </c>
      <c r="E277" s="1" t="n">
        <v>46218</v>
      </c>
      <c r="F277" t="inlineStr">
        <is>
          <t>GÄVLEBORGS LÄN</t>
        </is>
      </c>
      <c r="G277" t="inlineStr">
        <is>
          <t>OCKELBO</t>
        </is>
      </c>
      <c r="I277" t="n">
        <v>0.8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s="2" t="inlineStr"/>
    </row>
    <row r="278" ht="15" customHeight="1">
      <c r="A278" t="inlineStr">
        <is>
          <t>A 55422-2022</t>
        </is>
      </c>
      <c r="B278" t="inlineStr">
        <is>
          <t>avverkningsanmälan</t>
        </is>
      </c>
      <c r="C278" t="inlineStr">
        <is>
          <t>Avverkning för annat ändamål</t>
        </is>
      </c>
      <c r="D278" s="1" t="n">
        <v>44887</v>
      </c>
      <c r="E278" s="1" t="n">
        <v>46218</v>
      </c>
      <c r="F278" t="inlineStr">
        <is>
          <t>GÄVLEBORGS LÄN</t>
        </is>
      </c>
      <c r="G278" t="inlineStr">
        <is>
          <t>OCKELBO</t>
        </is>
      </c>
      <c r="I278" t="n">
        <v>0.1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s="2" t="inlineStr"/>
    </row>
    <row r="279" ht="15" customHeight="1">
      <c r="A279" t="inlineStr">
        <is>
          <t>A 54879-2025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45967</v>
      </c>
      <c r="E279" s="1" t="n">
        <v>46218</v>
      </c>
      <c r="F279" t="inlineStr">
        <is>
          <t>GÄVLEBORGS LÄN</t>
        </is>
      </c>
      <c r="G279" t="inlineStr">
        <is>
          <t>OCKELBO</t>
        </is>
      </c>
      <c r="I279" t="n">
        <v>2.2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s="2" t="inlineStr"/>
    </row>
    <row r="280" ht="15" customHeight="1">
      <c r="A280" t="inlineStr">
        <is>
          <t>A 54880-2025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45967</v>
      </c>
      <c r="E280" s="1" t="n">
        <v>46218</v>
      </c>
      <c r="F280" t="inlineStr">
        <is>
          <t>GÄVLEBORGS LÄN</t>
        </is>
      </c>
      <c r="G280" t="inlineStr">
        <is>
          <t>OCKELBO</t>
        </is>
      </c>
      <c r="I280" t="n">
        <v>1.7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s="2" t="inlineStr"/>
    </row>
    <row r="281" ht="15" customHeight="1">
      <c r="A281" t="inlineStr">
        <is>
          <t>A 17548-2025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45757</v>
      </c>
      <c r="E281" s="1" t="n">
        <v>46218</v>
      </c>
      <c r="F281" t="inlineStr">
        <is>
          <t>GÄVLEBORGS LÄN</t>
        </is>
      </c>
      <c r="G281" t="inlineStr">
        <is>
          <t>OCKELBO</t>
        </is>
      </c>
      <c r="H281" t="inlineStr">
        <is>
          <t>Bergvik skog väst AB</t>
        </is>
      </c>
      <c r="I281" t="n">
        <v>2.7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s="2" t="inlineStr"/>
    </row>
    <row r="282" ht="15" customHeight="1">
      <c r="A282" t="inlineStr">
        <is>
          <t>A 54817-2022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44883</v>
      </c>
      <c r="E282" s="1" t="n">
        <v>46218</v>
      </c>
      <c r="F282" t="inlineStr">
        <is>
          <t>GÄVLEBORGS LÄN</t>
        </is>
      </c>
      <c r="G282" t="inlineStr">
        <is>
          <t>OCKELBO</t>
        </is>
      </c>
      <c r="H282" t="inlineStr">
        <is>
          <t>Bergvik skog väst AB</t>
        </is>
      </c>
      <c r="I282" t="n">
        <v>2.4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s="2" t="inlineStr"/>
    </row>
    <row r="283" ht="15" customHeight="1">
      <c r="A283" t="inlineStr">
        <is>
          <t>A 49470-2024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45596</v>
      </c>
      <c r="E283" s="1" t="n">
        <v>46218</v>
      </c>
      <c r="F283" t="inlineStr">
        <is>
          <t>GÄVLEBORGS LÄN</t>
        </is>
      </c>
      <c r="G283" t="inlineStr">
        <is>
          <t>OCKELBO</t>
        </is>
      </c>
      <c r="I283" t="n">
        <v>1.9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s="2" t="inlineStr"/>
    </row>
    <row r="284" ht="15" customHeight="1">
      <c r="A284" t="inlineStr">
        <is>
          <t>A 15502-2025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45747</v>
      </c>
      <c r="E284" s="1" t="n">
        <v>46218</v>
      </c>
      <c r="F284" t="inlineStr">
        <is>
          <t>GÄVLEBORGS LÄN</t>
        </is>
      </c>
      <c r="G284" t="inlineStr">
        <is>
          <t>OCKELBO</t>
        </is>
      </c>
      <c r="H284" t="inlineStr">
        <is>
          <t>Bergvik skog väst AB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s="2" t="inlineStr"/>
    </row>
    <row r="285" ht="15" customHeight="1">
      <c r="A285" t="inlineStr">
        <is>
          <t>A 25640-2025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45803</v>
      </c>
      <c r="E285" s="1" t="n">
        <v>46218</v>
      </c>
      <c r="F285" t="inlineStr">
        <is>
          <t>GÄVLEBORGS LÄN</t>
        </is>
      </c>
      <c r="G285" t="inlineStr">
        <is>
          <t>OCKELBO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s="2" t="inlineStr"/>
    </row>
    <row r="286" ht="15" customHeight="1">
      <c r="A286" t="inlineStr">
        <is>
          <t>A 25233-2025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45800</v>
      </c>
      <c r="E286" s="1" t="n">
        <v>46218</v>
      </c>
      <c r="F286" t="inlineStr">
        <is>
          <t>GÄVLEBORGS LÄN</t>
        </is>
      </c>
      <c r="G286" t="inlineStr">
        <is>
          <t>OCKELBO</t>
        </is>
      </c>
      <c r="H286" t="inlineStr">
        <is>
          <t>Bergvik skog väst AB</t>
        </is>
      </c>
      <c r="I286" t="n">
        <v>6.1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s="2" t="inlineStr"/>
    </row>
    <row r="287" ht="15" customHeight="1">
      <c r="A287" t="inlineStr">
        <is>
          <t>A 25246-2025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45800</v>
      </c>
      <c r="E287" s="1" t="n">
        <v>46218</v>
      </c>
      <c r="F287" t="inlineStr">
        <is>
          <t>GÄVLEBORGS LÄN</t>
        </is>
      </c>
      <c r="G287" t="inlineStr">
        <is>
          <t>OCKELBO</t>
        </is>
      </c>
      <c r="H287" t="inlineStr">
        <is>
          <t>Bergvik skog väst AB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s="2" t="inlineStr"/>
    </row>
    <row r="288" ht="15" customHeight="1">
      <c r="A288" t="inlineStr">
        <is>
          <t>A 25248-2025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45800</v>
      </c>
      <c r="E288" s="1" t="n">
        <v>46218</v>
      </c>
      <c r="F288" t="inlineStr">
        <is>
          <t>GÄVLEBORGS LÄN</t>
        </is>
      </c>
      <c r="G288" t="inlineStr">
        <is>
          <t>OCKELBO</t>
        </is>
      </c>
      <c r="H288" t="inlineStr">
        <is>
          <t>Bergvik skog väst AB</t>
        </is>
      </c>
      <c r="I288" t="n">
        <v>0.5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s="2" t="inlineStr"/>
    </row>
    <row r="289" ht="15" customHeight="1">
      <c r="A289" t="inlineStr">
        <is>
          <t>A 25191-2025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45800</v>
      </c>
      <c r="E289" s="1" t="n">
        <v>46218</v>
      </c>
      <c r="F289" t="inlineStr">
        <is>
          <t>GÄVLEBORGS LÄN</t>
        </is>
      </c>
      <c r="G289" t="inlineStr">
        <is>
          <t>OCKELBO</t>
        </is>
      </c>
      <c r="H289" t="inlineStr">
        <is>
          <t>Bergvik skog väst AB</t>
        </is>
      </c>
      <c r="I289" t="n">
        <v>5.1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s="2" t="inlineStr"/>
    </row>
    <row r="290" ht="15" customHeight="1">
      <c r="A290" t="inlineStr">
        <is>
          <t>A 25234-2025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45800</v>
      </c>
      <c r="E290" s="1" t="n">
        <v>46218</v>
      </c>
      <c r="F290" t="inlineStr">
        <is>
          <t>GÄVLEBORGS LÄN</t>
        </is>
      </c>
      <c r="G290" t="inlineStr">
        <is>
          <t>OCKELBO</t>
        </is>
      </c>
      <c r="H290" t="inlineStr">
        <is>
          <t>Bergvik skog väst AB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s="2" t="inlineStr"/>
    </row>
    <row r="291" ht="15" customHeight="1">
      <c r="A291" t="inlineStr">
        <is>
          <t>A 25250-2025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45800</v>
      </c>
      <c r="E291" s="1" t="n">
        <v>46218</v>
      </c>
      <c r="F291" t="inlineStr">
        <is>
          <t>GÄVLEBORGS LÄN</t>
        </is>
      </c>
      <c r="G291" t="inlineStr">
        <is>
          <t>OCKELBO</t>
        </is>
      </c>
      <c r="H291" t="inlineStr">
        <is>
          <t>Bergvik skog väst AB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s="2" t="inlineStr"/>
    </row>
    <row r="292" ht="15" customHeight="1">
      <c r="A292" t="inlineStr">
        <is>
          <t>A 26195-2025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45805</v>
      </c>
      <c r="E292" s="1" t="n">
        <v>46218</v>
      </c>
      <c r="F292" t="inlineStr">
        <is>
          <t>GÄVLEBORGS LÄN</t>
        </is>
      </c>
      <c r="G292" t="inlineStr">
        <is>
          <t>OCKELBO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s="2" t="inlineStr"/>
    </row>
    <row r="293" ht="15" customHeight="1">
      <c r="A293" t="inlineStr">
        <is>
          <t>A 40196-2024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45554</v>
      </c>
      <c r="E293" s="1" t="n">
        <v>46218</v>
      </c>
      <c r="F293" t="inlineStr">
        <is>
          <t>GÄVLEBORGS LÄN</t>
        </is>
      </c>
      <c r="G293" t="inlineStr">
        <is>
          <t>OCKELBO</t>
        </is>
      </c>
      <c r="H293" t="inlineStr">
        <is>
          <t>Bergvik skog väst AB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s="2" t="inlineStr"/>
    </row>
    <row r="294" ht="15" customHeight="1">
      <c r="A294" t="inlineStr">
        <is>
          <t>A 19178-2023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45048</v>
      </c>
      <c r="E294" s="1" t="n">
        <v>46218</v>
      </c>
      <c r="F294" t="inlineStr">
        <is>
          <t>GÄVLEBORGS LÄN</t>
        </is>
      </c>
      <c r="G294" t="inlineStr">
        <is>
          <t>OCKELBO</t>
        </is>
      </c>
      <c r="I294" t="n">
        <v>1.3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s="2" t="inlineStr"/>
    </row>
    <row r="295" ht="15" customHeight="1">
      <c r="A295" t="inlineStr">
        <is>
          <t>A 29954-2024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45488</v>
      </c>
      <c r="E295" s="1" t="n">
        <v>46218</v>
      </c>
      <c r="F295" t="inlineStr">
        <is>
          <t>GÄVLEBORGS LÄN</t>
        </is>
      </c>
      <c r="G295" t="inlineStr">
        <is>
          <t>OCKELBO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s="2" t="inlineStr"/>
    </row>
    <row r="296" ht="15" customHeight="1">
      <c r="A296" t="inlineStr">
        <is>
          <t>A 46074-2024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45581</v>
      </c>
      <c r="E296" s="1" t="n">
        <v>46218</v>
      </c>
      <c r="F296" t="inlineStr">
        <is>
          <t>GÄVLEBORGS LÄN</t>
        </is>
      </c>
      <c r="G296" t="inlineStr">
        <is>
          <t>OCKELBO</t>
        </is>
      </c>
      <c r="H296" t="inlineStr">
        <is>
          <t>Bergvik skog väst AB</t>
        </is>
      </c>
      <c r="I296" t="n">
        <v>3.6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s="2" t="inlineStr"/>
    </row>
    <row r="297" ht="15" customHeight="1">
      <c r="A297" t="inlineStr">
        <is>
          <t>A 18291-2023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45041</v>
      </c>
      <c r="E297" s="1" t="n">
        <v>46218</v>
      </c>
      <c r="F297" t="inlineStr">
        <is>
          <t>GÄVLEBORGS LÄN</t>
        </is>
      </c>
      <c r="G297" t="inlineStr">
        <is>
          <t>OCKELBO</t>
        </is>
      </c>
      <c r="H297" t="inlineStr">
        <is>
          <t>Bergvik skog väst AB</t>
        </is>
      </c>
      <c r="I297" t="n">
        <v>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s="2" t="inlineStr"/>
    </row>
    <row r="298" ht="15" customHeight="1">
      <c r="A298" t="inlineStr">
        <is>
          <t>A 54977-2024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45620</v>
      </c>
      <c r="E298" s="1" t="n">
        <v>46218</v>
      </c>
      <c r="F298" t="inlineStr">
        <is>
          <t>GÄVLEBORGS LÄN</t>
        </is>
      </c>
      <c r="G298" t="inlineStr">
        <is>
          <t>OCKELBO</t>
        </is>
      </c>
      <c r="I298" t="n">
        <v>2.2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s="2" t="inlineStr"/>
    </row>
    <row r="299" ht="15" customHeight="1">
      <c r="A299" t="inlineStr">
        <is>
          <t>A 47674-2023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45203</v>
      </c>
      <c r="E299" s="1" t="n">
        <v>46218</v>
      </c>
      <c r="F299" t="inlineStr">
        <is>
          <t>GÄVLEBORGS LÄN</t>
        </is>
      </c>
      <c r="G299" t="inlineStr">
        <is>
          <t>OCKELBO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s="2" t="inlineStr"/>
    </row>
    <row r="300" ht="15" customHeight="1">
      <c r="A300" t="inlineStr">
        <is>
          <t>A 32011-2024</t>
        </is>
      </c>
      <c r="B300" t="inlineStr">
        <is>
          <t>avverkningsanmälan</t>
        </is>
      </c>
      <c r="C300" t="inlineStr">
        <is>
          <t>Avverkning för annat ändamål</t>
        </is>
      </c>
      <c r="D300" s="1" t="n">
        <v>45510</v>
      </c>
      <c r="E300" s="1" t="n">
        <v>46218</v>
      </c>
      <c r="F300" t="inlineStr">
        <is>
          <t>GÄVLEBORGS LÄN</t>
        </is>
      </c>
      <c r="G300" t="inlineStr">
        <is>
          <t>OCKELBO</t>
        </is>
      </c>
      <c r="I300" t="n">
        <v>1.7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s="2" t="inlineStr"/>
    </row>
    <row r="301" ht="15" customHeight="1">
      <c r="A301" t="inlineStr">
        <is>
          <t>A 30349-2023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45111</v>
      </c>
      <c r="E301" s="1" t="n">
        <v>46218</v>
      </c>
      <c r="F301" t="inlineStr">
        <is>
          <t>GÄVLEBORGS LÄN</t>
        </is>
      </c>
      <c r="G301" t="inlineStr">
        <is>
          <t>OCKELBO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s="2" t="inlineStr"/>
    </row>
    <row r="302" ht="15" customHeight="1">
      <c r="A302" t="inlineStr">
        <is>
          <t>A 55726-2025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45972</v>
      </c>
      <c r="E302" s="1" t="n">
        <v>46218</v>
      </c>
      <c r="F302" t="inlineStr">
        <is>
          <t>GÄVLEBORGS LÄN</t>
        </is>
      </c>
      <c r="G302" t="inlineStr">
        <is>
          <t>OCKELBO</t>
        </is>
      </c>
      <c r="I302" t="n">
        <v>3.5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s="2" t="inlineStr"/>
    </row>
    <row r="303" ht="15" customHeight="1">
      <c r="A303" t="inlineStr">
        <is>
          <t>A 55859-2025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45973</v>
      </c>
      <c r="E303" s="1" t="n">
        <v>46218</v>
      </c>
      <c r="F303" t="inlineStr">
        <is>
          <t>GÄVLEBORGS LÄN</t>
        </is>
      </c>
      <c r="G303" t="inlineStr">
        <is>
          <t>OCKELBO</t>
        </is>
      </c>
      <c r="I303" t="n">
        <v>0.9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s="2" t="inlineStr"/>
    </row>
    <row r="304" ht="15" customHeight="1">
      <c r="A304" t="inlineStr">
        <is>
          <t>A 55866-2025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45973</v>
      </c>
      <c r="E304" s="1" t="n">
        <v>46218</v>
      </c>
      <c r="F304" t="inlineStr">
        <is>
          <t>GÄVLEBORGS LÄN</t>
        </is>
      </c>
      <c r="G304" t="inlineStr">
        <is>
          <t>OCKELBO</t>
        </is>
      </c>
      <c r="I304" t="n">
        <v>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s="2" t="inlineStr"/>
    </row>
    <row r="305" ht="15" customHeight="1">
      <c r="A305" t="inlineStr">
        <is>
          <t>A 55632-2025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45972</v>
      </c>
      <c r="E305" s="1" t="n">
        <v>46218</v>
      </c>
      <c r="F305" t="inlineStr">
        <is>
          <t>GÄVLEBORGS LÄN</t>
        </is>
      </c>
      <c r="G305" t="inlineStr">
        <is>
          <t>OCKELBO</t>
        </is>
      </c>
      <c r="I305" t="n">
        <v>7.8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s="2" t="inlineStr"/>
    </row>
    <row r="306" ht="15" customHeight="1">
      <c r="A306" t="inlineStr">
        <is>
          <t>A 55884-2025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45973</v>
      </c>
      <c r="E306" s="1" t="n">
        <v>46218</v>
      </c>
      <c r="F306" t="inlineStr">
        <is>
          <t>GÄVLEBORGS LÄN</t>
        </is>
      </c>
      <c r="G306" t="inlineStr">
        <is>
          <t>OCKELBO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s="2" t="inlineStr"/>
    </row>
    <row r="307" ht="15" customHeight="1">
      <c r="A307" t="inlineStr">
        <is>
          <t>A 55920-2025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45973</v>
      </c>
      <c r="E307" s="1" t="n">
        <v>46218</v>
      </c>
      <c r="F307" t="inlineStr">
        <is>
          <t>GÄVLEBORGS LÄN</t>
        </is>
      </c>
      <c r="G307" t="inlineStr">
        <is>
          <t>OCKELBO</t>
        </is>
      </c>
      <c r="I307" t="n">
        <v>1.2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s="2" t="inlineStr"/>
    </row>
    <row r="308" ht="15" customHeight="1">
      <c r="A308" t="inlineStr">
        <is>
          <t>A 55926-2025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45973</v>
      </c>
      <c r="E308" s="1" t="n">
        <v>46218</v>
      </c>
      <c r="F308" t="inlineStr">
        <is>
          <t>GÄVLEBORGS LÄN</t>
        </is>
      </c>
      <c r="G308" t="inlineStr">
        <is>
          <t>OCKELBO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s="2" t="inlineStr"/>
    </row>
    <row r="309" ht="15" customHeight="1">
      <c r="A309" t="inlineStr">
        <is>
          <t>A 55629-2025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45972</v>
      </c>
      <c r="E309" s="1" t="n">
        <v>46218</v>
      </c>
      <c r="F309" t="inlineStr">
        <is>
          <t>GÄVLEBORGS LÄN</t>
        </is>
      </c>
      <c r="G309" t="inlineStr">
        <is>
          <t>OCKELBO</t>
        </is>
      </c>
      <c r="I309" t="n">
        <v>1.3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s="2" t="inlineStr"/>
    </row>
    <row r="310" ht="15" customHeight="1">
      <c r="A310" t="inlineStr">
        <is>
          <t>A 55911-2025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45973</v>
      </c>
      <c r="E310" s="1" t="n">
        <v>46218</v>
      </c>
      <c r="F310" t="inlineStr">
        <is>
          <t>GÄVLEBORGS LÄN</t>
        </is>
      </c>
      <c r="G310" t="inlineStr">
        <is>
          <t>OCKELBO</t>
        </is>
      </c>
      <c r="H310" t="inlineStr">
        <is>
          <t>Bergvik skog väst AB</t>
        </is>
      </c>
      <c r="I310" t="n">
        <v>1.6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s="2" t="inlineStr"/>
    </row>
    <row r="311" ht="15" customHeight="1">
      <c r="A311" t="inlineStr">
        <is>
          <t>A 55913-2025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45973</v>
      </c>
      <c r="E311" s="1" t="n">
        <v>46218</v>
      </c>
      <c r="F311" t="inlineStr">
        <is>
          <t>GÄVLEBORGS LÄN</t>
        </is>
      </c>
      <c r="G311" t="inlineStr">
        <is>
          <t>OCKELBO</t>
        </is>
      </c>
      <c r="I311" t="n">
        <v>1.2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s="2" t="inlineStr"/>
    </row>
    <row r="312" ht="15" customHeight="1">
      <c r="A312" t="inlineStr">
        <is>
          <t>A 56454-2025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45975</v>
      </c>
      <c r="E312" s="1" t="n">
        <v>46218</v>
      </c>
      <c r="F312" t="inlineStr">
        <is>
          <t>GÄVLEBORGS LÄN</t>
        </is>
      </c>
      <c r="G312" t="inlineStr">
        <is>
          <t>OCKELBO</t>
        </is>
      </c>
      <c r="I312" t="n">
        <v>7.7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s="2" t="inlineStr"/>
    </row>
    <row r="313" ht="15" customHeight="1">
      <c r="A313" t="inlineStr">
        <is>
          <t>A 27990-2025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45817</v>
      </c>
      <c r="E313" s="1" t="n">
        <v>46218</v>
      </c>
      <c r="F313" t="inlineStr">
        <is>
          <t>GÄVLEBORGS LÄN</t>
        </is>
      </c>
      <c r="G313" t="inlineStr">
        <is>
          <t>OCKELBO</t>
        </is>
      </c>
      <c r="H313" t="inlineStr">
        <is>
          <t>Bergvik skog väst AB</t>
        </is>
      </c>
      <c r="I313" t="n">
        <v>7.8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s="2" t="inlineStr"/>
    </row>
    <row r="314" ht="15" customHeight="1">
      <c r="A314" t="inlineStr">
        <is>
          <t>A 14937-2024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45398</v>
      </c>
      <c r="E314" s="1" t="n">
        <v>46218</v>
      </c>
      <c r="F314" t="inlineStr">
        <is>
          <t>GÄVLEBORGS LÄN</t>
        </is>
      </c>
      <c r="G314" t="inlineStr">
        <is>
          <t>OCKELBO</t>
        </is>
      </c>
      <c r="I314" t="n">
        <v>1.6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s="2" t="inlineStr"/>
    </row>
    <row r="315" ht="15" customHeight="1">
      <c r="A315" t="inlineStr">
        <is>
          <t>A 28080-2025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45817</v>
      </c>
      <c r="E315" s="1" t="n">
        <v>46218</v>
      </c>
      <c r="F315" t="inlineStr">
        <is>
          <t>GÄVLEBORGS LÄN</t>
        </is>
      </c>
      <c r="G315" t="inlineStr">
        <is>
          <t>OCKELBO</t>
        </is>
      </c>
      <c r="I315" t="n">
        <v>4.9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s="2" t="inlineStr"/>
    </row>
    <row r="316" ht="15" customHeight="1">
      <c r="A316" t="inlineStr">
        <is>
          <t>A 33880-2023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45134</v>
      </c>
      <c r="E316" s="1" t="n">
        <v>46218</v>
      </c>
      <c r="F316" t="inlineStr">
        <is>
          <t>GÄVLEBORGS LÄN</t>
        </is>
      </c>
      <c r="G316" t="inlineStr">
        <is>
          <t>OCKELBO</t>
        </is>
      </c>
      <c r="H316" t="inlineStr">
        <is>
          <t>Bergvik skog väst AB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s="2" t="inlineStr"/>
    </row>
    <row r="317" ht="15" customHeight="1">
      <c r="A317" t="inlineStr">
        <is>
          <t>A 28006-2025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45817</v>
      </c>
      <c r="E317" s="1" t="n">
        <v>46218</v>
      </c>
      <c r="F317" t="inlineStr">
        <is>
          <t>GÄVLEBORGS LÄN</t>
        </is>
      </c>
      <c r="G317" t="inlineStr">
        <is>
          <t>OCKELBO</t>
        </is>
      </c>
      <c r="H317" t="inlineStr">
        <is>
          <t>Bergvik skog väst AB</t>
        </is>
      </c>
      <c r="I317" t="n">
        <v>8.1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s="2" t="inlineStr"/>
    </row>
    <row r="318" ht="15" customHeight="1">
      <c r="A318" t="inlineStr">
        <is>
          <t>A 56877-2025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45978</v>
      </c>
      <c r="E318" s="1" t="n">
        <v>46218</v>
      </c>
      <c r="F318" t="inlineStr">
        <is>
          <t>GÄVLEBORGS LÄN</t>
        </is>
      </c>
      <c r="G318" t="inlineStr">
        <is>
          <t>OCKELBO</t>
        </is>
      </c>
      <c r="I318" t="n">
        <v>1.4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s="2" t="inlineStr"/>
    </row>
    <row r="319" ht="15" customHeight="1">
      <c r="A319" t="inlineStr">
        <is>
          <t>A 33881-2023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45134</v>
      </c>
      <c r="E319" s="1" t="n">
        <v>46218</v>
      </c>
      <c r="F319" t="inlineStr">
        <is>
          <t>GÄVLEBORGS LÄN</t>
        </is>
      </c>
      <c r="G319" t="inlineStr">
        <is>
          <t>OCKELBO</t>
        </is>
      </c>
      <c r="H319" t="inlineStr">
        <is>
          <t>Bergvik skog väst AB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s="2" t="inlineStr"/>
    </row>
    <row r="320" ht="15" customHeight="1">
      <c r="A320" t="inlineStr">
        <is>
          <t>A 56888-2025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45978</v>
      </c>
      <c r="E320" s="1" t="n">
        <v>46218</v>
      </c>
      <c r="F320" t="inlineStr">
        <is>
          <t>GÄVLEBORGS LÄN</t>
        </is>
      </c>
      <c r="G320" t="inlineStr">
        <is>
          <t>OCKELBO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s="2" t="inlineStr"/>
    </row>
    <row r="321" ht="15" customHeight="1">
      <c r="A321" t="inlineStr">
        <is>
          <t>A 56919-2025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45978</v>
      </c>
      <c r="E321" s="1" t="n">
        <v>46218</v>
      </c>
      <c r="F321" t="inlineStr">
        <is>
          <t>GÄVLEBORGS LÄN</t>
        </is>
      </c>
      <c r="G321" t="inlineStr">
        <is>
          <t>OCKELBO</t>
        </is>
      </c>
      <c r="I321" t="n">
        <v>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s="2" t="inlineStr"/>
    </row>
    <row r="322" ht="15" customHeight="1">
      <c r="A322" t="inlineStr">
        <is>
          <t>A 56921-2025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45978</v>
      </c>
      <c r="E322" s="1" t="n">
        <v>46218</v>
      </c>
      <c r="F322" t="inlineStr">
        <is>
          <t>GÄVLEBORGS LÄN</t>
        </is>
      </c>
      <c r="G322" t="inlineStr">
        <is>
          <t>OCKELBO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s="2" t="inlineStr"/>
    </row>
    <row r="323" ht="15" customHeight="1">
      <c r="A323" t="inlineStr">
        <is>
          <t>A 51989-2023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45223</v>
      </c>
      <c r="E323" s="1" t="n">
        <v>46218</v>
      </c>
      <c r="F323" t="inlineStr">
        <is>
          <t>GÄVLEBORGS LÄN</t>
        </is>
      </c>
      <c r="G323" t="inlineStr">
        <is>
          <t>OCKELBO</t>
        </is>
      </c>
      <c r="H323" t="inlineStr">
        <is>
          <t>Bergvik skog väst AB</t>
        </is>
      </c>
      <c r="I323" t="n">
        <v>2.9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s="2" t="inlineStr"/>
    </row>
    <row r="324" ht="15" customHeight="1">
      <c r="A324" t="inlineStr">
        <is>
          <t>A 56882-2025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45978</v>
      </c>
      <c r="E324" s="1" t="n">
        <v>46218</v>
      </c>
      <c r="F324" t="inlineStr">
        <is>
          <t>GÄVLEBORGS LÄN</t>
        </is>
      </c>
      <c r="G324" t="inlineStr">
        <is>
          <t>OCKELBO</t>
        </is>
      </c>
      <c r="I324" t="n">
        <v>0.8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s="2" t="inlineStr"/>
    </row>
    <row r="325" ht="15" customHeight="1">
      <c r="A325" t="inlineStr">
        <is>
          <t>A 61456-2024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45646</v>
      </c>
      <c r="E325" s="1" t="n">
        <v>46218</v>
      </c>
      <c r="F325" t="inlineStr">
        <is>
          <t>GÄVLEBORGS LÄN</t>
        </is>
      </c>
      <c r="G325" t="inlineStr">
        <is>
          <t>OCKELBO</t>
        </is>
      </c>
      <c r="I325" t="n">
        <v>1.7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s="2" t="inlineStr"/>
    </row>
    <row r="326" ht="15" customHeight="1">
      <c r="A326" t="inlineStr">
        <is>
          <t>A 28669-2025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45819</v>
      </c>
      <c r="E326" s="1" t="n">
        <v>46218</v>
      </c>
      <c r="F326" t="inlineStr">
        <is>
          <t>GÄVLEBORGS LÄN</t>
        </is>
      </c>
      <c r="G326" t="inlineStr">
        <is>
          <t>OCKELBO</t>
        </is>
      </c>
      <c r="H326" t="inlineStr">
        <is>
          <t>Bergvik skog väst AB</t>
        </is>
      </c>
      <c r="I326" t="n">
        <v>2.2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s="2" t="inlineStr"/>
    </row>
    <row r="327" ht="15" customHeight="1">
      <c r="A327" t="inlineStr">
        <is>
          <t>A 28576-2025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45819</v>
      </c>
      <c r="E327" s="1" t="n">
        <v>46218</v>
      </c>
      <c r="F327" t="inlineStr">
        <is>
          <t>GÄVLEBORGS LÄN</t>
        </is>
      </c>
      <c r="G327" t="inlineStr">
        <is>
          <t>OCKELBO</t>
        </is>
      </c>
      <c r="H327" t="inlineStr">
        <is>
          <t>Bergvik skog väst AB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s="2" t="inlineStr"/>
    </row>
    <row r="328" ht="15" customHeight="1">
      <c r="A328" t="inlineStr">
        <is>
          <t>A 56876-2025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45978</v>
      </c>
      <c r="E328" s="1" t="n">
        <v>46218</v>
      </c>
      <c r="F328" t="inlineStr">
        <is>
          <t>GÄVLEBORGS LÄN</t>
        </is>
      </c>
      <c r="G328" t="inlineStr">
        <is>
          <t>OCKELBO</t>
        </is>
      </c>
      <c r="I328" t="n">
        <v>3.7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s="2" t="inlineStr"/>
    </row>
    <row r="329" ht="15" customHeight="1">
      <c r="A329" t="inlineStr">
        <is>
          <t>A 56803-2025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45978</v>
      </c>
      <c r="E329" s="1" t="n">
        <v>46218</v>
      </c>
      <c r="F329" t="inlineStr">
        <is>
          <t>GÄVLEBORGS LÄN</t>
        </is>
      </c>
      <c r="G329" t="inlineStr">
        <is>
          <t>OCKELBO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s="2" t="inlineStr"/>
    </row>
    <row r="330" ht="15" customHeight="1">
      <c r="A330" t="inlineStr">
        <is>
          <t>A 44281-2022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44839</v>
      </c>
      <c r="E330" s="1" t="n">
        <v>46218</v>
      </c>
      <c r="F330" t="inlineStr">
        <is>
          <t>GÄVLEBORGS LÄN</t>
        </is>
      </c>
      <c r="G330" t="inlineStr">
        <is>
          <t>OCKELBO</t>
        </is>
      </c>
      <c r="H330" t="inlineStr">
        <is>
          <t>Bergvik skog väst AB</t>
        </is>
      </c>
      <c r="I330" t="n">
        <v>3.2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s="2" t="inlineStr"/>
    </row>
    <row r="331" ht="15" customHeight="1">
      <c r="A331" t="inlineStr">
        <is>
          <t>A 57614-2025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45981</v>
      </c>
      <c r="E331" s="1" t="n">
        <v>46218</v>
      </c>
      <c r="F331" t="inlineStr">
        <is>
          <t>GÄVLEBORGS LÄN</t>
        </is>
      </c>
      <c r="G331" t="inlineStr">
        <is>
          <t>OCKELBO</t>
        </is>
      </c>
      <c r="H331" t="inlineStr">
        <is>
          <t>Bergvik skog väst AB</t>
        </is>
      </c>
      <c r="I331" t="n">
        <v>10.4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s="2" t="inlineStr"/>
    </row>
    <row r="332" ht="15" customHeight="1">
      <c r="A332" t="inlineStr">
        <is>
          <t>A 29158-2025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45821</v>
      </c>
      <c r="E332" s="1" t="n">
        <v>46218</v>
      </c>
      <c r="F332" t="inlineStr">
        <is>
          <t>GÄVLEBORGS LÄN</t>
        </is>
      </c>
      <c r="G332" t="inlineStr">
        <is>
          <t>OCKELBO</t>
        </is>
      </c>
      <c r="H332" t="inlineStr">
        <is>
          <t>Bergvik skog väst AB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s="2" t="inlineStr"/>
    </row>
    <row r="333" ht="15" customHeight="1">
      <c r="A333" t="inlineStr">
        <is>
          <t>A 29274-2025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45824</v>
      </c>
      <c r="E333" s="1" t="n">
        <v>46218</v>
      </c>
      <c r="F333" t="inlineStr">
        <is>
          <t>GÄVLEBORGS LÄN</t>
        </is>
      </c>
      <c r="G333" t="inlineStr">
        <is>
          <t>OCKELBO</t>
        </is>
      </c>
      <c r="H333" t="inlineStr">
        <is>
          <t>Bergvik skog väst AB</t>
        </is>
      </c>
      <c r="I333" t="n">
        <v>2.8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s="2" t="inlineStr"/>
    </row>
    <row r="334" ht="15" customHeight="1">
      <c r="A334" t="inlineStr">
        <is>
          <t>A 60497-2021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44496</v>
      </c>
      <c r="E334" s="1" t="n">
        <v>46218</v>
      </c>
      <c r="F334" t="inlineStr">
        <is>
          <t>GÄVLEBORGS LÄN</t>
        </is>
      </c>
      <c r="G334" t="inlineStr">
        <is>
          <t>OCKELBO</t>
        </is>
      </c>
      <c r="H334" t="inlineStr">
        <is>
          <t>Bergvik skog väst AB</t>
        </is>
      </c>
      <c r="I334" t="n">
        <v>3.7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s="2" t="inlineStr"/>
    </row>
    <row r="335" ht="15" customHeight="1">
      <c r="A335" t="inlineStr">
        <is>
          <t>A 30179-2025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45827</v>
      </c>
      <c r="E335" s="1" t="n">
        <v>46218</v>
      </c>
      <c r="F335" t="inlineStr">
        <is>
          <t>GÄVLEBORGS LÄN</t>
        </is>
      </c>
      <c r="G335" t="inlineStr">
        <is>
          <t>OCKELBO</t>
        </is>
      </c>
      <c r="H335" t="inlineStr">
        <is>
          <t>Bergvik skog väst AB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s="2" t="inlineStr"/>
    </row>
    <row r="336" ht="15" customHeight="1">
      <c r="A336" t="inlineStr">
        <is>
          <t>A 58295-2025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45985</v>
      </c>
      <c r="E336" s="1" t="n">
        <v>46218</v>
      </c>
      <c r="F336" t="inlineStr">
        <is>
          <t>GÄVLEBORGS LÄN</t>
        </is>
      </c>
      <c r="G336" t="inlineStr">
        <is>
          <t>OCKELBO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s="2" t="inlineStr"/>
    </row>
    <row r="337" ht="15" customHeight="1">
      <c r="A337" t="inlineStr">
        <is>
          <t>A 30331-2025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45827</v>
      </c>
      <c r="E337" s="1" t="n">
        <v>46218</v>
      </c>
      <c r="F337" t="inlineStr">
        <is>
          <t>GÄVLEBORGS LÄN</t>
        </is>
      </c>
      <c r="G337" t="inlineStr">
        <is>
          <t>OCKELBO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s="2" t="inlineStr"/>
    </row>
    <row r="338" ht="15" customHeight="1">
      <c r="A338" t="inlineStr">
        <is>
          <t>A 30229-2025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45827</v>
      </c>
      <c r="E338" s="1" t="n">
        <v>46218</v>
      </c>
      <c r="F338" t="inlineStr">
        <is>
          <t>GÄVLEBORGS LÄN</t>
        </is>
      </c>
      <c r="G338" t="inlineStr">
        <is>
          <t>OCKELBO</t>
        </is>
      </c>
      <c r="H338" t="inlineStr">
        <is>
          <t>Bergvik skog väst AB</t>
        </is>
      </c>
      <c r="I338" t="n">
        <v>5.3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s="2" t="inlineStr"/>
    </row>
    <row r="339" ht="15" customHeight="1">
      <c r="A339" t="inlineStr">
        <is>
          <t>A 30152-2025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45827</v>
      </c>
      <c r="E339" s="1" t="n">
        <v>46218</v>
      </c>
      <c r="F339" t="inlineStr">
        <is>
          <t>GÄVLEBORGS LÄN</t>
        </is>
      </c>
      <c r="G339" t="inlineStr">
        <is>
          <t>OCKELBO</t>
        </is>
      </c>
      <c r="H339" t="inlineStr">
        <is>
          <t>Bergvik skog väst AB</t>
        </is>
      </c>
      <c r="I339" t="n">
        <v>6.5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s="2" t="inlineStr"/>
    </row>
    <row r="340" ht="15" customHeight="1">
      <c r="A340" t="inlineStr">
        <is>
          <t>A 5325-2026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46050</v>
      </c>
      <c r="E340" s="1" t="n">
        <v>46218</v>
      </c>
      <c r="F340" t="inlineStr">
        <is>
          <t>GÄVLEBORGS LÄN</t>
        </is>
      </c>
      <c r="G340" t="inlineStr">
        <is>
          <t>OCKELBO</t>
        </is>
      </c>
      <c r="H340" t="inlineStr">
        <is>
          <t>Bergvik skog väst AB</t>
        </is>
      </c>
      <c r="I340" t="n">
        <v>5.5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s="2" t="inlineStr"/>
    </row>
    <row r="341" ht="15" customHeight="1">
      <c r="A341" t="inlineStr">
        <is>
          <t>A 6396-2025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45699</v>
      </c>
      <c r="E341" s="1" t="n">
        <v>46218</v>
      </c>
      <c r="F341" t="inlineStr">
        <is>
          <t>GÄVLEBORGS LÄN</t>
        </is>
      </c>
      <c r="G341" t="inlineStr">
        <is>
          <t>OCKELBO</t>
        </is>
      </c>
      <c r="H341" t="inlineStr">
        <is>
          <t>Bergvik skog väst AB</t>
        </is>
      </c>
      <c r="I341" t="n">
        <v>4.1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s="2" t="inlineStr"/>
    </row>
    <row r="342" ht="15" customHeight="1">
      <c r="A342" t="inlineStr">
        <is>
          <t>A 62096-2024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45656</v>
      </c>
      <c r="E342" s="1" t="n">
        <v>46218</v>
      </c>
      <c r="F342" t="inlineStr">
        <is>
          <t>GÄVLEBORGS LÄN</t>
        </is>
      </c>
      <c r="G342" t="inlineStr">
        <is>
          <t>OCKELBO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s="2" t="inlineStr"/>
    </row>
    <row r="343" ht="15" customHeight="1">
      <c r="A343" t="inlineStr">
        <is>
          <t>A 20149-2026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46137</v>
      </c>
      <c r="E343" s="1" t="n">
        <v>46218</v>
      </c>
      <c r="F343" t="inlineStr">
        <is>
          <t>GÄVLEBORGS LÄN</t>
        </is>
      </c>
      <c r="G343" t="inlineStr">
        <is>
          <t>OCKELBO</t>
        </is>
      </c>
      <c r="H343" t="inlineStr">
        <is>
          <t>Bergvik skog väst AB</t>
        </is>
      </c>
      <c r="I343" t="n">
        <v>7.3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s="2" t="inlineStr"/>
    </row>
    <row r="344" ht="15" customHeight="1">
      <c r="A344" t="inlineStr">
        <is>
          <t>A 20150-2026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46137</v>
      </c>
      <c r="E344" s="1" t="n">
        <v>46218</v>
      </c>
      <c r="F344" t="inlineStr">
        <is>
          <t>GÄVLEBORGS LÄN</t>
        </is>
      </c>
      <c r="G344" t="inlineStr">
        <is>
          <t>OCKELBO</t>
        </is>
      </c>
      <c r="H344" t="inlineStr">
        <is>
          <t>Bergvik skog väst AB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s="2" t="inlineStr"/>
    </row>
    <row r="345" ht="15" customHeight="1">
      <c r="A345" t="inlineStr">
        <is>
          <t>A 38292-2021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44406</v>
      </c>
      <c r="E345" s="1" t="n">
        <v>46218</v>
      </c>
      <c r="F345" t="inlineStr">
        <is>
          <t>GÄVLEBORGS LÄN</t>
        </is>
      </c>
      <c r="G345" t="inlineStr">
        <is>
          <t>OCKELBO</t>
        </is>
      </c>
      <c r="I345" t="n">
        <v>1.8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s="2" t="inlineStr"/>
    </row>
    <row r="346" ht="15" customHeight="1">
      <c r="A346" t="inlineStr">
        <is>
          <t>A 58299-2025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45985</v>
      </c>
      <c r="E346" s="1" t="n">
        <v>46218</v>
      </c>
      <c r="F346" t="inlineStr">
        <is>
          <t>GÄVLEBORGS LÄN</t>
        </is>
      </c>
      <c r="G346" t="inlineStr">
        <is>
          <t>OCKELBO</t>
        </is>
      </c>
      <c r="I346" t="n">
        <v>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s="2" t="inlineStr"/>
    </row>
    <row r="347" ht="15" customHeight="1">
      <c r="A347" t="inlineStr">
        <is>
          <t>A 43550-2023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45184</v>
      </c>
      <c r="E347" s="1" t="n">
        <v>46218</v>
      </c>
      <c r="F347" t="inlineStr">
        <is>
          <t>GÄVLEBORGS LÄN</t>
        </is>
      </c>
      <c r="G347" t="inlineStr">
        <is>
          <t>OCKELBO</t>
        </is>
      </c>
      <c r="H347" t="inlineStr">
        <is>
          <t>Bergvik skog väst AB</t>
        </is>
      </c>
      <c r="I347" t="n">
        <v>3.2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s="2" t="inlineStr"/>
    </row>
    <row r="348" ht="15" customHeight="1">
      <c r="A348" t="inlineStr">
        <is>
          <t>A 58156-2025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45982</v>
      </c>
      <c r="E348" s="1" t="n">
        <v>46218</v>
      </c>
      <c r="F348" t="inlineStr">
        <is>
          <t>GÄVLEBORGS LÄN</t>
        </is>
      </c>
      <c r="G348" t="inlineStr">
        <is>
          <t>OCKELBO</t>
        </is>
      </c>
      <c r="H348" t="inlineStr">
        <is>
          <t>Bergvik skog väst AB</t>
        </is>
      </c>
      <c r="I348" t="n">
        <v>5.5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s="2" t="inlineStr"/>
    </row>
    <row r="349" ht="15" customHeight="1">
      <c r="A349" t="inlineStr">
        <is>
          <t>A 3719-2026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46043</v>
      </c>
      <c r="E349" s="1" t="n">
        <v>46218</v>
      </c>
      <c r="F349" t="inlineStr">
        <is>
          <t>GÄVLEBORGS LÄN</t>
        </is>
      </c>
      <c r="G349" t="inlineStr">
        <is>
          <t>OCKELBO</t>
        </is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s="2" t="inlineStr"/>
    </row>
    <row r="350" ht="15" customHeight="1">
      <c r="A350" t="inlineStr">
        <is>
          <t>A 25564-2025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45803</v>
      </c>
      <c r="E350" s="1" t="n">
        <v>46218</v>
      </c>
      <c r="F350" t="inlineStr">
        <is>
          <t>GÄVLEBORGS LÄN</t>
        </is>
      </c>
      <c r="G350" t="inlineStr">
        <is>
          <t>OCKELBO</t>
        </is>
      </c>
      <c r="H350" t="inlineStr">
        <is>
          <t>Bergvik skog väst AB</t>
        </is>
      </c>
      <c r="I350" t="n">
        <v>11.7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s="2" t="inlineStr"/>
    </row>
    <row r="351" ht="15" customHeight="1">
      <c r="A351" t="inlineStr">
        <is>
          <t>A 25168-2025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45800</v>
      </c>
      <c r="E351" s="1" t="n">
        <v>46218</v>
      </c>
      <c r="F351" t="inlineStr">
        <is>
          <t>GÄVLEBORGS LÄN</t>
        </is>
      </c>
      <c r="G351" t="inlineStr">
        <is>
          <t>OCKELBO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s="2" t="inlineStr"/>
    </row>
    <row r="352" ht="15" customHeight="1">
      <c r="A352" t="inlineStr">
        <is>
          <t>A 5950-2026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46052</v>
      </c>
      <c r="E352" s="1" t="n">
        <v>46218</v>
      </c>
      <c r="F352" t="inlineStr">
        <is>
          <t>GÄVLEBORGS LÄN</t>
        </is>
      </c>
      <c r="G352" t="inlineStr">
        <is>
          <t>OCKELBO</t>
        </is>
      </c>
      <c r="I352" t="n">
        <v>2.1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s="2" t="inlineStr"/>
    </row>
    <row r="353" ht="15" customHeight="1">
      <c r="A353" t="inlineStr">
        <is>
          <t>A 5974-2026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46052</v>
      </c>
      <c r="E353" s="1" t="n">
        <v>46218</v>
      </c>
      <c r="F353" t="inlineStr">
        <is>
          <t>GÄVLEBORGS LÄN</t>
        </is>
      </c>
      <c r="G353" t="inlineStr">
        <is>
          <t>OCKELBO</t>
        </is>
      </c>
      <c r="H353" t="inlineStr">
        <is>
          <t>Bergvik skog väst AB</t>
        </is>
      </c>
      <c r="I353" t="n">
        <v>1.2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s="2" t="inlineStr"/>
    </row>
    <row r="354" ht="15" customHeight="1">
      <c r="A354" t="inlineStr">
        <is>
          <t>A 61335-2022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44915</v>
      </c>
      <c r="E354" s="1" t="n">
        <v>46218</v>
      </c>
      <c r="F354" t="inlineStr">
        <is>
          <t>GÄVLEBORGS LÄN</t>
        </is>
      </c>
      <c r="G354" t="inlineStr">
        <is>
          <t>OCKELBO</t>
        </is>
      </c>
      <c r="I354" t="n">
        <v>8.5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s="2" t="inlineStr"/>
    </row>
    <row r="355" ht="15" customHeight="1">
      <c r="A355" t="inlineStr">
        <is>
          <t>A 28966-2025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45821</v>
      </c>
      <c r="E355" s="1" t="n">
        <v>46218</v>
      </c>
      <c r="F355" t="inlineStr">
        <is>
          <t>GÄVLEBORGS LÄN</t>
        </is>
      </c>
      <c r="G355" t="inlineStr">
        <is>
          <t>OCKELBO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s="2" t="inlineStr"/>
    </row>
    <row r="356" ht="15" customHeight="1">
      <c r="A356" t="inlineStr">
        <is>
          <t>A 14934-2026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46104</v>
      </c>
      <c r="E356" s="1" t="n">
        <v>46218</v>
      </c>
      <c r="F356" t="inlineStr">
        <is>
          <t>GÄVLEBORGS LÄN</t>
        </is>
      </c>
      <c r="G356" t="inlineStr">
        <is>
          <t>OCKELBO</t>
        </is>
      </c>
      <c r="I356" t="n">
        <v>7.1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s="2" t="inlineStr"/>
    </row>
    <row r="357" ht="15" customHeight="1">
      <c r="A357" t="inlineStr">
        <is>
          <t>A 58770-2025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45986</v>
      </c>
      <c r="E357" s="1" t="n">
        <v>46218</v>
      </c>
      <c r="F357" t="inlineStr">
        <is>
          <t>GÄVLEBORGS LÄN</t>
        </is>
      </c>
      <c r="G357" t="inlineStr">
        <is>
          <t>OCKELBO</t>
        </is>
      </c>
      <c r="H357" t="inlineStr">
        <is>
          <t>Bergvik skog väst AB</t>
        </is>
      </c>
      <c r="I357" t="n">
        <v>1.1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s="2" t="inlineStr"/>
    </row>
    <row r="358" ht="15" customHeight="1">
      <c r="A358" t="inlineStr">
        <is>
          <t>A 2353-2026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46036</v>
      </c>
      <c r="E358" s="1" t="n">
        <v>46218</v>
      </c>
      <c r="F358" t="inlineStr">
        <is>
          <t>GÄVLEBORGS LÄN</t>
        </is>
      </c>
      <c r="G358" t="inlineStr">
        <is>
          <t>OCKELBO</t>
        </is>
      </c>
      <c r="I358" t="n">
        <v>5.4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s="2" t="inlineStr"/>
    </row>
    <row r="359" ht="15" customHeight="1">
      <c r="A359" t="inlineStr">
        <is>
          <t>A 32449-2025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45838</v>
      </c>
      <c r="E359" s="1" t="n">
        <v>46218</v>
      </c>
      <c r="F359" t="inlineStr">
        <is>
          <t>GÄVLEBORGS LÄN</t>
        </is>
      </c>
      <c r="G359" t="inlineStr">
        <is>
          <t>OCKELBO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s="2" t="inlineStr"/>
    </row>
    <row r="360" ht="15" customHeight="1">
      <c r="A360" t="inlineStr">
        <is>
          <t>A 33231-2025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45840</v>
      </c>
      <c r="E360" s="1" t="n">
        <v>46218</v>
      </c>
      <c r="F360" t="inlineStr">
        <is>
          <t>GÄVLEBORGS LÄN</t>
        </is>
      </c>
      <c r="G360" t="inlineStr">
        <is>
          <t>OCKELBO</t>
        </is>
      </c>
      <c r="I360" t="n">
        <v>2.1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s="2" t="inlineStr"/>
    </row>
    <row r="361" ht="15" customHeight="1">
      <c r="A361" t="inlineStr">
        <is>
          <t>A 63977-2025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46021</v>
      </c>
      <c r="E361" s="1" t="n">
        <v>46218</v>
      </c>
      <c r="F361" t="inlineStr">
        <is>
          <t>GÄVLEBORGS LÄN</t>
        </is>
      </c>
      <c r="G361" t="inlineStr">
        <is>
          <t>OCKELBO</t>
        </is>
      </c>
      <c r="I361" t="n">
        <v>18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s="2" t="inlineStr"/>
    </row>
    <row r="362" ht="15" customHeight="1">
      <c r="A362" t="inlineStr">
        <is>
          <t>A 33384-2025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45841</v>
      </c>
      <c r="E362" s="1" t="n">
        <v>46218</v>
      </c>
      <c r="F362" t="inlineStr">
        <is>
          <t>GÄVLEBORGS LÄN</t>
        </is>
      </c>
      <c r="G362" t="inlineStr">
        <is>
          <t>OCKELBO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s="2" t="inlineStr"/>
    </row>
    <row r="363" ht="15" customHeight="1">
      <c r="A363" t="inlineStr">
        <is>
          <t>A 33228-2025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45840</v>
      </c>
      <c r="E363" s="1" t="n">
        <v>46218</v>
      </c>
      <c r="F363" t="inlineStr">
        <is>
          <t>GÄVLEBORGS LÄN</t>
        </is>
      </c>
      <c r="G363" t="inlineStr">
        <is>
          <t>OCKELBO</t>
        </is>
      </c>
      <c r="H363" t="inlineStr">
        <is>
          <t>Bergvik skog väst AB</t>
        </is>
      </c>
      <c r="I363" t="n">
        <v>3.9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s="2" t="inlineStr"/>
    </row>
    <row r="364" ht="15" customHeight="1">
      <c r="A364" t="inlineStr">
        <is>
          <t>A 20251-2026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46139</v>
      </c>
      <c r="E364" s="1" t="n">
        <v>46218</v>
      </c>
      <c r="F364" t="inlineStr">
        <is>
          <t>GÄVLEBORGS LÄN</t>
        </is>
      </c>
      <c r="G364" t="inlineStr">
        <is>
          <t>OCKELBO</t>
        </is>
      </c>
      <c r="H364" t="inlineStr">
        <is>
          <t>Bergvik skog väst AB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s="2" t="inlineStr"/>
    </row>
    <row r="365" ht="15" customHeight="1">
      <c r="A365" t="inlineStr">
        <is>
          <t>A 30011-2023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45109</v>
      </c>
      <c r="E365" s="1" t="n">
        <v>46218</v>
      </c>
      <c r="F365" t="inlineStr">
        <is>
          <t>GÄVLEBORGS LÄN</t>
        </is>
      </c>
      <c r="G365" t="inlineStr">
        <is>
          <t>OCKELBO</t>
        </is>
      </c>
      <c r="I365" t="n">
        <v>1.9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s="2" t="inlineStr"/>
    </row>
    <row r="366" ht="15" customHeight="1">
      <c r="A366" t="inlineStr">
        <is>
          <t>A 15739-2026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46107</v>
      </c>
      <c r="E366" s="1" t="n">
        <v>46218</v>
      </c>
      <c r="F366" t="inlineStr">
        <is>
          <t>GÄVLEBORGS LÄN</t>
        </is>
      </c>
      <c r="G366" t="inlineStr">
        <is>
          <t>OCKELBO</t>
        </is>
      </c>
      <c r="H366" t="inlineStr">
        <is>
          <t>Bergvik skog väst AB</t>
        </is>
      </c>
      <c r="I366" t="n">
        <v>20.4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s="2" t="inlineStr"/>
    </row>
    <row r="367" ht="15" customHeight="1">
      <c r="A367" t="inlineStr">
        <is>
          <t>A 32123-2024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45511</v>
      </c>
      <c r="E367" s="1" t="n">
        <v>46218</v>
      </c>
      <c r="F367" t="inlineStr">
        <is>
          <t>GÄVLEBORGS LÄN</t>
        </is>
      </c>
      <c r="G367" t="inlineStr">
        <is>
          <t>OCKELBO</t>
        </is>
      </c>
      <c r="I367" t="n">
        <v>11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s="2" t="inlineStr"/>
    </row>
    <row r="368" ht="15" customHeight="1">
      <c r="A368" t="inlineStr">
        <is>
          <t>A 10149-2025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45719</v>
      </c>
      <c r="E368" s="1" t="n">
        <v>46218</v>
      </c>
      <c r="F368" t="inlineStr">
        <is>
          <t>GÄVLEBORGS LÄN</t>
        </is>
      </c>
      <c r="G368" t="inlineStr">
        <is>
          <t>OCKELBO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s="2" t="inlineStr"/>
    </row>
    <row r="369" ht="15" customHeight="1">
      <c r="A369" t="inlineStr">
        <is>
          <t>A 23006-2023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45073</v>
      </c>
      <c r="E369" s="1" t="n">
        <v>46218</v>
      </c>
      <c r="F369" t="inlineStr">
        <is>
          <t>GÄVLEBORGS LÄN</t>
        </is>
      </c>
      <c r="G369" t="inlineStr">
        <is>
          <t>OCKELBO</t>
        </is>
      </c>
      <c r="I369" t="n">
        <v>3.7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s="2" t="inlineStr"/>
    </row>
    <row r="370" ht="15" customHeight="1">
      <c r="A370" t="inlineStr">
        <is>
          <t>A 40140-2022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44820</v>
      </c>
      <c r="E370" s="1" t="n">
        <v>46218</v>
      </c>
      <c r="F370" t="inlineStr">
        <is>
          <t>GÄVLEBORGS LÄN</t>
        </is>
      </c>
      <c r="G370" t="inlineStr">
        <is>
          <t>OCKELBO</t>
        </is>
      </c>
      <c r="H370" t="inlineStr">
        <is>
          <t>Bergvik skog väst AB</t>
        </is>
      </c>
      <c r="I370" t="n">
        <v>2.3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s="2" t="inlineStr"/>
    </row>
    <row r="371" ht="15" customHeight="1">
      <c r="A371" t="inlineStr">
        <is>
          <t>A 19924-2026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46136</v>
      </c>
      <c r="E371" s="1" t="n">
        <v>46218</v>
      </c>
      <c r="F371" t="inlineStr">
        <is>
          <t>GÄVLEBORGS LÄN</t>
        </is>
      </c>
      <c r="G371" t="inlineStr">
        <is>
          <t>OCKELBO</t>
        </is>
      </c>
      <c r="I371" t="n">
        <v>0.4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s="2" t="inlineStr"/>
    </row>
    <row r="372" ht="15" customHeight="1">
      <c r="A372" t="inlineStr">
        <is>
          <t>A 19945-2026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46136</v>
      </c>
      <c r="E372" s="1" t="n">
        <v>46218</v>
      </c>
      <c r="F372" t="inlineStr">
        <is>
          <t>GÄVLEBORGS LÄN</t>
        </is>
      </c>
      <c r="G372" t="inlineStr">
        <is>
          <t>OCKELBO</t>
        </is>
      </c>
      <c r="I372" t="n">
        <v>2.1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s="2" t="inlineStr"/>
    </row>
    <row r="373" ht="15" customHeight="1">
      <c r="A373" t="inlineStr">
        <is>
          <t>A 36343-2023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45152</v>
      </c>
      <c r="E373" s="1" t="n">
        <v>46218</v>
      </c>
      <c r="F373" t="inlineStr">
        <is>
          <t>GÄVLEBORGS LÄN</t>
        </is>
      </c>
      <c r="G373" t="inlineStr">
        <is>
          <t>OCKELBO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s="2" t="inlineStr"/>
    </row>
    <row r="374" ht="15" customHeight="1">
      <c r="A374" t="inlineStr">
        <is>
          <t>A 58727-2025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45986</v>
      </c>
      <c r="E374" s="1" t="n">
        <v>46218</v>
      </c>
      <c r="F374" t="inlineStr">
        <is>
          <t>GÄVLEBORGS LÄN</t>
        </is>
      </c>
      <c r="G374" t="inlineStr">
        <is>
          <t>OCKELBO</t>
        </is>
      </c>
      <c r="I374" t="n">
        <v>2.2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s="2" t="inlineStr"/>
    </row>
    <row r="375" ht="15" customHeight="1">
      <c r="A375" t="inlineStr">
        <is>
          <t>A 12983-2022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44643</v>
      </c>
      <c r="E375" s="1" t="n">
        <v>46218</v>
      </c>
      <c r="F375" t="inlineStr">
        <is>
          <t>GÄVLEBORGS LÄN</t>
        </is>
      </c>
      <c r="G375" t="inlineStr">
        <is>
          <t>OCKELBO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s="2" t="inlineStr"/>
    </row>
    <row r="376" ht="15" customHeight="1">
      <c r="A376" t="inlineStr">
        <is>
          <t>A 8253-2026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46064</v>
      </c>
      <c r="E376" s="1" t="n">
        <v>46218</v>
      </c>
      <c r="F376" t="inlineStr">
        <is>
          <t>GÄVLEBORGS LÄN</t>
        </is>
      </c>
      <c r="G376" t="inlineStr">
        <is>
          <t>OCKELBO</t>
        </is>
      </c>
      <c r="H376" t="inlineStr">
        <is>
          <t>Bergvik skog väst AB</t>
        </is>
      </c>
      <c r="I376" t="n">
        <v>3.4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s="2" t="inlineStr"/>
    </row>
    <row r="377" ht="15" customHeight="1">
      <c r="A377" t="inlineStr">
        <is>
          <t>A 20155-2026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46138</v>
      </c>
      <c r="E377" s="1" t="n">
        <v>46218</v>
      </c>
      <c r="F377" t="inlineStr">
        <is>
          <t>GÄVLEBORGS LÄN</t>
        </is>
      </c>
      <c r="G377" t="inlineStr">
        <is>
          <t>OCKELBO</t>
        </is>
      </c>
      <c r="H377" t="inlineStr">
        <is>
          <t>Bergvik skog väst AB</t>
        </is>
      </c>
      <c r="I377" t="n">
        <v>12.7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s="2" t="inlineStr"/>
    </row>
    <row r="378" ht="15" customHeight="1">
      <c r="A378" t="inlineStr">
        <is>
          <t>A 3484-2026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46042</v>
      </c>
      <c r="E378" s="1" t="n">
        <v>46218</v>
      </c>
      <c r="F378" t="inlineStr">
        <is>
          <t>GÄVLEBORGS LÄN</t>
        </is>
      </c>
      <c r="G378" t="inlineStr">
        <is>
          <t>OCKELBO</t>
        </is>
      </c>
      <c r="H378" t="inlineStr">
        <is>
          <t>Bergvik skog väst AB</t>
        </is>
      </c>
      <c r="I378" t="n">
        <v>5.5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s="2" t="inlineStr"/>
    </row>
    <row r="379" ht="15" customHeight="1">
      <c r="A379" t="inlineStr">
        <is>
          <t>A 56631-2022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44893</v>
      </c>
      <c r="E379" s="1" t="n">
        <v>46218</v>
      </c>
      <c r="F379" t="inlineStr">
        <is>
          <t>GÄVLEBORGS LÄN</t>
        </is>
      </c>
      <c r="G379" t="inlineStr">
        <is>
          <t>OCKELBO</t>
        </is>
      </c>
      <c r="I379" t="n">
        <v>1.5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s="2" t="inlineStr"/>
    </row>
    <row r="380" ht="15" customHeight="1">
      <c r="A380" t="inlineStr">
        <is>
          <t>A 8521-2026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46065</v>
      </c>
      <c r="E380" s="1" t="n">
        <v>46218</v>
      </c>
      <c r="F380" t="inlineStr">
        <is>
          <t>GÄVLEBORGS LÄN</t>
        </is>
      </c>
      <c r="G380" t="inlineStr">
        <is>
          <t>OCKELBO</t>
        </is>
      </c>
      <c r="H380" t="inlineStr">
        <is>
          <t>Bergvik skog väst AB</t>
        </is>
      </c>
      <c r="I380" t="n">
        <v>12.5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s="2" t="inlineStr"/>
    </row>
    <row r="381" ht="15" customHeight="1">
      <c r="A381" t="inlineStr">
        <is>
          <t>A 29687-2023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45107</v>
      </c>
      <c r="E381" s="1" t="n">
        <v>46218</v>
      </c>
      <c r="F381" t="inlineStr">
        <is>
          <t>GÄVLEBORGS LÄN</t>
        </is>
      </c>
      <c r="G381" t="inlineStr">
        <is>
          <t>OCKELBO</t>
        </is>
      </c>
      <c r="H381" t="inlineStr">
        <is>
          <t>Bergvik skog väst AB</t>
        </is>
      </c>
      <c r="I381" t="n">
        <v>3.2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s="2" t="inlineStr"/>
    </row>
    <row r="382" ht="15" customHeight="1">
      <c r="A382" t="inlineStr">
        <is>
          <t>A 8662-2025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45712</v>
      </c>
      <c r="E382" s="1" t="n">
        <v>46218</v>
      </c>
      <c r="F382" t="inlineStr">
        <is>
          <t>GÄVLEBORGS LÄN</t>
        </is>
      </c>
      <c r="G382" t="inlineStr">
        <is>
          <t>OCKELBO</t>
        </is>
      </c>
      <c r="I382" t="n">
        <v>14.7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s="2" t="inlineStr"/>
    </row>
    <row r="383" ht="15" customHeight="1">
      <c r="A383" t="inlineStr">
        <is>
          <t>A 56634-2023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45243</v>
      </c>
      <c r="E383" s="1" t="n">
        <v>46218</v>
      </c>
      <c r="F383" t="inlineStr">
        <is>
          <t>GÄVLEBORGS LÄN</t>
        </is>
      </c>
      <c r="G383" t="inlineStr">
        <is>
          <t>OCKELBO</t>
        </is>
      </c>
      <c r="I383" t="n">
        <v>4.7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s="2" t="inlineStr"/>
    </row>
    <row r="384" ht="15" customHeight="1">
      <c r="A384" t="inlineStr">
        <is>
          <t>A 1722-2026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46034</v>
      </c>
      <c r="E384" s="1" t="n">
        <v>46218</v>
      </c>
      <c r="F384" t="inlineStr">
        <is>
          <t>GÄVLEBORGS LÄN</t>
        </is>
      </c>
      <c r="G384" t="inlineStr">
        <is>
          <t>OCKELBO</t>
        </is>
      </c>
      <c r="H384" t="inlineStr">
        <is>
          <t>Bergvik skog väst AB</t>
        </is>
      </c>
      <c r="I384" t="n">
        <v>2.7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s="2" t="inlineStr"/>
    </row>
    <row r="385" ht="15" customHeight="1">
      <c r="A385" t="inlineStr">
        <is>
          <t>A 35017-2025</t>
        </is>
      </c>
      <c r="B385" t="inlineStr">
        <is>
          <t>avverkningsanmälan</t>
        </is>
      </c>
      <c r="C385" t="inlineStr">
        <is>
          <t>Avverkning för att bevara och utveckla /försöksver</t>
        </is>
      </c>
      <c r="D385" s="1" t="n">
        <v>45851</v>
      </c>
      <c r="E385" s="1" t="n">
        <v>46218</v>
      </c>
      <c r="F385" t="inlineStr">
        <is>
          <t>GÄVLEBORGS LÄN</t>
        </is>
      </c>
      <c r="G385" t="inlineStr">
        <is>
          <t>OCKELBO</t>
        </is>
      </c>
      <c r="H385" t="inlineStr">
        <is>
          <t>Bergvik skog väst AB</t>
        </is>
      </c>
      <c r="I385" t="n">
        <v>27.8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s="2" t="inlineStr"/>
    </row>
    <row r="386" ht="15" customHeight="1">
      <c r="A386" t="inlineStr">
        <is>
          <t>A 33079-2025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45840</v>
      </c>
      <c r="E386" s="1" t="n">
        <v>46218</v>
      </c>
      <c r="F386" t="inlineStr">
        <is>
          <t>GÄVLEBORGS LÄN</t>
        </is>
      </c>
      <c r="G386" t="inlineStr">
        <is>
          <t>OCKELBO</t>
        </is>
      </c>
      <c r="H386" t="inlineStr">
        <is>
          <t>Bergvik skog väst AB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s="2" t="inlineStr"/>
    </row>
    <row r="387" ht="15" customHeight="1">
      <c r="A387" t="inlineStr">
        <is>
          <t>A 5982-2026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46052</v>
      </c>
      <c r="E387" s="1" t="n">
        <v>46218</v>
      </c>
      <c r="F387" t="inlineStr">
        <is>
          <t>GÄVLEBORGS LÄN</t>
        </is>
      </c>
      <c r="G387" t="inlineStr">
        <is>
          <t>OCKELBO</t>
        </is>
      </c>
      <c r="H387" t="inlineStr">
        <is>
          <t>Bergvik skog väst AB</t>
        </is>
      </c>
      <c r="I387" t="n">
        <v>3.5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s="2" t="inlineStr"/>
    </row>
    <row r="388" ht="15" customHeight="1">
      <c r="A388" t="inlineStr">
        <is>
          <t>A 27997-2025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45817</v>
      </c>
      <c r="E388" s="1" t="n">
        <v>46218</v>
      </c>
      <c r="F388" t="inlineStr">
        <is>
          <t>GÄVLEBORGS LÄN</t>
        </is>
      </c>
      <c r="G388" t="inlineStr">
        <is>
          <t>OCKELBO</t>
        </is>
      </c>
      <c r="H388" t="inlineStr">
        <is>
          <t>Bergvik skog väst AB</t>
        </is>
      </c>
      <c r="I388" t="n">
        <v>5.4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s="2" t="inlineStr"/>
    </row>
    <row r="389" ht="15" customHeight="1">
      <c r="A389" t="inlineStr">
        <is>
          <t>A 1716-2025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45671</v>
      </c>
      <c r="E389" s="1" t="n">
        <v>46218</v>
      </c>
      <c r="F389" t="inlineStr">
        <is>
          <t>GÄVLEBORGS LÄN</t>
        </is>
      </c>
      <c r="G389" t="inlineStr">
        <is>
          <t>OCKELBO</t>
        </is>
      </c>
      <c r="H389" t="inlineStr">
        <is>
          <t>Bergvik skog väst AB</t>
        </is>
      </c>
      <c r="I389" t="n">
        <v>3.2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s="2" t="inlineStr"/>
    </row>
    <row r="390" ht="15" customHeight="1">
      <c r="A390" t="inlineStr">
        <is>
          <t>A 20604-2026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46140</v>
      </c>
      <c r="E390" s="1" t="n">
        <v>46218</v>
      </c>
      <c r="F390" t="inlineStr">
        <is>
          <t>GÄVLEBORGS LÄN</t>
        </is>
      </c>
      <c r="G390" t="inlineStr">
        <is>
          <t>OCKELBO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s="2" t="inlineStr"/>
    </row>
    <row r="391" ht="15" customHeight="1">
      <c r="A391" t="inlineStr">
        <is>
          <t>A 15484-2026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46106</v>
      </c>
      <c r="E391" s="1" t="n">
        <v>46218</v>
      </c>
      <c r="F391" t="inlineStr">
        <is>
          <t>GÄVLEBORGS LÄN</t>
        </is>
      </c>
      <c r="G391" t="inlineStr">
        <is>
          <t>OCKELBO</t>
        </is>
      </c>
      <c r="H391" t="inlineStr">
        <is>
          <t>Bergvik skog väst AB</t>
        </is>
      </c>
      <c r="I391" t="n">
        <v>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s="2" t="inlineStr"/>
    </row>
    <row r="392" ht="15" customHeight="1">
      <c r="A392" t="inlineStr">
        <is>
          <t>A 35614-2025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45859</v>
      </c>
      <c r="E392" s="1" t="n">
        <v>46218</v>
      </c>
      <c r="F392" t="inlineStr">
        <is>
          <t>GÄVLEBORGS LÄN</t>
        </is>
      </c>
      <c r="G392" t="inlineStr">
        <is>
          <t>OCKELBO</t>
        </is>
      </c>
      <c r="H392" t="inlineStr">
        <is>
          <t>Bergvik skog väst AB</t>
        </is>
      </c>
      <c r="I392" t="n">
        <v>2.6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s="2" t="inlineStr"/>
    </row>
    <row r="393" ht="15" customHeight="1">
      <c r="A393" t="inlineStr">
        <is>
          <t>A 49207-2023</t>
        </is>
      </c>
      <c r="B393" t="inlineStr">
        <is>
          <t>avverkningsanmälan</t>
        </is>
      </c>
      <c r="C393" t="inlineStr">
        <is>
          <t>Avverkning för annat ändamål</t>
        </is>
      </c>
      <c r="D393" s="1" t="n">
        <v>45210</v>
      </c>
      <c r="E393" s="1" t="n">
        <v>46218</v>
      </c>
      <c r="F393" t="inlineStr">
        <is>
          <t>GÄVLEBORGS LÄN</t>
        </is>
      </c>
      <c r="G393" t="inlineStr">
        <is>
          <t>OCKELBO</t>
        </is>
      </c>
      <c r="I393" t="n">
        <v>0.1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s="2" t="inlineStr"/>
    </row>
    <row r="394" ht="15" customHeight="1">
      <c r="A394" t="inlineStr">
        <is>
          <t>A 59086-2025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45988</v>
      </c>
      <c r="E394" s="1" t="n">
        <v>46218</v>
      </c>
      <c r="F394" t="inlineStr">
        <is>
          <t>GÄVLEBORGS LÄN</t>
        </is>
      </c>
      <c r="G394" t="inlineStr">
        <is>
          <t>OCKELBO</t>
        </is>
      </c>
      <c r="H394" t="inlineStr">
        <is>
          <t>Bergvik skog väst AB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s="2" t="inlineStr"/>
    </row>
    <row r="395" ht="15" customHeight="1">
      <c r="A395" t="inlineStr">
        <is>
          <t>A 8683-2026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46066</v>
      </c>
      <c r="E395" s="1" t="n">
        <v>46218</v>
      </c>
      <c r="F395" t="inlineStr">
        <is>
          <t>GÄVLEBORGS LÄN</t>
        </is>
      </c>
      <c r="G395" t="inlineStr">
        <is>
          <t>OCKELBO</t>
        </is>
      </c>
      <c r="I395" t="n">
        <v>6.4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s="2" t="inlineStr"/>
    </row>
    <row r="396" ht="15" customHeight="1">
      <c r="A396" t="inlineStr">
        <is>
          <t>A 8348-2026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46064</v>
      </c>
      <c r="E396" s="1" t="n">
        <v>46218</v>
      </c>
      <c r="F396" t="inlineStr">
        <is>
          <t>GÄVLEBORGS LÄN</t>
        </is>
      </c>
      <c r="G396" t="inlineStr">
        <is>
          <t>OCKELBO</t>
        </is>
      </c>
      <c r="I396" t="n">
        <v>2.4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s="2" t="inlineStr"/>
    </row>
    <row r="397" ht="15" customHeight="1">
      <c r="A397" t="inlineStr">
        <is>
          <t>A 1865-2026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46035</v>
      </c>
      <c r="E397" s="1" t="n">
        <v>46218</v>
      </c>
      <c r="F397" t="inlineStr">
        <is>
          <t>GÄVLEBORGS LÄN</t>
        </is>
      </c>
      <c r="G397" t="inlineStr">
        <is>
          <t>OCKELBO</t>
        </is>
      </c>
      <c r="I397" t="n">
        <v>4.7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s="2" t="inlineStr"/>
    </row>
    <row r="398" ht="15" customHeight="1">
      <c r="A398" t="inlineStr">
        <is>
          <t>A 9556-2026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46071</v>
      </c>
      <c r="E398" s="1" t="n">
        <v>46218</v>
      </c>
      <c r="F398" t="inlineStr">
        <is>
          <t>GÄVLEBORGS LÄN</t>
        </is>
      </c>
      <c r="G398" t="inlineStr">
        <is>
          <t>OCKELBO</t>
        </is>
      </c>
      <c r="I398" t="n">
        <v>11.9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s="2" t="inlineStr"/>
    </row>
    <row r="399" ht="15" customHeight="1">
      <c r="A399" t="inlineStr">
        <is>
          <t>A 4729-2026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46048</v>
      </c>
      <c r="E399" s="1" t="n">
        <v>46218</v>
      </c>
      <c r="F399" t="inlineStr">
        <is>
          <t>GÄVLEBORGS LÄN</t>
        </is>
      </c>
      <c r="G399" t="inlineStr">
        <is>
          <t>OCKELBO</t>
        </is>
      </c>
      <c r="I399" t="n">
        <v>36.1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s="2" t="inlineStr"/>
    </row>
    <row r="400" ht="15" customHeight="1">
      <c r="A400" t="inlineStr">
        <is>
          <t>A 20467-2026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46140</v>
      </c>
      <c r="E400" s="1" t="n">
        <v>46218</v>
      </c>
      <c r="F400" t="inlineStr">
        <is>
          <t>GÄVLEBORGS LÄN</t>
        </is>
      </c>
      <c r="G400" t="inlineStr">
        <is>
          <t>OCKELBO</t>
        </is>
      </c>
      <c r="H400" t="inlineStr">
        <is>
          <t>Bergvik skog väst AB</t>
        </is>
      </c>
      <c r="I400" t="n">
        <v>0.8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s="2" t="inlineStr"/>
    </row>
    <row r="401" ht="15" customHeight="1">
      <c r="A401" t="inlineStr">
        <is>
          <t>A 20571-2026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46140</v>
      </c>
      <c r="E401" s="1" t="n">
        <v>46218</v>
      </c>
      <c r="F401" t="inlineStr">
        <is>
          <t>GÄVLEBORGS LÄN</t>
        </is>
      </c>
      <c r="G401" t="inlineStr">
        <is>
          <t>OCKELBO</t>
        </is>
      </c>
      <c r="H401" t="inlineStr">
        <is>
          <t>Bergvik skog väst AB</t>
        </is>
      </c>
      <c r="I401" t="n">
        <v>2.8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s="2" t="inlineStr"/>
    </row>
    <row r="402" ht="15" customHeight="1">
      <c r="A402" t="inlineStr">
        <is>
          <t>A 30418-2023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45111</v>
      </c>
      <c r="E402" s="1" t="n">
        <v>46218</v>
      </c>
      <c r="F402" t="inlineStr">
        <is>
          <t>GÄVLEBORGS LÄN</t>
        </is>
      </c>
      <c r="G402" t="inlineStr">
        <is>
          <t>OCKELBO</t>
        </is>
      </c>
      <c r="I402" t="n">
        <v>2.6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s="2" t="inlineStr"/>
    </row>
    <row r="403" ht="15" customHeight="1">
      <c r="A403" t="inlineStr">
        <is>
          <t>A 30422-2023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45111</v>
      </c>
      <c r="E403" s="1" t="n">
        <v>46218</v>
      </c>
      <c r="F403" t="inlineStr">
        <is>
          <t>GÄVLEBORGS LÄN</t>
        </is>
      </c>
      <c r="G403" t="inlineStr">
        <is>
          <t>OCKELBO</t>
        </is>
      </c>
      <c r="I403" t="n">
        <v>2.1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s="2" t="inlineStr"/>
    </row>
    <row r="404" ht="15" customHeight="1">
      <c r="A404" t="inlineStr">
        <is>
          <t>A 48804-2024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45593</v>
      </c>
      <c r="E404" s="1" t="n">
        <v>46218</v>
      </c>
      <c r="F404" t="inlineStr">
        <is>
          <t>GÄVLEBORGS LÄN</t>
        </is>
      </c>
      <c r="G404" t="inlineStr">
        <is>
          <t>OCKELBO</t>
        </is>
      </c>
      <c r="I404" t="n">
        <v>2.4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s="2" t="inlineStr"/>
    </row>
    <row r="405" ht="15" customHeight="1">
      <c r="A405" t="inlineStr">
        <is>
          <t>A 292-2026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46027</v>
      </c>
      <c r="E405" s="1" t="n">
        <v>46218</v>
      </c>
      <c r="F405" t="inlineStr">
        <is>
          <t>GÄVLEBORGS LÄN</t>
        </is>
      </c>
      <c r="G405" t="inlineStr">
        <is>
          <t>OCKELBO</t>
        </is>
      </c>
      <c r="H405" t="inlineStr">
        <is>
          <t>Bergvik skog väst AB</t>
        </is>
      </c>
      <c r="I405" t="n">
        <v>6.6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s="2" t="inlineStr"/>
    </row>
    <row r="406" ht="15" customHeight="1">
      <c r="A406" t="inlineStr">
        <is>
          <t>A 6561-2026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46056</v>
      </c>
      <c r="E406" s="1" t="n">
        <v>46218</v>
      </c>
      <c r="F406" t="inlineStr">
        <is>
          <t>GÄVLEBORGS LÄN</t>
        </is>
      </c>
      <c r="G406" t="inlineStr">
        <is>
          <t>OCKELBO</t>
        </is>
      </c>
      <c r="H406" t="inlineStr">
        <is>
          <t>Bergvik skog väst AB</t>
        </is>
      </c>
      <c r="I406" t="n">
        <v>2.8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s="2" t="inlineStr"/>
    </row>
    <row r="407" ht="15" customHeight="1">
      <c r="A407" t="inlineStr">
        <is>
          <t>A 3544-2026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46042</v>
      </c>
      <c r="E407" s="1" t="n">
        <v>46218</v>
      </c>
      <c r="F407" t="inlineStr">
        <is>
          <t>GÄVLEBORGS LÄN</t>
        </is>
      </c>
      <c r="G407" t="inlineStr">
        <is>
          <t>OCKELBO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s="2" t="inlineStr"/>
    </row>
    <row r="408" ht="15" customHeight="1">
      <c r="A408" t="inlineStr">
        <is>
          <t>A 7907-2026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46063</v>
      </c>
      <c r="E408" s="1" t="n">
        <v>46218</v>
      </c>
      <c r="F408" t="inlineStr">
        <is>
          <t>GÄVLEBORGS LÄN</t>
        </is>
      </c>
      <c r="G408" t="inlineStr">
        <is>
          <t>OCKELBO</t>
        </is>
      </c>
      <c r="I408" t="n">
        <v>11.5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s="2" t="inlineStr"/>
    </row>
    <row r="409" ht="15" customHeight="1">
      <c r="A409" t="inlineStr">
        <is>
          <t>A 20502-2026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46140</v>
      </c>
      <c r="E409" s="1" t="n">
        <v>46218</v>
      </c>
      <c r="F409" t="inlineStr">
        <is>
          <t>GÄVLEBORGS LÄN</t>
        </is>
      </c>
      <c r="G409" t="inlineStr">
        <is>
          <t>OCKELBO</t>
        </is>
      </c>
      <c r="H409" t="inlineStr">
        <is>
          <t>Bergvik skog väst AB</t>
        </is>
      </c>
      <c r="I409" t="n">
        <v>11.2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s="2" t="inlineStr"/>
    </row>
    <row r="410" ht="15" customHeight="1">
      <c r="A410" t="inlineStr">
        <is>
          <t>A 20641-2026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46141</v>
      </c>
      <c r="E410" s="1" t="n">
        <v>46218</v>
      </c>
      <c r="F410" t="inlineStr">
        <is>
          <t>GÄVLEBORGS LÄN</t>
        </is>
      </c>
      <c r="G410" t="inlineStr">
        <is>
          <t>OCKELBO</t>
        </is>
      </c>
      <c r="H410" t="inlineStr">
        <is>
          <t>Bergvik skog väst AB</t>
        </is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s="2" t="inlineStr"/>
    </row>
    <row r="411" ht="15" customHeight="1">
      <c r="A411" t="inlineStr">
        <is>
          <t>A 3034-2025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45678</v>
      </c>
      <c r="E411" s="1" t="n">
        <v>46218</v>
      </c>
      <c r="F411" t="inlineStr">
        <is>
          <t>GÄVLEBORGS LÄN</t>
        </is>
      </c>
      <c r="G411" t="inlineStr">
        <is>
          <t>OCKELBO</t>
        </is>
      </c>
      <c r="I411" t="n">
        <v>8.1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s="2" t="inlineStr"/>
    </row>
    <row r="412" ht="15" customHeight="1">
      <c r="A412" t="inlineStr">
        <is>
          <t>A 20674-2026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46141</v>
      </c>
      <c r="E412" s="1" t="n">
        <v>46218</v>
      </c>
      <c r="F412" t="inlineStr">
        <is>
          <t>GÄVLEBORGS LÄN</t>
        </is>
      </c>
      <c r="G412" t="inlineStr">
        <is>
          <t>OCKELBO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s="2" t="inlineStr"/>
    </row>
    <row r="413" ht="15" customHeight="1">
      <c r="A413" t="inlineStr">
        <is>
          <t>A 9401-2026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46071</v>
      </c>
      <c r="E413" s="1" t="n">
        <v>46218</v>
      </c>
      <c r="F413" t="inlineStr">
        <is>
          <t>GÄVLEBORGS LÄN</t>
        </is>
      </c>
      <c r="G413" t="inlineStr">
        <is>
          <t>OCKELBO</t>
        </is>
      </c>
      <c r="H413" t="inlineStr">
        <is>
          <t>Bergvik skog väst AB</t>
        </is>
      </c>
      <c r="I413" t="n">
        <v>8.300000000000001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s="2" t="inlineStr"/>
    </row>
    <row r="414" ht="15" customHeight="1">
      <c r="A414" t="inlineStr">
        <is>
          <t>A 29953-2024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45488</v>
      </c>
      <c r="E414" s="1" t="n">
        <v>46218</v>
      </c>
      <c r="F414" t="inlineStr">
        <is>
          <t>GÄVLEBORGS LÄN</t>
        </is>
      </c>
      <c r="G414" t="inlineStr">
        <is>
          <t>OCKELBO</t>
        </is>
      </c>
      <c r="I414" t="n">
        <v>3.1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s="2" t="inlineStr"/>
    </row>
    <row r="415" ht="15" customHeight="1">
      <c r="A415" t="inlineStr">
        <is>
          <t>A 13857-2026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46098</v>
      </c>
      <c r="E415" s="1" t="n">
        <v>46218</v>
      </c>
      <c r="F415" t="inlineStr">
        <is>
          <t>GÄVLEBORGS LÄN</t>
        </is>
      </c>
      <c r="G415" t="inlineStr">
        <is>
          <t>OCKELBO</t>
        </is>
      </c>
      <c r="I415" t="n">
        <v>6.5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s="2" t="inlineStr"/>
    </row>
    <row r="416" ht="15" customHeight="1">
      <c r="A416" t="inlineStr">
        <is>
          <t>A 34792-2024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45526</v>
      </c>
      <c r="E416" s="1" t="n">
        <v>46218</v>
      </c>
      <c r="F416" t="inlineStr">
        <is>
          <t>GÄVLEBORGS LÄN</t>
        </is>
      </c>
      <c r="G416" t="inlineStr">
        <is>
          <t>OCKELBO</t>
        </is>
      </c>
      <c r="H416" t="inlineStr">
        <is>
          <t>Bergvik skog väst AB</t>
        </is>
      </c>
      <c r="I416" t="n">
        <v>2.9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s="2" t="inlineStr"/>
    </row>
    <row r="417" ht="15" customHeight="1">
      <c r="A417" t="inlineStr">
        <is>
          <t>A 60527-2025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45995</v>
      </c>
      <c r="E417" s="1" t="n">
        <v>46218</v>
      </c>
      <c r="F417" t="inlineStr">
        <is>
          <t>GÄVLEBORGS LÄN</t>
        </is>
      </c>
      <c r="G417" t="inlineStr">
        <is>
          <t>OCKELBO</t>
        </is>
      </c>
      <c r="H417" t="inlineStr">
        <is>
          <t>Bergvik skog väst AB</t>
        </is>
      </c>
      <c r="I417" t="n">
        <v>4.5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s="2" t="inlineStr"/>
    </row>
    <row r="418" ht="15" customHeight="1">
      <c r="A418" t="inlineStr">
        <is>
          <t>A 20469-2026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46140</v>
      </c>
      <c r="E418" s="1" t="n">
        <v>46218</v>
      </c>
      <c r="F418" t="inlineStr">
        <is>
          <t>GÄVLEBORGS LÄN</t>
        </is>
      </c>
      <c r="G418" t="inlineStr">
        <is>
          <t>OCKELBO</t>
        </is>
      </c>
      <c r="H418" t="inlineStr">
        <is>
          <t>Bergvik skog väst AB</t>
        </is>
      </c>
      <c r="I418" t="n">
        <v>0.8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s="2" t="inlineStr"/>
    </row>
    <row r="419" ht="15" customHeight="1">
      <c r="A419" t="inlineStr">
        <is>
          <t>A 37438-2023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45156</v>
      </c>
      <c r="E419" s="1" t="n">
        <v>46218</v>
      </c>
      <c r="F419" t="inlineStr">
        <is>
          <t>GÄVLEBORGS LÄN</t>
        </is>
      </c>
      <c r="G419" t="inlineStr">
        <is>
          <t>OCKELBO</t>
        </is>
      </c>
      <c r="H419" t="inlineStr">
        <is>
          <t>Bergvik skog väst AB</t>
        </is>
      </c>
      <c r="I419" t="n">
        <v>3.4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s="2" t="inlineStr"/>
    </row>
    <row r="420" ht="15" customHeight="1">
      <c r="A420" t="inlineStr">
        <is>
          <t>A 11116-2026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46079</v>
      </c>
      <c r="E420" s="1" t="n">
        <v>46218</v>
      </c>
      <c r="F420" t="inlineStr">
        <is>
          <t>GÄVLEBORGS LÄN</t>
        </is>
      </c>
      <c r="G420" t="inlineStr">
        <is>
          <t>OCKELBO</t>
        </is>
      </c>
      <c r="H420" t="inlineStr">
        <is>
          <t>Bergvik skog väst AB</t>
        </is>
      </c>
      <c r="I420" t="n">
        <v>6.8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s="2" t="inlineStr"/>
    </row>
    <row r="421" ht="15" customHeight="1">
      <c r="A421" t="inlineStr">
        <is>
          <t>A 60487-2025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45995</v>
      </c>
      <c r="E421" s="1" t="n">
        <v>46218</v>
      </c>
      <c r="F421" t="inlineStr">
        <is>
          <t>GÄVLEBORGS LÄN</t>
        </is>
      </c>
      <c r="G421" t="inlineStr">
        <is>
          <t>OCKELBO</t>
        </is>
      </c>
      <c r="H421" t="inlineStr">
        <is>
          <t>Bergvik skog väst AB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s="2" t="inlineStr"/>
    </row>
    <row r="422" ht="15" customHeight="1">
      <c r="A422" t="inlineStr">
        <is>
          <t>A 60183-2025</t>
        </is>
      </c>
      <c r="B422" t="inlineStr">
        <is>
          <t>avverkningsanmälan</t>
        </is>
      </c>
      <c r="C422" t="inlineStr">
        <is>
          <t>Avverkning för annat ändamål</t>
        </is>
      </c>
      <c r="D422" s="1" t="n">
        <v>45994</v>
      </c>
      <c r="E422" s="1" t="n">
        <v>46218</v>
      </c>
      <c r="F422" t="inlineStr">
        <is>
          <t>GÄVLEBORGS LÄN</t>
        </is>
      </c>
      <c r="G422" t="inlineStr">
        <is>
          <t>OCKELBO</t>
        </is>
      </c>
      <c r="H422" t="inlineStr">
        <is>
          <t>Bergvik skog väst AB</t>
        </is>
      </c>
      <c r="I422" t="n">
        <v>2.5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s="2" t="inlineStr"/>
    </row>
    <row r="423" ht="15" customHeight="1">
      <c r="A423" t="inlineStr">
        <is>
          <t>A 18191-2026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46125</v>
      </c>
      <c r="E423" s="1" t="n">
        <v>46218</v>
      </c>
      <c r="F423" t="inlineStr">
        <is>
          <t>GÄVLEBORGS LÄN</t>
        </is>
      </c>
      <c r="G423" t="inlineStr">
        <is>
          <t>OCKELBO</t>
        </is>
      </c>
      <c r="H423" t="inlineStr">
        <is>
          <t>Bergvik skog väst AB</t>
        </is>
      </c>
      <c r="I423" t="n">
        <v>4.1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s="2" t="inlineStr"/>
    </row>
    <row r="424" ht="15" customHeight="1">
      <c r="A424" t="inlineStr">
        <is>
          <t>A 12708-2026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46091</v>
      </c>
      <c r="E424" s="1" t="n">
        <v>46218</v>
      </c>
      <c r="F424" t="inlineStr">
        <is>
          <t>GÄVLEBORGS LÄN</t>
        </is>
      </c>
      <c r="G424" t="inlineStr">
        <is>
          <t>OCKELBO</t>
        </is>
      </c>
      <c r="I424" t="n">
        <v>3.5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s="2" t="inlineStr"/>
    </row>
    <row r="425" ht="15" customHeight="1">
      <c r="A425" t="inlineStr">
        <is>
          <t>A 2555-2025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45674</v>
      </c>
      <c r="E425" s="1" t="n">
        <v>46218</v>
      </c>
      <c r="F425" t="inlineStr">
        <is>
          <t>GÄVLEBORGS LÄN</t>
        </is>
      </c>
      <c r="G425" t="inlineStr">
        <is>
          <t>OCKELBO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s="2" t="inlineStr"/>
    </row>
    <row r="426" ht="15" customHeight="1">
      <c r="A426" t="inlineStr">
        <is>
          <t>A 9964-2025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45719</v>
      </c>
      <c r="E426" s="1" t="n">
        <v>46218</v>
      </c>
      <c r="F426" t="inlineStr">
        <is>
          <t>GÄVLEBORGS LÄN</t>
        </is>
      </c>
      <c r="G426" t="inlineStr">
        <is>
          <t>OCKELBO</t>
        </is>
      </c>
      <c r="H426" t="inlineStr">
        <is>
          <t>Bergvik skog öst AB</t>
        </is>
      </c>
      <c r="I426" t="n">
        <v>0.9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s="2" t="inlineStr"/>
    </row>
    <row r="427" ht="15" customHeight="1">
      <c r="A427" t="inlineStr">
        <is>
          <t>A 710-2026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46029</v>
      </c>
      <c r="E427" s="1" t="n">
        <v>46218</v>
      </c>
      <c r="F427" t="inlineStr">
        <is>
          <t>GÄVLEBORGS LÄN</t>
        </is>
      </c>
      <c r="G427" t="inlineStr">
        <is>
          <t>OCKELBO</t>
        </is>
      </c>
      <c r="I427" t="n">
        <v>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s="2" t="inlineStr"/>
    </row>
    <row r="428" ht="15" customHeight="1">
      <c r="A428" t="inlineStr">
        <is>
          <t>A 7955-2026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46063</v>
      </c>
      <c r="E428" s="1" t="n">
        <v>46218</v>
      </c>
      <c r="F428" t="inlineStr">
        <is>
          <t>GÄVLEBORGS LÄN</t>
        </is>
      </c>
      <c r="G428" t="inlineStr">
        <is>
          <t>OCKELBO</t>
        </is>
      </c>
      <c r="H428" t="inlineStr">
        <is>
          <t>Bergvik skog väst AB</t>
        </is>
      </c>
      <c r="I428" t="n">
        <v>23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s="2" t="inlineStr"/>
    </row>
    <row r="429" ht="15" customHeight="1">
      <c r="A429" t="inlineStr">
        <is>
          <t>A 39424-2024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45551</v>
      </c>
      <c r="E429" s="1" t="n">
        <v>46218</v>
      </c>
      <c r="F429" t="inlineStr">
        <is>
          <t>GÄVLEBORGS LÄN</t>
        </is>
      </c>
      <c r="G429" t="inlineStr">
        <is>
          <t>OCKELBO</t>
        </is>
      </c>
      <c r="I429" t="n">
        <v>3.6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s="2" t="inlineStr"/>
    </row>
    <row r="430" ht="15" customHeight="1">
      <c r="A430" t="inlineStr">
        <is>
          <t>A 3650-2026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46043</v>
      </c>
      <c r="E430" s="1" t="n">
        <v>46218</v>
      </c>
      <c r="F430" t="inlineStr">
        <is>
          <t>GÄVLEBORGS LÄN</t>
        </is>
      </c>
      <c r="G430" t="inlineStr">
        <is>
          <t>OCKELBO</t>
        </is>
      </c>
      <c r="I430" t="n">
        <v>10.3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s="2" t="inlineStr"/>
    </row>
    <row r="431" ht="15" customHeight="1">
      <c r="A431" t="inlineStr">
        <is>
          <t>A 60616-2025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45996</v>
      </c>
      <c r="E431" s="1" t="n">
        <v>46218</v>
      </c>
      <c r="F431" t="inlineStr">
        <is>
          <t>GÄVLEBORGS LÄN</t>
        </is>
      </c>
      <c r="G431" t="inlineStr">
        <is>
          <t>OCKELBO</t>
        </is>
      </c>
      <c r="H431" t="inlineStr">
        <is>
          <t>Bergvik skog väst AB</t>
        </is>
      </c>
      <c r="I431" t="n">
        <v>2.4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s="2" t="inlineStr"/>
    </row>
    <row r="432" ht="15" customHeight="1">
      <c r="A432" t="inlineStr">
        <is>
          <t>A 2584-2026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46037</v>
      </c>
      <c r="E432" s="1" t="n">
        <v>46218</v>
      </c>
      <c r="F432" t="inlineStr">
        <is>
          <t>GÄVLEBORGS LÄN</t>
        </is>
      </c>
      <c r="G432" t="inlineStr">
        <is>
          <t>OCKELBO</t>
        </is>
      </c>
      <c r="I432" t="n">
        <v>2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s="2" t="inlineStr"/>
    </row>
    <row r="433" ht="15" customHeight="1">
      <c r="A433" t="inlineStr">
        <is>
          <t>A 10083-2026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46073</v>
      </c>
      <c r="E433" s="1" t="n">
        <v>46218</v>
      </c>
      <c r="F433" t="inlineStr">
        <is>
          <t>GÄVLEBORGS LÄN</t>
        </is>
      </c>
      <c r="G433" t="inlineStr">
        <is>
          <t>OCKELBO</t>
        </is>
      </c>
      <c r="H433" t="inlineStr">
        <is>
          <t>Bergvik skog väst AB</t>
        </is>
      </c>
      <c r="I433" t="n">
        <v>3.6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s="2" t="inlineStr"/>
    </row>
    <row r="434" ht="15" customHeight="1">
      <c r="A434" t="inlineStr">
        <is>
          <t>A 6499-2026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46056</v>
      </c>
      <c r="E434" s="1" t="n">
        <v>46218</v>
      </c>
      <c r="F434" t="inlineStr">
        <is>
          <t>GÄVLEBORGS LÄN</t>
        </is>
      </c>
      <c r="G434" t="inlineStr">
        <is>
          <t>OCKELBO</t>
        </is>
      </c>
      <c r="I434" t="n">
        <v>2.6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s="2" t="inlineStr"/>
    </row>
    <row r="435" ht="15" customHeight="1">
      <c r="A435" t="inlineStr">
        <is>
          <t>A 6518-2026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46052</v>
      </c>
      <c r="E435" s="1" t="n">
        <v>46218</v>
      </c>
      <c r="F435" t="inlineStr">
        <is>
          <t>GÄVLEBORGS LÄN</t>
        </is>
      </c>
      <c r="G435" t="inlineStr">
        <is>
          <t>OCKELBO</t>
        </is>
      </c>
      <c r="I435" t="n">
        <v>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s="2" t="inlineStr"/>
    </row>
    <row r="436" ht="15" customHeight="1">
      <c r="A436" t="inlineStr">
        <is>
          <t>A 1693-2026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46034</v>
      </c>
      <c r="E436" s="1" t="n">
        <v>46218</v>
      </c>
      <c r="F436" t="inlineStr">
        <is>
          <t>GÄVLEBORGS LÄN</t>
        </is>
      </c>
      <c r="G436" t="inlineStr">
        <is>
          <t>OCKELBO</t>
        </is>
      </c>
      <c r="I436" t="n">
        <v>9.300000000000001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s="2" t="inlineStr"/>
    </row>
    <row r="437" ht="15" customHeight="1">
      <c r="A437" t="inlineStr">
        <is>
          <t>A 10489-2026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46077</v>
      </c>
      <c r="E437" s="1" t="n">
        <v>46218</v>
      </c>
      <c r="F437" t="inlineStr">
        <is>
          <t>GÄVLEBORGS LÄN</t>
        </is>
      </c>
      <c r="G437" t="inlineStr">
        <is>
          <t>OCKELBO</t>
        </is>
      </c>
      <c r="H437" t="inlineStr">
        <is>
          <t>Bergvik skog väst AB</t>
        </is>
      </c>
      <c r="I437" t="n">
        <v>4.5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s="2" t="inlineStr"/>
    </row>
    <row r="438" ht="15" customHeight="1">
      <c r="A438" t="inlineStr">
        <is>
          <t>A 61148-2025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46000</v>
      </c>
      <c r="E438" s="1" t="n">
        <v>46218</v>
      </c>
      <c r="F438" t="inlineStr">
        <is>
          <t>GÄVLEBORGS LÄN</t>
        </is>
      </c>
      <c r="G438" t="inlineStr">
        <is>
          <t>OCKELBO</t>
        </is>
      </c>
      <c r="H438" t="inlineStr">
        <is>
          <t>Bergvik skog väst AB</t>
        </is>
      </c>
      <c r="I438" t="n">
        <v>6.2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s="2" t="inlineStr"/>
    </row>
    <row r="439" ht="15" customHeight="1">
      <c r="A439" t="inlineStr">
        <is>
          <t>A 47100-2024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45586</v>
      </c>
      <c r="E439" s="1" t="n">
        <v>46218</v>
      </c>
      <c r="F439" t="inlineStr">
        <is>
          <t>GÄVLEBORGS LÄN</t>
        </is>
      </c>
      <c r="G439" t="inlineStr">
        <is>
          <t>OCKELBO</t>
        </is>
      </c>
      <c r="I439" t="n">
        <v>3.6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s="2" t="inlineStr"/>
    </row>
    <row r="440" ht="15" customHeight="1">
      <c r="A440" t="inlineStr">
        <is>
          <t>A 20481-2026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46140</v>
      </c>
      <c r="E440" s="1" t="n">
        <v>46218</v>
      </c>
      <c r="F440" t="inlineStr">
        <is>
          <t>GÄVLEBORGS LÄN</t>
        </is>
      </c>
      <c r="G440" t="inlineStr">
        <is>
          <t>OCKELBO</t>
        </is>
      </c>
      <c r="H440" t="inlineStr">
        <is>
          <t>Bergvik skog väst AB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s="2" t="inlineStr"/>
    </row>
    <row r="441" ht="15" customHeight="1">
      <c r="A441" t="inlineStr">
        <is>
          <t>A 7949-2026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46063</v>
      </c>
      <c r="E441" s="1" t="n">
        <v>46218</v>
      </c>
      <c r="F441" t="inlineStr">
        <is>
          <t>GÄVLEBORGS LÄN</t>
        </is>
      </c>
      <c r="G441" t="inlineStr">
        <is>
          <t>OCKELBO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s="2" t="inlineStr"/>
    </row>
    <row r="442" ht="15" customHeight="1">
      <c r="A442" t="inlineStr">
        <is>
          <t>A 26843-2026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46185</v>
      </c>
      <c r="E442" s="1" t="n">
        <v>46218</v>
      </c>
      <c r="F442" t="inlineStr">
        <is>
          <t>GÄVLEBORGS LÄN</t>
        </is>
      </c>
      <c r="G442" t="inlineStr">
        <is>
          <t>OCKELBO</t>
        </is>
      </c>
      <c r="I442" t="n">
        <v>14.6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s="2" t="inlineStr"/>
    </row>
    <row r="443" ht="15" customHeight="1">
      <c r="A443" t="inlineStr">
        <is>
          <t>A 26861-2026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46185</v>
      </c>
      <c r="E443" s="1" t="n">
        <v>46218</v>
      </c>
      <c r="F443" t="inlineStr">
        <is>
          <t>GÄVLEBORGS LÄN</t>
        </is>
      </c>
      <c r="G443" t="inlineStr">
        <is>
          <t>OCKELBO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s="2" t="inlineStr"/>
    </row>
    <row r="444" ht="15" customHeight="1">
      <c r="A444" t="inlineStr">
        <is>
          <t>A 20984-2026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46142</v>
      </c>
      <c r="E444" s="1" t="n">
        <v>46218</v>
      </c>
      <c r="F444" t="inlineStr">
        <is>
          <t>GÄVLEBORGS LÄN</t>
        </is>
      </c>
      <c r="G444" t="inlineStr">
        <is>
          <t>OCKELBO</t>
        </is>
      </c>
      <c r="H444" t="inlineStr">
        <is>
          <t>Bergvik skog väst AB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s="2" t="inlineStr"/>
    </row>
    <row r="445" ht="15" customHeight="1">
      <c r="A445" t="inlineStr">
        <is>
          <t>A 26808-2026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46185</v>
      </c>
      <c r="E445" s="1" t="n">
        <v>46218</v>
      </c>
      <c r="F445" t="inlineStr">
        <is>
          <t>GÄVLEBORGS LÄN</t>
        </is>
      </c>
      <c r="G445" t="inlineStr">
        <is>
          <t>OCKELBO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s="2" t="inlineStr"/>
    </row>
    <row r="446" ht="15" customHeight="1">
      <c r="A446" t="inlineStr">
        <is>
          <t>A 34944-2024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45527</v>
      </c>
      <c r="E446" s="1" t="n">
        <v>46218</v>
      </c>
      <c r="F446" t="inlineStr">
        <is>
          <t>GÄVLEBORGS LÄN</t>
        </is>
      </c>
      <c r="G446" t="inlineStr">
        <is>
          <t>OCKELBO</t>
        </is>
      </c>
      <c r="H446" t="inlineStr">
        <is>
          <t>Bergvik skog väst AB</t>
        </is>
      </c>
      <c r="I446" t="n">
        <v>12.2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s="2" t="inlineStr"/>
    </row>
    <row r="447" ht="15" customHeight="1">
      <c r="A447" t="inlineStr">
        <is>
          <t>A 14905-2026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46104</v>
      </c>
      <c r="E447" s="1" t="n">
        <v>46218</v>
      </c>
      <c r="F447" t="inlineStr">
        <is>
          <t>GÄVLEBORGS LÄN</t>
        </is>
      </c>
      <c r="G447" t="inlineStr">
        <is>
          <t>OCKELBO</t>
        </is>
      </c>
      <c r="H447" t="inlineStr">
        <is>
          <t>Bergvik skog väst AB</t>
        </is>
      </c>
      <c r="I447" t="n">
        <v>3.9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s="2" t="inlineStr"/>
    </row>
    <row r="448" ht="15" customHeight="1">
      <c r="A448" t="inlineStr">
        <is>
          <t>A 26845-2026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46185</v>
      </c>
      <c r="E448" s="1" t="n">
        <v>46218</v>
      </c>
      <c r="F448" t="inlineStr">
        <is>
          <t>GÄVLEBORGS LÄN</t>
        </is>
      </c>
      <c r="G448" t="inlineStr">
        <is>
          <t>OCKELBO</t>
        </is>
      </c>
      <c r="I448" t="n">
        <v>3.4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s="2" t="inlineStr"/>
    </row>
    <row r="449" ht="15" customHeight="1">
      <c r="A449" t="inlineStr">
        <is>
          <t>A 4257-2026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46045</v>
      </c>
      <c r="E449" s="1" t="n">
        <v>46218</v>
      </c>
      <c r="F449" t="inlineStr">
        <is>
          <t>GÄVLEBORGS LÄN</t>
        </is>
      </c>
      <c r="G449" t="inlineStr">
        <is>
          <t>OCKELBO</t>
        </is>
      </c>
      <c r="I449" t="n">
        <v>6.8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s="2" t="inlineStr"/>
    </row>
    <row r="450" ht="15" customHeight="1">
      <c r="A450" t="inlineStr">
        <is>
          <t>A 60117-2025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45994</v>
      </c>
      <c r="E450" s="1" t="n">
        <v>46218</v>
      </c>
      <c r="F450" t="inlineStr">
        <is>
          <t>GÄVLEBORGS LÄN</t>
        </is>
      </c>
      <c r="G450" t="inlineStr">
        <is>
          <t>OCKELBO</t>
        </is>
      </c>
      <c r="I450" t="n">
        <v>0.8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s="2" t="inlineStr"/>
    </row>
    <row r="451" ht="15" customHeight="1">
      <c r="A451" t="inlineStr">
        <is>
          <t>A 32301-2022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44781</v>
      </c>
      <c r="E451" s="1" t="n">
        <v>46218</v>
      </c>
      <c r="F451" t="inlineStr">
        <is>
          <t>GÄVLEBORGS LÄN</t>
        </is>
      </c>
      <c r="G451" t="inlineStr">
        <is>
          <t>OCKELBO</t>
        </is>
      </c>
      <c r="I451" t="n">
        <v>1.7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s="2" t="inlineStr"/>
    </row>
    <row r="452" ht="15" customHeight="1">
      <c r="A452" t="inlineStr">
        <is>
          <t>A 62196-2025</t>
        </is>
      </c>
      <c r="B452" t="inlineStr">
        <is>
          <t>avverkningsanmälan</t>
        </is>
      </c>
      <c r="C452" t="inlineStr">
        <is>
          <t>Avverkning för annat ändamål</t>
        </is>
      </c>
      <c r="D452" s="1" t="n">
        <v>46006</v>
      </c>
      <c r="E452" s="1" t="n">
        <v>46218</v>
      </c>
      <c r="F452" t="inlineStr">
        <is>
          <t>GÄVLEBORGS LÄN</t>
        </is>
      </c>
      <c r="G452" t="inlineStr">
        <is>
          <t>OCKELBO</t>
        </is>
      </c>
      <c r="I452" t="n">
        <v>1.9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s="2" t="inlineStr"/>
    </row>
    <row r="453" ht="15" customHeight="1">
      <c r="A453" t="inlineStr">
        <is>
          <t>A 21173-2026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46146</v>
      </c>
      <c r="E453" s="1" t="n">
        <v>46218</v>
      </c>
      <c r="F453" t="inlineStr">
        <is>
          <t>GÄVLEBORGS LÄN</t>
        </is>
      </c>
      <c r="G453" t="inlineStr">
        <is>
          <t>OCKELBO</t>
        </is>
      </c>
      <c r="H453" t="inlineStr">
        <is>
          <t>Bergvik skog väst AB</t>
        </is>
      </c>
      <c r="I453" t="n">
        <v>3.1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s="2" t="inlineStr"/>
    </row>
    <row r="454" ht="15" customHeight="1">
      <c r="A454" t="inlineStr">
        <is>
          <t>A 18549-2026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46127</v>
      </c>
      <c r="E454" s="1" t="n">
        <v>46218</v>
      </c>
      <c r="F454" t="inlineStr">
        <is>
          <t>GÄVLEBORGS LÄN</t>
        </is>
      </c>
      <c r="G454" t="inlineStr">
        <is>
          <t>OCKELBO</t>
        </is>
      </c>
      <c r="H454" t="inlineStr">
        <is>
          <t>Bergvik skog väst AB</t>
        </is>
      </c>
      <c r="I454" t="n">
        <v>2.2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s="2" t="inlineStr"/>
    </row>
    <row r="455" ht="15" customHeight="1">
      <c r="A455" t="inlineStr">
        <is>
          <t>A 27272-2026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46188</v>
      </c>
      <c r="E455" s="1" t="n">
        <v>46218</v>
      </c>
      <c r="F455" t="inlineStr">
        <is>
          <t>GÄVLEBORGS LÄN</t>
        </is>
      </c>
      <c r="G455" t="inlineStr">
        <is>
          <t>OCKELBO</t>
        </is>
      </c>
      <c r="H455" t="inlineStr">
        <is>
          <t>Bergvik skog väst AB</t>
        </is>
      </c>
      <c r="I455" t="n">
        <v>12.8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s="2" t="inlineStr"/>
    </row>
    <row r="456" ht="15" customHeight="1">
      <c r="A456" t="inlineStr">
        <is>
          <t>A 59383-2025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45989</v>
      </c>
      <c r="E456" s="1" t="n">
        <v>46218</v>
      </c>
      <c r="F456" t="inlineStr">
        <is>
          <t>GÄVLEBORGS LÄN</t>
        </is>
      </c>
      <c r="G456" t="inlineStr">
        <is>
          <t>OCKELBO</t>
        </is>
      </c>
      <c r="H456" t="inlineStr">
        <is>
          <t>Bergvik skog väst AB</t>
        </is>
      </c>
      <c r="I456" t="n">
        <v>6.8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s="2" t="inlineStr"/>
    </row>
    <row r="457" ht="15" customHeight="1">
      <c r="A457" t="inlineStr">
        <is>
          <t>A 17951-2026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46122</v>
      </c>
      <c r="E457" s="1" t="n">
        <v>46218</v>
      </c>
      <c r="F457" t="inlineStr">
        <is>
          <t>GÄVLEBORGS LÄN</t>
        </is>
      </c>
      <c r="G457" t="inlineStr">
        <is>
          <t>OCKELBO</t>
        </is>
      </c>
      <c r="H457" t="inlineStr">
        <is>
          <t>Bergvik skog väst AB</t>
        </is>
      </c>
      <c r="I457" t="n">
        <v>12.6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s="2" t="inlineStr"/>
    </row>
    <row r="458" ht="15" customHeight="1">
      <c r="A458" t="inlineStr">
        <is>
          <t>A 61116-2023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45261</v>
      </c>
      <c r="E458" s="1" t="n">
        <v>46218</v>
      </c>
      <c r="F458" t="inlineStr">
        <is>
          <t>GÄVLEBORGS LÄN</t>
        </is>
      </c>
      <c r="G458" t="inlineStr">
        <is>
          <t>OCKELBO</t>
        </is>
      </c>
      <c r="I458" t="n">
        <v>1.1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s="2" t="inlineStr"/>
    </row>
    <row r="459" ht="15" customHeight="1">
      <c r="A459" t="inlineStr">
        <is>
          <t>A 27231-2026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46188</v>
      </c>
      <c r="E459" s="1" t="n">
        <v>46218</v>
      </c>
      <c r="F459" t="inlineStr">
        <is>
          <t>GÄVLEBORGS LÄN</t>
        </is>
      </c>
      <c r="G459" t="inlineStr">
        <is>
          <t>OCKELBO</t>
        </is>
      </c>
      <c r="H459" t="inlineStr">
        <is>
          <t>Bergvik skog väst AB</t>
        </is>
      </c>
      <c r="I459" t="n">
        <v>0.6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s="2" t="inlineStr"/>
    </row>
    <row r="460" ht="15" customHeight="1">
      <c r="A460" t="inlineStr">
        <is>
          <t>A 63061-2025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46009</v>
      </c>
      <c r="E460" s="1" t="n">
        <v>46218</v>
      </c>
      <c r="F460" t="inlineStr">
        <is>
          <t>GÄVLEBORGS LÄN</t>
        </is>
      </c>
      <c r="G460" t="inlineStr">
        <is>
          <t>OCKELBO</t>
        </is>
      </c>
      <c r="H460" t="inlineStr">
        <is>
          <t>Bergvik skog väst AB</t>
        </is>
      </c>
      <c r="I460" t="n">
        <v>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s="2" t="inlineStr"/>
    </row>
    <row r="461" ht="15" customHeight="1">
      <c r="A461" t="inlineStr">
        <is>
          <t>A 62914-2025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46009</v>
      </c>
      <c r="E461" s="1" t="n">
        <v>46218</v>
      </c>
      <c r="F461" t="inlineStr">
        <is>
          <t>GÄVLEBORGS LÄN</t>
        </is>
      </c>
      <c r="G461" t="inlineStr">
        <is>
          <t>OCKELBO</t>
        </is>
      </c>
      <c r="I461" t="n">
        <v>2.4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s="2" t="inlineStr"/>
    </row>
    <row r="462" ht="15" customHeight="1">
      <c r="A462" t="inlineStr">
        <is>
          <t>A 18097-2026</t>
        </is>
      </c>
      <c r="B462" t="inlineStr">
        <is>
          <t>avverkningsanmälan</t>
        </is>
      </c>
      <c r="C462" t="inlineStr">
        <is>
          <t>Avverkning för annat ändamål</t>
        </is>
      </c>
      <c r="D462" s="1" t="n">
        <v>46125</v>
      </c>
      <c r="E462" s="1" t="n">
        <v>46218</v>
      </c>
      <c r="F462" t="inlineStr">
        <is>
          <t>GÄVLEBORGS LÄN</t>
        </is>
      </c>
      <c r="G462" t="inlineStr">
        <is>
          <t>OCKELBO</t>
        </is>
      </c>
      <c r="H462" t="inlineStr">
        <is>
          <t>Bergvik skog väst AB</t>
        </is>
      </c>
      <c r="I462" t="n">
        <v>12.6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s="2" t="inlineStr"/>
    </row>
    <row r="463" ht="15" customHeight="1">
      <c r="A463" t="inlineStr">
        <is>
          <t>A 21280-2026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46147</v>
      </c>
      <c r="E463" s="1" t="n">
        <v>46218</v>
      </c>
      <c r="F463" t="inlineStr">
        <is>
          <t>GÄVLEBORGS LÄN</t>
        </is>
      </c>
      <c r="G463" t="inlineStr">
        <is>
          <t>OCKELBO</t>
        </is>
      </c>
      <c r="H463" t="inlineStr">
        <is>
          <t>Bergvik skog öst AB</t>
        </is>
      </c>
      <c r="I463" t="n">
        <v>1.8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s="2" t="inlineStr"/>
    </row>
    <row r="464" ht="15" customHeight="1">
      <c r="A464" t="inlineStr">
        <is>
          <t>A 21277-2026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46147</v>
      </c>
      <c r="E464" s="1" t="n">
        <v>46218</v>
      </c>
      <c r="F464" t="inlineStr">
        <is>
          <t>GÄVLEBORGS LÄN</t>
        </is>
      </c>
      <c r="G464" t="inlineStr">
        <is>
          <t>OCKELBO</t>
        </is>
      </c>
      <c r="H464" t="inlineStr">
        <is>
          <t>Bergvik skog öst AB</t>
        </is>
      </c>
      <c r="I464" t="n">
        <v>2.4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s="2" t="inlineStr"/>
    </row>
    <row r="465" ht="15" customHeight="1">
      <c r="A465" t="inlineStr">
        <is>
          <t>A 27382-2026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46189</v>
      </c>
      <c r="E465" s="1" t="n">
        <v>46218</v>
      </c>
      <c r="F465" t="inlineStr">
        <is>
          <t>GÄVLEBORGS LÄN</t>
        </is>
      </c>
      <c r="G465" t="inlineStr">
        <is>
          <t>OCKELBO</t>
        </is>
      </c>
      <c r="H465" t="inlineStr">
        <is>
          <t>Bergvik skog väst AB</t>
        </is>
      </c>
      <c r="I465" t="n">
        <v>1.7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s="2" t="inlineStr"/>
    </row>
    <row r="466" ht="15" customHeight="1">
      <c r="A466" t="inlineStr">
        <is>
          <t>A 15908-2026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46107</v>
      </c>
      <c r="E466" s="1" t="n">
        <v>46218</v>
      </c>
      <c r="F466" t="inlineStr">
        <is>
          <t>GÄVLEBORGS LÄN</t>
        </is>
      </c>
      <c r="G466" t="inlineStr">
        <is>
          <t>OCKELBO</t>
        </is>
      </c>
      <c r="H466" t="inlineStr">
        <is>
          <t>Bergvik skog öst AB</t>
        </is>
      </c>
      <c r="I466" t="n">
        <v>6.8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s="2" t="inlineStr"/>
    </row>
    <row r="467" ht="15" customHeight="1">
      <c r="A467" t="inlineStr">
        <is>
          <t>A 21461-2026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46148</v>
      </c>
      <c r="E467" s="1" t="n">
        <v>46218</v>
      </c>
      <c r="F467" t="inlineStr">
        <is>
          <t>GÄVLEBORGS LÄN</t>
        </is>
      </c>
      <c r="G467" t="inlineStr">
        <is>
          <t>OCKELBO</t>
        </is>
      </c>
      <c r="H467" t="inlineStr">
        <is>
          <t>Bergvik skog väst AB</t>
        </is>
      </c>
      <c r="I467" t="n">
        <v>0.7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s="2" t="inlineStr"/>
    </row>
    <row r="468" ht="15" customHeight="1">
      <c r="A468" t="inlineStr">
        <is>
          <t>A 63459-2025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46013</v>
      </c>
      <c r="E468" s="1" t="n">
        <v>46218</v>
      </c>
      <c r="F468" t="inlineStr">
        <is>
          <t>GÄVLEBORGS LÄN</t>
        </is>
      </c>
      <c r="G468" t="inlineStr">
        <is>
          <t>OCKELBO</t>
        </is>
      </c>
      <c r="H468" t="inlineStr">
        <is>
          <t>Bergvik skog väst AB</t>
        </is>
      </c>
      <c r="I468" t="n">
        <v>2.4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s="2" t="inlineStr"/>
    </row>
    <row r="469" ht="15" customHeight="1">
      <c r="A469" t="inlineStr">
        <is>
          <t>A 63464-2025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46013</v>
      </c>
      <c r="E469" s="1" t="n">
        <v>46218</v>
      </c>
      <c r="F469" t="inlineStr">
        <is>
          <t>GÄVLEBORGS LÄN</t>
        </is>
      </c>
      <c r="G469" t="inlineStr">
        <is>
          <t>OCKELBO</t>
        </is>
      </c>
      <c r="H469" t="inlineStr">
        <is>
          <t>Bergvik skog väst AB</t>
        </is>
      </c>
      <c r="I469" t="n">
        <v>4.2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s="2" t="inlineStr"/>
    </row>
    <row r="470" ht="15" customHeight="1">
      <c r="A470" t="inlineStr">
        <is>
          <t>A 21500-2026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46148</v>
      </c>
      <c r="E470" s="1" t="n">
        <v>46218</v>
      </c>
      <c r="F470" t="inlineStr">
        <is>
          <t>GÄVLEBORGS LÄN</t>
        </is>
      </c>
      <c r="G470" t="inlineStr">
        <is>
          <t>OCKELBO</t>
        </is>
      </c>
      <c r="H470" t="inlineStr">
        <is>
          <t>Bergvik skog väst AB</t>
        </is>
      </c>
      <c r="I470" t="n">
        <v>3.4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s="2" t="inlineStr"/>
    </row>
    <row r="471" ht="15" customHeight="1">
      <c r="A471" t="inlineStr">
        <is>
          <t>A 63224-2025</t>
        </is>
      </c>
      <c r="B471" t="inlineStr">
        <is>
          <t>avverkningsanmälan</t>
        </is>
      </c>
      <c r="C471" t="inlineStr">
        <is>
          <t>Avverkning för annat ändamål</t>
        </is>
      </c>
      <c r="D471" s="1" t="n">
        <v>46010</v>
      </c>
      <c r="E471" s="1" t="n">
        <v>46218</v>
      </c>
      <c r="F471" t="inlineStr">
        <is>
          <t>GÄVLEBORGS LÄN</t>
        </is>
      </c>
      <c r="G471" t="inlineStr">
        <is>
          <t>OCKELBO</t>
        </is>
      </c>
      <c r="I471" t="n">
        <v>1.2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s="2" t="inlineStr"/>
    </row>
    <row r="472" ht="15" customHeight="1">
      <c r="A472" t="inlineStr">
        <is>
          <t>A 19537-2026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46134</v>
      </c>
      <c r="E472" s="1" t="n">
        <v>46218</v>
      </c>
      <c r="F472" t="inlineStr">
        <is>
          <t>GÄVLEBORGS LÄN</t>
        </is>
      </c>
      <c r="G472" t="inlineStr">
        <is>
          <t>OCKELBO</t>
        </is>
      </c>
      <c r="H472" t="inlineStr">
        <is>
          <t>Bergvik skog väst AB</t>
        </is>
      </c>
      <c r="I472" t="n">
        <v>5.1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s="2" t="inlineStr"/>
    </row>
    <row r="473" ht="15" customHeight="1">
      <c r="A473" t="inlineStr">
        <is>
          <t>A 21640-2026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46149</v>
      </c>
      <c r="E473" s="1" t="n">
        <v>46218</v>
      </c>
      <c r="F473" t="inlineStr">
        <is>
          <t>GÄVLEBORGS LÄN</t>
        </is>
      </c>
      <c r="G473" t="inlineStr">
        <is>
          <t>OCKELBO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s="2" t="inlineStr"/>
    </row>
    <row r="474" ht="15" customHeight="1">
      <c r="A474" t="inlineStr">
        <is>
          <t>A 21459-2026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46148</v>
      </c>
      <c r="E474" s="1" t="n">
        <v>46218</v>
      </c>
      <c r="F474" t="inlineStr">
        <is>
          <t>GÄVLEBORGS LÄN</t>
        </is>
      </c>
      <c r="G474" t="inlineStr">
        <is>
          <t>OCKELBO</t>
        </is>
      </c>
      <c r="H474" t="inlineStr">
        <is>
          <t>Bergvik skog väst AB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s="2" t="inlineStr"/>
    </row>
    <row r="475" ht="15" customHeight="1">
      <c r="A475" t="inlineStr">
        <is>
          <t>A 21468-2026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46148</v>
      </c>
      <c r="E475" s="1" t="n">
        <v>46218</v>
      </c>
      <c r="F475" t="inlineStr">
        <is>
          <t>GÄVLEBORGS LÄN</t>
        </is>
      </c>
      <c r="G475" t="inlineStr">
        <is>
          <t>OCKELBO</t>
        </is>
      </c>
      <c r="H475" t="inlineStr">
        <is>
          <t>Bergvik skog väst AB</t>
        </is>
      </c>
      <c r="I475" t="n">
        <v>3.4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s="2" t="inlineStr"/>
    </row>
    <row r="476" ht="15" customHeight="1">
      <c r="A476" t="inlineStr">
        <is>
          <t>A 21577-2026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46148</v>
      </c>
      <c r="E476" s="1" t="n">
        <v>46218</v>
      </c>
      <c r="F476" t="inlineStr">
        <is>
          <t>GÄVLEBORGS LÄN</t>
        </is>
      </c>
      <c r="G476" t="inlineStr">
        <is>
          <t>OCKELBO</t>
        </is>
      </c>
      <c r="I476" t="n">
        <v>1.2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s="2" t="inlineStr"/>
    </row>
    <row r="477" ht="15" customHeight="1">
      <c r="A477" t="inlineStr">
        <is>
          <t>A 14410-2026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46100</v>
      </c>
      <c r="E477" s="1" t="n">
        <v>46218</v>
      </c>
      <c r="F477" t="inlineStr">
        <is>
          <t>GÄVLEBORGS LÄN</t>
        </is>
      </c>
      <c r="G477" t="inlineStr">
        <is>
          <t>OCKELBO</t>
        </is>
      </c>
      <c r="I477" t="n">
        <v>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s="2" t="inlineStr"/>
    </row>
    <row r="478" ht="15" customHeight="1">
      <c r="A478" t="inlineStr">
        <is>
          <t>A 63017-2025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46009</v>
      </c>
      <c r="E478" s="1" t="n">
        <v>46218</v>
      </c>
      <c r="F478" t="inlineStr">
        <is>
          <t>GÄVLEBORGS LÄN</t>
        </is>
      </c>
      <c r="G478" t="inlineStr">
        <is>
          <t>OCKELBO</t>
        </is>
      </c>
      <c r="H478" t="inlineStr">
        <is>
          <t>Bergvik skog väst AB</t>
        </is>
      </c>
      <c r="I478" t="n">
        <v>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s="2" t="inlineStr"/>
    </row>
    <row r="479" ht="15" customHeight="1">
      <c r="A479" t="inlineStr">
        <is>
          <t>A 63616-2025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46014</v>
      </c>
      <c r="E479" s="1" t="n">
        <v>46218</v>
      </c>
      <c r="F479" t="inlineStr">
        <is>
          <t>GÄVLEBORGS LÄN</t>
        </is>
      </c>
      <c r="G479" t="inlineStr">
        <is>
          <t>OCKELBO</t>
        </is>
      </c>
      <c r="I479" t="n">
        <v>1.2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s="2" t="inlineStr"/>
    </row>
    <row r="480" ht="15" customHeight="1">
      <c r="A480" t="inlineStr">
        <is>
          <t>A 27562-2026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46190</v>
      </c>
      <c r="E480" s="1" t="n">
        <v>46218</v>
      </c>
      <c r="F480" t="inlineStr">
        <is>
          <t>GÄVLEBORGS LÄN</t>
        </is>
      </c>
      <c r="G480" t="inlineStr">
        <is>
          <t>OCKELBO</t>
        </is>
      </c>
      <c r="I480" t="n">
        <v>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s="2" t="inlineStr"/>
    </row>
    <row r="481" ht="15" customHeight="1">
      <c r="A481" t="inlineStr">
        <is>
          <t>A 64006-2025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46021</v>
      </c>
      <c r="E481" s="1" t="n">
        <v>46218</v>
      </c>
      <c r="F481" t="inlineStr">
        <is>
          <t>GÄVLEBORGS LÄN</t>
        </is>
      </c>
      <c r="G481" t="inlineStr">
        <is>
          <t>OCKELBO</t>
        </is>
      </c>
      <c r="I481" t="n">
        <v>13.6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s="2" t="inlineStr"/>
    </row>
    <row r="482" ht="15" customHeight="1">
      <c r="A482" t="inlineStr">
        <is>
          <t>A 27620-2026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46190</v>
      </c>
      <c r="E482" s="1" t="n">
        <v>46218</v>
      </c>
      <c r="F482" t="inlineStr">
        <is>
          <t>GÄVLEBORGS LÄN</t>
        </is>
      </c>
      <c r="G482" t="inlineStr">
        <is>
          <t>OCKELBO</t>
        </is>
      </c>
      <c r="I482" t="n">
        <v>2.1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s="2" t="inlineStr"/>
    </row>
    <row r="483" ht="15" customHeight="1">
      <c r="A483" t="inlineStr">
        <is>
          <t>A 27623-2026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46190</v>
      </c>
      <c r="E483" s="1" t="n">
        <v>46218</v>
      </c>
      <c r="F483" t="inlineStr">
        <is>
          <t>GÄVLEBORGS LÄN</t>
        </is>
      </c>
      <c r="G483" t="inlineStr">
        <is>
          <t>OCKELBO</t>
        </is>
      </c>
      <c r="I483" t="n">
        <v>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s="2" t="inlineStr"/>
    </row>
    <row r="484" ht="15" customHeight="1">
      <c r="A484" t="inlineStr">
        <is>
          <t>A 17233-2026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46119</v>
      </c>
      <c r="E484" s="1" t="n">
        <v>46218</v>
      </c>
      <c r="F484" t="inlineStr">
        <is>
          <t>GÄVLEBORGS LÄN</t>
        </is>
      </c>
      <c r="G484" t="inlineStr">
        <is>
          <t>OCKELBO</t>
        </is>
      </c>
      <c r="H484" t="inlineStr">
        <is>
          <t>Bergvik skog väst AB</t>
        </is>
      </c>
      <c r="I484" t="n">
        <v>2.2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s="2" t="inlineStr"/>
    </row>
    <row r="485" ht="15" customHeight="1">
      <c r="A485" t="inlineStr">
        <is>
          <t>A 8865-2026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46066</v>
      </c>
      <c r="E485" s="1" t="n">
        <v>46218</v>
      </c>
      <c r="F485" t="inlineStr">
        <is>
          <t>GÄVLEBORGS LÄN</t>
        </is>
      </c>
      <c r="G485" t="inlineStr">
        <is>
          <t>OCKELBO</t>
        </is>
      </c>
      <c r="H485" t="inlineStr">
        <is>
          <t>Bergvik skog väst AB</t>
        </is>
      </c>
      <c r="I485" t="n">
        <v>3.8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s="2" t="inlineStr"/>
    </row>
    <row r="486" ht="15" customHeight="1">
      <c r="A486" t="inlineStr">
        <is>
          <t>A 342-2026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46027</v>
      </c>
      <c r="E486" s="1" t="n">
        <v>46218</v>
      </c>
      <c r="F486" t="inlineStr">
        <is>
          <t>GÄVLEBORGS LÄN</t>
        </is>
      </c>
      <c r="G486" t="inlineStr">
        <is>
          <t>OCKELBO</t>
        </is>
      </c>
      <c r="I486" t="n">
        <v>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s="2" t="inlineStr"/>
    </row>
    <row r="487" ht="15" customHeight="1">
      <c r="A487" t="inlineStr">
        <is>
          <t>A 350-2026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46027</v>
      </c>
      <c r="E487" s="1" t="n">
        <v>46218</v>
      </c>
      <c r="F487" t="inlineStr">
        <is>
          <t>GÄVLEBORGS LÄN</t>
        </is>
      </c>
      <c r="G487" t="inlineStr">
        <is>
          <t>OCKELBO</t>
        </is>
      </c>
      <c r="I487" t="n">
        <v>16.2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s="2" t="inlineStr"/>
    </row>
    <row r="488" ht="15" customHeight="1">
      <c r="A488" t="inlineStr">
        <is>
          <t>A 346-2026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46027</v>
      </c>
      <c r="E488" s="1" t="n">
        <v>46218</v>
      </c>
      <c r="F488" t="inlineStr">
        <is>
          <t>GÄVLEBORGS LÄN</t>
        </is>
      </c>
      <c r="G488" t="inlineStr">
        <is>
          <t>OCKELBO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s="2" t="inlineStr"/>
    </row>
    <row r="489" ht="15" customHeight="1">
      <c r="A489" t="inlineStr">
        <is>
          <t>A 287-2026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46027</v>
      </c>
      <c r="E489" s="1" t="n">
        <v>46218</v>
      </c>
      <c r="F489" t="inlineStr">
        <is>
          <t>GÄVLEBORGS LÄN</t>
        </is>
      </c>
      <c r="G489" t="inlineStr">
        <is>
          <t>OCKELBO</t>
        </is>
      </c>
      <c r="I489" t="n">
        <v>5.1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s="2" t="inlineStr"/>
    </row>
    <row r="490" ht="15" customHeight="1">
      <c r="A490" t="inlineStr">
        <is>
          <t>A 335-2026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46027</v>
      </c>
      <c r="E490" s="1" t="n">
        <v>46218</v>
      </c>
      <c r="F490" t="inlineStr">
        <is>
          <t>GÄVLEBORGS LÄN</t>
        </is>
      </c>
      <c r="G490" t="inlineStr">
        <is>
          <t>OCKELBO</t>
        </is>
      </c>
      <c r="I490" t="n">
        <v>1.3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s="2" t="inlineStr"/>
    </row>
    <row r="491" ht="15" customHeight="1">
      <c r="A491" t="inlineStr">
        <is>
          <t>A 142-2026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46024</v>
      </c>
      <c r="E491" s="1" t="n">
        <v>46218</v>
      </c>
      <c r="F491" t="inlineStr">
        <is>
          <t>GÄVLEBORGS LÄN</t>
        </is>
      </c>
      <c r="G491" t="inlineStr">
        <is>
          <t>OCKELBO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s="2" t="inlineStr"/>
    </row>
    <row r="492" ht="15" customHeight="1">
      <c r="A492" t="inlineStr">
        <is>
          <t>A 27383-2026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46189</v>
      </c>
      <c r="E492" s="1" t="n">
        <v>46218</v>
      </c>
      <c r="F492" t="inlineStr">
        <is>
          <t>GÄVLEBORGS LÄN</t>
        </is>
      </c>
      <c r="G492" t="inlineStr">
        <is>
          <t>OCKELBO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s="2" t="inlineStr"/>
    </row>
    <row r="493" ht="15" customHeight="1">
      <c r="A493" t="inlineStr">
        <is>
          <t>A 22426-2026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46153</v>
      </c>
      <c r="E493" s="1" t="n">
        <v>46218</v>
      </c>
      <c r="F493" t="inlineStr">
        <is>
          <t>GÄVLEBORGS LÄN</t>
        </is>
      </c>
      <c r="G493" t="inlineStr">
        <is>
          <t>OCKELBO</t>
        </is>
      </c>
      <c r="I493" t="n">
        <v>1.3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s="2" t="inlineStr"/>
    </row>
    <row r="494" ht="15" customHeight="1">
      <c r="A494" t="inlineStr">
        <is>
          <t>A 327-2026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46027</v>
      </c>
      <c r="E494" s="1" t="n">
        <v>46218</v>
      </c>
      <c r="F494" t="inlineStr">
        <is>
          <t>GÄVLEBORGS LÄN</t>
        </is>
      </c>
      <c r="G494" t="inlineStr">
        <is>
          <t>OCKELBO</t>
        </is>
      </c>
      <c r="I494" t="n">
        <v>3.5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s="2" t="inlineStr"/>
    </row>
    <row r="495" ht="15" customHeight="1">
      <c r="A495" t="inlineStr">
        <is>
          <t>A 465-2026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46029</v>
      </c>
      <c r="E495" s="1" t="n">
        <v>46218</v>
      </c>
      <c r="F495" t="inlineStr">
        <is>
          <t>GÄVLEBORGS LÄN</t>
        </is>
      </c>
      <c r="G495" t="inlineStr">
        <is>
          <t>OCKELBO</t>
        </is>
      </c>
      <c r="I495" t="n">
        <v>1.8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s="2" t="inlineStr"/>
    </row>
    <row r="496" ht="15" customHeight="1">
      <c r="A496" t="inlineStr">
        <is>
          <t>A 27379-2026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46189</v>
      </c>
      <c r="E496" s="1" t="n">
        <v>46218</v>
      </c>
      <c r="F496" t="inlineStr">
        <is>
          <t>GÄVLEBORGS LÄN</t>
        </is>
      </c>
      <c r="G496" t="inlineStr">
        <is>
          <t>OCKELBO</t>
        </is>
      </c>
      <c r="I496" t="n">
        <v>1.3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s="2" t="inlineStr"/>
    </row>
    <row r="497" ht="15" customHeight="1">
      <c r="A497" t="inlineStr">
        <is>
          <t>A 417-2026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46028</v>
      </c>
      <c r="E497" s="1" t="n">
        <v>46218</v>
      </c>
      <c r="F497" t="inlineStr">
        <is>
          <t>GÄVLEBORGS LÄN</t>
        </is>
      </c>
      <c r="G497" t="inlineStr">
        <is>
          <t>OCKELBO</t>
        </is>
      </c>
      <c r="I497" t="n">
        <v>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s="2" t="inlineStr"/>
    </row>
    <row r="498" ht="15" customHeight="1">
      <c r="A498" t="inlineStr">
        <is>
          <t>A 423-2026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46028</v>
      </c>
      <c r="E498" s="1" t="n">
        <v>46218</v>
      </c>
      <c r="F498" t="inlineStr">
        <is>
          <t>GÄVLEBORGS LÄN</t>
        </is>
      </c>
      <c r="G498" t="inlineStr">
        <is>
          <t>OCKELBO</t>
        </is>
      </c>
      <c r="I498" t="n">
        <v>1.4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s="2" t="inlineStr"/>
    </row>
    <row r="499" ht="15" customHeight="1">
      <c r="A499" t="inlineStr">
        <is>
          <t>A 9413-2026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46071</v>
      </c>
      <c r="E499" s="1" t="n">
        <v>46218</v>
      </c>
      <c r="F499" t="inlineStr">
        <is>
          <t>GÄVLEBORGS LÄN</t>
        </is>
      </c>
      <c r="G499" t="inlineStr">
        <is>
          <t>OCKELBO</t>
        </is>
      </c>
      <c r="H499" t="inlineStr">
        <is>
          <t>Bergvik skog väst AB</t>
        </is>
      </c>
      <c r="I499" t="n">
        <v>9.1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s="2" t="inlineStr"/>
    </row>
    <row r="500" ht="15" customHeight="1">
      <c r="A500" t="inlineStr">
        <is>
          <t>A 18645-2026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46128</v>
      </c>
      <c r="E500" s="1" t="n">
        <v>46218</v>
      </c>
      <c r="F500" t="inlineStr">
        <is>
          <t>GÄVLEBORGS LÄN</t>
        </is>
      </c>
      <c r="G500" t="inlineStr">
        <is>
          <t>OCKELBO</t>
        </is>
      </c>
      <c r="H500" t="inlineStr">
        <is>
          <t>Bergvik skog väst AB</t>
        </is>
      </c>
      <c r="I500" t="n">
        <v>1.5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s="2" t="inlineStr"/>
    </row>
    <row r="501" ht="15" customHeight="1">
      <c r="A501" t="inlineStr">
        <is>
          <t>A 479-2026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46029</v>
      </c>
      <c r="E501" s="1" t="n">
        <v>46218</v>
      </c>
      <c r="F501" t="inlineStr">
        <is>
          <t>GÄVLEBORGS LÄN</t>
        </is>
      </c>
      <c r="G501" t="inlineStr">
        <is>
          <t>OCKELBO</t>
        </is>
      </c>
      <c r="I501" t="n">
        <v>4.7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s="2" t="inlineStr"/>
    </row>
    <row r="502" ht="15" customHeight="1">
      <c r="A502" t="inlineStr">
        <is>
          <t>A 136-2026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46024</v>
      </c>
      <c r="E502" s="1" t="n">
        <v>46218</v>
      </c>
      <c r="F502" t="inlineStr">
        <is>
          <t>GÄVLEBORGS LÄN</t>
        </is>
      </c>
      <c r="G502" t="inlineStr">
        <is>
          <t>OCKELBO</t>
        </is>
      </c>
      <c r="I502" t="n">
        <v>12.9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s="2" t="inlineStr"/>
    </row>
    <row r="503" ht="15" customHeight="1">
      <c r="A503" t="inlineStr">
        <is>
          <t>A 469-2026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46029</v>
      </c>
      <c r="E503" s="1" t="n">
        <v>46218</v>
      </c>
      <c r="F503" t="inlineStr">
        <is>
          <t>GÄVLEBORGS LÄN</t>
        </is>
      </c>
      <c r="G503" t="inlineStr">
        <is>
          <t>OCKELBO</t>
        </is>
      </c>
      <c r="I503" t="n">
        <v>5.1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s="2" t="inlineStr"/>
    </row>
    <row r="504" ht="15" customHeight="1">
      <c r="A504" t="inlineStr">
        <is>
          <t>A 461-2026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46029</v>
      </c>
      <c r="E504" s="1" t="n">
        <v>46218</v>
      </c>
      <c r="F504" t="inlineStr">
        <is>
          <t>GÄVLEBORGS LÄN</t>
        </is>
      </c>
      <c r="G504" t="inlineStr">
        <is>
          <t>OCKELBO</t>
        </is>
      </c>
      <c r="I504" t="n">
        <v>1.4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s="2" t="inlineStr"/>
    </row>
    <row r="505" ht="15" customHeight="1">
      <c r="A505" t="inlineStr">
        <is>
          <t>A 22057-2026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46153</v>
      </c>
      <c r="E505" s="1" t="n">
        <v>46218</v>
      </c>
      <c r="F505" t="inlineStr">
        <is>
          <t>GÄVLEBORGS LÄN</t>
        </is>
      </c>
      <c r="G505" t="inlineStr">
        <is>
          <t>OCKELBO</t>
        </is>
      </c>
      <c r="I505" t="n">
        <v>2.4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s="2" t="inlineStr"/>
    </row>
    <row r="506" ht="15" customHeight="1">
      <c r="A506" t="inlineStr">
        <is>
          <t>A 1349-2026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46031</v>
      </c>
      <c r="E506" s="1" t="n">
        <v>46218</v>
      </c>
      <c r="F506" t="inlineStr">
        <is>
          <t>GÄVLEBORGS LÄN</t>
        </is>
      </c>
      <c r="G506" t="inlineStr">
        <is>
          <t>OCKELBO</t>
        </is>
      </c>
      <c r="I506" t="n">
        <v>5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s="2" t="inlineStr"/>
    </row>
    <row r="507" ht="15" customHeight="1">
      <c r="A507" t="inlineStr">
        <is>
          <t>A 9542-2026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46071</v>
      </c>
      <c r="E507" s="1" t="n">
        <v>46218</v>
      </c>
      <c r="F507" t="inlineStr">
        <is>
          <t>GÄVLEBORGS LÄN</t>
        </is>
      </c>
      <c r="G507" t="inlineStr">
        <is>
          <t>OCKELBO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s="2" t="inlineStr"/>
    </row>
    <row r="508" ht="15" customHeight="1">
      <c r="A508" t="inlineStr">
        <is>
          <t>A 1290-2026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46031</v>
      </c>
      <c r="E508" s="1" t="n">
        <v>46218</v>
      </c>
      <c r="F508" t="inlineStr">
        <is>
          <t>GÄVLEBORGS LÄN</t>
        </is>
      </c>
      <c r="G508" t="inlineStr">
        <is>
          <t>OCKELBO</t>
        </is>
      </c>
      <c r="I508" t="n">
        <v>1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s="2" t="inlineStr"/>
    </row>
    <row r="509" ht="15" customHeight="1">
      <c r="A509" t="inlineStr">
        <is>
          <t>A 8408-2026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46065</v>
      </c>
      <c r="E509" s="1" t="n">
        <v>46218</v>
      </c>
      <c r="F509" t="inlineStr">
        <is>
          <t>GÄVLEBORGS LÄN</t>
        </is>
      </c>
      <c r="G509" t="inlineStr">
        <is>
          <t>OCKELBO</t>
        </is>
      </c>
      <c r="H509" t="inlineStr">
        <is>
          <t>Bergvik skog väst AB</t>
        </is>
      </c>
      <c r="I509" t="n">
        <v>1.9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s="2" t="inlineStr"/>
    </row>
    <row r="510" ht="15" customHeight="1">
      <c r="A510" t="inlineStr">
        <is>
          <t>A 1724-2026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46034</v>
      </c>
      <c r="E510" s="1" t="n">
        <v>46218</v>
      </c>
      <c r="F510" t="inlineStr">
        <is>
          <t>GÄVLEBORGS LÄN</t>
        </is>
      </c>
      <c r="G510" t="inlineStr">
        <is>
          <t>OCKELBO</t>
        </is>
      </c>
      <c r="H510" t="inlineStr">
        <is>
          <t>Bergvik skog väst AB</t>
        </is>
      </c>
      <c r="I510" t="n">
        <v>0.5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s="2" t="inlineStr"/>
    </row>
    <row r="511" ht="15" customHeight="1">
      <c r="A511" t="inlineStr">
        <is>
          <t>A 1726-2026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46034</v>
      </c>
      <c r="E511" s="1" t="n">
        <v>46218</v>
      </c>
      <c r="F511" t="inlineStr">
        <is>
          <t>GÄVLEBORGS LÄN</t>
        </is>
      </c>
      <c r="G511" t="inlineStr">
        <is>
          <t>OCKELBO</t>
        </is>
      </c>
      <c r="I511" t="n">
        <v>9.4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s="2" t="inlineStr"/>
    </row>
    <row r="512" ht="15" customHeight="1">
      <c r="A512" t="inlineStr">
        <is>
          <t>A 1456-2026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46033</v>
      </c>
      <c r="E512" s="1" t="n">
        <v>46218</v>
      </c>
      <c r="F512" t="inlineStr">
        <is>
          <t>GÄVLEBORGS LÄN</t>
        </is>
      </c>
      <c r="G512" t="inlineStr">
        <is>
          <t>OCKELBO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s="2" t="inlineStr"/>
    </row>
    <row r="513" ht="15" customHeight="1">
      <c r="A513" t="inlineStr">
        <is>
          <t>A 1866-2026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46035</v>
      </c>
      <c r="E513" s="1" t="n">
        <v>46218</v>
      </c>
      <c r="F513" t="inlineStr">
        <is>
          <t>GÄVLEBORGS LÄN</t>
        </is>
      </c>
      <c r="G513" t="inlineStr">
        <is>
          <t>OCKELBO</t>
        </is>
      </c>
      <c r="I513" t="n">
        <v>1.4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s="2" t="inlineStr"/>
    </row>
    <row r="514" ht="15" customHeight="1">
      <c r="A514" t="inlineStr">
        <is>
          <t>A 1981-2026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46035</v>
      </c>
      <c r="E514" s="1" t="n">
        <v>46218</v>
      </c>
      <c r="F514" t="inlineStr">
        <is>
          <t>GÄVLEBORGS LÄN</t>
        </is>
      </c>
      <c r="G514" t="inlineStr">
        <is>
          <t>OCKELBO</t>
        </is>
      </c>
      <c r="I514" t="n">
        <v>3.6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s="2" t="inlineStr"/>
    </row>
    <row r="515" ht="15" customHeight="1">
      <c r="A515" t="inlineStr">
        <is>
          <t>A 58718-2025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45986</v>
      </c>
      <c r="E515" s="1" t="n">
        <v>46218</v>
      </c>
      <c r="F515" t="inlineStr">
        <is>
          <t>GÄVLEBORGS LÄN</t>
        </is>
      </c>
      <c r="G515" t="inlineStr">
        <is>
          <t>OCKELBO</t>
        </is>
      </c>
      <c r="H515" t="inlineStr">
        <is>
          <t>Bergvik skog väst AB</t>
        </is>
      </c>
      <c r="I515" t="n">
        <v>2.6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s="2" t="inlineStr"/>
    </row>
    <row r="516" ht="15" customHeight="1">
      <c r="A516" t="inlineStr">
        <is>
          <t>A 3697-2026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46043</v>
      </c>
      <c r="E516" s="1" t="n">
        <v>46218</v>
      </c>
      <c r="F516" t="inlineStr">
        <is>
          <t>GÄVLEBORGS LÄN</t>
        </is>
      </c>
      <c r="G516" t="inlineStr">
        <is>
          <t>OCKELBO</t>
        </is>
      </c>
      <c r="I516" t="n">
        <v>1.7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s="2" t="inlineStr"/>
    </row>
    <row r="517" ht="15" customHeight="1">
      <c r="A517" t="inlineStr">
        <is>
          <t>A 46609-2025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45926</v>
      </c>
      <c r="E517" s="1" t="n">
        <v>46218</v>
      </c>
      <c r="F517" t="inlineStr">
        <is>
          <t>GÄVLEBORGS LÄN</t>
        </is>
      </c>
      <c r="G517" t="inlineStr">
        <is>
          <t>OCKELBO</t>
        </is>
      </c>
      <c r="I517" t="n">
        <v>1.8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s="2" t="inlineStr"/>
    </row>
    <row r="518" ht="15" customHeight="1">
      <c r="A518" t="inlineStr">
        <is>
          <t>A 1984-2026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46035</v>
      </c>
      <c r="E518" s="1" t="n">
        <v>46218</v>
      </c>
      <c r="F518" t="inlineStr">
        <is>
          <t>GÄVLEBORGS LÄN</t>
        </is>
      </c>
      <c r="G518" t="inlineStr">
        <is>
          <t>OCKELBO</t>
        </is>
      </c>
      <c r="I518" t="n">
        <v>2.8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s="2" t="inlineStr"/>
    </row>
    <row r="519" ht="15" customHeight="1">
      <c r="A519" t="inlineStr">
        <is>
          <t>A 17730-2025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45758</v>
      </c>
      <c r="E519" s="1" t="n">
        <v>46218</v>
      </c>
      <c r="F519" t="inlineStr">
        <is>
          <t>GÄVLEBORGS LÄN</t>
        </is>
      </c>
      <c r="G519" t="inlineStr">
        <is>
          <t>OCKELBO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s="2" t="inlineStr"/>
    </row>
    <row r="520" ht="15" customHeight="1">
      <c r="A520" t="inlineStr">
        <is>
          <t>A 22569-2026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46155</v>
      </c>
      <c r="E520" s="1" t="n">
        <v>46218</v>
      </c>
      <c r="F520" t="inlineStr">
        <is>
          <t>GÄVLEBORGS LÄN</t>
        </is>
      </c>
      <c r="G520" t="inlineStr">
        <is>
          <t>OCKELBO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s="2" t="inlineStr"/>
    </row>
    <row r="521" ht="15" customHeight="1">
      <c r="A521" t="inlineStr">
        <is>
          <t>A 36362-2024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45534</v>
      </c>
      <c r="E521" s="1" t="n">
        <v>46218</v>
      </c>
      <c r="F521" t="inlineStr">
        <is>
          <t>GÄVLEBORGS LÄN</t>
        </is>
      </c>
      <c r="G521" t="inlineStr">
        <is>
          <t>OCKELBO</t>
        </is>
      </c>
      <c r="I521" t="n">
        <v>2.9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s="2" t="inlineStr"/>
    </row>
    <row r="522" ht="15" customHeight="1">
      <c r="A522" t="inlineStr">
        <is>
          <t>A 5558-2024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45334</v>
      </c>
      <c r="E522" s="1" t="n">
        <v>46218</v>
      </c>
      <c r="F522" t="inlineStr">
        <is>
          <t>GÄVLEBORGS LÄN</t>
        </is>
      </c>
      <c r="G522" t="inlineStr">
        <is>
          <t>OCKELBO</t>
        </is>
      </c>
      <c r="I522" t="n">
        <v>4.7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s="2" t="inlineStr"/>
    </row>
    <row r="523" ht="15" customHeight="1">
      <c r="A523" t="inlineStr">
        <is>
          <t>A 2550-2026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46037</v>
      </c>
      <c r="E523" s="1" t="n">
        <v>46218</v>
      </c>
      <c r="F523" t="inlineStr">
        <is>
          <t>GÄVLEBORGS LÄN</t>
        </is>
      </c>
      <c r="G523" t="inlineStr">
        <is>
          <t>OCKELBO</t>
        </is>
      </c>
      <c r="I523" t="n">
        <v>2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s="2" t="inlineStr"/>
    </row>
    <row r="524" ht="15" customHeight="1">
      <c r="A524" t="inlineStr">
        <is>
          <t>A 28317-2026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46196</v>
      </c>
      <c r="E524" s="1" t="n">
        <v>46218</v>
      </c>
      <c r="F524" t="inlineStr">
        <is>
          <t>GÄVLEBORGS LÄN</t>
        </is>
      </c>
      <c r="G524" t="inlineStr">
        <is>
          <t>OCKELBO</t>
        </is>
      </c>
      <c r="H524" t="inlineStr">
        <is>
          <t>Bergvik skog väst AB</t>
        </is>
      </c>
      <c r="I524" t="n">
        <v>7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s="2" t="inlineStr"/>
    </row>
    <row r="525" ht="15" customHeight="1">
      <c r="A525" t="inlineStr">
        <is>
          <t>A 22329-2026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46154</v>
      </c>
      <c r="E525" s="1" t="n">
        <v>46218</v>
      </c>
      <c r="F525" t="inlineStr">
        <is>
          <t>GÄVLEBORGS LÄN</t>
        </is>
      </c>
      <c r="G525" t="inlineStr">
        <is>
          <t>OCKELBO</t>
        </is>
      </c>
      <c r="I525" t="n">
        <v>1.7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s="2" t="inlineStr"/>
    </row>
    <row r="526" ht="15" customHeight="1">
      <c r="A526" t="inlineStr">
        <is>
          <t>A 2388-2026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46036</v>
      </c>
      <c r="E526" s="1" t="n">
        <v>46218</v>
      </c>
      <c r="F526" t="inlineStr">
        <is>
          <t>GÄVLEBORGS LÄN</t>
        </is>
      </c>
      <c r="G526" t="inlineStr">
        <is>
          <t>OCKELBO</t>
        </is>
      </c>
      <c r="I526" t="n">
        <v>2.2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s="2" t="inlineStr"/>
    </row>
    <row r="527" ht="15" customHeight="1">
      <c r="A527" t="inlineStr">
        <is>
          <t>A 2392-2026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46036</v>
      </c>
      <c r="E527" s="1" t="n">
        <v>46218</v>
      </c>
      <c r="F527" t="inlineStr">
        <is>
          <t>GÄVLEBORGS LÄN</t>
        </is>
      </c>
      <c r="G527" t="inlineStr">
        <is>
          <t>OCKELBO</t>
        </is>
      </c>
      <c r="I527" t="n">
        <v>5.9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s="2" t="inlineStr"/>
    </row>
    <row r="528" ht="15" customHeight="1">
      <c r="A528" t="inlineStr">
        <is>
          <t>A 2304-2026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46036</v>
      </c>
      <c r="E528" s="1" t="n">
        <v>46218</v>
      </c>
      <c r="F528" t="inlineStr">
        <is>
          <t>GÄVLEBORGS LÄN</t>
        </is>
      </c>
      <c r="G528" t="inlineStr">
        <is>
          <t>OCKELBO</t>
        </is>
      </c>
      <c r="I528" t="n">
        <v>3.6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s="2" t="inlineStr"/>
    </row>
    <row r="529" ht="15" customHeight="1">
      <c r="A529" t="inlineStr">
        <is>
          <t>A 2319-2026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46036</v>
      </c>
      <c r="E529" s="1" t="n">
        <v>46218</v>
      </c>
      <c r="F529" t="inlineStr">
        <is>
          <t>GÄVLEBORGS LÄN</t>
        </is>
      </c>
      <c r="G529" t="inlineStr">
        <is>
          <t>OCKELBO</t>
        </is>
      </c>
      <c r="I529" t="n">
        <v>5.3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s="2" t="inlineStr"/>
    </row>
    <row r="530" ht="15" customHeight="1">
      <c r="A530" t="inlineStr">
        <is>
          <t>A 22460-2026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46155</v>
      </c>
      <c r="E530" s="1" t="n">
        <v>46218</v>
      </c>
      <c r="F530" t="inlineStr">
        <is>
          <t>GÄVLEBORGS LÄN</t>
        </is>
      </c>
      <c r="G530" t="inlineStr">
        <is>
          <t>OCKELBO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s="2" t="inlineStr"/>
    </row>
    <row r="531" ht="15" customHeight="1">
      <c r="A531" t="inlineStr">
        <is>
          <t>A 52335-2024</t>
        </is>
      </c>
      <c r="B531" t="inlineStr">
        <is>
          <t>avverkningsanmälan</t>
        </is>
      </c>
      <c r="C531" t="inlineStr">
        <is>
          <t>Avverkning för annat ändamål</t>
        </is>
      </c>
      <c r="D531" s="1" t="n">
        <v>45609</v>
      </c>
      <c r="E531" s="1" t="n">
        <v>46218</v>
      </c>
      <c r="F531" t="inlineStr">
        <is>
          <t>GÄVLEBORGS LÄN</t>
        </is>
      </c>
      <c r="G531" t="inlineStr">
        <is>
          <t>OCKELBO</t>
        </is>
      </c>
      <c r="H531" t="inlineStr">
        <is>
          <t>Bergvik skog väst AB</t>
        </is>
      </c>
      <c r="I531" t="n">
        <v>0.6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s="2" t="inlineStr"/>
    </row>
    <row r="532" ht="15" customHeight="1">
      <c r="A532" t="inlineStr">
        <is>
          <t>A 13210-2026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46093</v>
      </c>
      <c r="E532" s="1" t="n">
        <v>46218</v>
      </c>
      <c r="F532" t="inlineStr">
        <is>
          <t>GÄVLEBORGS LÄN</t>
        </is>
      </c>
      <c r="G532" t="inlineStr">
        <is>
          <t>OCKELBO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s="2" t="inlineStr"/>
    </row>
    <row r="533" ht="15" customHeight="1">
      <c r="A533" t="inlineStr">
        <is>
          <t>A 17221-2026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46119</v>
      </c>
      <c r="E533" s="1" t="n">
        <v>46218</v>
      </c>
      <c r="F533" t="inlineStr">
        <is>
          <t>GÄVLEBORGS LÄN</t>
        </is>
      </c>
      <c r="G533" t="inlineStr">
        <is>
          <t>OCKELBO</t>
        </is>
      </c>
      <c r="I533" t="n">
        <v>5.1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s="2" t="inlineStr"/>
    </row>
    <row r="534" ht="15" customHeight="1">
      <c r="A534" t="inlineStr">
        <is>
          <t>A 6654-2026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46056</v>
      </c>
      <c r="E534" s="1" t="n">
        <v>46218</v>
      </c>
      <c r="F534" t="inlineStr">
        <is>
          <t>GÄVLEBORGS LÄN</t>
        </is>
      </c>
      <c r="G534" t="inlineStr">
        <is>
          <t>OCKELBO</t>
        </is>
      </c>
      <c r="I534" t="n">
        <v>1.8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s="2" t="inlineStr"/>
    </row>
    <row r="535" ht="15" customHeight="1">
      <c r="A535" t="inlineStr">
        <is>
          <t>A 43071-2025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45909</v>
      </c>
      <c r="E535" s="1" t="n">
        <v>46218</v>
      </c>
      <c r="F535" t="inlineStr">
        <is>
          <t>GÄVLEBORGS LÄN</t>
        </is>
      </c>
      <c r="G535" t="inlineStr">
        <is>
          <t>OCKELBO</t>
        </is>
      </c>
      <c r="I535" t="n">
        <v>1.5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s="2" t="inlineStr"/>
    </row>
    <row r="536" ht="15" customHeight="1">
      <c r="A536" t="inlineStr">
        <is>
          <t>A 2178-2026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46036</v>
      </c>
      <c r="E536" s="1" t="n">
        <v>46218</v>
      </c>
      <c r="F536" t="inlineStr">
        <is>
          <t>GÄVLEBORGS LÄN</t>
        </is>
      </c>
      <c r="G536" t="inlineStr">
        <is>
          <t>OCKELBO</t>
        </is>
      </c>
      <c r="I536" t="n">
        <v>3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s="2" t="inlineStr"/>
    </row>
    <row r="537" ht="15" customHeight="1">
      <c r="A537" t="inlineStr">
        <is>
          <t>A 22594-2026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46155</v>
      </c>
      <c r="E537" s="1" t="n">
        <v>46218</v>
      </c>
      <c r="F537" t="inlineStr">
        <is>
          <t>GÄVLEBORGS LÄN</t>
        </is>
      </c>
      <c r="G537" t="inlineStr">
        <is>
          <t>OCKELBO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s="2" t="inlineStr"/>
    </row>
    <row r="538" ht="15" customHeight="1">
      <c r="A538" t="inlineStr">
        <is>
          <t>A 27381-2026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46189</v>
      </c>
      <c r="E538" s="1" t="n">
        <v>46218</v>
      </c>
      <c r="F538" t="inlineStr">
        <is>
          <t>GÄVLEBORGS LÄN</t>
        </is>
      </c>
      <c r="G538" t="inlineStr">
        <is>
          <t>OCKELBO</t>
        </is>
      </c>
      <c r="I538" t="n">
        <v>1.5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s="2" t="inlineStr"/>
    </row>
    <row r="539" ht="15" customHeight="1">
      <c r="A539" t="inlineStr">
        <is>
          <t>A 15034-2026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46104</v>
      </c>
      <c r="E539" s="1" t="n">
        <v>46218</v>
      </c>
      <c r="F539" t="inlineStr">
        <is>
          <t>GÄVLEBORGS LÄN</t>
        </is>
      </c>
      <c r="G539" t="inlineStr">
        <is>
          <t>OCKELBO</t>
        </is>
      </c>
      <c r="H539" t="inlineStr">
        <is>
          <t>Bergvik skog väst AB</t>
        </is>
      </c>
      <c r="I539" t="n">
        <v>3.3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s="2" t="inlineStr"/>
    </row>
    <row r="540" ht="15" customHeight="1">
      <c r="A540" t="inlineStr">
        <is>
          <t>A 12352-2026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46088</v>
      </c>
      <c r="E540" s="1" t="n">
        <v>46218</v>
      </c>
      <c r="F540" t="inlineStr">
        <is>
          <t>GÄVLEBORGS LÄN</t>
        </is>
      </c>
      <c r="G540" t="inlineStr">
        <is>
          <t>OCKELBO</t>
        </is>
      </c>
      <c r="H540" t="inlineStr">
        <is>
          <t>Bergvik skog väst AB</t>
        </is>
      </c>
      <c r="I540" t="n">
        <v>9.199999999999999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s="2" t="inlineStr"/>
    </row>
    <row r="541" ht="15" customHeight="1">
      <c r="A541" t="inlineStr">
        <is>
          <t>A 15966-2023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45022</v>
      </c>
      <c r="E541" s="1" t="n">
        <v>46218</v>
      </c>
      <c r="F541" t="inlineStr">
        <is>
          <t>GÄVLEBORGS LÄN</t>
        </is>
      </c>
      <c r="G541" t="inlineStr">
        <is>
          <t>OCKELBO</t>
        </is>
      </c>
      <c r="I541" t="n">
        <v>2.7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s="2" t="inlineStr"/>
    </row>
    <row r="542" ht="15" customHeight="1">
      <c r="A542" t="inlineStr">
        <is>
          <t>A 4179-2026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46044</v>
      </c>
      <c r="E542" s="1" t="n">
        <v>46218</v>
      </c>
      <c r="F542" t="inlineStr">
        <is>
          <t>GÄVLEBORGS LÄN</t>
        </is>
      </c>
      <c r="G542" t="inlineStr">
        <is>
          <t>OCKELBO</t>
        </is>
      </c>
      <c r="I542" t="n">
        <v>1.3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s="2" t="inlineStr"/>
    </row>
    <row r="543" ht="15" customHeight="1">
      <c r="A543" t="inlineStr">
        <is>
          <t>A 5164-2026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46049</v>
      </c>
      <c r="E543" s="1" t="n">
        <v>46218</v>
      </c>
      <c r="F543" t="inlineStr">
        <is>
          <t>GÄVLEBORGS LÄN</t>
        </is>
      </c>
      <c r="G543" t="inlineStr">
        <is>
          <t>OCKELBO</t>
        </is>
      </c>
      <c r="I543" t="n">
        <v>3.9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s="2" t="inlineStr"/>
    </row>
    <row r="544" ht="15" customHeight="1">
      <c r="A544" t="inlineStr">
        <is>
          <t>A 34444-2023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45139</v>
      </c>
      <c r="E544" s="1" t="n">
        <v>46218</v>
      </c>
      <c r="F544" t="inlineStr">
        <is>
          <t>GÄVLEBORGS LÄN</t>
        </is>
      </c>
      <c r="G544" t="inlineStr">
        <is>
          <t>OCKELBO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s="2" t="inlineStr"/>
    </row>
    <row r="545" ht="15" customHeight="1">
      <c r="A545" t="inlineStr">
        <is>
          <t>A 2207-2026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46036</v>
      </c>
      <c r="E545" s="1" t="n">
        <v>46218</v>
      </c>
      <c r="F545" t="inlineStr">
        <is>
          <t>GÄVLEBORGS LÄN</t>
        </is>
      </c>
      <c r="G545" t="inlineStr">
        <is>
          <t>OCKELBO</t>
        </is>
      </c>
      <c r="I545" t="n">
        <v>16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s="2" t="inlineStr"/>
    </row>
    <row r="546" ht="15" customHeight="1">
      <c r="A546" t="inlineStr">
        <is>
          <t>A 3138-2026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46041</v>
      </c>
      <c r="E546" s="1" t="n">
        <v>46218</v>
      </c>
      <c r="F546" t="inlineStr">
        <is>
          <t>GÄVLEBORGS LÄN</t>
        </is>
      </c>
      <c r="G546" t="inlineStr">
        <is>
          <t>OCKELBO</t>
        </is>
      </c>
      <c r="I546" t="n">
        <v>2.6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s="2" t="inlineStr"/>
    </row>
    <row r="547" ht="15" customHeight="1">
      <c r="A547" t="inlineStr">
        <is>
          <t>A 13182-2026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46093</v>
      </c>
      <c r="E547" s="1" t="n">
        <v>46218</v>
      </c>
      <c r="F547" t="inlineStr">
        <is>
          <t>GÄVLEBORGS LÄN</t>
        </is>
      </c>
      <c r="G547" t="inlineStr">
        <is>
          <t>OCKELBO</t>
        </is>
      </c>
      <c r="I547" t="n">
        <v>8.199999999999999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s="2" t="inlineStr"/>
    </row>
    <row r="548" ht="15" customHeight="1">
      <c r="A548" t="inlineStr">
        <is>
          <t>A 13233-2026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46093</v>
      </c>
      <c r="E548" s="1" t="n">
        <v>46218</v>
      </c>
      <c r="F548" t="inlineStr">
        <is>
          <t>GÄVLEBORGS LÄN</t>
        </is>
      </c>
      <c r="G548" t="inlineStr">
        <is>
          <t>OCKELBO</t>
        </is>
      </c>
      <c r="H548" t="inlineStr">
        <is>
          <t>Bergvik skog väst AB</t>
        </is>
      </c>
      <c r="I548" t="n">
        <v>1.2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s="2" t="inlineStr"/>
    </row>
    <row r="549" ht="15" customHeight="1">
      <c r="A549" t="inlineStr">
        <is>
          <t>A 28289-2026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46196</v>
      </c>
      <c r="E549" s="1" t="n">
        <v>46218</v>
      </c>
      <c r="F549" t="inlineStr">
        <is>
          <t>GÄVLEBORGS LÄN</t>
        </is>
      </c>
      <c r="G549" t="inlineStr">
        <is>
          <t>OCKELBO</t>
        </is>
      </c>
      <c r="H549" t="inlineStr">
        <is>
          <t>Bergvik skog väst AB</t>
        </is>
      </c>
      <c r="I549" t="n">
        <v>2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s="2" t="inlineStr"/>
    </row>
    <row r="550" ht="15" customHeight="1">
      <c r="A550" t="inlineStr">
        <is>
          <t>A 28318-2026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46196</v>
      </c>
      <c r="E550" s="1" t="n">
        <v>46218</v>
      </c>
      <c r="F550" t="inlineStr">
        <is>
          <t>GÄVLEBORGS LÄN</t>
        </is>
      </c>
      <c r="G550" t="inlineStr">
        <is>
          <t>OCKELBO</t>
        </is>
      </c>
      <c r="H550" t="inlineStr">
        <is>
          <t>Bergvik skog väst AB</t>
        </is>
      </c>
      <c r="I550" t="n">
        <v>1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s="2" t="inlineStr"/>
    </row>
    <row r="551" ht="15" customHeight="1">
      <c r="A551" t="inlineStr">
        <is>
          <t>A 2389-2026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46036</v>
      </c>
      <c r="E551" s="1" t="n">
        <v>46218</v>
      </c>
      <c r="F551" t="inlineStr">
        <is>
          <t>GÄVLEBORGS LÄN</t>
        </is>
      </c>
      <c r="G551" t="inlineStr">
        <is>
          <t>OCKELBO</t>
        </is>
      </c>
      <c r="I551" t="n">
        <v>3.5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s="2" t="inlineStr"/>
    </row>
    <row r="552" ht="15" customHeight="1">
      <c r="A552" t="inlineStr">
        <is>
          <t>A 3216-2026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46041</v>
      </c>
      <c r="E552" s="1" t="n">
        <v>46218</v>
      </c>
      <c r="F552" t="inlineStr">
        <is>
          <t>GÄVLEBORGS LÄN</t>
        </is>
      </c>
      <c r="G552" t="inlineStr">
        <is>
          <t>OCKELBO</t>
        </is>
      </c>
      <c r="I552" t="n">
        <v>7.1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s="2" t="inlineStr"/>
    </row>
    <row r="553" ht="15" customHeight="1">
      <c r="A553" t="inlineStr">
        <is>
          <t>A 2858-2026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46038</v>
      </c>
      <c r="E553" s="1" t="n">
        <v>46218</v>
      </c>
      <c r="F553" t="inlineStr">
        <is>
          <t>GÄVLEBORGS LÄN</t>
        </is>
      </c>
      <c r="G553" t="inlineStr">
        <is>
          <t>OCKELBO</t>
        </is>
      </c>
      <c r="I553" t="n">
        <v>1.2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s="2" t="inlineStr"/>
    </row>
    <row r="554" ht="15" customHeight="1">
      <c r="A554" t="inlineStr">
        <is>
          <t>A 2926-2026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46038</v>
      </c>
      <c r="E554" s="1" t="n">
        <v>46218</v>
      </c>
      <c r="F554" t="inlineStr">
        <is>
          <t>GÄVLEBORGS LÄN</t>
        </is>
      </c>
      <c r="G554" t="inlineStr">
        <is>
          <t>OCKELBO</t>
        </is>
      </c>
      <c r="I554" t="n">
        <v>4.3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s="2" t="inlineStr"/>
    </row>
    <row r="555" ht="15" customHeight="1">
      <c r="A555" t="inlineStr">
        <is>
          <t>A 3653-2026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46043</v>
      </c>
      <c r="E555" s="1" t="n">
        <v>46218</v>
      </c>
      <c r="F555" t="inlineStr">
        <is>
          <t>GÄVLEBORGS LÄN</t>
        </is>
      </c>
      <c r="G555" t="inlineStr">
        <is>
          <t>OCKELBO</t>
        </is>
      </c>
      <c r="I555" t="n">
        <v>2.9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s="2" t="inlineStr"/>
    </row>
    <row r="556" ht="15" customHeight="1">
      <c r="A556" t="inlineStr">
        <is>
          <t>A 3664-2026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46043</v>
      </c>
      <c r="E556" s="1" t="n">
        <v>46218</v>
      </c>
      <c r="F556" t="inlineStr">
        <is>
          <t>GÄVLEBORGS LÄN</t>
        </is>
      </c>
      <c r="G556" t="inlineStr">
        <is>
          <t>OCKELBO</t>
        </is>
      </c>
      <c r="I556" t="n">
        <v>4.4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s="2" t="inlineStr"/>
    </row>
    <row r="557" ht="15" customHeight="1">
      <c r="A557" t="inlineStr">
        <is>
          <t>A 55070-2023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45237</v>
      </c>
      <c r="E557" s="1" t="n">
        <v>46218</v>
      </c>
      <c r="F557" t="inlineStr">
        <is>
          <t>GÄVLEBORGS LÄN</t>
        </is>
      </c>
      <c r="G557" t="inlineStr">
        <is>
          <t>OCKELBO</t>
        </is>
      </c>
      <c r="I557" t="n">
        <v>3.2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s="2" t="inlineStr"/>
    </row>
    <row r="558" ht="15" customHeight="1">
      <c r="A558" t="inlineStr">
        <is>
          <t>A 6194-2025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45698</v>
      </c>
      <c r="E558" s="1" t="n">
        <v>46218</v>
      </c>
      <c r="F558" t="inlineStr">
        <is>
          <t>GÄVLEBORGS LÄN</t>
        </is>
      </c>
      <c r="G558" t="inlineStr">
        <is>
          <t>OCKELBO</t>
        </is>
      </c>
      <c r="I558" t="n">
        <v>1.3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s="2" t="inlineStr"/>
    </row>
    <row r="559" ht="15" customHeight="1">
      <c r="A559" t="inlineStr">
        <is>
          <t>A 3883-2026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46043</v>
      </c>
      <c r="E559" s="1" t="n">
        <v>46218</v>
      </c>
      <c r="F559" t="inlineStr">
        <is>
          <t>GÄVLEBORGS LÄN</t>
        </is>
      </c>
      <c r="G559" t="inlineStr">
        <is>
          <t>OCKELBO</t>
        </is>
      </c>
      <c r="H559" t="inlineStr">
        <is>
          <t>Bergvik skog väst AB</t>
        </is>
      </c>
      <c r="I559" t="n">
        <v>1.9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s="2" t="inlineStr"/>
    </row>
    <row r="560" ht="15" customHeight="1">
      <c r="A560" t="inlineStr">
        <is>
          <t>A 60122-2025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45994</v>
      </c>
      <c r="E560" s="1" t="n">
        <v>46218</v>
      </c>
      <c r="F560" t="inlineStr">
        <is>
          <t>GÄVLEBORGS LÄN</t>
        </is>
      </c>
      <c r="G560" t="inlineStr">
        <is>
          <t>OCKELBO</t>
        </is>
      </c>
      <c r="I560" t="n">
        <v>2.2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s="2" t="inlineStr"/>
    </row>
    <row r="561" ht="15" customHeight="1">
      <c r="A561" t="inlineStr">
        <is>
          <t>A 28681-2026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46198</v>
      </c>
      <c r="E561" s="1" t="n">
        <v>46218</v>
      </c>
      <c r="F561" t="inlineStr">
        <is>
          <t>GÄVLEBORGS LÄN</t>
        </is>
      </c>
      <c r="G561" t="inlineStr">
        <is>
          <t>OCKELBO</t>
        </is>
      </c>
      <c r="I561" t="n">
        <v>1.4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s="2" t="inlineStr"/>
    </row>
    <row r="562" ht="15" customHeight="1">
      <c r="A562" t="inlineStr">
        <is>
          <t>A 4178-2026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46044</v>
      </c>
      <c r="E562" s="1" t="n">
        <v>46218</v>
      </c>
      <c r="F562" t="inlineStr">
        <is>
          <t>GÄVLEBORGS LÄN</t>
        </is>
      </c>
      <c r="G562" t="inlineStr">
        <is>
          <t>OCKELBO</t>
        </is>
      </c>
      <c r="I562" t="n">
        <v>3.8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s="2" t="inlineStr"/>
    </row>
    <row r="563" ht="15" customHeight="1">
      <c r="A563" t="inlineStr">
        <is>
          <t>A 4234-2026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46044</v>
      </c>
      <c r="E563" s="1" t="n">
        <v>46218</v>
      </c>
      <c r="F563" t="inlineStr">
        <is>
          <t>GÄVLEBORGS LÄN</t>
        </is>
      </c>
      <c r="G563" t="inlineStr">
        <is>
          <t>OCKELBO</t>
        </is>
      </c>
      <c r="I563" t="n">
        <v>2.7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s="2" t="inlineStr"/>
    </row>
    <row r="564" ht="15" customHeight="1">
      <c r="A564" t="inlineStr">
        <is>
          <t>A 28672-2026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46198</v>
      </c>
      <c r="E564" s="1" t="n">
        <v>46218</v>
      </c>
      <c r="F564" t="inlineStr">
        <is>
          <t>GÄVLEBORGS LÄN</t>
        </is>
      </c>
      <c r="G564" t="inlineStr">
        <is>
          <t>OCKELBO</t>
        </is>
      </c>
      <c r="I564" t="n">
        <v>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s="2" t="inlineStr"/>
    </row>
    <row r="565" ht="15" customHeight="1">
      <c r="A565" t="inlineStr">
        <is>
          <t>A 4250-2026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46045</v>
      </c>
      <c r="E565" s="1" t="n">
        <v>46218</v>
      </c>
      <c r="F565" t="inlineStr">
        <is>
          <t>GÄVLEBORGS LÄN</t>
        </is>
      </c>
      <c r="G565" t="inlineStr">
        <is>
          <t>OCKELBO</t>
        </is>
      </c>
      <c r="H565" t="inlineStr">
        <is>
          <t>Bergvik skog väst AB</t>
        </is>
      </c>
      <c r="I565" t="n">
        <v>6.6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s="2" t="inlineStr"/>
    </row>
    <row r="566" ht="15" customHeight="1">
      <c r="A566" t="inlineStr">
        <is>
          <t>A 4268-2026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46045</v>
      </c>
      <c r="E566" s="1" t="n">
        <v>46218</v>
      </c>
      <c r="F566" t="inlineStr">
        <is>
          <t>GÄVLEBORGS LÄN</t>
        </is>
      </c>
      <c r="G566" t="inlineStr">
        <is>
          <t>OCKELBO</t>
        </is>
      </c>
      <c r="H566" t="inlineStr">
        <is>
          <t>Bergvik skog väst AB</t>
        </is>
      </c>
      <c r="I566" t="n">
        <v>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s="2" t="inlineStr"/>
    </row>
    <row r="567" ht="15" customHeight="1">
      <c r="A567" t="inlineStr">
        <is>
          <t>A 11734-2025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45727</v>
      </c>
      <c r="E567" s="1" t="n">
        <v>46218</v>
      </c>
      <c r="F567" t="inlineStr">
        <is>
          <t>GÄVLEBORGS LÄN</t>
        </is>
      </c>
      <c r="G567" t="inlineStr">
        <is>
          <t>OCKELBO</t>
        </is>
      </c>
      <c r="I567" t="n">
        <v>1.9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s="2" t="inlineStr"/>
    </row>
    <row r="568" ht="15" customHeight="1">
      <c r="A568" t="inlineStr">
        <is>
          <t>A 60120-2025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45994</v>
      </c>
      <c r="E568" s="1" t="n">
        <v>46218</v>
      </c>
      <c r="F568" t="inlineStr">
        <is>
          <t>GÄVLEBORGS LÄN</t>
        </is>
      </c>
      <c r="G568" t="inlineStr">
        <is>
          <t>OCKELBO</t>
        </is>
      </c>
      <c r="I568" t="n">
        <v>1.2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s="2" t="inlineStr"/>
    </row>
    <row r="569" ht="15" customHeight="1">
      <c r="A569" t="inlineStr">
        <is>
          <t>A 22712-2026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46156</v>
      </c>
      <c r="E569" s="1" t="n">
        <v>46218</v>
      </c>
      <c r="F569" t="inlineStr">
        <is>
          <t>GÄVLEBORGS LÄN</t>
        </is>
      </c>
      <c r="G569" t="inlineStr">
        <is>
          <t>OCKELBO</t>
        </is>
      </c>
      <c r="I569" t="n">
        <v>0.9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s="2" t="inlineStr"/>
    </row>
    <row r="570" ht="15" customHeight="1">
      <c r="A570" t="inlineStr">
        <is>
          <t>A 29001-2026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46199</v>
      </c>
      <c r="E570" s="1" t="n">
        <v>46218</v>
      </c>
      <c r="F570" t="inlineStr">
        <is>
          <t>GÄVLEBORGS LÄN</t>
        </is>
      </c>
      <c r="G570" t="inlineStr">
        <is>
          <t>OCKELBO</t>
        </is>
      </c>
      <c r="H570" t="inlineStr">
        <is>
          <t>Bergvik skog väst AB</t>
        </is>
      </c>
      <c r="I570" t="n">
        <v>10.2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s="2" t="inlineStr"/>
    </row>
    <row r="571" ht="15" customHeight="1">
      <c r="A571" t="inlineStr">
        <is>
          <t>A 2325-2026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46036</v>
      </c>
      <c r="E571" s="1" t="n">
        <v>46218</v>
      </c>
      <c r="F571" t="inlineStr">
        <is>
          <t>GÄVLEBORGS LÄN</t>
        </is>
      </c>
      <c r="G571" t="inlineStr">
        <is>
          <t>OCKELBO</t>
        </is>
      </c>
      <c r="I571" t="n">
        <v>2.7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s="2" t="inlineStr"/>
    </row>
    <row r="572" ht="15" customHeight="1">
      <c r="A572" t="inlineStr">
        <is>
          <t>A 3999-2026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46044</v>
      </c>
      <c r="E572" s="1" t="n">
        <v>46218</v>
      </c>
      <c r="F572" t="inlineStr">
        <is>
          <t>GÄVLEBORGS LÄN</t>
        </is>
      </c>
      <c r="G572" t="inlineStr">
        <is>
          <t>OCKELBO</t>
        </is>
      </c>
      <c r="I572" t="n">
        <v>5.7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s="2" t="inlineStr"/>
    </row>
    <row r="573" ht="15" customHeight="1">
      <c r="A573" t="inlineStr">
        <is>
          <t>A 50968-2024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45603</v>
      </c>
      <c r="E573" s="1" t="n">
        <v>46218</v>
      </c>
      <c r="F573" t="inlineStr">
        <is>
          <t>GÄVLEBORGS LÄN</t>
        </is>
      </c>
      <c r="G573" t="inlineStr">
        <is>
          <t>OCKELBO</t>
        </is>
      </c>
      <c r="I573" t="n">
        <v>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s="2" t="inlineStr"/>
    </row>
    <row r="574" ht="15" customHeight="1">
      <c r="A574" t="inlineStr">
        <is>
          <t>A 17862-2026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46122</v>
      </c>
      <c r="E574" s="1" t="n">
        <v>46218</v>
      </c>
      <c r="F574" t="inlineStr">
        <is>
          <t>GÄVLEBORGS LÄN</t>
        </is>
      </c>
      <c r="G574" t="inlineStr">
        <is>
          <t>OCKELBO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s="2" t="inlineStr"/>
    </row>
    <row r="575" ht="15" customHeight="1">
      <c r="A575" t="inlineStr">
        <is>
          <t>A 4320-2026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46045</v>
      </c>
      <c r="E575" s="1" t="n">
        <v>46218</v>
      </c>
      <c r="F575" t="inlineStr">
        <is>
          <t>GÄVLEBORGS LÄN</t>
        </is>
      </c>
      <c r="G575" t="inlineStr">
        <is>
          <t>OCKELBO</t>
        </is>
      </c>
      <c r="I575" t="n">
        <v>1.7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s="2" t="inlineStr"/>
    </row>
    <row r="576" ht="15" customHeight="1">
      <c r="A576" t="inlineStr">
        <is>
          <t>A 22692-2026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46156</v>
      </c>
      <c r="E576" s="1" t="n">
        <v>46218</v>
      </c>
      <c r="F576" t="inlineStr">
        <is>
          <t>GÄVLEBORGS LÄN</t>
        </is>
      </c>
      <c r="G576" t="inlineStr">
        <is>
          <t>OCKELBO</t>
        </is>
      </c>
      <c r="H576" t="inlineStr">
        <is>
          <t>Bergvik skog väst AB</t>
        </is>
      </c>
      <c r="I576" t="n">
        <v>3.2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s="2" t="inlineStr"/>
    </row>
    <row r="577" ht="15" customHeight="1">
      <c r="A577" t="inlineStr">
        <is>
          <t>A 2330-2026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46036</v>
      </c>
      <c r="E577" s="1" t="n">
        <v>46218</v>
      </c>
      <c r="F577" t="inlineStr">
        <is>
          <t>GÄVLEBORGS LÄN</t>
        </is>
      </c>
      <c r="G577" t="inlineStr">
        <is>
          <t>OCKELBO</t>
        </is>
      </c>
      <c r="I577" t="n">
        <v>3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s="2" t="inlineStr"/>
    </row>
    <row r="578" ht="15" customHeight="1">
      <c r="A578" t="inlineStr">
        <is>
          <t>A 14474-2026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46100</v>
      </c>
      <c r="E578" s="1" t="n">
        <v>46218</v>
      </c>
      <c r="F578" t="inlineStr">
        <is>
          <t>GÄVLEBORGS LÄN</t>
        </is>
      </c>
      <c r="G578" t="inlineStr">
        <is>
          <t>OCKELBO</t>
        </is>
      </c>
      <c r="I578" t="n">
        <v>2.8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s="2" t="inlineStr"/>
    </row>
    <row r="579" ht="15" customHeight="1">
      <c r="A579" t="inlineStr">
        <is>
          <t>A 23040-2026</t>
        </is>
      </c>
      <c r="B579" t="inlineStr">
        <is>
          <t>avverkningsanmälan</t>
        </is>
      </c>
      <c r="C579" t="inlineStr">
        <is>
          <t>Avverkning för annat ändamål</t>
        </is>
      </c>
      <c r="D579" s="1" t="n">
        <v>46161</v>
      </c>
      <c r="E579" s="1" t="n">
        <v>46218</v>
      </c>
      <c r="F579" t="inlineStr">
        <is>
          <t>GÄVLEBORGS LÄN</t>
        </is>
      </c>
      <c r="G579" t="inlineStr">
        <is>
          <t>OCKELBO</t>
        </is>
      </c>
      <c r="I579" t="n">
        <v>0.7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s="2" t="inlineStr"/>
    </row>
    <row r="580" ht="15" customHeight="1">
      <c r="A580" t="inlineStr">
        <is>
          <t>A 5232-2026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46049</v>
      </c>
      <c r="E580" s="1" t="n">
        <v>46218</v>
      </c>
      <c r="F580" t="inlineStr">
        <is>
          <t>GÄVLEBORGS LÄN</t>
        </is>
      </c>
      <c r="G580" t="inlineStr">
        <is>
          <t>OCKELBO</t>
        </is>
      </c>
      <c r="I580" t="n">
        <v>1.6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s="2" t="inlineStr"/>
    </row>
    <row r="581" ht="15" customHeight="1">
      <c r="A581" t="inlineStr">
        <is>
          <t>A 30798-2024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45497</v>
      </c>
      <c r="E581" s="1" t="n">
        <v>46218</v>
      </c>
      <c r="F581" t="inlineStr">
        <is>
          <t>GÄVLEBORGS LÄN</t>
        </is>
      </c>
      <c r="G581" t="inlineStr">
        <is>
          <t>OCKELBO</t>
        </is>
      </c>
      <c r="I581" t="n">
        <v>8.699999999999999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s="2" t="inlineStr"/>
    </row>
    <row r="582" ht="15" customHeight="1">
      <c r="A582" t="inlineStr">
        <is>
          <t>A 2919-2026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46038</v>
      </c>
      <c r="E582" s="1" t="n">
        <v>46218</v>
      </c>
      <c r="F582" t="inlineStr">
        <is>
          <t>GÄVLEBORGS LÄN</t>
        </is>
      </c>
      <c r="G582" t="inlineStr">
        <is>
          <t>OCKELBO</t>
        </is>
      </c>
      <c r="I582" t="n">
        <v>0.9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s="2" t="inlineStr"/>
    </row>
    <row r="583" ht="15" customHeight="1">
      <c r="A583" t="inlineStr">
        <is>
          <t>A 23060-2026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46161</v>
      </c>
      <c r="E583" s="1" t="n">
        <v>46218</v>
      </c>
      <c r="F583" t="inlineStr">
        <is>
          <t>GÄVLEBORGS LÄN</t>
        </is>
      </c>
      <c r="G583" t="inlineStr">
        <is>
          <t>OCKELBO</t>
        </is>
      </c>
      <c r="H583" t="inlineStr">
        <is>
          <t>Bergvik skog väst AB</t>
        </is>
      </c>
      <c r="I583" t="n">
        <v>17.6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s="2" t="inlineStr"/>
    </row>
    <row r="584" ht="15" customHeight="1">
      <c r="A584" t="inlineStr">
        <is>
          <t>A 5231-2026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46049</v>
      </c>
      <c r="E584" s="1" t="n">
        <v>46218</v>
      </c>
      <c r="F584" t="inlineStr">
        <is>
          <t>GÄVLEBORGS LÄN</t>
        </is>
      </c>
      <c r="G584" t="inlineStr">
        <is>
          <t>OCKELBO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s="2" t="inlineStr"/>
    </row>
    <row r="585" ht="15" customHeight="1">
      <c r="A585" t="inlineStr">
        <is>
          <t>A 14071-2026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46099</v>
      </c>
      <c r="E585" s="1" t="n">
        <v>46218</v>
      </c>
      <c r="F585" t="inlineStr">
        <is>
          <t>GÄVLEBORGS LÄN</t>
        </is>
      </c>
      <c r="G585" t="inlineStr">
        <is>
          <t>OCKELBO</t>
        </is>
      </c>
      <c r="I585" t="n">
        <v>1.1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s="2" t="inlineStr"/>
    </row>
    <row r="586" ht="15" customHeight="1">
      <c r="A586" t="inlineStr">
        <is>
          <t>A 4867-2026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46048</v>
      </c>
      <c r="E586" s="1" t="n">
        <v>46218</v>
      </c>
      <c r="F586" t="inlineStr">
        <is>
          <t>GÄVLEBORGS LÄN</t>
        </is>
      </c>
      <c r="G586" t="inlineStr">
        <is>
          <t>OCKELBO</t>
        </is>
      </c>
      <c r="I586" t="n">
        <v>0.3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s="2" t="inlineStr"/>
    </row>
    <row r="587" ht="15" customHeight="1">
      <c r="A587" t="inlineStr">
        <is>
          <t>A 22843-2026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46160</v>
      </c>
      <c r="E587" s="1" t="n">
        <v>46218</v>
      </c>
      <c r="F587" t="inlineStr">
        <is>
          <t>GÄVLEBORGS LÄN</t>
        </is>
      </c>
      <c r="G587" t="inlineStr">
        <is>
          <t>OCKELBO</t>
        </is>
      </c>
      <c r="I587" t="n">
        <v>3.9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s="2" t="inlineStr"/>
    </row>
    <row r="588" ht="15" customHeight="1">
      <c r="A588" t="inlineStr">
        <is>
          <t>A 4891-2026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46048</v>
      </c>
      <c r="E588" s="1" t="n">
        <v>46218</v>
      </c>
      <c r="F588" t="inlineStr">
        <is>
          <t>GÄVLEBORGS LÄN</t>
        </is>
      </c>
      <c r="G588" t="inlineStr">
        <is>
          <t>OCKELBO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s="2" t="inlineStr"/>
    </row>
    <row r="589" ht="15" customHeight="1">
      <c r="A589" t="inlineStr">
        <is>
          <t>A 43799-2022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44838</v>
      </c>
      <c r="E589" s="1" t="n">
        <v>46218</v>
      </c>
      <c r="F589" t="inlineStr">
        <is>
          <t>GÄVLEBORGS LÄN</t>
        </is>
      </c>
      <c r="G589" t="inlineStr">
        <is>
          <t>OCKELBO</t>
        </is>
      </c>
      <c r="I589" t="n">
        <v>3.7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s="2" t="inlineStr"/>
    </row>
    <row r="590" ht="15" customHeight="1">
      <c r="A590" t="inlineStr">
        <is>
          <t>A 5330-2026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46050</v>
      </c>
      <c r="E590" s="1" t="n">
        <v>46218</v>
      </c>
      <c r="F590" t="inlineStr">
        <is>
          <t>GÄVLEBORGS LÄN</t>
        </is>
      </c>
      <c r="G590" t="inlineStr">
        <is>
          <t>OCKELBO</t>
        </is>
      </c>
      <c r="H590" t="inlineStr">
        <is>
          <t>Bergvik skog väst AB</t>
        </is>
      </c>
      <c r="I590" t="n">
        <v>7.8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s="2" t="inlineStr"/>
    </row>
    <row r="591" ht="15" customHeight="1">
      <c r="A591" t="inlineStr">
        <is>
          <t>A 37391-2023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45156</v>
      </c>
      <c r="E591" s="1" t="n">
        <v>46218</v>
      </c>
      <c r="F591" t="inlineStr">
        <is>
          <t>GÄVLEBORGS LÄN</t>
        </is>
      </c>
      <c r="G591" t="inlineStr">
        <is>
          <t>OCKELBO</t>
        </is>
      </c>
      <c r="H591" t="inlineStr">
        <is>
          <t>Bergvik skog väst AB</t>
        </is>
      </c>
      <c r="I591" t="n">
        <v>0.5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s="2" t="inlineStr"/>
    </row>
    <row r="592" ht="15" customHeight="1">
      <c r="A592" t="inlineStr">
        <is>
          <t>A 23149-2026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46161</v>
      </c>
      <c r="E592" s="1" t="n">
        <v>46218</v>
      </c>
      <c r="F592" t="inlineStr">
        <is>
          <t>GÄVLEBORGS LÄN</t>
        </is>
      </c>
      <c r="G592" t="inlineStr">
        <is>
          <t>OCKELBO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s="2" t="inlineStr"/>
    </row>
    <row r="593" ht="15" customHeight="1">
      <c r="A593" t="inlineStr">
        <is>
          <t>A 5596-2026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46051</v>
      </c>
      <c r="E593" s="1" t="n">
        <v>46218</v>
      </c>
      <c r="F593" t="inlineStr">
        <is>
          <t>GÄVLEBORGS LÄN</t>
        </is>
      </c>
      <c r="G593" t="inlineStr">
        <is>
          <t>OCKELBO</t>
        </is>
      </c>
      <c r="H593" t="inlineStr">
        <is>
          <t>Bergvik skog väst AB</t>
        </is>
      </c>
      <c r="I593" t="n">
        <v>0.5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s="2" t="inlineStr"/>
    </row>
    <row r="594" ht="15" customHeight="1">
      <c r="A594" t="inlineStr">
        <is>
          <t>A 5337-2026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46050</v>
      </c>
      <c r="E594" s="1" t="n">
        <v>46218</v>
      </c>
      <c r="F594" t="inlineStr">
        <is>
          <t>GÄVLEBORGS LÄN</t>
        </is>
      </c>
      <c r="G594" t="inlineStr">
        <is>
          <t>OCKELBO</t>
        </is>
      </c>
      <c r="H594" t="inlineStr">
        <is>
          <t>Bergvik skog väst AB</t>
        </is>
      </c>
      <c r="I594" t="n">
        <v>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s="2" t="inlineStr"/>
    </row>
    <row r="595" ht="15" customHeight="1">
      <c r="A595" t="inlineStr">
        <is>
          <t>A 5668-2026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46051</v>
      </c>
      <c r="E595" s="1" t="n">
        <v>46218</v>
      </c>
      <c r="F595" t="inlineStr">
        <is>
          <t>GÄVLEBORGS LÄN</t>
        </is>
      </c>
      <c r="G595" t="inlineStr">
        <is>
          <t>OCKELBO</t>
        </is>
      </c>
      <c r="I595" t="n">
        <v>1.4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s="2" t="inlineStr"/>
    </row>
    <row r="596" ht="15" customHeight="1">
      <c r="A596" t="inlineStr">
        <is>
          <t>A 5846-2026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46052</v>
      </c>
      <c r="E596" s="1" t="n">
        <v>46218</v>
      </c>
      <c r="F596" t="inlineStr">
        <is>
          <t>GÄVLEBORGS LÄN</t>
        </is>
      </c>
      <c r="G596" t="inlineStr">
        <is>
          <t>OCKELBO</t>
        </is>
      </c>
      <c r="I596" t="n">
        <v>2.3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s="2" t="inlineStr"/>
    </row>
    <row r="597" ht="15" customHeight="1">
      <c r="A597" t="inlineStr">
        <is>
          <t>A 33987-2023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45134</v>
      </c>
      <c r="E597" s="1" t="n">
        <v>46218</v>
      </c>
      <c r="F597" t="inlineStr">
        <is>
          <t>GÄVLEBORGS LÄN</t>
        </is>
      </c>
      <c r="G597" t="inlineStr">
        <is>
          <t>OCKELBO</t>
        </is>
      </c>
      <c r="H597" t="inlineStr">
        <is>
          <t>Bergvik skog väst AB</t>
        </is>
      </c>
      <c r="I597" t="n">
        <v>1.2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s="2" t="inlineStr"/>
    </row>
    <row r="598" ht="15" customHeight="1">
      <c r="A598" t="inlineStr">
        <is>
          <t>A 6377-2026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46055</v>
      </c>
      <c r="E598" s="1" t="n">
        <v>46218</v>
      </c>
      <c r="F598" t="inlineStr">
        <is>
          <t>GÄVLEBORGS LÄN</t>
        </is>
      </c>
      <c r="G598" t="inlineStr">
        <is>
          <t>OCKELBO</t>
        </is>
      </c>
      <c r="H598" t="inlineStr">
        <is>
          <t>Bergvik skog väst AB</t>
        </is>
      </c>
      <c r="I598" t="n">
        <v>5.6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s="2" t="inlineStr"/>
    </row>
    <row r="599" ht="15" customHeight="1">
      <c r="A599" t="inlineStr">
        <is>
          <t>A 6120-2026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46053</v>
      </c>
      <c r="E599" s="1" t="n">
        <v>46218</v>
      </c>
      <c r="F599" t="inlineStr">
        <is>
          <t>GÄVLEBORGS LÄN</t>
        </is>
      </c>
      <c r="G599" t="inlineStr">
        <is>
          <t>OCKELBO</t>
        </is>
      </c>
      <c r="I599" t="n">
        <v>2.9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s="2" t="inlineStr"/>
    </row>
    <row r="600" ht="15" customHeight="1">
      <c r="A600" t="inlineStr">
        <is>
          <t>A 6529-2026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46052</v>
      </c>
      <c r="E600" s="1" t="n">
        <v>46218</v>
      </c>
      <c r="F600" t="inlineStr">
        <is>
          <t>GÄVLEBORGS LÄN</t>
        </is>
      </c>
      <c r="G600" t="inlineStr">
        <is>
          <t>OCKELBO</t>
        </is>
      </c>
      <c r="I600" t="n">
        <v>2.4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s="2" t="inlineStr"/>
    </row>
    <row r="601" ht="15" customHeight="1">
      <c r="A601" t="inlineStr">
        <is>
          <t>A 6531-2026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46052</v>
      </c>
      <c r="E601" s="1" t="n">
        <v>46218</v>
      </c>
      <c r="F601" t="inlineStr">
        <is>
          <t>GÄVLEBORGS LÄN</t>
        </is>
      </c>
      <c r="G601" t="inlineStr">
        <is>
          <t>OCKELBO</t>
        </is>
      </c>
      <c r="I601" t="n">
        <v>0.9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s="2" t="inlineStr"/>
    </row>
    <row r="602" ht="15" customHeight="1">
      <c r="A602" t="inlineStr">
        <is>
          <t>A 6266-2026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46055</v>
      </c>
      <c r="E602" s="1" t="n">
        <v>46218</v>
      </c>
      <c r="F602" t="inlineStr">
        <is>
          <t>GÄVLEBORGS LÄN</t>
        </is>
      </c>
      <c r="G602" t="inlineStr">
        <is>
          <t>OCKELBO</t>
        </is>
      </c>
      <c r="H602" t="inlineStr">
        <is>
          <t>Bergvik skog väst AB</t>
        </is>
      </c>
      <c r="I602" t="n">
        <v>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s="2" t="inlineStr"/>
    </row>
    <row r="603" ht="15" customHeight="1">
      <c r="A603" t="inlineStr">
        <is>
          <t>A 5887-2026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46052</v>
      </c>
      <c r="E603" s="1" t="n">
        <v>46218</v>
      </c>
      <c r="F603" t="inlineStr">
        <is>
          <t>GÄVLEBORGS LÄN</t>
        </is>
      </c>
      <c r="G603" t="inlineStr">
        <is>
          <t>OCKELBO</t>
        </is>
      </c>
      <c r="I603" t="n">
        <v>3.9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s="2" t="inlineStr"/>
    </row>
    <row r="604" ht="15" customHeight="1">
      <c r="A604" t="inlineStr">
        <is>
          <t>A 6677-2026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46056</v>
      </c>
      <c r="E604" s="1" t="n">
        <v>46218</v>
      </c>
      <c r="F604" t="inlineStr">
        <is>
          <t>GÄVLEBORGS LÄN</t>
        </is>
      </c>
      <c r="G604" t="inlineStr">
        <is>
          <t>OCKELBO</t>
        </is>
      </c>
      <c r="H604" t="inlineStr">
        <is>
          <t>Bergvik skog väst AB</t>
        </is>
      </c>
      <c r="I604" t="n">
        <v>9.4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s="2" t="inlineStr"/>
    </row>
    <row r="605" ht="15" customHeight="1">
      <c r="A605" t="inlineStr">
        <is>
          <t>A 6665-2026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46056</v>
      </c>
      <c r="E605" s="1" t="n">
        <v>46218</v>
      </c>
      <c r="F605" t="inlineStr">
        <is>
          <t>GÄVLEBORGS LÄN</t>
        </is>
      </c>
      <c r="G605" t="inlineStr">
        <is>
          <t>OCKELBO</t>
        </is>
      </c>
      <c r="I605" t="n">
        <v>0.7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s="2" t="inlineStr"/>
    </row>
    <row r="606" ht="15" customHeight="1">
      <c r="A606" t="inlineStr">
        <is>
          <t>A 6862-2026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46057</v>
      </c>
      <c r="E606" s="1" t="n">
        <v>46218</v>
      </c>
      <c r="F606" t="inlineStr">
        <is>
          <t>GÄVLEBORGS LÄN</t>
        </is>
      </c>
      <c r="G606" t="inlineStr">
        <is>
          <t>OCKELBO</t>
        </is>
      </c>
      <c r="H606" t="inlineStr">
        <is>
          <t>Bergvik skog väst AB</t>
        </is>
      </c>
      <c r="I606" t="n">
        <v>4.2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s="2" t="inlineStr"/>
    </row>
    <row r="607" ht="15" customHeight="1">
      <c r="A607" t="inlineStr">
        <is>
          <t>A 6698-2026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46056</v>
      </c>
      <c r="E607" s="1" t="n">
        <v>46218</v>
      </c>
      <c r="F607" t="inlineStr">
        <is>
          <t>GÄVLEBORGS LÄN</t>
        </is>
      </c>
      <c r="G607" t="inlineStr">
        <is>
          <t>OCKELBO</t>
        </is>
      </c>
      <c r="I607" t="n">
        <v>1.3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s="2" t="inlineStr"/>
    </row>
    <row r="608" ht="15" customHeight="1">
      <c r="A608" t="inlineStr">
        <is>
          <t>A 6710-2026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46056</v>
      </c>
      <c r="E608" s="1" t="n">
        <v>46218</v>
      </c>
      <c r="F608" t="inlineStr">
        <is>
          <t>GÄVLEBORGS LÄN</t>
        </is>
      </c>
      <c r="G608" t="inlineStr">
        <is>
          <t>OCKELBO</t>
        </is>
      </c>
      <c r="I608" t="n">
        <v>4.3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s="2" t="inlineStr"/>
    </row>
    <row r="609" ht="15" customHeight="1">
      <c r="A609" t="inlineStr">
        <is>
          <t>A 29835-2026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46205</v>
      </c>
      <c r="E609" s="1" t="n">
        <v>46218</v>
      </c>
      <c r="F609" t="inlineStr">
        <is>
          <t>GÄVLEBORGS LÄN</t>
        </is>
      </c>
      <c r="G609" t="inlineStr">
        <is>
          <t>OCKELBO</t>
        </is>
      </c>
      <c r="I609" t="n">
        <v>1.8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s="2" t="inlineStr"/>
    </row>
    <row r="610" ht="15" customHeight="1">
      <c r="A610" t="inlineStr">
        <is>
          <t>A 6590-2026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46056</v>
      </c>
      <c r="E610" s="1" t="n">
        <v>46218</v>
      </c>
      <c r="F610" t="inlineStr">
        <is>
          <t>GÄVLEBORGS LÄN</t>
        </is>
      </c>
      <c r="G610" t="inlineStr">
        <is>
          <t>OCKELBO</t>
        </is>
      </c>
      <c r="I610" t="n">
        <v>2.5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s="2" t="inlineStr"/>
    </row>
    <row r="611" ht="15" customHeight="1">
      <c r="A611" t="inlineStr">
        <is>
          <t>A 29849-2026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46205</v>
      </c>
      <c r="E611" s="1" t="n">
        <v>46218</v>
      </c>
      <c r="F611" t="inlineStr">
        <is>
          <t>GÄVLEBORGS LÄN</t>
        </is>
      </c>
      <c r="G611" t="inlineStr">
        <is>
          <t>OCKELBO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s="2" t="inlineStr"/>
    </row>
    <row r="612" ht="15" customHeight="1">
      <c r="A612" t="inlineStr">
        <is>
          <t>A 6588-2026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46056</v>
      </c>
      <c r="E612" s="1" t="n">
        <v>46218</v>
      </c>
      <c r="F612" t="inlineStr">
        <is>
          <t>GÄVLEBORGS LÄN</t>
        </is>
      </c>
      <c r="G612" t="inlineStr">
        <is>
          <t>OCKELBO</t>
        </is>
      </c>
      <c r="I612" t="n">
        <v>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s="2" t="inlineStr"/>
    </row>
    <row r="613" ht="15" customHeight="1">
      <c r="A613" t="inlineStr">
        <is>
          <t>A 6589-2026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46056</v>
      </c>
      <c r="E613" s="1" t="n">
        <v>46218</v>
      </c>
      <c r="F613" t="inlineStr">
        <is>
          <t>GÄVLEBORGS LÄN</t>
        </is>
      </c>
      <c r="G613" t="inlineStr">
        <is>
          <t>OCKELBO</t>
        </is>
      </c>
      <c r="I613" t="n">
        <v>5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s="2" t="inlineStr"/>
    </row>
    <row r="614" ht="15" customHeight="1">
      <c r="A614" t="inlineStr">
        <is>
          <t>A 6598-2026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46056</v>
      </c>
      <c r="E614" s="1" t="n">
        <v>46218</v>
      </c>
      <c r="F614" t="inlineStr">
        <is>
          <t>GÄVLEBORGS LÄN</t>
        </is>
      </c>
      <c r="G614" t="inlineStr">
        <is>
          <t>OCKELBO</t>
        </is>
      </c>
      <c r="I614" t="n">
        <v>2.9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s="2" t="inlineStr"/>
    </row>
    <row r="615" ht="15" customHeight="1">
      <c r="A615" t="inlineStr">
        <is>
          <t>A 23513-2026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46163</v>
      </c>
      <c r="E615" s="1" t="n">
        <v>46218</v>
      </c>
      <c r="F615" t="inlineStr">
        <is>
          <t>GÄVLEBORGS LÄN</t>
        </is>
      </c>
      <c r="G615" t="inlineStr">
        <is>
          <t>OCKELBO</t>
        </is>
      </c>
      <c r="H615" t="inlineStr">
        <is>
          <t>Bergvik skog väst AB</t>
        </is>
      </c>
      <c r="I615" t="n">
        <v>14.7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s="2" t="inlineStr"/>
    </row>
    <row r="616" ht="15" customHeight="1">
      <c r="A616" t="inlineStr">
        <is>
          <t>A 7544-2026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46059</v>
      </c>
      <c r="E616" s="1" t="n">
        <v>46218</v>
      </c>
      <c r="F616" t="inlineStr">
        <is>
          <t>GÄVLEBORGS LÄN</t>
        </is>
      </c>
      <c r="G616" t="inlineStr">
        <is>
          <t>OCKELBO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s="2" t="inlineStr"/>
    </row>
    <row r="617" ht="15" customHeight="1">
      <c r="A617" t="inlineStr">
        <is>
          <t>A 9859-2025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45716</v>
      </c>
      <c r="E617" s="1" t="n">
        <v>46218</v>
      </c>
      <c r="F617" t="inlineStr">
        <is>
          <t>GÄVLEBORGS LÄN</t>
        </is>
      </c>
      <c r="G617" t="inlineStr">
        <is>
          <t>OCKELBO</t>
        </is>
      </c>
      <c r="I617" t="n">
        <v>3.1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s="2" t="inlineStr"/>
    </row>
    <row r="618" ht="15" customHeight="1">
      <c r="A618" t="inlineStr">
        <is>
          <t>A 23456-2026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46163</v>
      </c>
      <c r="E618" s="1" t="n">
        <v>46218</v>
      </c>
      <c r="F618" t="inlineStr">
        <is>
          <t>GÄVLEBORGS LÄN</t>
        </is>
      </c>
      <c r="G618" t="inlineStr">
        <is>
          <t>OCKELBO</t>
        </is>
      </c>
      <c r="H618" t="inlineStr">
        <is>
          <t>Bergvik skog väst AB</t>
        </is>
      </c>
      <c r="I618" t="n">
        <v>1.3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s="2" t="inlineStr"/>
    </row>
    <row r="619" ht="15" customHeight="1">
      <c r="A619" t="inlineStr">
        <is>
          <t>A 29611-2026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46204</v>
      </c>
      <c r="E619" s="1" t="n">
        <v>46218</v>
      </c>
      <c r="F619" t="inlineStr">
        <is>
          <t>GÄVLEBORGS LÄN</t>
        </is>
      </c>
      <c r="G619" t="inlineStr">
        <is>
          <t>OCKELBO</t>
        </is>
      </c>
      <c r="H619" t="inlineStr">
        <is>
          <t>Bergvik skog väst AB</t>
        </is>
      </c>
      <c r="I619" t="n">
        <v>3.1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s="2" t="inlineStr"/>
    </row>
    <row r="620" ht="15" customHeight="1">
      <c r="A620" t="inlineStr">
        <is>
          <t>A 7765-2026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46062</v>
      </c>
      <c r="E620" s="1" t="n">
        <v>46218</v>
      </c>
      <c r="F620" t="inlineStr">
        <is>
          <t>GÄVLEBORGS LÄN</t>
        </is>
      </c>
      <c r="G620" t="inlineStr">
        <is>
          <t>OCKELBO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s="2" t="inlineStr"/>
    </row>
    <row r="621" ht="15" customHeight="1">
      <c r="A621" t="inlineStr">
        <is>
          <t>A 7769-2026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46062</v>
      </c>
      <c r="E621" s="1" t="n">
        <v>46218</v>
      </c>
      <c r="F621" t="inlineStr">
        <is>
          <t>GÄVLEBORGS LÄN</t>
        </is>
      </c>
      <c r="G621" t="inlineStr">
        <is>
          <t>OCKELBO</t>
        </is>
      </c>
      <c r="I621" t="n">
        <v>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s="2" t="inlineStr"/>
    </row>
    <row r="622" ht="15" customHeight="1">
      <c r="A622" t="inlineStr">
        <is>
          <t>A 7639-2026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46062</v>
      </c>
      <c r="E622" s="1" t="n">
        <v>46218</v>
      </c>
      <c r="F622" t="inlineStr">
        <is>
          <t>GÄVLEBORGS LÄN</t>
        </is>
      </c>
      <c r="G622" t="inlineStr">
        <is>
          <t>OCKELBO</t>
        </is>
      </c>
      <c r="I622" t="n">
        <v>4.3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s="2" t="inlineStr"/>
    </row>
    <row r="623" ht="15" customHeight="1">
      <c r="A623" t="inlineStr">
        <is>
          <t>A 7681-2026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46062</v>
      </c>
      <c r="E623" s="1" t="n">
        <v>46218</v>
      </c>
      <c r="F623" t="inlineStr">
        <is>
          <t>GÄVLEBORGS LÄN</t>
        </is>
      </c>
      <c r="G623" t="inlineStr">
        <is>
          <t>OCKELBO</t>
        </is>
      </c>
      <c r="H623" t="inlineStr">
        <is>
          <t>Kyrkan</t>
        </is>
      </c>
      <c r="I623" t="n">
        <v>1.2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s="2" t="inlineStr"/>
    </row>
    <row r="624" ht="15" customHeight="1">
      <c r="A624" t="inlineStr">
        <is>
          <t>A 8402-2026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46065</v>
      </c>
      <c r="E624" s="1" t="n">
        <v>46218</v>
      </c>
      <c r="F624" t="inlineStr">
        <is>
          <t>GÄVLEBORGS LÄN</t>
        </is>
      </c>
      <c r="G624" t="inlineStr">
        <is>
          <t>OCKELBO</t>
        </is>
      </c>
      <c r="H624" t="inlineStr">
        <is>
          <t>Bergvik skog väst AB</t>
        </is>
      </c>
      <c r="I624" t="n">
        <v>1.6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s="2" t="inlineStr"/>
    </row>
    <row r="625" ht="15" customHeight="1">
      <c r="A625" t="inlineStr">
        <is>
          <t>A 25525-2026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46177</v>
      </c>
      <c r="E625" s="1" t="n">
        <v>46218</v>
      </c>
      <c r="F625" t="inlineStr">
        <is>
          <t>GÄVLEBORGS LÄN</t>
        </is>
      </c>
      <c r="G625" t="inlineStr">
        <is>
          <t>OCKELBO</t>
        </is>
      </c>
      <c r="H625" t="inlineStr">
        <is>
          <t>Bergvik skog väst AB</t>
        </is>
      </c>
      <c r="I625" t="n">
        <v>9.4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s="2" t="inlineStr"/>
    </row>
    <row r="626" ht="15" customHeight="1">
      <c r="A626" t="inlineStr">
        <is>
          <t>A 29789-2026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46205</v>
      </c>
      <c r="E626" s="1" t="n">
        <v>46218</v>
      </c>
      <c r="F626" t="inlineStr">
        <is>
          <t>GÄVLEBORGS LÄN</t>
        </is>
      </c>
      <c r="G626" t="inlineStr">
        <is>
          <t>OCKELBO</t>
        </is>
      </c>
      <c r="I626" t="n">
        <v>2.7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s="2" t="inlineStr"/>
    </row>
    <row r="627" ht="15" customHeight="1">
      <c r="A627" t="inlineStr">
        <is>
          <t>A 8274-2026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46064</v>
      </c>
      <c r="E627" s="1" t="n">
        <v>46218</v>
      </c>
      <c r="F627" t="inlineStr">
        <is>
          <t>GÄVLEBORGS LÄN</t>
        </is>
      </c>
      <c r="G627" t="inlineStr">
        <is>
          <t>OCKELBO</t>
        </is>
      </c>
      <c r="I627" t="n">
        <v>4.1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s="2" t="inlineStr"/>
    </row>
    <row r="628" ht="15" customHeight="1">
      <c r="A628" t="inlineStr">
        <is>
          <t>A 8150-2026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46064</v>
      </c>
      <c r="E628" s="1" t="n">
        <v>46218</v>
      </c>
      <c r="F628" t="inlineStr">
        <is>
          <t>GÄVLEBORGS LÄN</t>
        </is>
      </c>
      <c r="G628" t="inlineStr">
        <is>
          <t>OCKELBO</t>
        </is>
      </c>
      <c r="H628" t="inlineStr">
        <is>
          <t>Kyrkan</t>
        </is>
      </c>
      <c r="I628" t="n">
        <v>4.4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s="2" t="inlineStr"/>
    </row>
    <row r="629" ht="15" customHeight="1">
      <c r="A629" t="inlineStr">
        <is>
          <t>A 8404-2026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46065</v>
      </c>
      <c r="E629" s="1" t="n">
        <v>46218</v>
      </c>
      <c r="F629" t="inlineStr">
        <is>
          <t>GÄVLEBORGS LÄN</t>
        </is>
      </c>
      <c r="G629" t="inlineStr">
        <is>
          <t>OCKELBO</t>
        </is>
      </c>
      <c r="H629" t="inlineStr">
        <is>
          <t>Bergvik skog väst AB</t>
        </is>
      </c>
      <c r="I629" t="n">
        <v>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s="2" t="inlineStr"/>
    </row>
    <row r="630" ht="15" customHeight="1">
      <c r="A630" t="inlineStr">
        <is>
          <t>A 8351-2026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46064</v>
      </c>
      <c r="E630" s="1" t="n">
        <v>46218</v>
      </c>
      <c r="F630" t="inlineStr">
        <is>
          <t>GÄVLEBORGS LÄN</t>
        </is>
      </c>
      <c r="G630" t="inlineStr">
        <is>
          <t>OCKELBO</t>
        </is>
      </c>
      <c r="I630" t="n">
        <v>17.4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s="2" t="inlineStr"/>
    </row>
    <row r="631" ht="15" customHeight="1">
      <c r="A631" t="inlineStr">
        <is>
          <t>A 8429-2026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46065</v>
      </c>
      <c r="E631" s="1" t="n">
        <v>46218</v>
      </c>
      <c r="F631" t="inlineStr">
        <is>
          <t>GÄVLEBORGS LÄN</t>
        </is>
      </c>
      <c r="G631" t="inlineStr">
        <is>
          <t>OCKELBO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s="2" t="inlineStr"/>
    </row>
    <row r="632" ht="15" customHeight="1">
      <c r="A632" t="inlineStr">
        <is>
          <t>A 8354-2026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46064</v>
      </c>
      <c r="E632" s="1" t="n">
        <v>46218</v>
      </c>
      <c r="F632" t="inlineStr">
        <is>
          <t>GÄVLEBORGS LÄN</t>
        </is>
      </c>
      <c r="G632" t="inlineStr">
        <is>
          <t>OCKELBO</t>
        </is>
      </c>
      <c r="H632" t="inlineStr">
        <is>
          <t>Bergvik skog väst AB</t>
        </is>
      </c>
      <c r="I632" t="n">
        <v>3.3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s="2" t="inlineStr"/>
    </row>
    <row r="633" ht="15" customHeight="1">
      <c r="A633" t="inlineStr">
        <is>
          <t>A 29078-2026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46199</v>
      </c>
      <c r="E633" s="1" t="n">
        <v>46218</v>
      </c>
      <c r="F633" t="inlineStr">
        <is>
          <t>GÄVLEBORGS LÄN</t>
        </is>
      </c>
      <c r="G633" t="inlineStr">
        <is>
          <t>OCKELBO</t>
        </is>
      </c>
      <c r="H633" t="inlineStr">
        <is>
          <t>Bergvik skog väst AB</t>
        </is>
      </c>
      <c r="I633" t="n">
        <v>47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s="2" t="inlineStr"/>
    </row>
    <row r="634" ht="15" customHeight="1">
      <c r="A634" t="inlineStr">
        <is>
          <t>A 8750-2026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46066</v>
      </c>
      <c r="E634" s="1" t="n">
        <v>46218</v>
      </c>
      <c r="F634" t="inlineStr">
        <is>
          <t>GÄVLEBORGS LÄN</t>
        </is>
      </c>
      <c r="G634" t="inlineStr">
        <is>
          <t>OCKELBO</t>
        </is>
      </c>
      <c r="H634" t="inlineStr">
        <is>
          <t>Bergvik skog väst AB</t>
        </is>
      </c>
      <c r="I634" t="n">
        <v>5.8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s="2" t="inlineStr"/>
    </row>
    <row r="635" ht="15" customHeight="1">
      <c r="A635" t="inlineStr">
        <is>
          <t>A 8933-2026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46069</v>
      </c>
      <c r="E635" s="1" t="n">
        <v>46218</v>
      </c>
      <c r="F635" t="inlineStr">
        <is>
          <t>GÄVLEBORGS LÄN</t>
        </is>
      </c>
      <c r="G635" t="inlineStr">
        <is>
          <t>OCKELBO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s="2" t="inlineStr"/>
    </row>
    <row r="636" ht="15" customHeight="1">
      <c r="A636" t="inlineStr">
        <is>
          <t>A 9464-2026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46071</v>
      </c>
      <c r="E636" s="1" t="n">
        <v>46218</v>
      </c>
      <c r="F636" t="inlineStr">
        <is>
          <t>GÄVLEBORGS LÄN</t>
        </is>
      </c>
      <c r="G636" t="inlineStr">
        <is>
          <t>OCKELBO</t>
        </is>
      </c>
      <c r="H636" t="inlineStr">
        <is>
          <t>Bergvik skog väst AB</t>
        </is>
      </c>
      <c r="I636" t="n">
        <v>1.2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s="2" t="inlineStr"/>
    </row>
    <row r="637" ht="15" customHeight="1">
      <c r="A637" t="inlineStr">
        <is>
          <t>A 9461-2026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46071</v>
      </c>
      <c r="E637" s="1" t="n">
        <v>46218</v>
      </c>
      <c r="F637" t="inlineStr">
        <is>
          <t>GÄVLEBORGS LÄN</t>
        </is>
      </c>
      <c r="G637" t="inlineStr">
        <is>
          <t>OCKELBO</t>
        </is>
      </c>
      <c r="H637" t="inlineStr">
        <is>
          <t>Bergvik skog väst AB</t>
        </is>
      </c>
      <c r="I637" t="n">
        <v>2.5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s="2" t="inlineStr"/>
    </row>
    <row r="638" ht="15" customHeight="1">
      <c r="A638" t="inlineStr">
        <is>
          <t>A 9470-2026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46071</v>
      </c>
      <c r="E638" s="1" t="n">
        <v>46218</v>
      </c>
      <c r="F638" t="inlineStr">
        <is>
          <t>GÄVLEBORGS LÄN</t>
        </is>
      </c>
      <c r="G638" t="inlineStr">
        <is>
          <t>OCKELBO</t>
        </is>
      </c>
      <c r="H638" t="inlineStr">
        <is>
          <t>Bergvik skog väst AB</t>
        </is>
      </c>
      <c r="I638" t="n">
        <v>5.1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s="2" t="inlineStr"/>
    </row>
    <row r="639" ht="15" customHeight="1">
      <c r="A639" t="inlineStr">
        <is>
          <t>A 9507-2026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46071</v>
      </c>
      <c r="E639" s="1" t="n">
        <v>46218</v>
      </c>
      <c r="F639" t="inlineStr">
        <is>
          <t>GÄVLEBORGS LÄN</t>
        </is>
      </c>
      <c r="G639" t="inlineStr">
        <is>
          <t>OCKELBO</t>
        </is>
      </c>
      <c r="I639" t="n">
        <v>1.9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s="2" t="inlineStr"/>
    </row>
    <row r="640" ht="15" customHeight="1">
      <c r="A640" t="inlineStr">
        <is>
          <t>A 9416-2026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46071</v>
      </c>
      <c r="E640" s="1" t="n">
        <v>46218</v>
      </c>
      <c r="F640" t="inlineStr">
        <is>
          <t>GÄVLEBORGS LÄN</t>
        </is>
      </c>
      <c r="G640" t="inlineStr">
        <is>
          <t>OCKELBO</t>
        </is>
      </c>
      <c r="H640" t="inlineStr">
        <is>
          <t>Bergvik skog väst AB</t>
        </is>
      </c>
      <c r="I640" t="n">
        <v>0.7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s="2" t="inlineStr"/>
    </row>
    <row r="641" ht="15" customHeight="1">
      <c r="A641" t="inlineStr">
        <is>
          <t>A 9554-2026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46071</v>
      </c>
      <c r="E641" s="1" t="n">
        <v>46218</v>
      </c>
      <c r="F641" t="inlineStr">
        <is>
          <t>GÄVLEBORGS LÄN</t>
        </is>
      </c>
      <c r="G641" t="inlineStr">
        <is>
          <t>OCKELBO</t>
        </is>
      </c>
      <c r="I641" t="n">
        <v>0.7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s="2" t="inlineStr"/>
    </row>
    <row r="642" ht="15" customHeight="1">
      <c r="A642" t="inlineStr">
        <is>
          <t>A 9557-2026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46071</v>
      </c>
      <c r="E642" s="1" t="n">
        <v>46218</v>
      </c>
      <c r="F642" t="inlineStr">
        <is>
          <t>GÄVLEBORGS LÄN</t>
        </is>
      </c>
      <c r="G642" t="inlineStr">
        <is>
          <t>OCKELBO</t>
        </is>
      </c>
      <c r="I642" t="n">
        <v>10.4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s="2" t="inlineStr"/>
    </row>
    <row r="643" ht="15" customHeight="1">
      <c r="A643" t="inlineStr">
        <is>
          <t>A 9414-2026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46071</v>
      </c>
      <c r="E643" s="1" t="n">
        <v>46218</v>
      </c>
      <c r="F643" t="inlineStr">
        <is>
          <t>GÄVLEBORGS LÄN</t>
        </is>
      </c>
      <c r="G643" t="inlineStr">
        <is>
          <t>OCKELBO</t>
        </is>
      </c>
      <c r="I643" t="n">
        <v>2.1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s="2" t="inlineStr"/>
    </row>
    <row r="644" ht="15" customHeight="1">
      <c r="A644" t="inlineStr">
        <is>
          <t>A 9505-2026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46071</v>
      </c>
      <c r="E644" s="1" t="n">
        <v>46218</v>
      </c>
      <c r="F644" t="inlineStr">
        <is>
          <t>GÄVLEBORGS LÄN</t>
        </is>
      </c>
      <c r="G644" t="inlineStr">
        <is>
          <t>OCKELBO</t>
        </is>
      </c>
      <c r="I644" t="n">
        <v>8.1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s="2" t="inlineStr"/>
    </row>
    <row r="645" ht="15" customHeight="1">
      <c r="A645" t="inlineStr">
        <is>
          <t>A 23663-2026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46164</v>
      </c>
      <c r="E645" s="1" t="n">
        <v>46218</v>
      </c>
      <c r="F645" t="inlineStr">
        <is>
          <t>GÄVLEBORGS LÄN</t>
        </is>
      </c>
      <c r="G645" t="inlineStr">
        <is>
          <t>OCKELBO</t>
        </is>
      </c>
      <c r="I645" t="n">
        <v>1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s="2" t="inlineStr"/>
    </row>
    <row r="646" ht="15" customHeight="1">
      <c r="A646" t="inlineStr">
        <is>
          <t>A 6764-2026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46056</v>
      </c>
      <c r="E646" s="1" t="n">
        <v>46218</v>
      </c>
      <c r="F646" t="inlineStr">
        <is>
          <t>GÄVLEBORGS LÄN</t>
        </is>
      </c>
      <c r="G646" t="inlineStr">
        <is>
          <t>OCKELBO</t>
        </is>
      </c>
      <c r="H646" t="inlineStr">
        <is>
          <t>Bergvik skog väst AB</t>
        </is>
      </c>
      <c r="I646" t="n">
        <v>13.1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s="2" t="inlineStr"/>
    </row>
    <row r="647" ht="15" customHeight="1">
      <c r="A647" t="inlineStr">
        <is>
          <t>A 1288-2026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46031</v>
      </c>
      <c r="E647" s="1" t="n">
        <v>46218</v>
      </c>
      <c r="F647" t="inlineStr">
        <is>
          <t>GÄVLEBORGS LÄN</t>
        </is>
      </c>
      <c r="G647" t="inlineStr">
        <is>
          <t>OCKELBO</t>
        </is>
      </c>
      <c r="I647" t="n">
        <v>0.9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s="2" t="inlineStr"/>
    </row>
    <row r="648" ht="15" customHeight="1">
      <c r="A648" t="inlineStr">
        <is>
          <t>A 27416-2026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46189</v>
      </c>
      <c r="E648" s="1" t="n">
        <v>46218</v>
      </c>
      <c r="F648" t="inlineStr">
        <is>
          <t>GÄVLEBORGS LÄN</t>
        </is>
      </c>
      <c r="G648" t="inlineStr">
        <is>
          <t>OCKELBO</t>
        </is>
      </c>
      <c r="H648" t="inlineStr">
        <is>
          <t>Bergvik skog väst AB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s="2" t="inlineStr"/>
    </row>
    <row r="649" ht="15" customHeight="1">
      <c r="A649" t="inlineStr">
        <is>
          <t>A 9675-2026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46072</v>
      </c>
      <c r="E649" s="1" t="n">
        <v>46218</v>
      </c>
      <c r="F649" t="inlineStr">
        <is>
          <t>GÄVLEBORGS LÄN</t>
        </is>
      </c>
      <c r="G649" t="inlineStr">
        <is>
          <t>OCKELBO</t>
        </is>
      </c>
      <c r="I649" t="n">
        <v>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s="2" t="inlineStr"/>
    </row>
    <row r="650" ht="15" customHeight="1">
      <c r="A650" t="inlineStr">
        <is>
          <t>A 9681-2026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46072</v>
      </c>
      <c r="E650" s="1" t="n">
        <v>46218</v>
      </c>
      <c r="F650" t="inlineStr">
        <is>
          <t>GÄVLEBORGS LÄN</t>
        </is>
      </c>
      <c r="G650" t="inlineStr">
        <is>
          <t>OCKELBO</t>
        </is>
      </c>
      <c r="I650" t="n">
        <v>2.2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s="2" t="inlineStr"/>
    </row>
    <row r="651" ht="15" customHeight="1">
      <c r="A651" t="inlineStr">
        <is>
          <t>A 9727-2026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46072</v>
      </c>
      <c r="E651" s="1" t="n">
        <v>46218</v>
      </c>
      <c r="F651" t="inlineStr">
        <is>
          <t>GÄVLEBORGS LÄN</t>
        </is>
      </c>
      <c r="G651" t="inlineStr">
        <is>
          <t>OCKELBO</t>
        </is>
      </c>
      <c r="H651" t="inlineStr">
        <is>
          <t>Bergvik skog väst AB</t>
        </is>
      </c>
      <c r="I651" t="n">
        <v>3.7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s="2" t="inlineStr"/>
    </row>
    <row r="652" ht="15" customHeight="1">
      <c r="A652" t="inlineStr">
        <is>
          <t>A 9732-2026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46072</v>
      </c>
      <c r="E652" s="1" t="n">
        <v>46218</v>
      </c>
      <c r="F652" t="inlineStr">
        <is>
          <t>GÄVLEBORGS LÄN</t>
        </is>
      </c>
      <c r="G652" t="inlineStr">
        <is>
          <t>OCKELBO</t>
        </is>
      </c>
      <c r="H652" t="inlineStr">
        <is>
          <t>Bergvik skog väst AB</t>
        </is>
      </c>
      <c r="I652" t="n">
        <v>1.1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s="2" t="inlineStr"/>
    </row>
    <row r="653" ht="15" customHeight="1">
      <c r="A653" t="inlineStr">
        <is>
          <t>A 9927-2026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46073</v>
      </c>
      <c r="E653" s="1" t="n">
        <v>46218</v>
      </c>
      <c r="F653" t="inlineStr">
        <is>
          <t>GÄVLEBORGS LÄN</t>
        </is>
      </c>
      <c r="G653" t="inlineStr">
        <is>
          <t>OCKELBO</t>
        </is>
      </c>
      <c r="H653" t="inlineStr">
        <is>
          <t>Bergvik skog väst AB</t>
        </is>
      </c>
      <c r="I653" t="n">
        <v>3.5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s="2" t="inlineStr"/>
    </row>
    <row r="654" ht="15" customHeight="1">
      <c r="A654" t="inlineStr">
        <is>
          <t>A 9997-2026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46073</v>
      </c>
      <c r="E654" s="1" t="n">
        <v>46218</v>
      </c>
      <c r="F654" t="inlineStr">
        <is>
          <t>GÄVLEBORGS LÄN</t>
        </is>
      </c>
      <c r="G654" t="inlineStr">
        <is>
          <t>OCKELBO</t>
        </is>
      </c>
      <c r="I654" t="n">
        <v>0.6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s="2" t="inlineStr"/>
    </row>
    <row r="655" ht="15" customHeight="1">
      <c r="A655" t="inlineStr">
        <is>
          <t>A 30031-2026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46206</v>
      </c>
      <c r="E655" s="1" t="n">
        <v>46218</v>
      </c>
      <c r="F655" t="inlineStr">
        <is>
          <t>GÄVLEBORGS LÄN</t>
        </is>
      </c>
      <c r="G655" t="inlineStr">
        <is>
          <t>OCKELBO</t>
        </is>
      </c>
      <c r="I655" t="n">
        <v>1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s="2" t="inlineStr"/>
    </row>
    <row r="656" ht="15" customHeight="1">
      <c r="A656" t="inlineStr">
        <is>
          <t>A 10501-2026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46077</v>
      </c>
      <c r="E656" s="1" t="n">
        <v>46218</v>
      </c>
      <c r="F656" t="inlineStr">
        <is>
          <t>GÄVLEBORGS LÄN</t>
        </is>
      </c>
      <c r="G656" t="inlineStr">
        <is>
          <t>OCKELBO</t>
        </is>
      </c>
      <c r="H656" t="inlineStr">
        <is>
          <t>Bergvik skog väst AB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s="2" t="inlineStr"/>
    </row>
    <row r="657" ht="15" customHeight="1">
      <c r="A657" t="inlineStr">
        <is>
          <t>A 23786-2026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46164</v>
      </c>
      <c r="E657" s="1" t="n">
        <v>46218</v>
      </c>
      <c r="F657" t="inlineStr">
        <is>
          <t>GÄVLEBORGS LÄN</t>
        </is>
      </c>
      <c r="G657" t="inlineStr">
        <is>
          <t>OCKELBO</t>
        </is>
      </c>
      <c r="H657" t="inlineStr">
        <is>
          <t>Bergvik skog väst AB</t>
        </is>
      </c>
      <c r="I657" t="n">
        <v>1.7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s="2" t="inlineStr"/>
    </row>
    <row r="658" ht="15" customHeight="1">
      <c r="A658" t="inlineStr">
        <is>
          <t>A 10682-2026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46078</v>
      </c>
      <c r="E658" s="1" t="n">
        <v>46218</v>
      </c>
      <c r="F658" t="inlineStr">
        <is>
          <t>GÄVLEBORGS LÄN</t>
        </is>
      </c>
      <c r="G658" t="inlineStr">
        <is>
          <t>OCKELBO</t>
        </is>
      </c>
      <c r="H658" t="inlineStr">
        <is>
          <t>Bergvik skog väst AB</t>
        </is>
      </c>
      <c r="I658" t="n">
        <v>0.4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s="2" t="inlineStr"/>
    </row>
    <row r="659" ht="15" customHeight="1">
      <c r="A659" t="inlineStr">
        <is>
          <t>A 10681-2026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46078</v>
      </c>
      <c r="E659" s="1" t="n">
        <v>46218</v>
      </c>
      <c r="F659" t="inlineStr">
        <is>
          <t>GÄVLEBORGS LÄN</t>
        </is>
      </c>
      <c r="G659" t="inlineStr">
        <is>
          <t>OCKELBO</t>
        </is>
      </c>
      <c r="H659" t="inlineStr">
        <is>
          <t>Bergvik skog väst AB</t>
        </is>
      </c>
      <c r="I659" t="n">
        <v>1.1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s="2" t="inlineStr"/>
    </row>
    <row r="660" ht="15" customHeight="1">
      <c r="A660" t="inlineStr">
        <is>
          <t>A 10529-2026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46077</v>
      </c>
      <c r="E660" s="1" t="n">
        <v>46218</v>
      </c>
      <c r="F660" t="inlineStr">
        <is>
          <t>GÄVLEBORGS LÄN</t>
        </is>
      </c>
      <c r="G660" t="inlineStr">
        <is>
          <t>OCKELBO</t>
        </is>
      </c>
      <c r="H660" t="inlineStr">
        <is>
          <t>Bergvik skog öst AB</t>
        </is>
      </c>
      <c r="I660" t="n">
        <v>5.9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s="2" t="inlineStr"/>
    </row>
    <row r="661" ht="15" customHeight="1">
      <c r="A661" t="inlineStr">
        <is>
          <t>A 10437-2026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46077</v>
      </c>
      <c r="E661" s="1" t="n">
        <v>46218</v>
      </c>
      <c r="F661" t="inlineStr">
        <is>
          <t>GÄVLEBORGS LÄN</t>
        </is>
      </c>
      <c r="G661" t="inlineStr">
        <is>
          <t>OCKELBO</t>
        </is>
      </c>
      <c r="H661" t="inlineStr">
        <is>
          <t>Bergvik skog väst AB</t>
        </is>
      </c>
      <c r="I661" t="n">
        <v>3.7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s="2" t="inlineStr"/>
    </row>
    <row r="662" ht="15" customHeight="1">
      <c r="A662" t="inlineStr">
        <is>
          <t>A 10454-2026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46077</v>
      </c>
      <c r="E662" s="1" t="n">
        <v>46218</v>
      </c>
      <c r="F662" t="inlineStr">
        <is>
          <t>GÄVLEBORGS LÄN</t>
        </is>
      </c>
      <c r="G662" t="inlineStr">
        <is>
          <t>OCKELBO</t>
        </is>
      </c>
      <c r="H662" t="inlineStr">
        <is>
          <t>Bergvik skog väst AB</t>
        </is>
      </c>
      <c r="I662" t="n">
        <v>10.1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s="2" t="inlineStr"/>
    </row>
    <row r="663" ht="15" customHeight="1">
      <c r="A663" t="inlineStr">
        <is>
          <t>A 10456-2026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46077</v>
      </c>
      <c r="E663" s="1" t="n">
        <v>46218</v>
      </c>
      <c r="F663" t="inlineStr">
        <is>
          <t>GÄVLEBORGS LÄN</t>
        </is>
      </c>
      <c r="G663" t="inlineStr">
        <is>
          <t>OCKELBO</t>
        </is>
      </c>
      <c r="H663" t="inlineStr">
        <is>
          <t>Bergvik skog öst AB</t>
        </is>
      </c>
      <c r="I663" t="n">
        <v>45.7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s="2" t="inlineStr"/>
    </row>
    <row r="664" ht="15" customHeight="1">
      <c r="A664" t="inlineStr">
        <is>
          <t>A 1293-2026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46031</v>
      </c>
      <c r="E664" s="1" t="n">
        <v>46218</v>
      </c>
      <c r="F664" t="inlineStr">
        <is>
          <t>GÄVLEBORGS LÄN</t>
        </is>
      </c>
      <c r="G664" t="inlineStr">
        <is>
          <t>OCKELBO</t>
        </is>
      </c>
      <c r="I664" t="n">
        <v>0.5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s="2" t="inlineStr"/>
    </row>
    <row r="665" ht="15" customHeight="1">
      <c r="A665" t="inlineStr">
        <is>
          <t>A 10159-2026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46076</v>
      </c>
      <c r="E665" s="1" t="n">
        <v>46218</v>
      </c>
      <c r="F665" t="inlineStr">
        <is>
          <t>GÄVLEBORGS LÄN</t>
        </is>
      </c>
      <c r="G665" t="inlineStr">
        <is>
          <t>OCKELBO</t>
        </is>
      </c>
      <c r="H665" t="inlineStr">
        <is>
          <t>Bergvik skog väst AB</t>
        </is>
      </c>
      <c r="I665" t="n">
        <v>12.1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s="2" t="inlineStr"/>
    </row>
    <row r="666" ht="15" customHeight="1">
      <c r="A666" t="inlineStr">
        <is>
          <t>A 10535-2026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46077</v>
      </c>
      <c r="E666" s="1" t="n">
        <v>46218</v>
      </c>
      <c r="F666" t="inlineStr">
        <is>
          <t>GÄVLEBORGS LÄN</t>
        </is>
      </c>
      <c r="G666" t="inlineStr">
        <is>
          <t>OCKELBO</t>
        </is>
      </c>
      <c r="H666" t="inlineStr">
        <is>
          <t>Bergvik skog öst AB</t>
        </is>
      </c>
      <c r="I666" t="n">
        <v>6.2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s="2" t="inlineStr"/>
    </row>
    <row r="667" ht="15" customHeight="1">
      <c r="A667" t="inlineStr">
        <is>
          <t>A 10498-2026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46077</v>
      </c>
      <c r="E667" s="1" t="n">
        <v>46218</v>
      </c>
      <c r="F667" t="inlineStr">
        <is>
          <t>GÄVLEBORGS LÄN</t>
        </is>
      </c>
      <c r="G667" t="inlineStr">
        <is>
          <t>OCKELBO</t>
        </is>
      </c>
      <c r="H667" t="inlineStr">
        <is>
          <t>Bergvik skog väst AB</t>
        </is>
      </c>
      <c r="I667" t="n">
        <v>4.3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s="2" t="inlineStr"/>
    </row>
    <row r="668" ht="15" customHeight="1">
      <c r="A668" t="inlineStr">
        <is>
          <t>A 10184-2026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46076</v>
      </c>
      <c r="E668" s="1" t="n">
        <v>46218</v>
      </c>
      <c r="F668" t="inlineStr">
        <is>
          <t>GÄVLEBORGS LÄN</t>
        </is>
      </c>
      <c r="G668" t="inlineStr">
        <is>
          <t>OCKELBO</t>
        </is>
      </c>
      <c r="H668" t="inlineStr">
        <is>
          <t>Bergvik skog väst AB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s="2" t="inlineStr"/>
    </row>
    <row r="669" ht="15" customHeight="1">
      <c r="A669" t="inlineStr">
        <is>
          <t>A 4001-2026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46044</v>
      </c>
      <c r="E669" s="1" t="n">
        <v>46218</v>
      </c>
      <c r="F669" t="inlineStr">
        <is>
          <t>GÄVLEBORGS LÄN</t>
        </is>
      </c>
      <c r="G669" t="inlineStr">
        <is>
          <t>OCKELBO</t>
        </is>
      </c>
      <c r="I669" t="n">
        <v>2.2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s="2" t="inlineStr"/>
    </row>
    <row r="670" ht="15" customHeight="1">
      <c r="A670" t="inlineStr">
        <is>
          <t>A 1286-2026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46031</v>
      </c>
      <c r="E670" s="1" t="n">
        <v>46218</v>
      </c>
      <c r="F670" t="inlineStr">
        <is>
          <t>GÄVLEBORGS LÄN</t>
        </is>
      </c>
      <c r="G670" t="inlineStr">
        <is>
          <t>OCKELBO</t>
        </is>
      </c>
      <c r="I670" t="n">
        <v>3.7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s="2" t="inlineStr"/>
    </row>
    <row r="671" ht="15" customHeight="1">
      <c r="A671" t="inlineStr">
        <is>
          <t>A 10418-2026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46077</v>
      </c>
      <c r="E671" s="1" t="n">
        <v>46218</v>
      </c>
      <c r="F671" t="inlineStr">
        <is>
          <t>GÄVLEBORGS LÄN</t>
        </is>
      </c>
      <c r="G671" t="inlineStr">
        <is>
          <t>OCKELBO</t>
        </is>
      </c>
      <c r="I671" t="n">
        <v>0.9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s="2" t="inlineStr"/>
    </row>
    <row r="672" ht="15" customHeight="1">
      <c r="A672" t="inlineStr">
        <is>
          <t>A 24409-2026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46169</v>
      </c>
      <c r="E672" s="1" t="n">
        <v>46218</v>
      </c>
      <c r="F672" t="inlineStr">
        <is>
          <t>GÄVLEBORGS LÄN</t>
        </is>
      </c>
      <c r="G672" t="inlineStr">
        <is>
          <t>OCKELBO</t>
        </is>
      </c>
      <c r="I672" t="n">
        <v>8.1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s="2" t="inlineStr"/>
    </row>
    <row r="673" ht="15" customHeight="1">
      <c r="A673" t="inlineStr">
        <is>
          <t>A 11078-2026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46079</v>
      </c>
      <c r="E673" s="1" t="n">
        <v>46218</v>
      </c>
      <c r="F673" t="inlineStr">
        <is>
          <t>GÄVLEBORGS LÄN</t>
        </is>
      </c>
      <c r="G673" t="inlineStr">
        <is>
          <t>OCKELBO</t>
        </is>
      </c>
      <c r="I673" t="n">
        <v>3.4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s="2" t="inlineStr"/>
    </row>
    <row r="674" ht="15" customHeight="1">
      <c r="A674" t="inlineStr">
        <is>
          <t>A 24267-2026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46169</v>
      </c>
      <c r="E674" s="1" t="n">
        <v>46218</v>
      </c>
      <c r="F674" t="inlineStr">
        <is>
          <t>GÄVLEBORGS LÄN</t>
        </is>
      </c>
      <c r="G674" t="inlineStr">
        <is>
          <t>OCKELBO</t>
        </is>
      </c>
      <c r="H674" t="inlineStr">
        <is>
          <t>Bergvik skog väst AB</t>
        </is>
      </c>
      <c r="I674" t="n">
        <v>3.7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s="2" t="inlineStr"/>
    </row>
    <row r="675" ht="15" customHeight="1">
      <c r="A675" t="inlineStr">
        <is>
          <t>A 11237-2026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46080</v>
      </c>
      <c r="E675" s="1" t="n">
        <v>46218</v>
      </c>
      <c r="F675" t="inlineStr">
        <is>
          <t>GÄVLEBORGS LÄN</t>
        </is>
      </c>
      <c r="G675" t="inlineStr">
        <is>
          <t>OCKELBO</t>
        </is>
      </c>
      <c r="I675" t="n">
        <v>6.2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s="2" t="inlineStr"/>
    </row>
    <row r="676" ht="15" customHeight="1">
      <c r="A676" t="inlineStr">
        <is>
          <t>A 24333-2026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46169</v>
      </c>
      <c r="E676" s="1" t="n">
        <v>46218</v>
      </c>
      <c r="F676" t="inlineStr">
        <is>
          <t>GÄVLEBORGS LÄN</t>
        </is>
      </c>
      <c r="G676" t="inlineStr">
        <is>
          <t>OCKELBO</t>
        </is>
      </c>
      <c r="H676" t="inlineStr">
        <is>
          <t>Bergvik skog väst AB</t>
        </is>
      </c>
      <c r="I676" t="n">
        <v>0.9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s="2" t="inlineStr"/>
    </row>
    <row r="677" ht="15" customHeight="1">
      <c r="A677" t="inlineStr">
        <is>
          <t>A 24063-2026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46168</v>
      </c>
      <c r="E677" s="1" t="n">
        <v>46218</v>
      </c>
      <c r="F677" t="inlineStr">
        <is>
          <t>GÄVLEBORGS LÄN</t>
        </is>
      </c>
      <c r="G677" t="inlineStr">
        <is>
          <t>OCKELBO</t>
        </is>
      </c>
      <c r="H677" t="inlineStr">
        <is>
          <t>Bergvik skog väst AB</t>
        </is>
      </c>
      <c r="I677" t="n">
        <v>0.8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s="2" t="inlineStr"/>
    </row>
    <row r="678" ht="15" customHeight="1">
      <c r="A678" t="inlineStr">
        <is>
          <t>A 11234-2026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46080</v>
      </c>
      <c r="E678" s="1" t="n">
        <v>46218</v>
      </c>
      <c r="F678" t="inlineStr">
        <is>
          <t>GÄVLEBORGS LÄN</t>
        </is>
      </c>
      <c r="G678" t="inlineStr">
        <is>
          <t>OCKELBO</t>
        </is>
      </c>
      <c r="I678" t="n">
        <v>2.3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s="2" t="inlineStr"/>
    </row>
    <row r="679" ht="15" customHeight="1">
      <c r="A679" t="inlineStr">
        <is>
          <t>A 24335-2026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46169</v>
      </c>
      <c r="E679" s="1" t="n">
        <v>46218</v>
      </c>
      <c r="F679" t="inlineStr">
        <is>
          <t>GÄVLEBORGS LÄN</t>
        </is>
      </c>
      <c r="G679" t="inlineStr">
        <is>
          <t>OCKELBO</t>
        </is>
      </c>
      <c r="H679" t="inlineStr">
        <is>
          <t>Bergvik skog väst AB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s="2" t="inlineStr"/>
    </row>
    <row r="680" ht="15" customHeight="1">
      <c r="A680" t="inlineStr">
        <is>
          <t>A 11300-2026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46080</v>
      </c>
      <c r="E680" s="1" t="n">
        <v>46218</v>
      </c>
      <c r="F680" t="inlineStr">
        <is>
          <t>GÄVLEBORGS LÄN</t>
        </is>
      </c>
      <c r="G680" t="inlineStr">
        <is>
          <t>OCKELBO</t>
        </is>
      </c>
      <c r="I680" t="n">
        <v>1.8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s="2" t="inlineStr"/>
    </row>
    <row r="681" ht="15" customHeight="1">
      <c r="A681" t="inlineStr">
        <is>
          <t>A 11027-2026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46079</v>
      </c>
      <c r="E681" s="1" t="n">
        <v>46218</v>
      </c>
      <c r="F681" t="inlineStr">
        <is>
          <t>GÄVLEBORGS LÄN</t>
        </is>
      </c>
      <c r="G681" t="inlineStr">
        <is>
          <t>OCKELBO</t>
        </is>
      </c>
      <c r="I681" t="n">
        <v>1.4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s="2" t="inlineStr"/>
    </row>
    <row r="682" ht="15" customHeight="1">
      <c r="A682" t="inlineStr">
        <is>
          <t>A 27630-2026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46190</v>
      </c>
      <c r="E682" s="1" t="n">
        <v>46218</v>
      </c>
      <c r="F682" t="inlineStr">
        <is>
          <t>GÄVLEBORGS LÄN</t>
        </is>
      </c>
      <c r="G682" t="inlineStr">
        <is>
          <t>OCKELBO</t>
        </is>
      </c>
      <c r="H682" t="inlineStr">
        <is>
          <t>Bergvik skog väst AB</t>
        </is>
      </c>
      <c r="I682" t="n">
        <v>10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s="2" t="inlineStr"/>
    </row>
    <row r="683" ht="15" customHeight="1">
      <c r="A683" t="inlineStr">
        <is>
          <t>A 24185-2026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46168</v>
      </c>
      <c r="E683" s="1" t="n">
        <v>46218</v>
      </c>
      <c r="F683" t="inlineStr">
        <is>
          <t>GÄVLEBORGS LÄN</t>
        </is>
      </c>
      <c r="G683" t="inlineStr">
        <is>
          <t>OCKELBO</t>
        </is>
      </c>
      <c r="H683" t="inlineStr">
        <is>
          <t>Bergvik skog väst AB</t>
        </is>
      </c>
      <c r="I683" t="n">
        <v>1.6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s="2" t="inlineStr"/>
    </row>
    <row r="684" ht="15" customHeight="1">
      <c r="A684" t="inlineStr">
        <is>
          <t>A 28725-2026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46198</v>
      </c>
      <c r="E684" s="1" t="n">
        <v>46218</v>
      </c>
      <c r="F684" t="inlineStr">
        <is>
          <t>GÄVLEBORGS LÄN</t>
        </is>
      </c>
      <c r="G684" t="inlineStr">
        <is>
          <t>OCKELBO</t>
        </is>
      </c>
      <c r="H684" t="inlineStr">
        <is>
          <t>Bergvik skog väst AB</t>
        </is>
      </c>
      <c r="I684" t="n">
        <v>0.6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s="2" t="inlineStr"/>
    </row>
    <row r="685" ht="15" customHeight="1">
      <c r="A685" t="inlineStr">
        <is>
          <t>A 27995-2026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46195</v>
      </c>
      <c r="E685" s="1" t="n">
        <v>46218</v>
      </c>
      <c r="F685" t="inlineStr">
        <is>
          <t>GÄVLEBORGS LÄN</t>
        </is>
      </c>
      <c r="G685" t="inlineStr">
        <is>
          <t>OCKELBO</t>
        </is>
      </c>
      <c r="H685" t="inlineStr">
        <is>
          <t>Bergvik skog väst AB</t>
        </is>
      </c>
      <c r="I685" t="n">
        <v>1.2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s="2" t="inlineStr"/>
    </row>
    <row r="686" ht="15" customHeight="1">
      <c r="A686" t="inlineStr">
        <is>
          <t>A 18326-2026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46126</v>
      </c>
      <c r="E686" s="1" t="n">
        <v>46218</v>
      </c>
      <c r="F686" t="inlineStr">
        <is>
          <t>GÄVLEBORGS LÄN</t>
        </is>
      </c>
      <c r="G686" t="inlineStr">
        <is>
          <t>OCKELBO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s="2" t="inlineStr"/>
    </row>
    <row r="687" ht="15" customHeight="1">
      <c r="A687" t="inlineStr">
        <is>
          <t>A 11496-2026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46083</v>
      </c>
      <c r="E687" s="1" t="n">
        <v>46218</v>
      </c>
      <c r="F687" t="inlineStr">
        <is>
          <t>GÄVLEBORGS LÄN</t>
        </is>
      </c>
      <c r="G687" t="inlineStr">
        <is>
          <t>OCKELBO</t>
        </is>
      </c>
      <c r="I687" t="n">
        <v>2.1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s="2" t="inlineStr"/>
    </row>
    <row r="688" ht="15" customHeight="1">
      <c r="A688" t="inlineStr">
        <is>
          <t>A 29386-2026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46203</v>
      </c>
      <c r="E688" s="1" t="n">
        <v>46218</v>
      </c>
      <c r="F688" t="inlineStr">
        <is>
          <t>GÄVLEBORGS LÄN</t>
        </is>
      </c>
      <c r="G688" t="inlineStr">
        <is>
          <t>OCKELBO</t>
        </is>
      </c>
      <c r="H688" t="inlineStr">
        <is>
          <t>Bergvik skog väst AB</t>
        </is>
      </c>
      <c r="I688" t="n">
        <v>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s="2" t="inlineStr"/>
    </row>
    <row r="689" ht="15" customHeight="1">
      <c r="A689" t="inlineStr">
        <is>
          <t>A 24408-2026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46169</v>
      </c>
      <c r="E689" s="1" t="n">
        <v>46218</v>
      </c>
      <c r="F689" t="inlineStr">
        <is>
          <t>GÄVLEBORGS LÄN</t>
        </is>
      </c>
      <c r="G689" t="inlineStr">
        <is>
          <t>OCKELBO</t>
        </is>
      </c>
      <c r="I689" t="n">
        <v>2.9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s="2" t="inlineStr"/>
    </row>
    <row r="690" ht="15" customHeight="1">
      <c r="A690" t="inlineStr">
        <is>
          <t>A 5898-2026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46052</v>
      </c>
      <c r="E690" s="1" t="n">
        <v>46218</v>
      </c>
      <c r="F690" t="inlineStr">
        <is>
          <t>GÄVLEBORGS LÄN</t>
        </is>
      </c>
      <c r="G690" t="inlineStr">
        <is>
          <t>OCKELBO</t>
        </is>
      </c>
      <c r="I690" t="n">
        <v>1.9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s="2" t="inlineStr"/>
    </row>
    <row r="691" ht="15" customHeight="1">
      <c r="A691" t="inlineStr">
        <is>
          <t>A 24059-2026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46168</v>
      </c>
      <c r="E691" s="1" t="n">
        <v>46218</v>
      </c>
      <c r="F691" t="inlineStr">
        <is>
          <t>GÄVLEBORGS LÄN</t>
        </is>
      </c>
      <c r="G691" t="inlineStr">
        <is>
          <t>OCKELBO</t>
        </is>
      </c>
      <c r="H691" t="inlineStr">
        <is>
          <t>Bergvik skog väst AB</t>
        </is>
      </c>
      <c r="I691" t="n">
        <v>0.7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s="2" t="inlineStr"/>
    </row>
    <row r="692" ht="15" customHeight="1">
      <c r="A692" t="inlineStr">
        <is>
          <t>A 24569-2026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46170</v>
      </c>
      <c r="E692" s="1" t="n">
        <v>46218</v>
      </c>
      <c r="F692" t="inlineStr">
        <is>
          <t>GÄVLEBORGS LÄN</t>
        </is>
      </c>
      <c r="G692" t="inlineStr">
        <is>
          <t>OCKELBO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s="2" t="inlineStr"/>
    </row>
    <row r="693" ht="15" customHeight="1">
      <c r="A693" t="inlineStr">
        <is>
          <t>A 30990-2026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46213</v>
      </c>
      <c r="E693" s="1" t="n">
        <v>46218</v>
      </c>
      <c r="F693" t="inlineStr">
        <is>
          <t>GÄVLEBORGS LÄN</t>
        </is>
      </c>
      <c r="G693" t="inlineStr">
        <is>
          <t>OCKELBO</t>
        </is>
      </c>
      <c r="I693" t="n">
        <v>3.6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s="2" t="inlineStr"/>
    </row>
    <row r="694" ht="15" customHeight="1">
      <c r="A694" t="inlineStr">
        <is>
          <t>A 11432-2026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46083</v>
      </c>
      <c r="E694" s="1" t="n">
        <v>46218</v>
      </c>
      <c r="F694" t="inlineStr">
        <is>
          <t>GÄVLEBORGS LÄN</t>
        </is>
      </c>
      <c r="G694" t="inlineStr">
        <is>
          <t>OCKELBO</t>
        </is>
      </c>
      <c r="H694" t="inlineStr">
        <is>
          <t>Bergvik skog väst AB</t>
        </is>
      </c>
      <c r="I694" t="n">
        <v>7.4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s="2" t="inlineStr"/>
    </row>
    <row r="695" ht="15" customHeight="1">
      <c r="A695" t="inlineStr">
        <is>
          <t>A 11423-2026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46083</v>
      </c>
      <c r="E695" s="1" t="n">
        <v>46218</v>
      </c>
      <c r="F695" t="inlineStr">
        <is>
          <t>GÄVLEBORGS LÄN</t>
        </is>
      </c>
      <c r="G695" t="inlineStr">
        <is>
          <t>OCKELBO</t>
        </is>
      </c>
      <c r="H695" t="inlineStr">
        <is>
          <t>Bergvik skog öst AB</t>
        </is>
      </c>
      <c r="I695" t="n">
        <v>0.6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s="2" t="inlineStr"/>
    </row>
    <row r="696" ht="15" customHeight="1">
      <c r="A696" t="inlineStr">
        <is>
          <t>A 24449-2026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46170</v>
      </c>
      <c r="E696" s="1" t="n">
        <v>46218</v>
      </c>
      <c r="F696" t="inlineStr">
        <is>
          <t>GÄVLEBORGS LÄN</t>
        </is>
      </c>
      <c r="G696" t="inlineStr">
        <is>
          <t>OCKELBO</t>
        </is>
      </c>
      <c r="H696" t="inlineStr">
        <is>
          <t>Bergvik skog väst AB</t>
        </is>
      </c>
      <c r="I696" t="n">
        <v>4.1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s="2" t="inlineStr"/>
    </row>
    <row r="697" ht="15" customHeight="1">
      <c r="A697" t="inlineStr">
        <is>
          <t>A 24567-2026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46170</v>
      </c>
      <c r="E697" s="1" t="n">
        <v>46218</v>
      </c>
      <c r="F697" t="inlineStr">
        <is>
          <t>GÄVLEBORGS LÄN</t>
        </is>
      </c>
      <c r="G697" t="inlineStr">
        <is>
          <t>OCKELBO</t>
        </is>
      </c>
      <c r="H697" t="inlineStr">
        <is>
          <t>Bergvik skog väst AB</t>
        </is>
      </c>
      <c r="I697" t="n">
        <v>0.3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s="2" t="inlineStr"/>
    </row>
    <row r="698" ht="15" customHeight="1">
      <c r="A698" t="inlineStr">
        <is>
          <t>A 24451-2026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46170</v>
      </c>
      <c r="E698" s="1" t="n">
        <v>46218</v>
      </c>
      <c r="F698" t="inlineStr">
        <is>
          <t>GÄVLEBORGS LÄN</t>
        </is>
      </c>
      <c r="G698" t="inlineStr">
        <is>
          <t>OCKELBO</t>
        </is>
      </c>
      <c r="H698" t="inlineStr">
        <is>
          <t>Bergvik skog väst AB</t>
        </is>
      </c>
      <c r="I698" t="n">
        <v>3.1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s="2" t="inlineStr"/>
    </row>
    <row r="699" ht="15" customHeight="1">
      <c r="A699" t="inlineStr">
        <is>
          <t>A 11810-2026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46085</v>
      </c>
      <c r="E699" s="1" t="n">
        <v>46218</v>
      </c>
      <c r="F699" t="inlineStr">
        <is>
          <t>GÄVLEBORGS LÄN</t>
        </is>
      </c>
      <c r="G699" t="inlineStr">
        <is>
          <t>OCKELBO</t>
        </is>
      </c>
      <c r="I699" t="n">
        <v>2.8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s="2" t="inlineStr"/>
    </row>
    <row r="700" ht="15" customHeight="1">
      <c r="A700" t="inlineStr">
        <is>
          <t>A 24598-2026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46170</v>
      </c>
      <c r="E700" s="1" t="n">
        <v>46218</v>
      </c>
      <c r="F700" t="inlineStr">
        <is>
          <t>GÄVLEBORGS LÄN</t>
        </is>
      </c>
      <c r="G700" t="inlineStr">
        <is>
          <t>OCKELBO</t>
        </is>
      </c>
      <c r="H700" t="inlineStr">
        <is>
          <t>Bergvik skog väst AB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s="2" t="inlineStr"/>
    </row>
    <row r="701" ht="15" customHeight="1">
      <c r="A701" t="inlineStr">
        <is>
          <t>A 12080-2026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46086</v>
      </c>
      <c r="E701" s="1" t="n">
        <v>46218</v>
      </c>
      <c r="F701" t="inlineStr">
        <is>
          <t>GÄVLEBORGS LÄN</t>
        </is>
      </c>
      <c r="G701" t="inlineStr">
        <is>
          <t>OCKELBO</t>
        </is>
      </c>
      <c r="H701" t="inlineStr">
        <is>
          <t>Bergvik skog väst AB</t>
        </is>
      </c>
      <c r="I701" t="n">
        <v>18.7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s="2" t="inlineStr"/>
    </row>
    <row r="702" ht="15" customHeight="1">
      <c r="A702" t="inlineStr">
        <is>
          <t>A 24578-2026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46170</v>
      </c>
      <c r="E702" s="1" t="n">
        <v>46218</v>
      </c>
      <c r="F702" t="inlineStr">
        <is>
          <t>GÄVLEBORGS LÄN</t>
        </is>
      </c>
      <c r="G702" t="inlineStr">
        <is>
          <t>OCKELBO</t>
        </is>
      </c>
      <c r="H702" t="inlineStr">
        <is>
          <t>Bergvik skog väst AB</t>
        </is>
      </c>
      <c r="I702" t="n">
        <v>1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s="2" t="inlineStr"/>
    </row>
    <row r="703" ht="15" customHeight="1">
      <c r="A703" t="inlineStr">
        <is>
          <t>A 11588-2026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46084</v>
      </c>
      <c r="E703" s="1" t="n">
        <v>46218</v>
      </c>
      <c r="F703" t="inlineStr">
        <is>
          <t>GÄVLEBORGS LÄN</t>
        </is>
      </c>
      <c r="G703" t="inlineStr">
        <is>
          <t>OCKELBO</t>
        </is>
      </c>
      <c r="H703" t="inlineStr">
        <is>
          <t>Bergvik skog öst AB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s="2" t="inlineStr"/>
    </row>
    <row r="704" ht="15" customHeight="1">
      <c r="A704" t="inlineStr">
        <is>
          <t>A 24521-2026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46170</v>
      </c>
      <c r="E704" s="1" t="n">
        <v>46218</v>
      </c>
      <c r="F704" t="inlineStr">
        <is>
          <t>GÄVLEBORGS LÄN</t>
        </is>
      </c>
      <c r="G704" t="inlineStr">
        <is>
          <t>OCKELBO</t>
        </is>
      </c>
      <c r="H704" t="inlineStr">
        <is>
          <t>Bergvik skog väst AB</t>
        </is>
      </c>
      <c r="I704" t="n">
        <v>2.1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s="2" t="inlineStr"/>
    </row>
    <row r="705" ht="15" customHeight="1">
      <c r="A705" t="inlineStr">
        <is>
          <t>A 26481-2026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46183</v>
      </c>
      <c r="E705" s="1" t="n">
        <v>46218</v>
      </c>
      <c r="F705" t="inlineStr">
        <is>
          <t>GÄVLEBORGS LÄN</t>
        </is>
      </c>
      <c r="G705" t="inlineStr">
        <is>
          <t>OCKELBO</t>
        </is>
      </c>
      <c r="H705" t="inlineStr">
        <is>
          <t>Bergvik skog väst AB</t>
        </is>
      </c>
      <c r="I705" t="n">
        <v>3.2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s="2" t="inlineStr"/>
    </row>
    <row r="706" ht="15" customHeight="1">
      <c r="A706" t="inlineStr">
        <is>
          <t>A 12341-2026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46087</v>
      </c>
      <c r="E706" s="1" t="n">
        <v>46218</v>
      </c>
      <c r="F706" t="inlineStr">
        <is>
          <t>GÄVLEBORGS LÄN</t>
        </is>
      </c>
      <c r="G706" t="inlineStr">
        <is>
          <t>OCKELBO</t>
        </is>
      </c>
      <c r="I706" t="n">
        <v>0.7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s="2" t="inlineStr"/>
    </row>
    <row r="707" ht="15" customHeight="1">
      <c r="A707" t="inlineStr">
        <is>
          <t>A 26924-2026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46185</v>
      </c>
      <c r="E707" s="1" t="n">
        <v>46218</v>
      </c>
      <c r="F707" t="inlineStr">
        <is>
          <t>GÄVLEBORGS LÄN</t>
        </is>
      </c>
      <c r="G707" t="inlineStr">
        <is>
          <t>OCKELBO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s="2" t="inlineStr"/>
    </row>
    <row r="708" ht="15" customHeight="1">
      <c r="A708" t="inlineStr">
        <is>
          <t>A 29437-2026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46203</v>
      </c>
      <c r="E708" s="1" t="n">
        <v>46218</v>
      </c>
      <c r="F708" t="inlineStr">
        <is>
          <t>GÄVLEBORGS LÄN</t>
        </is>
      </c>
      <c r="G708" t="inlineStr">
        <is>
          <t>OCKELBO</t>
        </is>
      </c>
      <c r="H708" t="inlineStr">
        <is>
          <t>Bergvik skog väst AB</t>
        </is>
      </c>
      <c r="I708" t="n">
        <v>1.2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s="2" t="inlineStr"/>
    </row>
    <row r="709" ht="15" customHeight="1">
      <c r="A709" t="inlineStr">
        <is>
          <t>A 12370-2026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46089</v>
      </c>
      <c r="E709" s="1" t="n">
        <v>46218</v>
      </c>
      <c r="F709" t="inlineStr">
        <is>
          <t>GÄVLEBORGS LÄN</t>
        </is>
      </c>
      <c r="G709" t="inlineStr">
        <is>
          <t>OCKELBO</t>
        </is>
      </c>
      <c r="H709" t="inlineStr">
        <is>
          <t>Bergvik skog väst AB</t>
        </is>
      </c>
      <c r="I709" t="n">
        <v>29.9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s="2" t="inlineStr"/>
    </row>
    <row r="710" ht="15" customHeight="1">
      <c r="A710" t="inlineStr">
        <is>
          <t>A 12807-2026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46092</v>
      </c>
      <c r="E710" s="1" t="n">
        <v>46218</v>
      </c>
      <c r="F710" t="inlineStr">
        <is>
          <t>GÄVLEBORGS LÄN</t>
        </is>
      </c>
      <c r="G710" t="inlineStr">
        <is>
          <t>OCKELBO</t>
        </is>
      </c>
      <c r="I710" t="n">
        <v>3.1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s="2" t="inlineStr"/>
    </row>
    <row r="711" ht="15" customHeight="1">
      <c r="A711" t="inlineStr">
        <is>
          <t>A 27889-2026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46191</v>
      </c>
      <c r="E711" s="1" t="n">
        <v>46218</v>
      </c>
      <c r="F711" t="inlineStr">
        <is>
          <t>GÄVLEBORGS LÄN</t>
        </is>
      </c>
      <c r="G711" t="inlineStr">
        <is>
          <t>OCKELBO</t>
        </is>
      </c>
      <c r="H711" t="inlineStr">
        <is>
          <t>Bergvik skog väst AB</t>
        </is>
      </c>
      <c r="I711" t="n">
        <v>0.9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s="2" t="inlineStr"/>
    </row>
    <row r="712" ht="15" customHeight="1">
      <c r="A712" t="inlineStr">
        <is>
          <t>A 12716-2026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46091</v>
      </c>
      <c r="E712" s="1" t="n">
        <v>46218</v>
      </c>
      <c r="F712" t="inlineStr">
        <is>
          <t>GÄVLEBORGS LÄN</t>
        </is>
      </c>
      <c r="G712" t="inlineStr">
        <is>
          <t>OCKELBO</t>
        </is>
      </c>
      <c r="I712" t="n">
        <v>3.7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s="2" t="inlineStr"/>
    </row>
    <row r="713" ht="15" customHeight="1">
      <c r="A713" t="inlineStr">
        <is>
          <t>A 11974-2026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46085</v>
      </c>
      <c r="E713" s="1" t="n">
        <v>46218</v>
      </c>
      <c r="F713" t="inlineStr">
        <is>
          <t>GÄVLEBORGS LÄN</t>
        </is>
      </c>
      <c r="G713" t="inlineStr">
        <is>
          <t>OCKELBO</t>
        </is>
      </c>
      <c r="I713" t="n">
        <v>3.1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s="2" t="inlineStr"/>
    </row>
    <row r="714" ht="15" customHeight="1">
      <c r="A714" t="inlineStr">
        <is>
          <t>A 31083-2026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46216</v>
      </c>
      <c r="E714" s="1" t="n">
        <v>46218</v>
      </c>
      <c r="F714" t="inlineStr">
        <is>
          <t>GÄVLEBORGS LÄN</t>
        </is>
      </c>
      <c r="G714" t="inlineStr">
        <is>
          <t>OCKELBO</t>
        </is>
      </c>
      <c r="H714" t="inlineStr">
        <is>
          <t>Bergvik skog väst AB</t>
        </is>
      </c>
      <c r="I714" t="n">
        <v>1.8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s="2" t="inlineStr"/>
    </row>
    <row r="715" ht="15" customHeight="1">
      <c r="A715" t="inlineStr">
        <is>
          <t>A 17-2026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46023</v>
      </c>
      <c r="E715" s="1" t="n">
        <v>46218</v>
      </c>
      <c r="F715" t="inlineStr">
        <is>
          <t>GÄVLEBORGS LÄN</t>
        </is>
      </c>
      <c r="G715" t="inlineStr">
        <is>
          <t>OCKELBO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s="2" t="inlineStr"/>
    </row>
    <row r="716" ht="15" customHeight="1">
      <c r="A716" t="inlineStr">
        <is>
          <t>A 13271-2026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46093</v>
      </c>
      <c r="E716" s="1" t="n">
        <v>46218</v>
      </c>
      <c r="F716" t="inlineStr">
        <is>
          <t>GÄVLEBORGS LÄN</t>
        </is>
      </c>
      <c r="G716" t="inlineStr">
        <is>
          <t>OCKELBO</t>
        </is>
      </c>
      <c r="I716" t="n">
        <v>6.4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s="2" t="inlineStr"/>
    </row>
    <row r="717" ht="15" customHeight="1">
      <c r="A717" t="inlineStr">
        <is>
          <t>A 13481-2026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46094</v>
      </c>
      <c r="E717" s="1" t="n">
        <v>46218</v>
      </c>
      <c r="F717" t="inlineStr">
        <is>
          <t>GÄVLEBORGS LÄN</t>
        </is>
      </c>
      <c r="G717" t="inlineStr">
        <is>
          <t>OCKELBO</t>
        </is>
      </c>
      <c r="H717" t="inlineStr">
        <is>
          <t>Naturvårdsverket</t>
        </is>
      </c>
      <c r="I717" t="n">
        <v>0.4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s="2" t="inlineStr"/>
    </row>
    <row r="718" ht="15" customHeight="1">
      <c r="A718" t="inlineStr">
        <is>
          <t>A 24968-2026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46174</v>
      </c>
      <c r="E718" s="1" t="n">
        <v>46218</v>
      </c>
      <c r="F718" t="inlineStr">
        <is>
          <t>GÄVLEBORGS LÄN</t>
        </is>
      </c>
      <c r="G718" t="inlineStr">
        <is>
          <t>OCKELBO</t>
        </is>
      </c>
      <c r="I718" t="n">
        <v>6.2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s="2" t="inlineStr"/>
    </row>
    <row r="719" ht="15" customHeight="1">
      <c r="A719" t="inlineStr">
        <is>
          <t>A 13208-2026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46093</v>
      </c>
      <c r="E719" s="1" t="n">
        <v>46218</v>
      </c>
      <c r="F719" t="inlineStr">
        <is>
          <t>GÄVLEBORGS LÄN</t>
        </is>
      </c>
      <c r="G719" t="inlineStr">
        <is>
          <t>OCKELBO</t>
        </is>
      </c>
      <c r="I719" t="n">
        <v>0.8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s="2" t="inlineStr"/>
    </row>
    <row r="720" ht="15" customHeight="1">
      <c r="A720" t="inlineStr">
        <is>
          <t>A 13441-2026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46094</v>
      </c>
      <c r="E720" s="1" t="n">
        <v>46218</v>
      </c>
      <c r="F720" t="inlineStr">
        <is>
          <t>GÄVLEBORGS LÄN</t>
        </is>
      </c>
      <c r="G720" t="inlineStr">
        <is>
          <t>OCKELBO</t>
        </is>
      </c>
      <c r="I720" t="n">
        <v>0.6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s="2" t="inlineStr"/>
    </row>
    <row r="721" ht="15" customHeight="1">
      <c r="A721" t="inlineStr">
        <is>
          <t>A 13216-2026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46093</v>
      </c>
      <c r="E721" s="1" t="n">
        <v>46218</v>
      </c>
      <c r="F721" t="inlineStr">
        <is>
          <t>GÄVLEBORGS LÄN</t>
        </is>
      </c>
      <c r="G721" t="inlineStr">
        <is>
          <t>OCKELBO</t>
        </is>
      </c>
      <c r="I721" t="n">
        <v>1.7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s="2" t="inlineStr"/>
    </row>
    <row r="722" ht="15" customHeight="1">
      <c r="A722" t="inlineStr">
        <is>
          <t>A 13321-2026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46094</v>
      </c>
      <c r="E722" s="1" t="n">
        <v>46218</v>
      </c>
      <c r="F722" t="inlineStr">
        <is>
          <t>GÄVLEBORGS LÄN</t>
        </is>
      </c>
      <c r="G722" t="inlineStr">
        <is>
          <t>OCKELBO</t>
        </is>
      </c>
      <c r="I722" t="n">
        <v>0.5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s="2" t="inlineStr"/>
    </row>
    <row r="723" ht="15" customHeight="1">
      <c r="A723" t="inlineStr">
        <is>
          <t>A 54944-2025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45967</v>
      </c>
      <c r="E723" s="1" t="n">
        <v>46218</v>
      </c>
      <c r="F723" t="inlineStr">
        <is>
          <t>GÄVLEBORGS LÄN</t>
        </is>
      </c>
      <c r="G723" t="inlineStr">
        <is>
          <t>OCKELBO</t>
        </is>
      </c>
      <c r="I723" t="n">
        <v>1.7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s="2" t="inlineStr"/>
    </row>
    <row r="724" ht="15" customHeight="1">
      <c r="A724" t="inlineStr">
        <is>
          <t>A 24952-2026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46174</v>
      </c>
      <c r="E724" s="1" t="n">
        <v>46218</v>
      </c>
      <c r="F724" t="inlineStr">
        <is>
          <t>GÄVLEBORGS LÄN</t>
        </is>
      </c>
      <c r="G724" t="inlineStr">
        <is>
          <t>OCKELBO</t>
        </is>
      </c>
      <c r="I724" t="n">
        <v>7.9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s="2" t="inlineStr"/>
    </row>
    <row r="725" ht="15" customHeight="1">
      <c r="A725" t="inlineStr">
        <is>
          <t>A 13162-2026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46093</v>
      </c>
      <c r="E725" s="1" t="n">
        <v>46218</v>
      </c>
      <c r="F725" t="inlineStr">
        <is>
          <t>GÄVLEBORGS LÄN</t>
        </is>
      </c>
      <c r="G725" t="inlineStr">
        <is>
          <t>OCKELBO</t>
        </is>
      </c>
      <c r="H725" t="inlineStr">
        <is>
          <t>Bergvik skog väst AB</t>
        </is>
      </c>
      <c r="I725" t="n">
        <v>12.1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s="2" t="inlineStr"/>
    </row>
    <row r="726" ht="15" customHeight="1">
      <c r="A726" t="inlineStr">
        <is>
          <t>A 29415-2026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46203</v>
      </c>
      <c r="E726" s="1" t="n">
        <v>46218</v>
      </c>
      <c r="F726" t="inlineStr">
        <is>
          <t>GÄVLEBORGS LÄN</t>
        </is>
      </c>
      <c r="G726" t="inlineStr">
        <is>
          <t>OCKELBO</t>
        </is>
      </c>
      <c r="I726" t="n">
        <v>2.7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s="2" t="inlineStr"/>
    </row>
    <row r="727" ht="15" customHeight="1">
      <c r="A727" t="inlineStr">
        <is>
          <t>A 13882-2026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46098</v>
      </c>
      <c r="E727" s="1" t="n">
        <v>46218</v>
      </c>
      <c r="F727" t="inlineStr">
        <is>
          <t>GÄVLEBORGS LÄN</t>
        </is>
      </c>
      <c r="G727" t="inlineStr">
        <is>
          <t>OCKELBO</t>
        </is>
      </c>
      <c r="H727" t="inlineStr">
        <is>
          <t>Bergvik skog väst AB</t>
        </is>
      </c>
      <c r="I727" t="n">
        <v>1.5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s="2" t="inlineStr"/>
    </row>
    <row r="728" ht="15" customHeight="1">
      <c r="A728" t="inlineStr">
        <is>
          <t>A 13825-2026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46098</v>
      </c>
      <c r="E728" s="1" t="n">
        <v>46218</v>
      </c>
      <c r="F728" t="inlineStr">
        <is>
          <t>GÄVLEBORGS LÄN</t>
        </is>
      </c>
      <c r="G728" t="inlineStr">
        <is>
          <t>OCKELBO</t>
        </is>
      </c>
      <c r="H728" t="inlineStr">
        <is>
          <t>Bergvik skog väst AB</t>
        </is>
      </c>
      <c r="I728" t="n">
        <v>36.6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s="2" t="inlineStr"/>
    </row>
    <row r="729" ht="15" customHeight="1">
      <c r="A729" t="inlineStr">
        <is>
          <t>A 13972-2026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46098</v>
      </c>
      <c r="E729" s="1" t="n">
        <v>46218</v>
      </c>
      <c r="F729" t="inlineStr">
        <is>
          <t>GÄVLEBORGS LÄN</t>
        </is>
      </c>
      <c r="G729" t="inlineStr">
        <is>
          <t>OCKELBO</t>
        </is>
      </c>
      <c r="I729" t="n">
        <v>3.2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s="2" t="inlineStr"/>
    </row>
    <row r="730" ht="15" customHeight="1">
      <c r="A730" t="inlineStr">
        <is>
          <t>A 12947-2026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46092</v>
      </c>
      <c r="E730" s="1" t="n">
        <v>46218</v>
      </c>
      <c r="F730" t="inlineStr">
        <is>
          <t>GÄVLEBORGS LÄN</t>
        </is>
      </c>
      <c r="G730" t="inlineStr">
        <is>
          <t>OCKELBO</t>
        </is>
      </c>
      <c r="I730" t="n">
        <v>1.9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s="2" t="inlineStr"/>
    </row>
    <row r="731" ht="15" customHeight="1">
      <c r="A731" t="inlineStr">
        <is>
          <t>A 24974-2026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46174</v>
      </c>
      <c r="E731" s="1" t="n">
        <v>46218</v>
      </c>
      <c r="F731" t="inlineStr">
        <is>
          <t>GÄVLEBORGS LÄN</t>
        </is>
      </c>
      <c r="G731" t="inlineStr">
        <is>
          <t>OCKELBO</t>
        </is>
      </c>
      <c r="I731" t="n">
        <v>2.6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s="2" t="inlineStr"/>
    </row>
    <row r="732" ht="15" customHeight="1">
      <c r="A732" t="inlineStr">
        <is>
          <t>A 13962-2026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46098</v>
      </c>
      <c r="E732" s="1" t="n">
        <v>46218</v>
      </c>
      <c r="F732" t="inlineStr">
        <is>
          <t>GÄVLEBORGS LÄN</t>
        </is>
      </c>
      <c r="G732" t="inlineStr">
        <is>
          <t>OCKELBO</t>
        </is>
      </c>
      <c r="H732" t="inlineStr">
        <is>
          <t>Bergvik skog väst AB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s="2" t="inlineStr"/>
    </row>
    <row r="733" ht="15" customHeight="1">
      <c r="A733" t="inlineStr">
        <is>
          <t>A 13621-2026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46097</v>
      </c>
      <c r="E733" s="1" t="n">
        <v>46218</v>
      </c>
      <c r="F733" t="inlineStr">
        <is>
          <t>GÄVLEBORGS LÄN</t>
        </is>
      </c>
      <c r="G733" t="inlineStr">
        <is>
          <t>OCKELBO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s="2" t="inlineStr"/>
    </row>
    <row r="734" ht="15" customHeight="1">
      <c r="A734" t="inlineStr">
        <is>
          <t>A 13931-2026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46098</v>
      </c>
      <c r="E734" s="1" t="n">
        <v>46218</v>
      </c>
      <c r="F734" t="inlineStr">
        <is>
          <t>GÄVLEBORGS LÄN</t>
        </is>
      </c>
      <c r="G734" t="inlineStr">
        <is>
          <t>OCKELBO</t>
        </is>
      </c>
      <c r="H734" t="inlineStr">
        <is>
          <t>Bergvik skog väst AB</t>
        </is>
      </c>
      <c r="I734" t="n">
        <v>1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s="2" t="inlineStr"/>
    </row>
    <row r="735" ht="15" customHeight="1">
      <c r="A735" t="inlineStr">
        <is>
          <t>A 13856-2026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46098</v>
      </c>
      <c r="E735" s="1" t="n">
        <v>46218</v>
      </c>
      <c r="F735" t="inlineStr">
        <is>
          <t>GÄVLEBORGS LÄN</t>
        </is>
      </c>
      <c r="G735" t="inlineStr">
        <is>
          <t>OCKELBO</t>
        </is>
      </c>
      <c r="I735" t="n">
        <v>0.6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s="2" t="inlineStr"/>
    </row>
    <row r="736" ht="15" customHeight="1">
      <c r="A736" t="inlineStr">
        <is>
          <t>A 14232-2026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46099</v>
      </c>
      <c r="E736" s="1" t="n">
        <v>46218</v>
      </c>
      <c r="F736" t="inlineStr">
        <is>
          <t>GÄVLEBORGS LÄN</t>
        </is>
      </c>
      <c r="G736" t="inlineStr">
        <is>
          <t>OCKELBO</t>
        </is>
      </c>
      <c r="H736" t="inlineStr">
        <is>
          <t>Bergvik skog väst AB</t>
        </is>
      </c>
      <c r="I736" t="n">
        <v>0.9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s="2" t="inlineStr"/>
    </row>
    <row r="737" ht="15" customHeight="1">
      <c r="A737" t="inlineStr">
        <is>
          <t>A 24624-2026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46171</v>
      </c>
      <c r="E737" s="1" t="n">
        <v>46218</v>
      </c>
      <c r="F737" t="inlineStr">
        <is>
          <t>GÄVLEBORGS LÄN</t>
        </is>
      </c>
      <c r="G737" t="inlineStr">
        <is>
          <t>OCKELBO</t>
        </is>
      </c>
      <c r="I737" t="n">
        <v>3.6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s="2" t="inlineStr"/>
    </row>
    <row r="738" ht="15" customHeight="1">
      <c r="A738" t="inlineStr">
        <is>
          <t>A 14419-2026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46100</v>
      </c>
      <c r="E738" s="1" t="n">
        <v>46218</v>
      </c>
      <c r="F738" t="inlineStr">
        <is>
          <t>GÄVLEBORGS LÄN</t>
        </is>
      </c>
      <c r="G738" t="inlineStr">
        <is>
          <t>OCKELBO</t>
        </is>
      </c>
      <c r="H738" t="inlineStr">
        <is>
          <t>Bergvik skog väst AB</t>
        </is>
      </c>
      <c r="I738" t="n">
        <v>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s="2" t="inlineStr"/>
    </row>
    <row r="739" ht="15" customHeight="1">
      <c r="A739" t="inlineStr">
        <is>
          <t>A 25128-2026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46175</v>
      </c>
      <c r="E739" s="1" t="n">
        <v>46218</v>
      </c>
      <c r="F739" t="inlineStr">
        <is>
          <t>GÄVLEBORGS LÄN</t>
        </is>
      </c>
      <c r="G739" t="inlineStr">
        <is>
          <t>OCKELBO</t>
        </is>
      </c>
      <c r="H739" t="inlineStr">
        <is>
          <t>Bergvik skog väst AB</t>
        </is>
      </c>
      <c r="I739" t="n">
        <v>0.4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s="2" t="inlineStr"/>
    </row>
    <row r="740" ht="15" customHeight="1">
      <c r="A740" t="inlineStr">
        <is>
          <t>A 25133-2026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46175</v>
      </c>
      <c r="E740" s="1" t="n">
        <v>46218</v>
      </c>
      <c r="F740" t="inlineStr">
        <is>
          <t>GÄVLEBORGS LÄN</t>
        </is>
      </c>
      <c r="G740" t="inlineStr">
        <is>
          <t>OCKELBO</t>
        </is>
      </c>
      <c r="H740" t="inlineStr">
        <is>
          <t>Bergvik skog väst AB</t>
        </is>
      </c>
      <c r="I740" t="n">
        <v>0.5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s="2" t="inlineStr"/>
    </row>
    <row r="741" ht="15" customHeight="1">
      <c r="A741" t="inlineStr">
        <is>
          <t>A 14037-2026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46098</v>
      </c>
      <c r="E741" s="1" t="n">
        <v>46218</v>
      </c>
      <c r="F741" t="inlineStr">
        <is>
          <t>GÄVLEBORGS LÄN</t>
        </is>
      </c>
      <c r="G741" t="inlineStr">
        <is>
          <t>OCKELBO</t>
        </is>
      </c>
      <c r="H741" t="inlineStr">
        <is>
          <t>Bergvik skog väst AB</t>
        </is>
      </c>
      <c r="I741" t="n">
        <v>0.9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s="2" t="inlineStr"/>
    </row>
    <row r="742" ht="15" customHeight="1">
      <c r="A742" t="inlineStr">
        <is>
          <t>A 14038-2026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46098</v>
      </c>
      <c r="E742" s="1" t="n">
        <v>46218</v>
      </c>
      <c r="F742" t="inlineStr">
        <is>
          <t>GÄVLEBORGS LÄN</t>
        </is>
      </c>
      <c r="G742" t="inlineStr">
        <is>
          <t>OCKELBO</t>
        </is>
      </c>
      <c r="H742" t="inlineStr">
        <is>
          <t>Bergvik skog väst AB</t>
        </is>
      </c>
      <c r="I742" t="n">
        <v>4.9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s="2" t="inlineStr"/>
    </row>
    <row r="743" ht="15" customHeight="1">
      <c r="A743" t="inlineStr">
        <is>
          <t>A 14439-2026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46100</v>
      </c>
      <c r="E743" s="1" t="n">
        <v>46218</v>
      </c>
      <c r="F743" t="inlineStr">
        <is>
          <t>GÄVLEBORGS LÄN</t>
        </is>
      </c>
      <c r="G743" t="inlineStr">
        <is>
          <t>OCKELBO</t>
        </is>
      </c>
      <c r="I743" t="n">
        <v>1.5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s="2" t="inlineStr"/>
    </row>
    <row r="744" ht="15" customHeight="1">
      <c r="A744" t="inlineStr">
        <is>
          <t>A 14441-2026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46100</v>
      </c>
      <c r="E744" s="1" t="n">
        <v>46218</v>
      </c>
      <c r="F744" t="inlineStr">
        <is>
          <t>GÄVLEBORGS LÄN</t>
        </is>
      </c>
      <c r="G744" t="inlineStr">
        <is>
          <t>OCKELBO</t>
        </is>
      </c>
      <c r="I744" t="n">
        <v>1.6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s="2" t="inlineStr"/>
    </row>
    <row r="745" ht="15" customHeight="1">
      <c r="A745" t="inlineStr">
        <is>
          <t>A 14100-2026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46099</v>
      </c>
      <c r="E745" s="1" t="n">
        <v>46218</v>
      </c>
      <c r="F745" t="inlineStr">
        <is>
          <t>GÄVLEBORGS LÄN</t>
        </is>
      </c>
      <c r="G745" t="inlineStr">
        <is>
          <t>OCKELBO</t>
        </is>
      </c>
      <c r="H745" t="inlineStr">
        <is>
          <t>Bergvik skog väst AB</t>
        </is>
      </c>
      <c r="I745" t="n">
        <v>5.7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s="2" t="inlineStr"/>
    </row>
    <row r="746" ht="15" customHeight="1">
      <c r="A746" t="inlineStr">
        <is>
          <t>A 15018-2026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46104</v>
      </c>
      <c r="E746" s="1" t="n">
        <v>46218</v>
      </c>
      <c r="F746" t="inlineStr">
        <is>
          <t>GÄVLEBORGS LÄN</t>
        </is>
      </c>
      <c r="G746" t="inlineStr">
        <is>
          <t>OCKELBO</t>
        </is>
      </c>
      <c r="H746" t="inlineStr">
        <is>
          <t>Bergvik skog väst AB</t>
        </is>
      </c>
      <c r="I746" t="n">
        <v>1.1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s="2" t="inlineStr"/>
    </row>
    <row r="747" ht="15" customHeight="1">
      <c r="A747" t="inlineStr">
        <is>
          <t>A 14827-2026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46104</v>
      </c>
      <c r="E747" s="1" t="n">
        <v>46218</v>
      </c>
      <c r="F747" t="inlineStr">
        <is>
          <t>GÄVLEBORGS LÄN</t>
        </is>
      </c>
      <c r="G747" t="inlineStr">
        <is>
          <t>OCKELBO</t>
        </is>
      </c>
      <c r="I747" t="n">
        <v>4.6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s="2" t="inlineStr"/>
    </row>
    <row r="748" ht="15" customHeight="1">
      <c r="A748" t="inlineStr">
        <is>
          <t>A 14973-2026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46104</v>
      </c>
      <c r="E748" s="1" t="n">
        <v>46218</v>
      </c>
      <c r="F748" t="inlineStr">
        <is>
          <t>GÄVLEBORGS LÄN</t>
        </is>
      </c>
      <c r="G748" t="inlineStr">
        <is>
          <t>OCKELBO</t>
        </is>
      </c>
      <c r="I748" t="n">
        <v>0.9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s="2" t="inlineStr"/>
    </row>
    <row r="749" ht="15" customHeight="1">
      <c r="A749" t="inlineStr">
        <is>
          <t>A 15052-2026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46104</v>
      </c>
      <c r="E749" s="1" t="n">
        <v>46218</v>
      </c>
      <c r="F749" t="inlineStr">
        <is>
          <t>GÄVLEBORGS LÄN</t>
        </is>
      </c>
      <c r="G749" t="inlineStr">
        <is>
          <t>OCKELBO</t>
        </is>
      </c>
      <c r="H749" t="inlineStr">
        <is>
          <t>Bergvik skog väst AB</t>
        </is>
      </c>
      <c r="I749" t="n">
        <v>0.9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s="2" t="inlineStr"/>
    </row>
    <row r="750" ht="15" customHeight="1">
      <c r="A750" t="inlineStr">
        <is>
          <t>A 15043-2026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46104</v>
      </c>
      <c r="E750" s="1" t="n">
        <v>46218</v>
      </c>
      <c r="F750" t="inlineStr">
        <is>
          <t>GÄVLEBORGS LÄN</t>
        </is>
      </c>
      <c r="G750" t="inlineStr">
        <is>
          <t>OCKELBO</t>
        </is>
      </c>
      <c r="H750" t="inlineStr">
        <is>
          <t>Bergvik skog väst AB</t>
        </is>
      </c>
      <c r="I750" t="n">
        <v>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s="2" t="inlineStr"/>
    </row>
    <row r="751" ht="15" customHeight="1">
      <c r="A751" t="inlineStr">
        <is>
          <t>A 14684-2026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46101</v>
      </c>
      <c r="E751" s="1" t="n">
        <v>46218</v>
      </c>
      <c r="F751" t="inlineStr">
        <is>
          <t>GÄVLEBORGS LÄN</t>
        </is>
      </c>
      <c r="G751" t="inlineStr">
        <is>
          <t>OCKELBO</t>
        </is>
      </c>
      <c r="H751" t="inlineStr">
        <is>
          <t>Bergvik skog väst AB</t>
        </is>
      </c>
      <c r="I751" t="n">
        <v>2.4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s="2" t="inlineStr"/>
    </row>
    <row r="752" ht="15" customHeight="1">
      <c r="A752" t="inlineStr">
        <is>
          <t>A 15029-2026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46104</v>
      </c>
      <c r="E752" s="1" t="n">
        <v>46218</v>
      </c>
      <c r="F752" t="inlineStr">
        <is>
          <t>GÄVLEBORGS LÄN</t>
        </is>
      </c>
      <c r="G752" t="inlineStr">
        <is>
          <t>OCKELBO</t>
        </is>
      </c>
      <c r="H752" t="inlineStr">
        <is>
          <t>Bergvik skog väst AB</t>
        </is>
      </c>
      <c r="I752" t="n">
        <v>34.1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s="2" t="inlineStr"/>
    </row>
    <row r="753" ht="15" customHeight="1">
      <c r="A753" t="inlineStr">
        <is>
          <t>A 14972-2026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46104</v>
      </c>
      <c r="E753" s="1" t="n">
        <v>46218</v>
      </c>
      <c r="F753" t="inlineStr">
        <is>
          <t>GÄVLEBORGS LÄN</t>
        </is>
      </c>
      <c r="G753" t="inlineStr">
        <is>
          <t>OCKELBO</t>
        </is>
      </c>
      <c r="I753" t="n">
        <v>2.3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s="2" t="inlineStr"/>
    </row>
    <row r="754" ht="15" customHeight="1">
      <c r="A754" t="inlineStr">
        <is>
          <t>A 15067-2026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46104</v>
      </c>
      <c r="E754" s="1" t="n">
        <v>46218</v>
      </c>
      <c r="F754" t="inlineStr">
        <is>
          <t>GÄVLEBORGS LÄN</t>
        </is>
      </c>
      <c r="G754" t="inlineStr">
        <is>
          <t>OCKELBO</t>
        </is>
      </c>
      <c r="H754" t="inlineStr">
        <is>
          <t>Bergvik skog väst AB</t>
        </is>
      </c>
      <c r="I754" t="n">
        <v>0.7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s="2" t="inlineStr"/>
    </row>
    <row r="755" ht="15" customHeight="1">
      <c r="A755" t="inlineStr">
        <is>
          <t>A 14756-2026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46101</v>
      </c>
      <c r="E755" s="1" t="n">
        <v>46218</v>
      </c>
      <c r="F755" t="inlineStr">
        <is>
          <t>GÄVLEBORGS LÄN</t>
        </is>
      </c>
      <c r="G755" t="inlineStr">
        <is>
          <t>OCKELBO</t>
        </is>
      </c>
      <c r="H755" t="inlineStr">
        <is>
          <t>Bergvik skog väst AB</t>
        </is>
      </c>
      <c r="I755" t="n">
        <v>1.5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s="2" t="inlineStr"/>
    </row>
    <row r="756" ht="15" customHeight="1">
      <c r="A756" t="inlineStr">
        <is>
          <t>A 15042-2026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46104</v>
      </c>
      <c r="E756" s="1" t="n">
        <v>46218</v>
      </c>
      <c r="F756" t="inlineStr">
        <is>
          <t>GÄVLEBORGS LÄN</t>
        </is>
      </c>
      <c r="G756" t="inlineStr">
        <is>
          <t>OCKELBO</t>
        </is>
      </c>
      <c r="H756" t="inlineStr">
        <is>
          <t>Bergvik skog väst AB</t>
        </is>
      </c>
      <c r="I756" t="n">
        <v>6.2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s="2" t="inlineStr"/>
    </row>
    <row r="757" ht="15" customHeight="1">
      <c r="A757" t="inlineStr">
        <is>
          <t>A 15648-2026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46106</v>
      </c>
      <c r="E757" s="1" t="n">
        <v>46218</v>
      </c>
      <c r="F757" t="inlineStr">
        <is>
          <t>GÄVLEBORGS LÄN</t>
        </is>
      </c>
      <c r="G757" t="inlineStr">
        <is>
          <t>OCKELBO</t>
        </is>
      </c>
      <c r="H757" t="inlineStr">
        <is>
          <t>Bergvik skog väst AB</t>
        </is>
      </c>
      <c r="I757" t="n">
        <v>3.1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s="2" t="inlineStr"/>
    </row>
    <row r="758" ht="15" customHeight="1">
      <c r="A758" t="inlineStr">
        <is>
          <t>A 15575-2026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46106</v>
      </c>
      <c r="E758" s="1" t="n">
        <v>46218</v>
      </c>
      <c r="F758" t="inlineStr">
        <is>
          <t>GÄVLEBORGS LÄN</t>
        </is>
      </c>
      <c r="G758" t="inlineStr">
        <is>
          <t>OCKELBO</t>
        </is>
      </c>
      <c r="I758" t="n">
        <v>1.4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s="2" t="inlineStr"/>
    </row>
    <row r="759" ht="15" customHeight="1">
      <c r="A759" t="inlineStr">
        <is>
          <t>A 15572-2026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46106</v>
      </c>
      <c r="E759" s="1" t="n">
        <v>46218</v>
      </c>
      <c r="F759" t="inlineStr">
        <is>
          <t>GÄVLEBORGS LÄN</t>
        </is>
      </c>
      <c r="G759" t="inlineStr">
        <is>
          <t>OCKELBO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s="2" t="inlineStr"/>
    </row>
    <row r="760" ht="15" customHeight="1">
      <c r="A760" t="inlineStr">
        <is>
          <t>A 14168-2026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46099</v>
      </c>
      <c r="E760" s="1" t="n">
        <v>46218</v>
      </c>
      <c r="F760" t="inlineStr">
        <is>
          <t>GÄVLEBORGS LÄN</t>
        </is>
      </c>
      <c r="G760" t="inlineStr">
        <is>
          <t>OCKELBO</t>
        </is>
      </c>
      <c r="H760" t="inlineStr">
        <is>
          <t>Bergvik skog väst AB</t>
        </is>
      </c>
      <c r="I760" t="n">
        <v>1.1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s="2" t="inlineStr"/>
    </row>
    <row r="761" ht="15" customHeight="1">
      <c r="A761" t="inlineStr">
        <is>
          <t>A 14169-2026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46099</v>
      </c>
      <c r="E761" s="1" t="n">
        <v>46218</v>
      </c>
      <c r="F761" t="inlineStr">
        <is>
          <t>GÄVLEBORGS LÄN</t>
        </is>
      </c>
      <c r="G761" t="inlineStr">
        <is>
          <t>OCKELBO</t>
        </is>
      </c>
      <c r="H761" t="inlineStr">
        <is>
          <t>Bergvik skog väst AB</t>
        </is>
      </c>
      <c r="I761" t="n">
        <v>1.3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s="2" t="inlineStr"/>
    </row>
    <row r="762" ht="15" customHeight="1">
      <c r="A762" t="inlineStr">
        <is>
          <t>A 15151-2026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46105</v>
      </c>
      <c r="E762" s="1" t="n">
        <v>46218</v>
      </c>
      <c r="F762" t="inlineStr">
        <is>
          <t>GÄVLEBORGS LÄN</t>
        </is>
      </c>
      <c r="G762" t="inlineStr">
        <is>
          <t>OCKELBO</t>
        </is>
      </c>
      <c r="H762" t="inlineStr">
        <is>
          <t>Bergvik skog öst AB</t>
        </is>
      </c>
      <c r="I762" t="n">
        <v>9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s="2" t="inlineStr"/>
    </row>
    <row r="763" ht="15" customHeight="1">
      <c r="A763" t="inlineStr">
        <is>
          <t>A 15795-2026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46107</v>
      </c>
      <c r="E763" s="1" t="n">
        <v>46218</v>
      </c>
      <c r="F763" t="inlineStr">
        <is>
          <t>GÄVLEBORGS LÄN</t>
        </is>
      </c>
      <c r="G763" t="inlineStr">
        <is>
          <t>OCKELBO</t>
        </is>
      </c>
      <c r="H763" t="inlineStr">
        <is>
          <t>Bergvik skog väst AB</t>
        </is>
      </c>
      <c r="I763" t="n">
        <v>0.5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s="2" t="inlineStr"/>
    </row>
    <row r="764" ht="15" customHeight="1">
      <c r="A764" t="inlineStr">
        <is>
          <t>A 15678-2026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46106</v>
      </c>
      <c r="E764" s="1" t="n">
        <v>46218</v>
      </c>
      <c r="F764" t="inlineStr">
        <is>
          <t>GÄVLEBORGS LÄN</t>
        </is>
      </c>
      <c r="G764" t="inlineStr">
        <is>
          <t>OCKELBO</t>
        </is>
      </c>
      <c r="H764" t="inlineStr">
        <is>
          <t>Bergvik skog väst AB</t>
        </is>
      </c>
      <c r="I764" t="n">
        <v>15.4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s="2" t="inlineStr"/>
    </row>
    <row r="765" ht="15" customHeight="1">
      <c r="A765" t="inlineStr">
        <is>
          <t>A 15679-2026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46106</v>
      </c>
      <c r="E765" s="1" t="n">
        <v>46218</v>
      </c>
      <c r="F765" t="inlineStr">
        <is>
          <t>GÄVLEBORGS LÄN</t>
        </is>
      </c>
      <c r="G765" t="inlineStr">
        <is>
          <t>OCKELBO</t>
        </is>
      </c>
      <c r="H765" t="inlineStr">
        <is>
          <t>Bergvik skog väst AB</t>
        </is>
      </c>
      <c r="I765" t="n">
        <v>6.2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s="2" t="inlineStr"/>
    </row>
    <row r="766" ht="15" customHeight="1">
      <c r="A766" t="inlineStr">
        <is>
          <t>A 15782-2026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46107</v>
      </c>
      <c r="E766" s="1" t="n">
        <v>46218</v>
      </c>
      <c r="F766" t="inlineStr">
        <is>
          <t>GÄVLEBORGS LÄN</t>
        </is>
      </c>
      <c r="G766" t="inlineStr">
        <is>
          <t>OCKELBO</t>
        </is>
      </c>
      <c r="H766" t="inlineStr">
        <is>
          <t>Bergvik skog väst AB</t>
        </is>
      </c>
      <c r="I766" t="n">
        <v>3.8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s="2" t="inlineStr"/>
    </row>
    <row r="767" ht="15" customHeight="1">
      <c r="A767" t="inlineStr">
        <is>
          <t>A 16006-2026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46108</v>
      </c>
      <c r="E767" s="1" t="n">
        <v>46218</v>
      </c>
      <c r="F767" t="inlineStr">
        <is>
          <t>GÄVLEBORGS LÄN</t>
        </is>
      </c>
      <c r="G767" t="inlineStr">
        <is>
          <t>OCKELBO</t>
        </is>
      </c>
      <c r="H767" t="inlineStr">
        <is>
          <t>Bergvik skog väst AB</t>
        </is>
      </c>
      <c r="I767" t="n">
        <v>9.699999999999999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s="2" t="inlineStr"/>
    </row>
    <row r="768" ht="15" customHeight="1">
      <c r="A768" t="inlineStr">
        <is>
          <t>A 16054-2026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46108</v>
      </c>
      <c r="E768" s="1" t="n">
        <v>46218</v>
      </c>
      <c r="F768" t="inlineStr">
        <is>
          <t>GÄVLEBORGS LÄN</t>
        </is>
      </c>
      <c r="G768" t="inlineStr">
        <is>
          <t>OCKELBO</t>
        </is>
      </c>
      <c r="H768" t="inlineStr">
        <is>
          <t>Bergvik skog väst AB</t>
        </is>
      </c>
      <c r="I768" t="n">
        <v>12.3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s="2" t="inlineStr"/>
    </row>
    <row r="769" ht="15" customHeight="1">
      <c r="A769" t="inlineStr">
        <is>
          <t>A 16296-2026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46111</v>
      </c>
      <c r="E769" s="1" t="n">
        <v>46218</v>
      </c>
      <c r="F769" t="inlineStr">
        <is>
          <t>GÄVLEBORGS LÄN</t>
        </is>
      </c>
      <c r="G769" t="inlineStr">
        <is>
          <t>OCKELBO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s="2" t="inlineStr"/>
    </row>
    <row r="770" ht="15" customHeight="1">
      <c r="A770" t="inlineStr">
        <is>
          <t>A 16419-2026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46111</v>
      </c>
      <c r="E770" s="1" t="n">
        <v>46218</v>
      </c>
      <c r="F770" t="inlineStr">
        <is>
          <t>GÄVLEBORGS LÄN</t>
        </is>
      </c>
      <c r="G770" t="inlineStr">
        <is>
          <t>OCKELBO</t>
        </is>
      </c>
      <c r="H770" t="inlineStr">
        <is>
          <t>Bergvik skog väst AB</t>
        </is>
      </c>
      <c r="I770" t="n">
        <v>0.7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s="2" t="inlineStr"/>
    </row>
    <row r="771" ht="15" customHeight="1">
      <c r="A771" t="inlineStr">
        <is>
          <t>A 16535-2026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46112</v>
      </c>
      <c r="E771" s="1" t="n">
        <v>46218</v>
      </c>
      <c r="F771" t="inlineStr">
        <is>
          <t>GÄVLEBORGS LÄN</t>
        </is>
      </c>
      <c r="G771" t="inlineStr">
        <is>
          <t>OCKELBO</t>
        </is>
      </c>
      <c r="H771" t="inlineStr">
        <is>
          <t>Bergvik skog väst AB</t>
        </is>
      </c>
      <c r="I771" t="n">
        <v>14.3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s="2" t="inlineStr"/>
    </row>
    <row r="772" ht="15" customHeight="1">
      <c r="A772" t="inlineStr">
        <is>
          <t>A 16667-2026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46112</v>
      </c>
      <c r="E772" s="1" t="n">
        <v>46218</v>
      </c>
      <c r="F772" t="inlineStr">
        <is>
          <t>GÄVLEBORGS LÄN</t>
        </is>
      </c>
      <c r="G772" t="inlineStr">
        <is>
          <t>OCKELBO</t>
        </is>
      </c>
      <c r="H772" t="inlineStr">
        <is>
          <t>Bergvik skog väst AB</t>
        </is>
      </c>
      <c r="I772" t="n">
        <v>3.7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s="2" t="inlineStr"/>
    </row>
    <row r="773" ht="15" customHeight="1">
      <c r="A773" t="inlineStr">
        <is>
          <t>A 16481-2026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46112</v>
      </c>
      <c r="E773" s="1" t="n">
        <v>46218</v>
      </c>
      <c r="F773" t="inlineStr">
        <is>
          <t>GÄVLEBORGS LÄN</t>
        </is>
      </c>
      <c r="G773" t="inlineStr">
        <is>
          <t>OCKELBO</t>
        </is>
      </c>
      <c r="H773" t="inlineStr">
        <is>
          <t>Bergvik skog väst AB</t>
        </is>
      </c>
      <c r="I773" t="n">
        <v>0.9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s="2" t="inlineStr"/>
    </row>
    <row r="774" ht="15" customHeight="1">
      <c r="A774" t="inlineStr">
        <is>
          <t>A 16388-2026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46111</v>
      </c>
      <c r="E774" s="1" t="n">
        <v>46218</v>
      </c>
      <c r="F774" t="inlineStr">
        <is>
          <t>GÄVLEBORGS LÄN</t>
        </is>
      </c>
      <c r="G774" t="inlineStr">
        <is>
          <t>OCKELBO</t>
        </is>
      </c>
      <c r="I774" t="n">
        <v>3.2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s="2" t="inlineStr"/>
    </row>
    <row r="775" ht="15" customHeight="1">
      <c r="A775" t="inlineStr">
        <is>
          <t>A 17113-2026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46114</v>
      </c>
      <c r="E775" s="1" t="n">
        <v>46218</v>
      </c>
      <c r="F775" t="inlineStr">
        <is>
          <t>GÄVLEBORGS LÄN</t>
        </is>
      </c>
      <c r="G775" t="inlineStr">
        <is>
          <t>OCKELBO</t>
        </is>
      </c>
      <c r="H775" t="inlineStr">
        <is>
          <t>Bergvik skog väst AB</t>
        </is>
      </c>
      <c r="I775" t="n">
        <v>9.1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s="2" t="inlineStr"/>
    </row>
    <row r="776" ht="15" customHeight="1">
      <c r="A776" t="inlineStr">
        <is>
          <t>A 16981-2026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46114</v>
      </c>
      <c r="E776" s="1" t="n">
        <v>46218</v>
      </c>
      <c r="F776" t="inlineStr">
        <is>
          <t>GÄVLEBORGS LÄN</t>
        </is>
      </c>
      <c r="G776" t="inlineStr">
        <is>
          <t>OCKELBO</t>
        </is>
      </c>
      <c r="H776" t="inlineStr">
        <is>
          <t>Bergvik skog väst AB</t>
        </is>
      </c>
      <c r="I776" t="n">
        <v>9.4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s="2" t="inlineStr"/>
    </row>
    <row r="777" ht="15" customHeight="1">
      <c r="A777" t="inlineStr">
        <is>
          <t>A 16991-2026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46114</v>
      </c>
      <c r="E777" s="1" t="n">
        <v>46218</v>
      </c>
      <c r="F777" t="inlineStr">
        <is>
          <t>GÄVLEBORGS LÄN</t>
        </is>
      </c>
      <c r="G777" t="inlineStr">
        <is>
          <t>OCKELBO</t>
        </is>
      </c>
      <c r="I777" t="n">
        <v>4.4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s="2" t="inlineStr"/>
    </row>
    <row r="778" ht="15" customHeight="1">
      <c r="A778" t="inlineStr">
        <is>
          <t>A 17112-2026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46114</v>
      </c>
      <c r="E778" s="1" t="n">
        <v>46218</v>
      </c>
      <c r="F778" t="inlineStr">
        <is>
          <t>GÄVLEBORGS LÄN</t>
        </is>
      </c>
      <c r="G778" t="inlineStr">
        <is>
          <t>OCKELBO</t>
        </is>
      </c>
      <c r="H778" t="inlineStr">
        <is>
          <t>Bergvik skog väst AB</t>
        </is>
      </c>
      <c r="I778" t="n">
        <v>16.3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s="2" t="inlineStr"/>
    </row>
    <row r="779" ht="15" customHeight="1">
      <c r="A779" t="inlineStr">
        <is>
          <t>A 17115-2026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46114</v>
      </c>
      <c r="E779" s="1" t="n">
        <v>46218</v>
      </c>
      <c r="F779" t="inlineStr">
        <is>
          <t>GÄVLEBORGS LÄN</t>
        </is>
      </c>
      <c r="G779" t="inlineStr">
        <is>
          <t>OCKELBO</t>
        </is>
      </c>
      <c r="H779" t="inlineStr">
        <is>
          <t>Bergvik skog väst AB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s="2" t="inlineStr"/>
    </row>
    <row r="780" ht="15" customHeight="1">
      <c r="A780" t="inlineStr">
        <is>
          <t>A 16989-2026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46114</v>
      </c>
      <c r="E780" s="1" t="n">
        <v>46218</v>
      </c>
      <c r="F780" t="inlineStr">
        <is>
          <t>GÄVLEBORGS LÄN</t>
        </is>
      </c>
      <c r="G780" t="inlineStr">
        <is>
          <t>OCKELBO</t>
        </is>
      </c>
      <c r="I780" t="n">
        <v>1.8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s="2" t="inlineStr"/>
    </row>
    <row r="781" ht="15" customHeight="1">
      <c r="A781" t="inlineStr">
        <is>
          <t>A 13428-2026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46094</v>
      </c>
      <c r="E781" s="1" t="n">
        <v>46218</v>
      </c>
      <c r="F781" t="inlineStr">
        <is>
          <t>GÄVLEBORGS LÄN</t>
        </is>
      </c>
      <c r="G781" t="inlineStr">
        <is>
          <t>OCKELBO</t>
        </is>
      </c>
      <c r="H781" t="inlineStr">
        <is>
          <t>Bergvik skog väst AB</t>
        </is>
      </c>
      <c r="I781" t="n">
        <v>0.5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s="2" t="inlineStr"/>
    </row>
    <row r="782" ht="15" customHeight="1">
      <c r="A782" t="inlineStr">
        <is>
          <t>A 10268-2026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46076</v>
      </c>
      <c r="E782" s="1" t="n">
        <v>46218</v>
      </c>
      <c r="F782" t="inlineStr">
        <is>
          <t>GÄVLEBORGS LÄN</t>
        </is>
      </c>
      <c r="G782" t="inlineStr">
        <is>
          <t>OCKELBO</t>
        </is>
      </c>
      <c r="H782" t="inlineStr">
        <is>
          <t>Bergvik skog öst AB</t>
        </is>
      </c>
      <c r="I782" t="n">
        <v>7.7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s="2" t="inlineStr"/>
    </row>
    <row r="783" ht="15" customHeight="1">
      <c r="A783" t="inlineStr">
        <is>
          <t>A 10290-2026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46076</v>
      </c>
      <c r="E783" s="1" t="n">
        <v>46218</v>
      </c>
      <c r="F783" t="inlineStr">
        <is>
          <t>GÄVLEBORGS LÄN</t>
        </is>
      </c>
      <c r="G783" t="inlineStr">
        <is>
          <t>OCKELBO</t>
        </is>
      </c>
      <c r="H783" t="inlineStr">
        <is>
          <t>Bergvik skog öst AB</t>
        </is>
      </c>
      <c r="I783" t="n">
        <v>0.6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s="2" t="inlineStr"/>
    </row>
    <row r="784" ht="15" customHeight="1">
      <c r="A784" t="inlineStr">
        <is>
          <t>A 10457-2026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46077</v>
      </c>
      <c r="E784" s="1" t="n">
        <v>46218</v>
      </c>
      <c r="F784" t="inlineStr">
        <is>
          <t>GÄVLEBORGS LÄN</t>
        </is>
      </c>
      <c r="G784" t="inlineStr">
        <is>
          <t>OCKELBO</t>
        </is>
      </c>
      <c r="H784" t="inlineStr">
        <is>
          <t>Bergvik skog öst AB</t>
        </is>
      </c>
      <c r="I784" t="n">
        <v>6.5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s="2" t="inlineStr"/>
    </row>
    <row r="785" ht="15" customHeight="1">
      <c r="A785" t="inlineStr">
        <is>
          <t>A 17224-2026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46119</v>
      </c>
      <c r="E785" s="1" t="n">
        <v>46218</v>
      </c>
      <c r="F785" t="inlineStr">
        <is>
          <t>GÄVLEBORGS LÄN</t>
        </is>
      </c>
      <c r="G785" t="inlineStr">
        <is>
          <t>OCKELBO</t>
        </is>
      </c>
      <c r="I785" t="n">
        <v>3.3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s="2" t="inlineStr"/>
    </row>
    <row r="786" ht="15" customHeight="1">
      <c r="A786" t="inlineStr">
        <is>
          <t>A 10326-2026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46076</v>
      </c>
      <c r="E786" s="1" t="n">
        <v>46218</v>
      </c>
      <c r="F786" t="inlineStr">
        <is>
          <t>GÄVLEBORGS LÄN</t>
        </is>
      </c>
      <c r="G786" t="inlineStr">
        <is>
          <t>OCKELBO</t>
        </is>
      </c>
      <c r="H786" t="inlineStr">
        <is>
          <t>Bergvik skog öst AB</t>
        </is>
      </c>
      <c r="I786" t="n">
        <v>3.4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s="2" t="inlineStr"/>
    </row>
    <row r="787" ht="15" customHeight="1">
      <c r="A787" t="inlineStr">
        <is>
          <t>A 17241-2026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46119</v>
      </c>
      <c r="E787" s="1" t="n">
        <v>46218</v>
      </c>
      <c r="F787" t="inlineStr">
        <is>
          <t>GÄVLEBORGS LÄN</t>
        </is>
      </c>
      <c r="G787" t="inlineStr">
        <is>
          <t>OCKELBO</t>
        </is>
      </c>
      <c r="H787" t="inlineStr">
        <is>
          <t>Bergvik skog väst AB</t>
        </is>
      </c>
      <c r="I787" t="n">
        <v>2.5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s="2" t="inlineStr"/>
    </row>
    <row r="788" ht="15" customHeight="1">
      <c r="A788" t="inlineStr">
        <is>
          <t>A 17202-2026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46118</v>
      </c>
      <c r="E788" s="1" t="n">
        <v>46218</v>
      </c>
      <c r="F788" t="inlineStr">
        <is>
          <t>GÄVLEBORGS LÄN</t>
        </is>
      </c>
      <c r="G788" t="inlineStr">
        <is>
          <t>OCKELBO</t>
        </is>
      </c>
      <c r="I788" t="n">
        <v>0.6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s="2" t="inlineStr"/>
    </row>
    <row r="789" ht="15" customHeight="1">
      <c r="A789" t="inlineStr">
        <is>
          <t>A 10309-2026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46076</v>
      </c>
      <c r="E789" s="1" t="n">
        <v>46218</v>
      </c>
      <c r="F789" t="inlineStr">
        <is>
          <t>GÄVLEBORGS LÄN</t>
        </is>
      </c>
      <c r="G789" t="inlineStr">
        <is>
          <t>OCKELBO</t>
        </is>
      </c>
      <c r="H789" t="inlineStr">
        <is>
          <t>Bergvik skog öst AB</t>
        </is>
      </c>
      <c r="I789" t="n">
        <v>1.7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s="2" t="inlineStr"/>
    </row>
    <row r="790" ht="15" customHeight="1">
      <c r="A790" t="inlineStr">
        <is>
          <t>A 17709-2026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46121</v>
      </c>
      <c r="E790" s="1" t="n">
        <v>46218</v>
      </c>
      <c r="F790" t="inlineStr">
        <is>
          <t>GÄVLEBORGS LÄN</t>
        </is>
      </c>
      <c r="G790" t="inlineStr">
        <is>
          <t>OCKELBO</t>
        </is>
      </c>
      <c r="I790" t="n">
        <v>2.4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s="2" t="inlineStr"/>
    </row>
    <row r="791" ht="15" customHeight="1">
      <c r="A791" t="inlineStr">
        <is>
          <t>A 17589-2026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46121</v>
      </c>
      <c r="E791" s="1" t="n">
        <v>46218</v>
      </c>
      <c r="F791" t="inlineStr">
        <is>
          <t>GÄVLEBORGS LÄN</t>
        </is>
      </c>
      <c r="G791" t="inlineStr">
        <is>
          <t>OCKELBO</t>
        </is>
      </c>
      <c r="I791" t="n">
        <v>1.8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s="2" t="inlineStr"/>
    </row>
    <row r="792" ht="15" customHeight="1">
      <c r="A792" t="inlineStr">
        <is>
          <t>A 17600-2026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46121</v>
      </c>
      <c r="E792" s="1" t="n">
        <v>46218</v>
      </c>
      <c r="F792" t="inlineStr">
        <is>
          <t>GÄVLEBORGS LÄN</t>
        </is>
      </c>
      <c r="G792" t="inlineStr">
        <is>
          <t>OCKELBO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s="2" t="inlineStr"/>
    </row>
    <row r="793" ht="15" customHeight="1">
      <c r="A793" t="inlineStr">
        <is>
          <t>A 18260-2026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46126</v>
      </c>
      <c r="E793" s="1" t="n">
        <v>46218</v>
      </c>
      <c r="F793" t="inlineStr">
        <is>
          <t>GÄVLEBORGS LÄN</t>
        </is>
      </c>
      <c r="G793" t="inlineStr">
        <is>
          <t>OCKELBO</t>
        </is>
      </c>
      <c r="H793" t="inlineStr">
        <is>
          <t>Bergvik skog väst AB</t>
        </is>
      </c>
      <c r="I793" t="n">
        <v>2.4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s="2" t="inlineStr"/>
    </row>
    <row r="794" ht="15" customHeight="1">
      <c r="A794" t="inlineStr">
        <is>
          <t>A 5240-2026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46049</v>
      </c>
      <c r="E794" s="1" t="n">
        <v>46218</v>
      </c>
      <c r="F794" t="inlineStr">
        <is>
          <t>GÄVLEBORGS LÄN</t>
        </is>
      </c>
      <c r="G794" t="inlineStr">
        <is>
          <t>OCKELBO</t>
        </is>
      </c>
      <c r="I794" t="n">
        <v>2.3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s="2" t="inlineStr"/>
    </row>
    <row r="795" ht="15" customHeight="1">
      <c r="A795" t="inlineStr">
        <is>
          <t>A 18133-2026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46125</v>
      </c>
      <c r="E795" s="1" t="n">
        <v>46218</v>
      </c>
      <c r="F795" t="inlineStr">
        <is>
          <t>GÄVLEBORGS LÄN</t>
        </is>
      </c>
      <c r="G795" t="inlineStr">
        <is>
          <t>OCKELBO</t>
        </is>
      </c>
      <c r="H795" t="inlineStr">
        <is>
          <t>Bergvik skog väst AB</t>
        </is>
      </c>
      <c r="I795" t="n">
        <v>0.5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s="2" t="inlineStr"/>
    </row>
    <row r="796" ht="15" customHeight="1">
      <c r="A796" t="inlineStr">
        <is>
          <t>A 18234-2026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46126</v>
      </c>
      <c r="E796" s="1" t="n">
        <v>46218</v>
      </c>
      <c r="F796" t="inlineStr">
        <is>
          <t>GÄVLEBORGS LÄN</t>
        </is>
      </c>
      <c r="G796" t="inlineStr">
        <is>
          <t>OCKELBO</t>
        </is>
      </c>
      <c r="I796" t="n">
        <v>3.1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s="2" t="inlineStr"/>
    </row>
    <row r="797" ht="15" customHeight="1">
      <c r="A797" t="inlineStr">
        <is>
          <t>A 18248-2026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46126</v>
      </c>
      <c r="E797" s="1" t="n">
        <v>46218</v>
      </c>
      <c r="F797" t="inlineStr">
        <is>
          <t>GÄVLEBORGS LÄN</t>
        </is>
      </c>
      <c r="G797" t="inlineStr">
        <is>
          <t>OCKELBO</t>
        </is>
      </c>
      <c r="H797" t="inlineStr">
        <is>
          <t>Bergvik skog väst AB</t>
        </is>
      </c>
      <c r="I797" t="n">
        <v>2.8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s="2" t="inlineStr"/>
    </row>
    <row r="798" ht="15" customHeight="1">
      <c r="A798" t="inlineStr">
        <is>
          <t>A 13855-2026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46098</v>
      </c>
      <c r="E798" s="1" t="n">
        <v>46218</v>
      </c>
      <c r="F798" t="inlineStr">
        <is>
          <t>GÄVLEBORGS LÄN</t>
        </is>
      </c>
      <c r="G798" t="inlineStr">
        <is>
          <t>OCKELBO</t>
        </is>
      </c>
      <c r="H798" t="inlineStr">
        <is>
          <t>Bergvik skog väst AB</t>
        </is>
      </c>
      <c r="I798" t="n">
        <v>0.9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s="2" t="inlineStr"/>
    </row>
    <row r="799" ht="15" customHeight="1">
      <c r="A799" t="inlineStr">
        <is>
          <t>A 18426-2026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46127</v>
      </c>
      <c r="E799" s="1" t="n">
        <v>46218</v>
      </c>
      <c r="F799" t="inlineStr">
        <is>
          <t>GÄVLEBORGS LÄN</t>
        </is>
      </c>
      <c r="G799" t="inlineStr">
        <is>
          <t>OCKELBO</t>
        </is>
      </c>
      <c r="I799" t="n">
        <v>0.5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s="2" t="inlineStr"/>
    </row>
    <row r="800" ht="15" customHeight="1">
      <c r="A800" t="inlineStr">
        <is>
          <t>A 15255-2026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46105</v>
      </c>
      <c r="E800" s="1" t="n">
        <v>46218</v>
      </c>
      <c r="F800" t="inlineStr">
        <is>
          <t>GÄVLEBORGS LÄN</t>
        </is>
      </c>
      <c r="G800" t="inlineStr">
        <is>
          <t>OCKELBO</t>
        </is>
      </c>
      <c r="H800" t="inlineStr">
        <is>
          <t>Bergvik skog väst AB</t>
        </is>
      </c>
      <c r="I800" t="n">
        <v>1.1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s="2" t="inlineStr"/>
    </row>
    <row r="801" ht="15" customHeight="1">
      <c r="A801" t="inlineStr">
        <is>
          <t>A 18646-2026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46128</v>
      </c>
      <c r="E801" s="1" t="n">
        <v>46218</v>
      </c>
      <c r="F801" t="inlineStr">
        <is>
          <t>GÄVLEBORGS LÄN</t>
        </is>
      </c>
      <c r="G801" t="inlineStr">
        <is>
          <t>OCKELBO</t>
        </is>
      </c>
      <c r="H801" t="inlineStr">
        <is>
          <t>Bergvik skog väst AB</t>
        </is>
      </c>
      <c r="I801" t="n">
        <v>1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s="2" t="inlineStr"/>
    </row>
    <row r="802" ht="15" customHeight="1">
      <c r="A802" t="inlineStr">
        <is>
          <t>A 18513-2026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46127</v>
      </c>
      <c r="E802" s="1" t="n">
        <v>46218</v>
      </c>
      <c r="F802" t="inlineStr">
        <is>
          <t>GÄVLEBORGS LÄN</t>
        </is>
      </c>
      <c r="G802" t="inlineStr">
        <is>
          <t>OCKELBO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s="2" t="inlineStr"/>
    </row>
    <row r="803" ht="15" customHeight="1">
      <c r="A803" t="inlineStr">
        <is>
          <t>A 16572-2026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46112</v>
      </c>
      <c r="E803" s="1" t="n">
        <v>46218</v>
      </c>
      <c r="F803" t="inlineStr">
        <is>
          <t>GÄVLEBORGS LÄN</t>
        </is>
      </c>
      <c r="G803" t="inlineStr">
        <is>
          <t>OCKELBO</t>
        </is>
      </c>
      <c r="H803" t="inlineStr">
        <is>
          <t>Bergvik skog väst AB</t>
        </is>
      </c>
      <c r="I803" t="n">
        <v>2.7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s="2" t="inlineStr"/>
    </row>
    <row r="804" ht="15" customHeight="1">
      <c r="A804" t="inlineStr">
        <is>
          <t>A 18705-2026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46128</v>
      </c>
      <c r="E804" s="1" t="n">
        <v>46218</v>
      </c>
      <c r="F804" t="inlineStr">
        <is>
          <t>GÄVLEBORGS LÄN</t>
        </is>
      </c>
      <c r="G804" t="inlineStr">
        <is>
          <t>OCKELBO</t>
        </is>
      </c>
      <c r="I804" t="n">
        <v>0.8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s="2" t="inlineStr"/>
    </row>
    <row r="805" ht="15" customHeight="1">
      <c r="A805" t="inlineStr">
        <is>
          <t>A 16530-2026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46112</v>
      </c>
      <c r="E805" s="1" t="n">
        <v>46218</v>
      </c>
      <c r="F805" t="inlineStr">
        <is>
          <t>GÄVLEBORGS LÄN</t>
        </is>
      </c>
      <c r="G805" t="inlineStr">
        <is>
          <t>OCKELBO</t>
        </is>
      </c>
      <c r="H805" t="inlineStr">
        <is>
          <t>Bergvik skog väst AB</t>
        </is>
      </c>
      <c r="I805" t="n">
        <v>5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s="2" t="inlineStr"/>
    </row>
    <row r="806" ht="15" customHeight="1">
      <c r="A806" t="inlineStr">
        <is>
          <t>A 18669-2026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46128</v>
      </c>
      <c r="E806" s="1" t="n">
        <v>46218</v>
      </c>
      <c r="F806" t="inlineStr">
        <is>
          <t>GÄVLEBORGS LÄN</t>
        </is>
      </c>
      <c r="G806" t="inlineStr">
        <is>
          <t>OCKELBO</t>
        </is>
      </c>
      <c r="H806" t="inlineStr">
        <is>
          <t>Bergvik skog väst AB</t>
        </is>
      </c>
      <c r="I806" t="n">
        <v>0.5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s="2" t="inlineStr"/>
    </row>
    <row r="807" ht="15" customHeight="1">
      <c r="A807" t="inlineStr">
        <is>
          <t>A 15581-2026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46106</v>
      </c>
      <c r="E807" s="1" t="n">
        <v>46218</v>
      </c>
      <c r="F807" t="inlineStr">
        <is>
          <t>GÄVLEBORGS LÄN</t>
        </is>
      </c>
      <c r="G807" t="inlineStr">
        <is>
          <t>OCKELBO</t>
        </is>
      </c>
      <c r="H807" t="inlineStr">
        <is>
          <t>Bergvik skog öst AB</t>
        </is>
      </c>
      <c r="I807" t="n">
        <v>7.6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s="2" t="inlineStr"/>
    </row>
    <row r="808" ht="15" customHeight="1">
      <c r="A808" t="inlineStr">
        <is>
          <t>A 18457-2026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46127</v>
      </c>
      <c r="E808" s="1" t="n">
        <v>46218</v>
      </c>
      <c r="F808" t="inlineStr">
        <is>
          <t>GÄVLEBORGS LÄN</t>
        </is>
      </c>
      <c r="G808" t="inlineStr">
        <is>
          <t>OCKELBO</t>
        </is>
      </c>
      <c r="I808" t="n">
        <v>4.6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s="2" t="inlineStr"/>
    </row>
    <row r="809" ht="15" customHeight="1">
      <c r="A809" t="inlineStr">
        <is>
          <t>A 19213-2026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46132</v>
      </c>
      <c r="E809" s="1" t="n">
        <v>46218</v>
      </c>
      <c r="F809" t="inlineStr">
        <is>
          <t>GÄVLEBORGS LÄN</t>
        </is>
      </c>
      <c r="G809" t="inlineStr">
        <is>
          <t>OCKELBO</t>
        </is>
      </c>
      <c r="H809" t="inlineStr">
        <is>
          <t>Bergvik skog väst AB</t>
        </is>
      </c>
      <c r="I809" t="n">
        <v>1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s="2" t="inlineStr"/>
    </row>
    <row r="810" ht="15" customHeight="1">
      <c r="A810" t="inlineStr">
        <is>
          <t>A 19271-2026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46133</v>
      </c>
      <c r="E810" s="1" t="n">
        <v>46218</v>
      </c>
      <c r="F810" t="inlineStr">
        <is>
          <t>GÄVLEBORGS LÄN</t>
        </is>
      </c>
      <c r="G810" t="inlineStr">
        <is>
          <t>OCKELBO</t>
        </is>
      </c>
      <c r="H810" t="inlineStr">
        <is>
          <t>Bergvik skog väst AB</t>
        </is>
      </c>
      <c r="I810" t="n">
        <v>1.7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s="2" t="inlineStr"/>
    </row>
    <row r="811" ht="15" customHeight="1">
      <c r="A811" t="inlineStr">
        <is>
          <t>A 19068-2026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46132</v>
      </c>
      <c r="E811" s="1" t="n">
        <v>46218</v>
      </c>
      <c r="F811" t="inlineStr">
        <is>
          <t>GÄVLEBORGS LÄN</t>
        </is>
      </c>
      <c r="G811" t="inlineStr">
        <is>
          <t>OCKELBO</t>
        </is>
      </c>
      <c r="H811" t="inlineStr">
        <is>
          <t>Bergvik skog väst AB</t>
        </is>
      </c>
      <c r="I811" t="n">
        <v>13.8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s="2" t="inlineStr"/>
    </row>
    <row r="812" ht="15" customHeight="1">
      <c r="A812" t="inlineStr">
        <is>
          <t>A 19277-2026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46133</v>
      </c>
      <c r="E812" s="1" t="n">
        <v>46218</v>
      </c>
      <c r="F812" t="inlineStr">
        <is>
          <t>GÄVLEBORGS LÄN</t>
        </is>
      </c>
      <c r="G812" t="inlineStr">
        <is>
          <t>OCKELBO</t>
        </is>
      </c>
      <c r="H812" t="inlineStr">
        <is>
          <t>Bergvik skog väst AB</t>
        </is>
      </c>
      <c r="I812" t="n">
        <v>6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s="2" t="inlineStr"/>
    </row>
    <row r="813" ht="15" customHeight="1">
      <c r="A813" t="inlineStr">
        <is>
          <t>A 19138-2026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46132</v>
      </c>
      <c r="E813" s="1" t="n">
        <v>46218</v>
      </c>
      <c r="F813" t="inlineStr">
        <is>
          <t>GÄVLEBORGS LÄN</t>
        </is>
      </c>
      <c r="G813" t="inlineStr">
        <is>
          <t>OCKELBO</t>
        </is>
      </c>
      <c r="I813" t="n">
        <v>2.4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s="2" t="inlineStr"/>
    </row>
    <row r="814" ht="15" customHeight="1">
      <c r="A814" t="inlineStr">
        <is>
          <t>A 19040-2026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46132</v>
      </c>
      <c r="E814" s="1" t="n">
        <v>46218</v>
      </c>
      <c r="F814" t="inlineStr">
        <is>
          <t>GÄVLEBORGS LÄN</t>
        </is>
      </c>
      <c r="G814" t="inlineStr">
        <is>
          <t>OCKELBO</t>
        </is>
      </c>
      <c r="H814" t="inlineStr">
        <is>
          <t>Bergvik skog väst AB</t>
        </is>
      </c>
      <c r="I814" t="n">
        <v>11.9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s="2" t="inlineStr"/>
    </row>
    <row r="815" ht="15" customHeight="1">
      <c r="A815" t="inlineStr">
        <is>
          <t>A 19043-2026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46132</v>
      </c>
      <c r="E815" s="1" t="n">
        <v>46218</v>
      </c>
      <c r="F815" t="inlineStr">
        <is>
          <t>GÄVLEBORGS LÄN</t>
        </is>
      </c>
      <c r="G815" t="inlineStr">
        <is>
          <t>OCKELBO</t>
        </is>
      </c>
      <c r="H815" t="inlineStr">
        <is>
          <t>Bergvik skog väst AB</t>
        </is>
      </c>
      <c r="I815" t="n">
        <v>5.1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s="2" t="inlineStr"/>
    </row>
    <row r="816" ht="15" customHeight="1">
      <c r="A816" t="inlineStr">
        <is>
          <t>A 19139-2026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46132</v>
      </c>
      <c r="E816" s="1" t="n">
        <v>46218</v>
      </c>
      <c r="F816" t="inlineStr">
        <is>
          <t>GÄVLEBORGS LÄN</t>
        </is>
      </c>
      <c r="G816" t="inlineStr">
        <is>
          <t>OCKELBO</t>
        </is>
      </c>
      <c r="I816" t="n">
        <v>3.6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s="2" t="inlineStr"/>
    </row>
    <row r="817" ht="15" customHeight="1">
      <c r="A817" t="inlineStr">
        <is>
          <t>A 19424-2026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46133</v>
      </c>
      <c r="E817" s="1" t="n">
        <v>46218</v>
      </c>
      <c r="F817" t="inlineStr">
        <is>
          <t>GÄVLEBORGS LÄN</t>
        </is>
      </c>
      <c r="G817" t="inlineStr">
        <is>
          <t>OCKELBO</t>
        </is>
      </c>
      <c r="I817" t="n">
        <v>1.2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s="2" t="inlineStr"/>
    </row>
    <row r="818" ht="15" customHeight="1">
      <c r="A818" t="inlineStr">
        <is>
          <t>A 19038-2026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46132</v>
      </c>
      <c r="E818" s="1" t="n">
        <v>46218</v>
      </c>
      <c r="F818" t="inlineStr">
        <is>
          <t>GÄVLEBORGS LÄN</t>
        </is>
      </c>
      <c r="G818" t="inlineStr">
        <is>
          <t>OCKELBO</t>
        </is>
      </c>
      <c r="H818" t="inlineStr">
        <is>
          <t>Bergvik skog väst AB</t>
        </is>
      </c>
      <c r="I818" t="n">
        <v>17.7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s="2" t="inlineStr"/>
    </row>
    <row r="819" ht="15" customHeight="1">
      <c r="A819" t="inlineStr">
        <is>
          <t>A 19146-2026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46132</v>
      </c>
      <c r="E819" s="1" t="n">
        <v>46218</v>
      </c>
      <c r="F819" t="inlineStr">
        <is>
          <t>GÄVLEBORGS LÄN</t>
        </is>
      </c>
      <c r="G819" t="inlineStr">
        <is>
          <t>OCKELBO</t>
        </is>
      </c>
      <c r="H819" t="inlineStr">
        <is>
          <t>Bergvik skog väst AB</t>
        </is>
      </c>
      <c r="I819" t="n">
        <v>0.9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s="2" t="inlineStr"/>
    </row>
    <row r="820" ht="15" customHeight="1">
      <c r="A820" t="inlineStr">
        <is>
          <t>A 19142-2026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46132</v>
      </c>
      <c r="E820" s="1" t="n">
        <v>46218</v>
      </c>
      <c r="F820" t="inlineStr">
        <is>
          <t>GÄVLEBORGS LÄN</t>
        </is>
      </c>
      <c r="G820" t="inlineStr">
        <is>
          <t>OCKELBO</t>
        </is>
      </c>
      <c r="H820" t="inlineStr">
        <is>
          <t>Bergvik skog väst AB</t>
        </is>
      </c>
      <c r="I820" t="n">
        <v>3.7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s="2" t="inlineStr"/>
    </row>
    <row r="821" ht="15" customHeight="1">
      <c r="A821" t="inlineStr">
        <is>
          <t>A 19491-2026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46134</v>
      </c>
      <c r="E821" s="1" t="n">
        <v>46218</v>
      </c>
      <c r="F821" t="inlineStr">
        <is>
          <t>GÄVLEBORGS LÄN</t>
        </is>
      </c>
      <c r="G821" t="inlineStr">
        <is>
          <t>OCKELBO</t>
        </is>
      </c>
      <c r="I821" t="n">
        <v>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s="2" t="inlineStr"/>
    </row>
    <row r="822" ht="15" customHeight="1">
      <c r="A822" t="inlineStr">
        <is>
          <t>A 25599-2026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46177</v>
      </c>
      <c r="E822" s="1" t="n">
        <v>46218</v>
      </c>
      <c r="F822" t="inlineStr">
        <is>
          <t>GÄVLEBORGS LÄN</t>
        </is>
      </c>
      <c r="G822" t="inlineStr">
        <is>
          <t>OCKELBO</t>
        </is>
      </c>
      <c r="H822" t="inlineStr">
        <is>
          <t>Bergvik skog väst AB</t>
        </is>
      </c>
      <c r="I822" t="n">
        <v>0.4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s="2" t="inlineStr"/>
    </row>
    <row r="823" ht="15" customHeight="1">
      <c r="A823" t="inlineStr">
        <is>
          <t>A 19603-2026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46134</v>
      </c>
      <c r="E823" s="1" t="n">
        <v>46218</v>
      </c>
      <c r="F823" t="inlineStr">
        <is>
          <t>GÄVLEBORGS LÄN</t>
        </is>
      </c>
      <c r="G823" t="inlineStr">
        <is>
          <t>OCKELBO</t>
        </is>
      </c>
      <c r="I823" t="n">
        <v>5.2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s="2" t="inlineStr"/>
    </row>
    <row r="824" ht="15" customHeight="1">
      <c r="A824" t="inlineStr">
        <is>
          <t>A 17117-2026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46114</v>
      </c>
      <c r="E824" s="1" t="n">
        <v>46218</v>
      </c>
      <c r="F824" t="inlineStr">
        <is>
          <t>GÄVLEBORGS LÄN</t>
        </is>
      </c>
      <c r="G824" t="inlineStr">
        <is>
          <t>OCKELBO</t>
        </is>
      </c>
      <c r="H824" t="inlineStr">
        <is>
          <t>Bergvik skog väst AB</t>
        </is>
      </c>
      <c r="I824" t="n">
        <v>1.1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s="2" t="inlineStr"/>
    </row>
    <row r="825" ht="15" customHeight="1">
      <c r="A825" t="inlineStr">
        <is>
          <t>A 17208-2026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46119</v>
      </c>
      <c r="E825" s="1" t="n">
        <v>46218</v>
      </c>
      <c r="F825" t="inlineStr">
        <is>
          <t>GÄVLEBORGS LÄN</t>
        </is>
      </c>
      <c r="G825" t="inlineStr">
        <is>
          <t>OCKELBO</t>
        </is>
      </c>
      <c r="I825" t="n">
        <v>1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s="2" t="inlineStr"/>
    </row>
    <row r="826" ht="15" customHeight="1">
      <c r="A826" t="inlineStr">
        <is>
          <t>A 19431-2026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46133</v>
      </c>
      <c r="E826" s="1" t="n">
        <v>46218</v>
      </c>
      <c r="F826" t="inlineStr">
        <is>
          <t>GÄVLEBORGS LÄN</t>
        </is>
      </c>
      <c r="G826" t="inlineStr">
        <is>
          <t>OCKELBO</t>
        </is>
      </c>
      <c r="I826" t="n">
        <v>0.7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s="2" t="inlineStr"/>
    </row>
    <row r="827" ht="15" customHeight="1">
      <c r="A827" t="inlineStr">
        <is>
          <t>A 19531-2026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46134</v>
      </c>
      <c r="E827" s="1" t="n">
        <v>46218</v>
      </c>
      <c r="F827" t="inlineStr">
        <is>
          <t>GÄVLEBORGS LÄN</t>
        </is>
      </c>
      <c r="G827" t="inlineStr">
        <is>
          <t>OCKELBO</t>
        </is>
      </c>
      <c r="H827" t="inlineStr">
        <is>
          <t>Bergvik skog väst AB</t>
        </is>
      </c>
      <c r="I827" t="n">
        <v>5.7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s="2" t="inlineStr"/>
    </row>
    <row r="828" ht="15" customHeight="1">
      <c r="A828" t="inlineStr">
        <is>
          <t>A 17682-2026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46121</v>
      </c>
      <c r="E828" s="1" t="n">
        <v>46218</v>
      </c>
      <c r="F828" t="inlineStr">
        <is>
          <t>GÄVLEBORGS LÄN</t>
        </is>
      </c>
      <c r="G828" t="inlineStr">
        <is>
          <t>OCKELBO</t>
        </is>
      </c>
      <c r="I828" t="n">
        <v>1.8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s="2" t="inlineStr"/>
    </row>
    <row r="829" ht="15" customHeight="1">
      <c r="A829" t="inlineStr">
        <is>
          <t>A 20157-2026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46138</v>
      </c>
      <c r="E829" s="1" t="n">
        <v>46218</v>
      </c>
      <c r="F829" t="inlineStr">
        <is>
          <t>GÄVLEBORGS LÄN</t>
        </is>
      </c>
      <c r="G829" t="inlineStr">
        <is>
          <t>OCKELBO</t>
        </is>
      </c>
      <c r="H829" t="inlineStr">
        <is>
          <t>Bergvik skog väst AB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s="2" t="inlineStr"/>
    </row>
    <row r="830" ht="15" customHeight="1">
      <c r="A830" t="inlineStr">
        <is>
          <t>A 3720-2026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46043</v>
      </c>
      <c r="E830" s="1" t="n">
        <v>46218</v>
      </c>
      <c r="F830" t="inlineStr">
        <is>
          <t>GÄVLEBORGS LÄN</t>
        </is>
      </c>
      <c r="G830" t="inlineStr">
        <is>
          <t>OCKELBO</t>
        </is>
      </c>
      <c r="I830" t="n">
        <v>2.4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s="2" t="inlineStr"/>
    </row>
    <row r="831" ht="15" customHeight="1">
      <c r="A831" t="inlineStr">
        <is>
          <t>A 8343-2026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46064</v>
      </c>
      <c r="E831" s="1" t="n">
        <v>46218</v>
      </c>
      <c r="F831" t="inlineStr">
        <is>
          <t>GÄVLEBORGS LÄN</t>
        </is>
      </c>
      <c r="G831" t="inlineStr">
        <is>
          <t>OCKELBO</t>
        </is>
      </c>
      <c r="I831" t="n">
        <v>3.4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s="2" t="inlineStr"/>
    </row>
    <row r="832" ht="15" customHeight="1">
      <c r="A832" t="inlineStr">
        <is>
          <t>A 20151-2026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46137</v>
      </c>
      <c r="E832" s="1" t="n">
        <v>46218</v>
      </c>
      <c r="F832" t="inlineStr">
        <is>
          <t>GÄVLEBORGS LÄN</t>
        </is>
      </c>
      <c r="G832" t="inlineStr">
        <is>
          <t>OCKELBO</t>
        </is>
      </c>
      <c r="H832" t="inlineStr">
        <is>
          <t>Bergvik skog väst AB</t>
        </is>
      </c>
      <c r="I832" t="n">
        <v>3.4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s="2" t="inlineStr"/>
    </row>
    <row r="833" ht="15" customHeight="1">
      <c r="A833" t="inlineStr">
        <is>
          <t>A 25404-2025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45800</v>
      </c>
      <c r="E833" s="1" t="n">
        <v>46218</v>
      </c>
      <c r="F833" t="inlineStr">
        <is>
          <t>GÄVLEBORGS LÄN</t>
        </is>
      </c>
      <c r="G833" t="inlineStr">
        <is>
          <t>OCKELBO</t>
        </is>
      </c>
      <c r="H833" t="inlineStr">
        <is>
          <t>Bergvik skog väst AB</t>
        </is>
      </c>
      <c r="I833" t="n">
        <v>11.1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s="2" t="inlineStr"/>
    </row>
    <row r="834" ht="15" customHeight="1">
      <c r="A834" t="inlineStr">
        <is>
          <t>A 5234-2026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46049</v>
      </c>
      <c r="E834" s="1" t="n">
        <v>46218</v>
      </c>
      <c r="F834" t="inlineStr">
        <is>
          <t>GÄVLEBORGS LÄN</t>
        </is>
      </c>
      <c r="G834" t="inlineStr">
        <is>
          <t>OCKELBO</t>
        </is>
      </c>
      <c r="H834" t="inlineStr">
        <is>
          <t>Bergvik skog väst AB</t>
        </is>
      </c>
      <c r="I834" t="n">
        <v>17.1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s="2" t="inlineStr"/>
    </row>
    <row r="835" ht="15" customHeight="1">
      <c r="A835" t="inlineStr">
        <is>
          <t>A 15542-2026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46106</v>
      </c>
      <c r="E835" s="1" t="n">
        <v>46218</v>
      </c>
      <c r="F835" t="inlineStr">
        <is>
          <t>GÄVLEBORGS LÄN</t>
        </is>
      </c>
      <c r="G835" t="inlineStr">
        <is>
          <t>OCKELBO</t>
        </is>
      </c>
      <c r="H835" t="inlineStr">
        <is>
          <t>Bergvik skog väst AB</t>
        </is>
      </c>
      <c r="I835" t="n">
        <v>4.9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s="2" t="inlineStr"/>
    </row>
    <row r="836" ht="15" customHeight="1">
      <c r="A836" t="inlineStr">
        <is>
          <t>A 50742-2025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45946</v>
      </c>
      <c r="E836" s="1" t="n">
        <v>46218</v>
      </c>
      <c r="F836" t="inlineStr">
        <is>
          <t>GÄVLEBORGS LÄN</t>
        </is>
      </c>
      <c r="G836" t="inlineStr">
        <is>
          <t>OCKELBO</t>
        </is>
      </c>
      <c r="H836" t="inlineStr">
        <is>
          <t>Bergvik skog väst AB</t>
        </is>
      </c>
      <c r="I836" t="n">
        <v>4.3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s="2" t="inlineStr"/>
    </row>
    <row r="837" ht="15" customHeight="1">
      <c r="A837" t="inlineStr">
        <is>
          <t>A 15694-2022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44663</v>
      </c>
      <c r="E837" s="1" t="n">
        <v>46218</v>
      </c>
      <c r="F837" t="inlineStr">
        <is>
          <t>GÄVLEBORGS LÄN</t>
        </is>
      </c>
      <c r="G837" t="inlineStr">
        <is>
          <t>OCKELBO</t>
        </is>
      </c>
      <c r="H837" t="inlineStr">
        <is>
          <t>Bergvik skog väst AB</t>
        </is>
      </c>
      <c r="I837" t="n">
        <v>2.5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s="2" t="inlineStr"/>
    </row>
    <row r="838" ht="15" customHeight="1">
      <c r="A838" t="inlineStr">
        <is>
          <t>A 46316-2025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45925</v>
      </c>
      <c r="E838" s="1" t="n">
        <v>46218</v>
      </c>
      <c r="F838" t="inlineStr">
        <is>
          <t>GÄVLEBORGS LÄN</t>
        </is>
      </c>
      <c r="G838" t="inlineStr">
        <is>
          <t>OCKELBO</t>
        </is>
      </c>
      <c r="H838" t="inlineStr">
        <is>
          <t>Bergvik skog väst AB</t>
        </is>
      </c>
      <c r="I838" t="n">
        <v>5.4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s="2" t="inlineStr"/>
    </row>
    <row r="839" ht="15" customHeight="1">
      <c r="A839" t="inlineStr">
        <is>
          <t>A 4675-2026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46048</v>
      </c>
      <c r="E839" s="1" t="n">
        <v>46218</v>
      </c>
      <c r="F839" t="inlineStr">
        <is>
          <t>GÄVLEBORGS LÄN</t>
        </is>
      </c>
      <c r="G839" t="inlineStr">
        <is>
          <t>OCKELBO</t>
        </is>
      </c>
      <c r="H839" t="inlineStr">
        <is>
          <t>Bergvik skog väst AB</t>
        </is>
      </c>
      <c r="I839" t="n">
        <v>9.1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s="2" t="inlineStr"/>
    </row>
    <row r="840" ht="15" customHeight="1">
      <c r="A840" t="inlineStr">
        <is>
          <t>A 26131-2026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46181</v>
      </c>
      <c r="E840" s="1" t="n">
        <v>46218</v>
      </c>
      <c r="F840" t="inlineStr">
        <is>
          <t>GÄVLEBORGS LÄN</t>
        </is>
      </c>
      <c r="G840" t="inlineStr">
        <is>
          <t>OCKELBO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s="2" t="inlineStr"/>
    </row>
    <row r="841" ht="15" customHeight="1">
      <c r="A841" t="inlineStr">
        <is>
          <t>A 6386-2026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46055</v>
      </c>
      <c r="E841" s="1" t="n">
        <v>46218</v>
      </c>
      <c r="F841" t="inlineStr">
        <is>
          <t>GÄVLEBORGS LÄN</t>
        </is>
      </c>
      <c r="G841" t="inlineStr">
        <is>
          <t>OCKELBO</t>
        </is>
      </c>
      <c r="H841" t="inlineStr">
        <is>
          <t>Bergvik skog väst AB</t>
        </is>
      </c>
      <c r="I841" t="n">
        <v>7.8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s="2" t="inlineStr"/>
    </row>
    <row r="842" ht="15" customHeight="1">
      <c r="A842" t="inlineStr">
        <is>
          <t>A 463-2026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46029</v>
      </c>
      <c r="E842" s="1" t="n">
        <v>46218</v>
      </c>
      <c r="F842" t="inlineStr">
        <is>
          <t>GÄVLEBORGS LÄN</t>
        </is>
      </c>
      <c r="G842" t="inlineStr">
        <is>
          <t>OCKELBO</t>
        </is>
      </c>
      <c r="I842" t="n">
        <v>6.6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s="2" t="inlineStr"/>
    </row>
    <row r="843" ht="15" customHeight="1">
      <c r="A843" t="inlineStr">
        <is>
          <t>A 36604-2025</t>
        </is>
      </c>
      <c r="B843" t="inlineStr">
        <is>
          <t>avverkningsanmälan</t>
        </is>
      </c>
      <c r="C843" t="inlineStr">
        <is>
          <t>Avverkning för att bevara och utveckla /försöksver</t>
        </is>
      </c>
      <c r="D843" s="1" t="n">
        <v>45870</v>
      </c>
      <c r="E843" s="1" t="n">
        <v>46218</v>
      </c>
      <c r="F843" t="inlineStr">
        <is>
          <t>GÄVLEBORGS LÄN</t>
        </is>
      </c>
      <c r="G843" t="inlineStr">
        <is>
          <t>OCKELBO</t>
        </is>
      </c>
      <c r="I843" t="n">
        <v>2.8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s="2" t="inlineStr"/>
    </row>
    <row r="844" ht="15" customHeight="1">
      <c r="A844" t="inlineStr">
        <is>
          <t>S 282-2024</t>
        </is>
      </c>
      <c r="B844" t="inlineStr">
        <is>
          <t>samrådsanmälan</t>
        </is>
      </c>
      <c r="C844" t="inlineStr">
        <is>
          <t>Skogsgödsling</t>
        </is>
      </c>
      <c r="D844" s="1" t="n">
        <v>45323</v>
      </c>
      <c r="E844" s="1" t="n">
        <v>46218</v>
      </c>
      <c r="F844" t="inlineStr">
        <is>
          <t>GÄVLEBORGS LÄN</t>
        </is>
      </c>
      <c r="G844" t="inlineStr">
        <is>
          <t>OCKELBO</t>
        </is>
      </c>
      <c r="H844" t="inlineStr">
        <is>
          <t>Bergvik skog väst AB</t>
        </is>
      </c>
      <c r="I844" t="n">
        <v>14.5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s="2" t="inlineStr"/>
    </row>
    <row r="845" ht="15" customHeight="1">
      <c r="A845" t="inlineStr">
        <is>
          <t>S 5063-2024</t>
        </is>
      </c>
      <c r="B845" t="inlineStr">
        <is>
          <t>samrådsanmälan</t>
        </is>
      </c>
      <c r="C845" t="inlineStr">
        <is>
          <t>Skogsgödsling</t>
        </is>
      </c>
      <c r="D845" s="1" t="n">
        <v>45638</v>
      </c>
      <c r="E845" s="1" t="n">
        <v>46218</v>
      </c>
      <c r="F845" t="inlineStr">
        <is>
          <t>GÄVLEBORGS LÄN</t>
        </is>
      </c>
      <c r="G845" t="inlineStr">
        <is>
          <t>OCKELBO</t>
        </is>
      </c>
      <c r="H845" t="inlineStr">
        <is>
          <t>Bergvik skog väst AB</t>
        </is>
      </c>
      <c r="I845" t="n">
        <v>154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s="2" t="inlineStr"/>
    </row>
    <row r="846" ht="15" customHeight="1">
      <c r="A846" t="inlineStr">
        <is>
          <t>S 195-2024</t>
        </is>
      </c>
      <c r="B846" t="inlineStr">
        <is>
          <t>samrådsanmälan</t>
        </is>
      </c>
      <c r="C846" t="inlineStr">
        <is>
          <t>Skogsgödsling</t>
        </is>
      </c>
      <c r="D846" s="1" t="n">
        <v>45315</v>
      </c>
      <c r="E846" s="1" t="n">
        <v>46218</v>
      </c>
      <c r="F846" t="inlineStr">
        <is>
          <t>GÄVLEBORGS LÄN</t>
        </is>
      </c>
      <c r="G846" t="inlineStr">
        <is>
          <t>OCKELBO</t>
        </is>
      </c>
      <c r="H846" t="inlineStr">
        <is>
          <t>Bergvik skog öst AB</t>
        </is>
      </c>
      <c r="I846" t="n">
        <v>46.4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s="2" t="inlineStr"/>
    </row>
    <row r="847" ht="15" customHeight="1">
      <c r="A847" t="inlineStr">
        <is>
          <t>S 411-2025</t>
        </is>
      </c>
      <c r="B847" t="inlineStr">
        <is>
          <t>samrådsanmälan</t>
        </is>
      </c>
      <c r="C847" t="inlineStr">
        <is>
          <t>Skogsgödsling</t>
        </is>
      </c>
      <c r="D847" s="1" t="n">
        <v>45699</v>
      </c>
      <c r="E847" s="1" t="n">
        <v>46218</v>
      </c>
      <c r="F847" t="inlineStr">
        <is>
          <t>GÄVLEBORGS LÄN</t>
        </is>
      </c>
      <c r="G847" t="inlineStr">
        <is>
          <t>OCKELBO</t>
        </is>
      </c>
      <c r="H847" t="inlineStr">
        <is>
          <t>Bergvik skog öst AB</t>
        </is>
      </c>
      <c r="I847" t="n">
        <v>24.3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s="2" t="inlineStr"/>
    </row>
    <row r="848" ht="15" customHeight="1">
      <c r="A848" t="inlineStr">
        <is>
          <t>S 4360-2021</t>
        </is>
      </c>
      <c r="B848" t="inlineStr">
        <is>
          <t>samrådsanmälan</t>
        </is>
      </c>
      <c r="C848" t="inlineStr">
        <is>
          <t>Åtgärd i nyckelbiotop</t>
        </is>
      </c>
      <c r="D848" s="1" t="n">
        <v>44396</v>
      </c>
      <c r="E848" s="1" t="n">
        <v>46218</v>
      </c>
      <c r="F848" t="inlineStr">
        <is>
          <t>GÄVLEBORGS LÄN</t>
        </is>
      </c>
      <c r="G848" t="inlineStr">
        <is>
          <t>OCKELBO</t>
        </is>
      </c>
      <c r="H848" t="inlineStr">
        <is>
          <t>Bergvik skog väst AB</t>
        </is>
      </c>
      <c r="I848" t="n">
        <v>22.7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s="2" t="inlineStr"/>
    </row>
    <row r="849" ht="15" customHeight="1">
      <c r="A849" t="inlineStr">
        <is>
          <t>S 7041-2022</t>
        </is>
      </c>
      <c r="B849" t="inlineStr">
        <is>
          <t>samrådsanmälan</t>
        </is>
      </c>
      <c r="C849" t="inlineStr">
        <is>
          <t>Annan skogsbruksåtgärd</t>
        </is>
      </c>
      <c r="D849" s="1" t="n">
        <v>44904</v>
      </c>
      <c r="E849" s="1" t="n">
        <v>46218</v>
      </c>
      <c r="F849" t="inlineStr">
        <is>
          <t>GÄVLEBORGS LÄN</t>
        </is>
      </c>
      <c r="G849" t="inlineStr">
        <is>
          <t>OCKELBO</t>
        </is>
      </c>
      <c r="H849" t="inlineStr">
        <is>
          <t>Bergvik skog väst AB</t>
        </is>
      </c>
      <c r="I849" t="n">
        <v>22.8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s="2" t="inlineStr"/>
    </row>
    <row r="850" ht="15" customHeight="1">
      <c r="A850" t="inlineStr">
        <is>
          <t>S 297-2026</t>
        </is>
      </c>
      <c r="B850" t="inlineStr">
        <is>
          <t>samrådsanmälan</t>
        </is>
      </c>
      <c r="C850" t="inlineStr">
        <is>
          <t>Annan skogsbruksåtgärd</t>
        </is>
      </c>
      <c r="D850" s="1" t="n">
        <v>46058</v>
      </c>
      <c r="E850" s="1" t="n">
        <v>46218</v>
      </c>
      <c r="F850" t="inlineStr">
        <is>
          <t>GÄVLEBORGS LÄN</t>
        </is>
      </c>
      <c r="G850" t="inlineStr">
        <is>
          <t>OCKELBO</t>
        </is>
      </c>
      <c r="I850" t="n">
        <v>2.4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s="2" t="inlineStr"/>
    </row>
    <row r="851" ht="15" customHeight="1">
      <c r="A851" t="inlineStr">
        <is>
          <t>S 657-2026</t>
        </is>
      </c>
      <c r="B851" t="inlineStr">
        <is>
          <t>samrådsanmälan</t>
        </is>
      </c>
      <c r="C851" t="inlineStr">
        <is>
          <t>Skogsgödsling</t>
        </is>
      </c>
      <c r="D851" s="1" t="n">
        <v>46089</v>
      </c>
      <c r="E851" s="1" t="n">
        <v>46218</v>
      </c>
      <c r="F851" t="inlineStr">
        <is>
          <t>GÄVLEBORGS LÄN</t>
        </is>
      </c>
      <c r="G851" t="inlineStr">
        <is>
          <t>OCKELBO</t>
        </is>
      </c>
      <c r="H851" t="inlineStr">
        <is>
          <t>Bergvik skog öst AB</t>
        </is>
      </c>
      <c r="I851" t="n">
        <v>131.3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s="2" t="inlineStr"/>
    </row>
    <row r="852" ht="15" customHeight="1">
      <c r="A852" t="inlineStr">
        <is>
          <t>S 190-2026</t>
        </is>
      </c>
      <c r="B852" t="inlineStr">
        <is>
          <t>samrådsanmälan</t>
        </is>
      </c>
      <c r="C852" t="inlineStr">
        <is>
          <t>Annan skogsbruksåtgärd</t>
        </is>
      </c>
      <c r="D852" s="1" t="n">
        <v>46048</v>
      </c>
      <c r="E852" s="1" t="n">
        <v>46218</v>
      </c>
      <c r="F852" t="inlineStr">
        <is>
          <t>GÄVLEBORGS LÄN</t>
        </is>
      </c>
      <c r="G852" t="inlineStr">
        <is>
          <t>OCKELBO</t>
        </is>
      </c>
      <c r="I852" t="n">
        <v>4.7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s="2" t="inlineStr"/>
    </row>
    <row r="853" ht="15" customHeight="1">
      <c r="A853" t="inlineStr">
        <is>
          <t>S 1344-2026</t>
        </is>
      </c>
      <c r="B853" t="inlineStr">
        <is>
          <t>samrådsanmälan</t>
        </is>
      </c>
      <c r="C853" t="inlineStr">
        <is>
          <t>Annan skogsbruksåtgärd</t>
        </is>
      </c>
      <c r="D853" s="1" t="n">
        <v>46148</v>
      </c>
      <c r="E853" s="1" t="n">
        <v>46218</v>
      </c>
      <c r="F853" t="inlineStr">
        <is>
          <t>GÄVLEBORGS LÄN</t>
        </is>
      </c>
      <c r="G853" t="inlineStr">
        <is>
          <t>OCKELBO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s="2" t="inlineStr"/>
    </row>
    <row r="854">
      <c r="A854" t="inlineStr">
        <is>
          <t>S 1345-2026</t>
        </is>
      </c>
      <c r="B854" t="inlineStr">
        <is>
          <t>samrådsanmälan</t>
        </is>
      </c>
      <c r="C854" t="inlineStr">
        <is>
          <t>Annan skogsbruksåtgärd</t>
        </is>
      </c>
      <c r="D854" s="1" t="n">
        <v>46148</v>
      </c>
      <c r="E854" s="1" t="n">
        <v>46218</v>
      </c>
      <c r="F854" t="inlineStr">
        <is>
          <t>GÄVLEBORGS LÄN</t>
        </is>
      </c>
      <c r="G854" t="inlineStr">
        <is>
          <t>OCKELBO</t>
        </is>
      </c>
      <c r="I854" t="n">
        <v>2.1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2026-07-15T01:25:37Z</dcterms:created>
  <dcterms:modified xmlns:dcterms="http://purl.org/dc/terms/" xmlns:xsi="http://www.w3.org/2001/XMLSchema-instance" xsi:type="dcterms:W3CDTF">2026-07-15T01:25:38Z</dcterms:modified>
</cp:coreProperties>
</file>