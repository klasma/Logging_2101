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46225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46225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46225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46225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46225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46225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46225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46225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46225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46225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46225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46225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46225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46225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46225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46225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46225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46225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46225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46225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46225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46225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46225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46225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46225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46225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46225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46225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46225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46225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46225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46225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46225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46225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2923-2026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46038</v>
      </c>
      <c r="E36" s="1" t="n">
        <v>46225</v>
      </c>
      <c r="F36" t="inlineStr">
        <is>
          <t>GÄVLEBORGS LÄN</t>
        </is>
      </c>
      <c r="G36" t="inlineStr">
        <is>
          <t>OCKELBO</t>
        </is>
      </c>
      <c r="I36" t="n">
        <v>2.8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HYPERLINK("https://klasma.github.io/Logging_2101/artfynd/A 2923-2026 artfynd.xlsx", "A 2923-2026")</f>
        <v/>
      </c>
      <c r="X36">
        <f>HYPERLINK("https://klasma.github.io/Logging_2101/kartor/A 2923-2026 karta.png", "A 2923-2026")</f>
        <v/>
      </c>
      <c r="Y36">
        <f>HYPERLINK("https://klasma.github.io/Logging_2101/kartor_geotiff/A 2923-2026 georefererad karta.tif", "A 2923-2026")</f>
        <v/>
      </c>
      <c r="Z36">
        <f>HYPERLINK("https://klasma.github.io/Logging_2101/knärot/A 2923-2026 karta knärot.png", "A 2923-2026")</f>
        <v/>
      </c>
      <c r="AA36">
        <f>HYPERLINK("https://klasma.github.io/Logging_2101/klagomål/A 2923-2026 FSC-klagomål.docx", "A 2923-2026")</f>
        <v/>
      </c>
      <c r="AB36">
        <f>HYPERLINK("https://klasma.github.io/Logging_2101/klagomålsmail/A 2923-2026 FSC-klagomål mail.docx", "A 2923-2026")</f>
        <v/>
      </c>
      <c r="AC36">
        <f>HYPERLINK("https://klasma.github.io/Logging_2101/tillsyn/A 2923-2026 tillsynsbegäran.docx", "A 2923-2026")</f>
        <v/>
      </c>
      <c r="AD36">
        <f>HYPERLINK("https://klasma.github.io/Logging_2101/tillsynsmail/A 2923-2026 tillsynsbegäran mail.docx", "A 2923-2026")</f>
        <v/>
      </c>
    </row>
    <row r="37" ht="15" customHeight="1">
      <c r="A37" t="inlineStr">
        <is>
          <t>A 6121-2026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46053</v>
      </c>
      <c r="E37" s="1" t="n">
        <v>46225</v>
      </c>
      <c r="F37" t="inlineStr">
        <is>
          <t>GÄVLEBORGS LÄN</t>
        </is>
      </c>
      <c r="G37" t="inlineStr">
        <is>
          <t>OCKELBO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HYPERLINK("https://klasma.github.io/Logging_2101/artfynd/A 6121-2026 artfynd.xlsx", "A 6121-2026")</f>
        <v/>
      </c>
      <c r="X37">
        <f>HYPERLINK("https://klasma.github.io/Logging_2101/kartor/A 6121-2026 karta.png", "A 6121-2026")</f>
        <v/>
      </c>
      <c r="Y37">
        <f>HYPERLINK("https://klasma.github.io/Logging_2101/kartor_geotiff/A 6121-2026 georefererad karta.tif", "A 6121-2026")</f>
        <v/>
      </c>
      <c r="AA37">
        <f>HYPERLINK("https://klasma.github.io/Logging_2101/klagomål/A 6121-2026 FSC-klagomål.docx", "A 6121-2026")</f>
        <v/>
      </c>
      <c r="AB37">
        <f>HYPERLINK("https://klasma.github.io/Logging_2101/klagomålsmail/A 6121-2026 FSC-klagomål mail.docx", "A 6121-2026")</f>
        <v/>
      </c>
      <c r="AC37">
        <f>HYPERLINK("https://klasma.github.io/Logging_2101/tillsyn/A 6121-2026 tillsynsbegäran.docx", "A 6121-2026")</f>
        <v/>
      </c>
      <c r="AD37">
        <f>HYPERLINK("https://klasma.github.io/Logging_2101/tillsynsmail/A 6121-2026 tillsynsbegäran mail.docx", "A 6121-2026")</f>
        <v/>
      </c>
      <c r="AE37">
        <f>HYPERLINK("https://klasma.github.io/Logging_2101/fåglar/A 6121-2026 prioriterade fågelarter.docx", "A 6121-2026")</f>
        <v/>
      </c>
    </row>
    <row r="38" ht="15" customHeight="1">
      <c r="A38" t="inlineStr">
        <is>
          <t>A 6586-2026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46225</v>
      </c>
      <c r="F38" t="inlineStr">
        <is>
          <t>GÄVLEBORGS LÄN</t>
        </is>
      </c>
      <c r="G38" t="inlineStr">
        <is>
          <t>OCKELBO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HYPERLINK("https://klasma.github.io/Logging_2101/artfynd/A 6586-2026 artfynd.xlsx", "A 6586-2026")</f>
        <v/>
      </c>
      <c r="X38">
        <f>HYPERLINK("https://klasma.github.io/Logging_2101/kartor/A 6586-2026 karta.png", "A 6586-2026")</f>
        <v/>
      </c>
      <c r="Y38">
        <f>HYPERLINK("https://klasma.github.io/Logging_2101/kartor_geotiff/A 6586-2026 georefererad karta.tif", "A 6586-2026")</f>
        <v/>
      </c>
      <c r="AA38">
        <f>HYPERLINK("https://klasma.github.io/Logging_2101/klagomål/A 6586-2026 FSC-klagomål.docx", "A 6586-2026")</f>
        <v/>
      </c>
      <c r="AB38">
        <f>HYPERLINK("https://klasma.github.io/Logging_2101/klagomålsmail/A 6586-2026 FSC-klagomål mail.docx", "A 6586-2026")</f>
        <v/>
      </c>
      <c r="AC38">
        <f>HYPERLINK("https://klasma.github.io/Logging_2101/tillsyn/A 6586-2026 tillsynsbegäran.docx", "A 6586-2026")</f>
        <v/>
      </c>
      <c r="AD38">
        <f>HYPERLINK("https://klasma.github.io/Logging_2101/tillsynsmail/A 6586-2026 tillsynsbegäran mail.docx", "A 6586-2026")</f>
        <v/>
      </c>
    </row>
    <row r="39" ht="15" customHeight="1">
      <c r="A39" t="inlineStr">
        <is>
          <t>A 8451-2026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46065</v>
      </c>
      <c r="E39" s="1" t="n">
        <v>46225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Lavskrika</t>
        </is>
      </c>
      <c r="W39">
        <f>HYPERLINK("https://klasma.github.io/Logging_2101/artfynd/A 8451-2026 artfynd.xlsx", "A 8451-2026")</f>
        <v/>
      </c>
      <c r="X39">
        <f>HYPERLINK("https://klasma.github.io/Logging_2101/kartor/A 8451-2026 karta.png", "A 8451-2026")</f>
        <v/>
      </c>
      <c r="Y39">
        <f>HYPERLINK("https://klasma.github.io/Logging_2101/kartor_geotiff/A 8451-2026 georefererad karta.tif", "A 8451-2026")</f>
        <v/>
      </c>
      <c r="AA39">
        <f>HYPERLINK("https://klasma.github.io/Logging_2101/klagomål/A 8451-2026 FSC-klagomål.docx", "A 8451-2026")</f>
        <v/>
      </c>
      <c r="AB39">
        <f>HYPERLINK("https://klasma.github.io/Logging_2101/klagomålsmail/A 8451-2026 FSC-klagomål mail.docx", "A 8451-2026")</f>
        <v/>
      </c>
      <c r="AC39">
        <f>HYPERLINK("https://klasma.github.io/Logging_2101/tillsyn/A 8451-2026 tillsynsbegäran.docx", "A 8451-2026")</f>
        <v/>
      </c>
      <c r="AD39">
        <f>HYPERLINK("https://klasma.github.io/Logging_2101/tillsynsmail/A 8451-2026 tillsynsbegäran mail.docx", "A 8451-2026")</f>
        <v/>
      </c>
      <c r="AE39">
        <f>HYPERLINK("https://klasma.github.io/Logging_2101/fåglar/A 8451-2026 prioriterade fågelarter.docx", "A 8451-2026")</f>
        <v/>
      </c>
    </row>
    <row r="40" ht="15" customHeight="1">
      <c r="A40" t="inlineStr">
        <is>
          <t>A 10484-2026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46077</v>
      </c>
      <c r="E40" s="1" t="n">
        <v>46225</v>
      </c>
      <c r="F40" t="inlineStr">
        <is>
          <t>GÄVLEBORGS LÄN</t>
        </is>
      </c>
      <c r="G40" t="inlineStr">
        <is>
          <t>OCKELBO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Ullticka</t>
        </is>
      </c>
      <c r="W40">
        <f>HYPERLINK("https://klasma.github.io/Logging_2101/artfynd/A 10484-2026 artfynd.xlsx", "A 10484-2026")</f>
        <v/>
      </c>
      <c r="X40">
        <f>HYPERLINK("https://klasma.github.io/Logging_2101/kartor/A 10484-2026 karta.png", "A 10484-2026")</f>
        <v/>
      </c>
      <c r="Y40">
        <f>HYPERLINK("https://klasma.github.io/Logging_2101/kartor_geotiff/A 10484-2026 georefererad karta.tif", "A 10484-2026")</f>
        <v/>
      </c>
      <c r="AA40">
        <f>HYPERLINK("https://klasma.github.io/Logging_2101/klagomål/A 10484-2026 FSC-klagomål.docx", "A 10484-2026")</f>
        <v/>
      </c>
      <c r="AB40">
        <f>HYPERLINK("https://klasma.github.io/Logging_2101/klagomålsmail/A 10484-2026 FSC-klagomål mail.docx", "A 10484-2026")</f>
        <v/>
      </c>
      <c r="AC40">
        <f>HYPERLINK("https://klasma.github.io/Logging_2101/tillsyn/A 10484-2026 tillsynsbegäran.docx", "A 10484-2026")</f>
        <v/>
      </c>
      <c r="AD40">
        <f>HYPERLINK("https://klasma.github.io/Logging_2101/tillsynsmail/A 10484-2026 tillsynsbegäran mail.docx", "A 10484-2026")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46225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46225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46225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13640-2026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46225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3.8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HYPERLINK("https://klasma.github.io/Logging_2101/artfynd/A 13640-2026 artfynd.xlsx", "A 13640-2026")</f>
        <v/>
      </c>
      <c r="X44">
        <f>HYPERLINK("https://klasma.github.io/Logging_2101/kartor/A 13640-2026 karta.png", "A 13640-2026")</f>
        <v/>
      </c>
      <c r="Y44">
        <f>HYPERLINK("https://klasma.github.io/Logging_2101/kartor_geotiff/A 13640-2026 georefererad karta.tif", "A 13640-2026")</f>
        <v/>
      </c>
      <c r="AA44">
        <f>HYPERLINK("https://klasma.github.io/Logging_2101/klagomål/A 13640-2026 FSC-klagomål.docx", "A 13640-2026")</f>
        <v/>
      </c>
      <c r="AB44">
        <f>HYPERLINK("https://klasma.github.io/Logging_2101/klagomålsmail/A 13640-2026 FSC-klagomål mail.docx", "A 13640-2026")</f>
        <v/>
      </c>
      <c r="AC44">
        <f>HYPERLINK("https://klasma.github.io/Logging_2101/tillsyn/A 13640-2026 tillsynsbegäran.docx", "A 13640-2026")</f>
        <v/>
      </c>
      <c r="AD44">
        <f>HYPERLINK("https://klasma.github.io/Logging_2101/tillsynsmail/A 13640-2026 tillsynsbegäran mail.docx", "A 13640-2026")</f>
        <v/>
      </c>
    </row>
    <row r="45" ht="15" customHeight="1">
      <c r="A45" t="inlineStr">
        <is>
          <t>A 14479-2026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46225</v>
      </c>
      <c r="F45" t="inlineStr">
        <is>
          <t>GÄVLEBORGS LÄN</t>
        </is>
      </c>
      <c r="G45" t="inlineStr">
        <is>
          <t>OCKELBO</t>
        </is>
      </c>
      <c r="I45" t="n">
        <v>4.8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14479-2026 artfynd.xlsx", "A 14479-2026")</f>
        <v/>
      </c>
      <c r="X45">
        <f>HYPERLINK("https://klasma.github.io/Logging_2101/kartor/A 14479-2026 karta.png", "A 14479-2026")</f>
        <v/>
      </c>
      <c r="Y45">
        <f>HYPERLINK("https://klasma.github.io/Logging_2101/kartor_geotiff/A 14479-2026 georefererad karta.tif", "A 14479-2026")</f>
        <v/>
      </c>
      <c r="AA45">
        <f>HYPERLINK("https://klasma.github.io/Logging_2101/klagomål/A 14479-2026 FSC-klagomål.docx", "A 14479-2026")</f>
        <v/>
      </c>
      <c r="AB45">
        <f>HYPERLINK("https://klasma.github.io/Logging_2101/klagomålsmail/A 14479-2026 FSC-klagomål mail.docx", "A 14479-2026")</f>
        <v/>
      </c>
      <c r="AC45">
        <f>HYPERLINK("https://klasma.github.io/Logging_2101/tillsyn/A 14479-2026 tillsynsbegäran.docx", "A 14479-2026")</f>
        <v/>
      </c>
      <c r="AD45">
        <f>HYPERLINK("https://klasma.github.io/Logging_2101/tillsynsmail/A 14479-2026 tillsynsbegäran mail.docx", "A 14479-2026")</f>
        <v/>
      </c>
    </row>
    <row r="46" ht="15" customHeight="1">
      <c r="A46" t="inlineStr">
        <is>
          <t>A 14664-2026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46101</v>
      </c>
      <c r="E46" s="1" t="n">
        <v>46225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Tjäder</t>
        </is>
      </c>
      <c r="W46">
        <f>HYPERLINK("https://klasma.github.io/Logging_2101/artfynd/A 14664-2026 artfynd.xlsx", "A 14664-2026")</f>
        <v/>
      </c>
      <c r="X46">
        <f>HYPERLINK("https://klasma.github.io/Logging_2101/kartor/A 14664-2026 karta.png", "A 14664-2026")</f>
        <v/>
      </c>
      <c r="Y46">
        <f>HYPERLINK("https://klasma.github.io/Logging_2101/kartor_geotiff/A 14664-2026 georefererad karta.tif", "A 14664-2026")</f>
        <v/>
      </c>
      <c r="AA46">
        <f>HYPERLINK("https://klasma.github.io/Logging_2101/klagomål/A 14664-2026 FSC-klagomål.docx", "A 14664-2026")</f>
        <v/>
      </c>
      <c r="AB46">
        <f>HYPERLINK("https://klasma.github.io/Logging_2101/klagomålsmail/A 14664-2026 FSC-klagomål mail.docx", "A 14664-2026")</f>
        <v/>
      </c>
      <c r="AC46">
        <f>HYPERLINK("https://klasma.github.io/Logging_2101/tillsyn/A 14664-2026 tillsynsbegäran.docx", "A 14664-2026")</f>
        <v/>
      </c>
      <c r="AD46">
        <f>HYPERLINK("https://klasma.github.io/Logging_2101/tillsynsmail/A 14664-2026 tillsynsbegäran mail.docx", "A 14664-2026")</f>
        <v/>
      </c>
      <c r="AE46">
        <f>HYPERLINK("https://klasma.github.io/Logging_2101/fåglar/A 14664-2026 prioriterade fågelarter.docx", "A 14664-2026")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46225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64364-2023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46225</v>
      </c>
      <c r="F48" t="inlineStr">
        <is>
          <t>GÄVLEBORGS LÄN</t>
        </is>
      </c>
      <c r="G48" t="inlineStr">
        <is>
          <t>OCKELBO</t>
        </is>
      </c>
      <c r="I48" t="n">
        <v>1.8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HYPERLINK("https://klasma.github.io/Logging_2101/artfynd/A 64364-2023 artfynd.xlsx", "A 64364-2023")</f>
        <v/>
      </c>
      <c r="X48">
        <f>HYPERLINK("https://klasma.github.io/Logging_2101/kartor/A 64364-2023 karta.png", "A 64364-2023")</f>
        <v/>
      </c>
      <c r="Y48">
        <f>HYPERLINK("https://klasma.github.io/Logging_2101/kartor_geotiff/A 64364-2023 georefererad karta.tif", "A 64364-2023")</f>
        <v/>
      </c>
      <c r="AA48">
        <f>HYPERLINK("https://klasma.github.io/Logging_2101/klagomål/A 64364-2023 FSC-klagomål.docx", "A 64364-2023")</f>
        <v/>
      </c>
      <c r="AB48">
        <f>HYPERLINK("https://klasma.github.io/Logging_2101/klagomålsmail/A 64364-2023 FSC-klagomål mail.docx", "A 64364-2023")</f>
        <v/>
      </c>
      <c r="AC48">
        <f>HYPERLINK("https://klasma.github.io/Logging_2101/tillsyn/A 64364-2023 tillsynsbegäran.docx", "A 64364-2023")</f>
        <v/>
      </c>
      <c r="AD48">
        <f>HYPERLINK("https://klasma.github.io/Logging_2101/tillsynsmail/A 64364-2023 tillsynsbegäran mail.docx", "A 64364-2023")</f>
        <v/>
      </c>
    </row>
    <row r="49" ht="15" customHeight="1">
      <c r="A49" t="inlineStr">
        <is>
          <t>A 12777-2026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46091</v>
      </c>
      <c r="E49" s="1" t="n">
        <v>46225</v>
      </c>
      <c r="F49" t="inlineStr">
        <is>
          <t>GÄVLEBORGS LÄN</t>
        </is>
      </c>
      <c r="G49" t="inlineStr">
        <is>
          <t>OCKELBO</t>
        </is>
      </c>
      <c r="I49" t="n">
        <v>4.2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HYPERLINK("https://klasma.github.io/Logging_2101/artfynd/A 12777-2026 artfynd.xlsx", "A 12777-2026")</f>
        <v/>
      </c>
      <c r="X49">
        <f>HYPERLINK("https://klasma.github.io/Logging_2101/kartor/A 12777-2026 karta.png", "A 12777-2026")</f>
        <v/>
      </c>
      <c r="Y49">
        <f>HYPERLINK("https://klasma.github.io/Logging_2101/kartor_geotiff/A 12777-2026 georefererad karta.tif", "A 12777-2026")</f>
        <v/>
      </c>
      <c r="AA49">
        <f>HYPERLINK("https://klasma.github.io/Logging_2101/klagomål/A 12777-2026 FSC-klagomål.docx", "A 12777-2026")</f>
        <v/>
      </c>
      <c r="AB49">
        <f>HYPERLINK("https://klasma.github.io/Logging_2101/klagomålsmail/A 12777-2026 FSC-klagomål mail.docx", "A 12777-2026")</f>
        <v/>
      </c>
      <c r="AC49">
        <f>HYPERLINK("https://klasma.github.io/Logging_2101/tillsyn/A 12777-2026 tillsynsbegäran.docx", "A 12777-2026")</f>
        <v/>
      </c>
      <c r="AD49">
        <f>HYPERLINK("https://klasma.github.io/Logging_2101/tillsynsmail/A 12777-2026 tillsynsbegäran mail.docx", "A 12777-2026")</f>
        <v/>
      </c>
      <c r="AE49">
        <f>HYPERLINK("https://klasma.github.io/Logging_2101/fåglar/A 12777-2026 prioriterade fågelarter.docx", "A 12777-2026")</f>
        <v/>
      </c>
    </row>
    <row r="50" ht="15" customHeight="1">
      <c r="A50" t="inlineStr">
        <is>
          <t>A 10145-2026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46225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öst AB</t>
        </is>
      </c>
      <c r="I50" t="n">
        <v>10.5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Fläcknycklar</t>
        </is>
      </c>
      <c r="W50">
        <f>HYPERLINK("https://klasma.github.io/Logging_2101/artfynd/A 10145-2026 artfynd.xlsx", "A 10145-2026")</f>
        <v/>
      </c>
      <c r="X50">
        <f>HYPERLINK("https://klasma.github.io/Logging_2101/kartor/A 10145-2026 karta.png", "A 10145-2026")</f>
        <v/>
      </c>
      <c r="Y50">
        <f>HYPERLINK("https://klasma.github.io/Logging_2101/kartor_geotiff/A 10145-2026 georefererad karta.tif", "A 10145-2026")</f>
        <v/>
      </c>
      <c r="Z50">
        <f>HYPERLINK("https://klasma.github.io/Logging_2101/knärot/A 10145-2026 karta knärot.png", "A 10145-2026")</f>
        <v/>
      </c>
      <c r="AA50">
        <f>HYPERLINK("https://klasma.github.io/Logging_2101/klagomål/A 10145-2026 FSC-klagomål.docx", "A 10145-2026")</f>
        <v/>
      </c>
      <c r="AB50">
        <f>HYPERLINK("https://klasma.github.io/Logging_2101/klagomålsmail/A 10145-2026 FSC-klagomål mail.docx", "A 10145-2026")</f>
        <v/>
      </c>
      <c r="AC50">
        <f>HYPERLINK("https://klasma.github.io/Logging_2101/tillsyn/A 10145-2026 tillsynsbegäran.docx", "A 10145-2026")</f>
        <v/>
      </c>
      <c r="AD50">
        <f>HYPERLINK("https://klasma.github.io/Logging_2101/tillsynsmail/A 10145-2026 tillsynsbegäran mail.docx", "A 10145-2026")</f>
        <v/>
      </c>
    </row>
    <row r="51" ht="15" customHeight="1">
      <c r="A51" t="inlineStr">
        <is>
          <t>A 55778-2025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45972</v>
      </c>
      <c r="E51" s="1" t="n">
        <v>46225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HYPERLINK("https://klasma.github.io/Logging_2101/artfynd/A 55778-2025 artfynd.xlsx", "A 55778-2025")</f>
        <v/>
      </c>
      <c r="X51">
        <f>HYPERLINK("https://klasma.github.io/Logging_2101/kartor/A 55778-2025 karta.png", "A 55778-2025")</f>
        <v/>
      </c>
      <c r="Y51">
        <f>HYPERLINK("https://klasma.github.io/Logging_2101/kartor_geotiff/A 55778-2025 georefererad karta.tif", "A 55778-2025")</f>
        <v/>
      </c>
      <c r="AA51">
        <f>HYPERLINK("https://klasma.github.io/Logging_2101/klagomål/A 55778-2025 FSC-klagomål.docx", "A 55778-2025")</f>
        <v/>
      </c>
      <c r="AB51">
        <f>HYPERLINK("https://klasma.github.io/Logging_2101/klagomålsmail/A 55778-2025 FSC-klagomål mail.docx", "A 55778-2025")</f>
        <v/>
      </c>
      <c r="AC51">
        <f>HYPERLINK("https://klasma.github.io/Logging_2101/tillsyn/A 55778-2025 tillsynsbegäran.docx", "A 55778-2025")</f>
        <v/>
      </c>
      <c r="AD51">
        <f>HYPERLINK("https://klasma.github.io/Logging_2101/tillsynsmail/A 55778-2025 tillsynsbegäran mail.docx", "A 55778-2025")</f>
        <v/>
      </c>
    </row>
    <row r="52" ht="15" customHeight="1">
      <c r="A52" t="inlineStr">
        <is>
          <t>A 8475-2026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46065</v>
      </c>
      <c r="E52" s="1" t="n">
        <v>46225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HYPERLINK("https://klasma.github.io/Logging_2101/artfynd/A 8475-2026 artfynd.xlsx", "A 8475-2026")</f>
        <v/>
      </c>
      <c r="X52">
        <f>HYPERLINK("https://klasma.github.io/Logging_2101/kartor/A 8475-2026 karta.png", "A 8475-2026")</f>
        <v/>
      </c>
      <c r="Y52">
        <f>HYPERLINK("https://klasma.github.io/Logging_2101/kartor_geotiff/A 8475-2026 georefererad karta.tif", "A 8475-2026")</f>
        <v/>
      </c>
      <c r="AA52">
        <f>HYPERLINK("https://klasma.github.io/Logging_2101/klagomål/A 8475-2026 FSC-klagomål.docx", "A 8475-2026")</f>
        <v/>
      </c>
      <c r="AB52">
        <f>HYPERLINK("https://klasma.github.io/Logging_2101/klagomålsmail/A 8475-2026 FSC-klagomål mail.docx", "A 8475-2026")</f>
        <v/>
      </c>
      <c r="AC52">
        <f>HYPERLINK("https://klasma.github.io/Logging_2101/tillsyn/A 8475-2026 tillsynsbegäran.docx", "A 8475-2026")</f>
        <v/>
      </c>
      <c r="AD52">
        <f>HYPERLINK("https://klasma.github.io/Logging_2101/tillsynsmail/A 8475-2026 tillsynsbegäran mail.docx", "A 8475-2026")</f>
        <v/>
      </c>
    </row>
    <row r="53" ht="15" customHeight="1">
      <c r="A53" t="inlineStr">
        <is>
          <t>A 9155-2026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46225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Kolflarnlav</t>
        </is>
      </c>
      <c r="W53">
        <f>HYPERLINK("https://klasma.github.io/Logging_2101/artfynd/A 9155-2026 artfynd.xlsx", "A 9155-2026")</f>
        <v/>
      </c>
      <c r="X53">
        <f>HYPERLINK("https://klasma.github.io/Logging_2101/kartor/A 9155-2026 karta.png", "A 9155-2026")</f>
        <v/>
      </c>
      <c r="Y53">
        <f>HYPERLINK("https://klasma.github.io/Logging_2101/kartor_geotiff/A 9155-2026 georefererad karta.tif", "A 9155-2026")</f>
        <v/>
      </c>
      <c r="AA53">
        <f>HYPERLINK("https://klasma.github.io/Logging_2101/klagomål/A 9155-2026 FSC-klagomål.docx", "A 9155-2026")</f>
        <v/>
      </c>
      <c r="AB53">
        <f>HYPERLINK("https://klasma.github.io/Logging_2101/klagomålsmail/A 9155-2026 FSC-klagomål mail.docx", "A 9155-2026")</f>
        <v/>
      </c>
      <c r="AC53">
        <f>HYPERLINK("https://klasma.github.io/Logging_2101/tillsyn/A 9155-2026 tillsynsbegäran.docx", "A 9155-2026")</f>
        <v/>
      </c>
      <c r="AD53">
        <f>HYPERLINK("https://klasma.github.io/Logging_2101/tillsynsmail/A 9155-2026 tillsynsbegäran mail.docx", "A 9155-2026")</f>
        <v/>
      </c>
    </row>
    <row r="54" ht="15" customHeight="1">
      <c r="A54" t="inlineStr">
        <is>
          <t>A 20233-2026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46225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17.9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Tibast</t>
        </is>
      </c>
      <c r="W54">
        <f>HYPERLINK("https://klasma.github.io/Logging_2101/artfynd/A 20233-2026 artfynd.xlsx", "A 20233-2026")</f>
        <v/>
      </c>
      <c r="X54">
        <f>HYPERLINK("https://klasma.github.io/Logging_2101/kartor/A 20233-2026 karta.png", "A 20233-2026")</f>
        <v/>
      </c>
      <c r="Y54">
        <f>HYPERLINK("https://klasma.github.io/Logging_2101/kartor_geotiff/A 20233-2026 georefererad karta.tif", "A 20233-2026")</f>
        <v/>
      </c>
      <c r="AA54">
        <f>HYPERLINK("https://klasma.github.io/Logging_2101/klagomål/A 20233-2026 FSC-klagomål.docx", "A 20233-2026")</f>
        <v/>
      </c>
      <c r="AB54">
        <f>HYPERLINK("https://klasma.github.io/Logging_2101/klagomålsmail/A 20233-2026 FSC-klagomål mail.docx", "A 20233-2026")</f>
        <v/>
      </c>
      <c r="AC54">
        <f>HYPERLINK("https://klasma.github.io/Logging_2101/tillsyn/A 20233-2026 tillsynsbegäran.docx", "A 20233-2026")</f>
        <v/>
      </c>
      <c r="AD54">
        <f>HYPERLINK("https://klasma.github.io/Logging_2101/tillsynsmail/A 20233-2026 tillsynsbegäran mail.docx", "A 20233-2026")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46225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46225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62989-2025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46225</v>
      </c>
      <c r="F57" t="inlineStr">
        <is>
          <t>GÄVLEBORGS LÄN</t>
        </is>
      </c>
      <c r="G57" t="inlineStr">
        <is>
          <t>OCKELBO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Kortskaftad ärgspik</t>
        </is>
      </c>
      <c r="W57">
        <f>HYPERLINK("https://klasma.github.io/Logging_2101/artfynd/A 62989-2025 artfynd.xlsx", "A 62989-2025")</f>
        <v/>
      </c>
      <c r="X57">
        <f>HYPERLINK("https://klasma.github.io/Logging_2101/kartor/A 62989-2025 karta.png", "A 62989-2025")</f>
        <v/>
      </c>
      <c r="Y57">
        <f>HYPERLINK("https://klasma.github.io/Logging_2101/kartor_geotiff/A 62989-2025 georefererad karta.tif", "A 62989-2025")</f>
        <v/>
      </c>
      <c r="AA57">
        <f>HYPERLINK("https://klasma.github.io/Logging_2101/klagomål/A 62989-2025 FSC-klagomål.docx", "A 62989-2025")</f>
        <v/>
      </c>
      <c r="AB57">
        <f>HYPERLINK("https://klasma.github.io/Logging_2101/klagomålsmail/A 62989-2025 FSC-klagomål mail.docx", "A 62989-2025")</f>
        <v/>
      </c>
      <c r="AC57">
        <f>HYPERLINK("https://klasma.github.io/Logging_2101/tillsyn/A 62989-2025 tillsynsbegäran.docx", "A 62989-2025")</f>
        <v/>
      </c>
      <c r="AD57">
        <f>HYPERLINK("https://klasma.github.io/Logging_2101/tillsynsmail/A 62989-2025 tillsynsbegäran mail.docx", "A 62989-2025")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46225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46225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46225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15841-2023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45022</v>
      </c>
      <c r="E61" s="1" t="n">
        <v>46225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HYPERLINK("https://klasma.github.io/Logging_2101/artfynd/A 15841-2023 artfynd.xlsx", "A 15841-2023")</f>
        <v/>
      </c>
      <c r="X61">
        <f>HYPERLINK("https://klasma.github.io/Logging_2101/kartor/A 15841-2023 karta.png", "A 15841-2023")</f>
        <v/>
      </c>
      <c r="Y61">
        <f>HYPERLINK("https://klasma.github.io/Logging_2101/kartor_geotiff/A 15841-2023 georefererad karta.tif", "A 15841-2023")</f>
        <v/>
      </c>
      <c r="AA61">
        <f>HYPERLINK("https://klasma.github.io/Logging_2101/klagomål/A 15841-2023 FSC-klagomål.docx", "A 15841-2023")</f>
        <v/>
      </c>
      <c r="AB61">
        <f>HYPERLINK("https://klasma.github.io/Logging_2101/klagomålsmail/A 15841-2023 FSC-klagomål mail.docx", "A 15841-2023")</f>
        <v/>
      </c>
      <c r="AC61">
        <f>HYPERLINK("https://klasma.github.io/Logging_2101/tillsyn/A 15841-2023 tillsynsbegäran.docx", "A 15841-2023")</f>
        <v/>
      </c>
      <c r="AD61">
        <f>HYPERLINK("https://klasma.github.io/Logging_2101/tillsynsmail/A 15841-2023 tillsynsbegäran mail.docx", "A 15841-2023")</f>
        <v/>
      </c>
      <c r="AE61">
        <f>HYPERLINK("https://klasma.github.io/Logging_2101/fåglar/A 15841-2023 prioriterade fågelarter.docx", "A 15841-2023")</f>
        <v/>
      </c>
    </row>
    <row r="62" ht="15" customHeight="1">
      <c r="A62" t="inlineStr">
        <is>
          <t>A 16738-2025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46225</v>
      </c>
      <c r="F62" t="inlineStr">
        <is>
          <t>GÄVLEBORGS LÄN</t>
        </is>
      </c>
      <c r="G62" t="inlineStr">
        <is>
          <t>OCKELBO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HYPERLINK("https://klasma.github.io/Logging_2101/artfynd/A 16738-2025 artfynd.xlsx", "A 16738-2025")</f>
        <v/>
      </c>
      <c r="X62">
        <f>HYPERLINK("https://klasma.github.io/Logging_2101/kartor/A 16738-2025 karta.png", "A 16738-2025")</f>
        <v/>
      </c>
      <c r="Y62">
        <f>HYPERLINK("https://klasma.github.io/Logging_2101/kartor_geotiff/A 16738-2025 georefererad karta.tif", "A 16738-2025")</f>
        <v/>
      </c>
      <c r="AA62">
        <f>HYPERLINK("https://klasma.github.io/Logging_2101/klagomål/A 16738-2025 FSC-klagomål.docx", "A 16738-2025")</f>
        <v/>
      </c>
      <c r="AB62">
        <f>HYPERLINK("https://klasma.github.io/Logging_2101/klagomålsmail/A 16738-2025 FSC-klagomål mail.docx", "A 16738-2025")</f>
        <v/>
      </c>
      <c r="AC62">
        <f>HYPERLINK("https://klasma.github.io/Logging_2101/tillsyn/A 16738-2025 tillsynsbegäran.docx", "A 16738-2025")</f>
        <v/>
      </c>
      <c r="AD62">
        <f>HYPERLINK("https://klasma.github.io/Logging_2101/tillsynsmail/A 16738-2025 tillsynsbegäran mail.docx", "A 16738-2025")</f>
        <v/>
      </c>
    </row>
    <row r="63" ht="15" customHeight="1">
      <c r="A63" t="inlineStr">
        <is>
          <t>A 4226-2023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46225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Skogsknipprot</t>
        </is>
      </c>
      <c r="W63">
        <f>HYPERLINK("https://klasma.github.io/Logging_2101/artfynd/A 4226-2023 artfynd.xlsx", "A 4226-2023")</f>
        <v/>
      </c>
      <c r="X63">
        <f>HYPERLINK("https://klasma.github.io/Logging_2101/kartor/A 4226-2023 karta.png", "A 4226-2023")</f>
        <v/>
      </c>
      <c r="Y63">
        <f>HYPERLINK("https://klasma.github.io/Logging_2101/kartor_geotiff/A 4226-2023 georefererad karta.tif", "A 4226-2023")</f>
        <v/>
      </c>
      <c r="AA63">
        <f>HYPERLINK("https://klasma.github.io/Logging_2101/klagomål/A 4226-2023 FSC-klagomål.docx", "A 4226-2023")</f>
        <v/>
      </c>
      <c r="AB63">
        <f>HYPERLINK("https://klasma.github.io/Logging_2101/klagomålsmail/A 4226-2023 FSC-klagomål mail.docx", "A 4226-2023")</f>
        <v/>
      </c>
      <c r="AC63">
        <f>HYPERLINK("https://klasma.github.io/Logging_2101/tillsyn/A 4226-2023 tillsynsbegäran.docx", "A 4226-2023")</f>
        <v/>
      </c>
      <c r="AD63">
        <f>HYPERLINK("https://klasma.github.io/Logging_2101/tillsynsmail/A 4226-2023 tillsynsbegäran mail.docx", "A 4226-2023")</f>
        <v/>
      </c>
    </row>
    <row r="64" ht="15" customHeight="1">
      <c r="A64" t="inlineStr">
        <is>
          <t>A 33384-2024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46225</v>
      </c>
      <c r="F64" t="inlineStr">
        <is>
          <t>GÄVLEBORGS LÄN</t>
        </is>
      </c>
      <c r="G64" t="inlineStr">
        <is>
          <t>OCKELBO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Plattlummer</t>
        </is>
      </c>
      <c r="W64">
        <f>HYPERLINK("https://klasma.github.io/Logging_2101/artfynd/A 33384-2024 artfynd.xlsx", "A 33384-2024")</f>
        <v/>
      </c>
      <c r="X64">
        <f>HYPERLINK("https://klasma.github.io/Logging_2101/kartor/A 33384-2024 karta.png", "A 33384-2024")</f>
        <v/>
      </c>
      <c r="Y64">
        <f>HYPERLINK("https://klasma.github.io/Logging_2101/kartor_geotiff/A 33384-2024 georefererad karta.tif", "A 33384-2024")</f>
        <v/>
      </c>
      <c r="AA64">
        <f>HYPERLINK("https://klasma.github.io/Logging_2101/klagomål/A 33384-2024 FSC-klagomål.docx", "A 33384-2024")</f>
        <v/>
      </c>
      <c r="AB64">
        <f>HYPERLINK("https://klasma.github.io/Logging_2101/klagomålsmail/A 33384-2024 FSC-klagomål mail.docx", "A 33384-2024")</f>
        <v/>
      </c>
      <c r="AC64">
        <f>HYPERLINK("https://klasma.github.io/Logging_2101/tillsyn/A 33384-2024 tillsynsbegäran.docx", "A 33384-2024")</f>
        <v/>
      </c>
      <c r="AD64">
        <f>HYPERLINK("https://klasma.github.io/Logging_2101/tillsynsmail/A 33384-2024 tillsynsbegäran mail.docx", "A 33384-2024")</f>
        <v/>
      </c>
    </row>
    <row r="65" ht="15" customHeight="1">
      <c r="A65" t="inlineStr">
        <is>
          <t>S 1497-2023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45051</v>
      </c>
      <c r="E65" s="1" t="n">
        <v>46225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701.6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Skogsalm</t>
        </is>
      </c>
      <c r="W65">
        <f>HYPERLINK("https://klasma.github.io/Logging_2101/artfynd/S 1497-2023 artfynd.xlsx", "S 1497-2023")</f>
        <v/>
      </c>
      <c r="X65">
        <f>HYPERLINK("https://klasma.github.io/Logging_2101/kartor/S 1497-2023 karta.png", "S 1497-2023")</f>
        <v/>
      </c>
      <c r="Y65">
        <f>HYPERLINK("https://klasma.github.io/Logging_2101/kartor_geotiff/S 1497-2023 georefererad karta.tif", "S 1497-2023")</f>
        <v/>
      </c>
      <c r="AA65">
        <f>HYPERLINK("https://klasma.github.io/Logging_2101/klagomål/S 1497-2023 FSC-klagomål.docx", "S 1497-2023")</f>
        <v/>
      </c>
      <c r="AB65">
        <f>HYPERLINK("https://klasma.github.io/Logging_2101/klagomålsmail/S 1497-2023 FSC-klagomål mail.docx", "S 1497-2023")</f>
        <v/>
      </c>
      <c r="AC65">
        <f>HYPERLINK("https://klasma.github.io/Logging_2101/tillsyn/S 1497-2023 tillsynsbegäran.docx", "S 1497-2023")</f>
        <v/>
      </c>
      <c r="AD65">
        <f>HYPERLINK("https://klasma.github.io/Logging_2101/tillsynsmail/S 1497-2023 tillsynsbegäran mail.docx", "S 1497-2023")</f>
        <v/>
      </c>
    </row>
    <row r="66" ht="15" customHeight="1">
      <c r="A66" t="inlineStr">
        <is>
          <t>S 3258-2025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45982</v>
      </c>
      <c r="E66" s="1" t="n">
        <v>46225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HYPERLINK("https://klasma.github.io/Logging_2101/artfynd/S 3258-2025 artfynd.xlsx", "S 3258-2025")</f>
        <v/>
      </c>
      <c r="X66">
        <f>HYPERLINK("https://klasma.github.io/Logging_2101/kartor/S 3258-2025 karta.png", "S 3258-2025")</f>
        <v/>
      </c>
      <c r="Y66">
        <f>HYPERLINK("https://klasma.github.io/Logging_2101/kartor_geotiff/S 3258-2025 georefererad karta.tif", "S 3258-2025")</f>
        <v/>
      </c>
      <c r="AA66">
        <f>HYPERLINK("https://klasma.github.io/Logging_2101/klagomål/S 3258-2025 FSC-klagomål.docx", "S 3258-2025")</f>
        <v/>
      </c>
      <c r="AB66">
        <f>HYPERLINK("https://klasma.github.io/Logging_2101/klagomålsmail/S 3258-2025 FSC-klagomål mail.docx", "S 3258-2025")</f>
        <v/>
      </c>
      <c r="AC66">
        <f>HYPERLINK("https://klasma.github.io/Logging_2101/tillsyn/S 3258-2025 tillsynsbegäran.docx", "S 3258-2025")</f>
        <v/>
      </c>
      <c r="AD66">
        <f>HYPERLINK("https://klasma.github.io/Logging_2101/tillsynsmail/S 3258-2025 tillsynsbegäran mail.docx", "S 3258-2025")</f>
        <v/>
      </c>
    </row>
    <row r="67" ht="15" customHeight="1">
      <c r="A67" t="inlineStr">
        <is>
          <t>S 3581-2025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46019</v>
      </c>
      <c r="E67" s="1" t="n">
        <v>46225</v>
      </c>
      <c r="F67" t="inlineStr">
        <is>
          <t>GÄVLEBORGS LÄN</t>
        </is>
      </c>
      <c r="G67" t="inlineStr">
        <is>
          <t>OCKELBO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HYPERLINK("https://klasma.github.io/Logging_2101/artfynd/S 3581-2025 artfynd.xlsx", "S 3581-2025")</f>
        <v/>
      </c>
      <c r="X67">
        <f>HYPERLINK("https://klasma.github.io/Logging_2101/kartor/S 3581-2025 karta.png", "S 3581-2025")</f>
        <v/>
      </c>
      <c r="Y67">
        <f>HYPERLINK("https://klasma.github.io/Logging_2101/kartor_geotiff/S 3581-2025 georefererad karta.tif", "S 3581-2025")</f>
        <v/>
      </c>
      <c r="AA67">
        <f>HYPERLINK("https://klasma.github.io/Logging_2101/klagomål/S 3581-2025 FSC-klagomål.docx", "S 3581-2025")</f>
        <v/>
      </c>
      <c r="AB67">
        <f>HYPERLINK("https://klasma.github.io/Logging_2101/klagomålsmail/S 3581-2025 FSC-klagomål mail.docx", "S 3581-2025")</f>
        <v/>
      </c>
      <c r="AC67">
        <f>HYPERLINK("https://klasma.github.io/Logging_2101/tillsyn/S 3581-2025 tillsynsbegäran.docx", "S 3581-2025")</f>
        <v/>
      </c>
      <c r="AD67">
        <f>HYPERLINK("https://klasma.github.io/Logging_2101/tillsynsmail/S 3581-2025 tillsynsbegäran mail.docx", "S 3581-2025")</f>
        <v/>
      </c>
    </row>
    <row r="68" ht="15" customHeight="1">
      <c r="A68" t="inlineStr">
        <is>
          <t>A 34722-2022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44795</v>
      </c>
      <c r="E68" s="1" t="n">
        <v>46225</v>
      </c>
      <c r="F68" t="inlineStr">
        <is>
          <t>GÄVLEBORGS LÄN</t>
        </is>
      </c>
      <c r="G68" t="inlineStr">
        <is>
          <t>OCKELBO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46225</v>
      </c>
      <c r="F69" t="inlineStr">
        <is>
          <t>GÄVLEBORGS LÄN</t>
        </is>
      </c>
      <c r="G69" t="inlineStr">
        <is>
          <t>OCKELBO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46225</v>
      </c>
      <c r="F70" t="inlineStr">
        <is>
          <t>GÄVLEBORGS LÄN</t>
        </is>
      </c>
      <c r="G70" t="inlineStr">
        <is>
          <t>OCKELBO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39888-2021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44417</v>
      </c>
      <c r="E71" s="1" t="n">
        <v>46225</v>
      </c>
      <c r="F71" t="inlineStr">
        <is>
          <t>GÄVLEBORGS LÄN</t>
        </is>
      </c>
      <c r="G71" t="inlineStr">
        <is>
          <t>OCKELBO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46225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46225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46225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46225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46225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46225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46225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46225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40159-2021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44418</v>
      </c>
      <c r="E80" s="1" t="n">
        <v>46225</v>
      </c>
      <c r="F80" t="inlineStr">
        <is>
          <t>GÄVLEBORGS LÄN</t>
        </is>
      </c>
      <c r="G80" t="inlineStr">
        <is>
          <t>OCKELBO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46225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46225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46225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44400</v>
      </c>
      <c r="E84" s="1" t="n">
        <v>46225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46225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46225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34709-2022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44795</v>
      </c>
      <c r="E87" s="1" t="n">
        <v>46225</v>
      </c>
      <c r="F87" t="inlineStr">
        <is>
          <t>GÄVLEBORGS LÄN</t>
        </is>
      </c>
      <c r="G87" t="inlineStr">
        <is>
          <t>OCKELBO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46225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44425</v>
      </c>
      <c r="E89" s="1" t="n">
        <v>46225</v>
      </c>
      <c r="F89" t="inlineStr">
        <is>
          <t>GÄVLEBORGS LÄN</t>
        </is>
      </c>
      <c r="G89" t="inlineStr">
        <is>
          <t>OCKELBO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46225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46225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46225</v>
      </c>
      <c r="F92" t="inlineStr">
        <is>
          <t>GÄVLEBORGS LÄN</t>
        </is>
      </c>
      <c r="G92" t="inlineStr">
        <is>
          <t>OCKELBO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46225</v>
      </c>
      <c r="F93" t="inlineStr">
        <is>
          <t>GÄVLEBORGS LÄN</t>
        </is>
      </c>
      <c r="G93" t="inlineStr">
        <is>
          <t>OCKELBO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46225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69580-2021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46225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46225</v>
      </c>
      <c r="F96" t="inlineStr">
        <is>
          <t>GÄVLEBORGS LÄN</t>
        </is>
      </c>
      <c r="G96" t="inlineStr">
        <is>
          <t>OCKELBO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46225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46225</v>
      </c>
      <c r="F98" t="inlineStr">
        <is>
          <t>GÄVLEBORGS LÄN</t>
        </is>
      </c>
      <c r="G98" t="inlineStr">
        <is>
          <t>OCKELBO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46225</v>
      </c>
      <c r="F99" t="inlineStr">
        <is>
          <t>GÄVLEBORGS LÄN</t>
        </is>
      </c>
      <c r="G99" t="inlineStr">
        <is>
          <t>OCKELBO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46225</v>
      </c>
      <c r="F100" t="inlineStr">
        <is>
          <t>GÄVLEBORGS LÄN</t>
        </is>
      </c>
      <c r="G100" t="inlineStr">
        <is>
          <t>OCKELBO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43538-2023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46225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46225</v>
      </c>
      <c r="F102" t="inlineStr">
        <is>
          <t>GÄVLEBORGS LÄN</t>
        </is>
      </c>
      <c r="G102" t="inlineStr">
        <is>
          <t>OCKELBO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46225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45700</v>
      </c>
      <c r="E104" s="1" t="n">
        <v>46225</v>
      </c>
      <c r="F104" t="inlineStr">
        <is>
          <t>GÄVLEBORGS LÄN</t>
        </is>
      </c>
      <c r="G104" t="inlineStr">
        <is>
          <t>OCKELBO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46225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46225</v>
      </c>
      <c r="F106" t="inlineStr">
        <is>
          <t>GÄVLEBORGS LÄN</t>
        </is>
      </c>
      <c r="G106" t="inlineStr">
        <is>
          <t>OCKELBO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44838</v>
      </c>
      <c r="E107" s="1" t="n">
        <v>46225</v>
      </c>
      <c r="F107" t="inlineStr">
        <is>
          <t>GÄVLEBORGS LÄN</t>
        </is>
      </c>
      <c r="G107" t="inlineStr">
        <is>
          <t>OCKELBO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55422-2022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44887</v>
      </c>
      <c r="E108" s="1" t="n">
        <v>46225</v>
      </c>
      <c r="F108" t="inlineStr">
        <is>
          <t>GÄVLEBORGS LÄN</t>
        </is>
      </c>
      <c r="G108" t="inlineStr">
        <is>
          <t>OCKELBO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46225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46225</v>
      </c>
      <c r="F110" t="inlineStr">
        <is>
          <t>GÄVLEBORGS LÄN</t>
        </is>
      </c>
      <c r="G110" t="inlineStr">
        <is>
          <t>OCKELBO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20231-2024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45434</v>
      </c>
      <c r="E111" s="1" t="n">
        <v>46225</v>
      </c>
      <c r="F111" t="inlineStr">
        <is>
          <t>GÄVLEBORGS LÄN</t>
        </is>
      </c>
      <c r="G111" t="inlineStr">
        <is>
          <t>OCKELBO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46225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46225</v>
      </c>
      <c r="F113" t="inlineStr">
        <is>
          <t>GÄVLEBORGS LÄN</t>
        </is>
      </c>
      <c r="G113" t="inlineStr">
        <is>
          <t>OCKELBO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46225</v>
      </c>
      <c r="F114" t="inlineStr">
        <is>
          <t>GÄVLEBORGS LÄN</t>
        </is>
      </c>
      <c r="G114" t="inlineStr">
        <is>
          <t>OCKELBO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45334</v>
      </c>
      <c r="E115" s="1" t="n">
        <v>46225</v>
      </c>
      <c r="F115" t="inlineStr">
        <is>
          <t>GÄVLEBORGS LÄN</t>
        </is>
      </c>
      <c r="G115" t="inlineStr">
        <is>
          <t>OCKELBO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46225</v>
      </c>
      <c r="F116" t="inlineStr">
        <is>
          <t>GÄVLEBORGS LÄN</t>
        </is>
      </c>
      <c r="G116" t="inlineStr">
        <is>
          <t>OCKELBO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46225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45478</v>
      </c>
      <c r="E118" s="1" t="n">
        <v>46225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46225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6742-2024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46225</v>
      </c>
      <c r="F120" t="inlineStr">
        <is>
          <t>GÄVLEBORGS LÄN</t>
        </is>
      </c>
      <c r="G120" t="inlineStr">
        <is>
          <t>OCKELBO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45534</v>
      </c>
      <c r="E121" s="1" t="n">
        <v>46225</v>
      </c>
      <c r="F121" t="inlineStr">
        <is>
          <t>GÄVLEBORGS LÄN</t>
        </is>
      </c>
      <c r="G121" t="inlineStr">
        <is>
          <t>OCKELBO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46225</v>
      </c>
      <c r="F122" t="inlineStr">
        <is>
          <t>GÄVLEBORGS LÄN</t>
        </is>
      </c>
      <c r="G122" t="inlineStr">
        <is>
          <t>OCKELBO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46225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45800</v>
      </c>
      <c r="E124" s="1" t="n">
        <v>46225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25250-2025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45800</v>
      </c>
      <c r="E125" s="1" t="n">
        <v>46225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46225</v>
      </c>
      <c r="F126" t="inlineStr">
        <is>
          <t>GÄVLEBORGS LÄN</t>
        </is>
      </c>
      <c r="G126" t="inlineStr">
        <is>
          <t>OCKELBO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46225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46225</v>
      </c>
      <c r="F128" t="inlineStr">
        <is>
          <t>GÄVLEBORGS LÄN</t>
        </is>
      </c>
      <c r="G128" t="inlineStr">
        <is>
          <t>OCKELBO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46225</v>
      </c>
      <c r="F129" t="inlineStr">
        <is>
          <t>GÄVLEBORGS LÄN</t>
        </is>
      </c>
      <c r="G129" t="inlineStr">
        <is>
          <t>OCKELBO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46225</v>
      </c>
      <c r="F130" t="inlineStr">
        <is>
          <t>GÄVLEBORGS LÄN</t>
        </is>
      </c>
      <c r="G130" t="inlineStr">
        <is>
          <t>OCKELBO</t>
        </is>
      </c>
      <c r="I130" t="n">
        <v>16.2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46225</v>
      </c>
      <c r="F131" t="inlineStr">
        <is>
          <t>GÄVLEBORGS LÄN</t>
        </is>
      </c>
      <c r="G131" t="inlineStr">
        <is>
          <t>OCKELBO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46225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46225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25234-2025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46225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46225</v>
      </c>
      <c r="F135" t="inlineStr">
        <is>
          <t>GÄVLEBORGS LÄN</t>
        </is>
      </c>
      <c r="G135" t="inlineStr">
        <is>
          <t>OCKELBO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46225</v>
      </c>
      <c r="F136" t="inlineStr">
        <is>
          <t>GÄVLEBORGS LÄN</t>
        </is>
      </c>
      <c r="G136" t="inlineStr">
        <is>
          <t>OCKELBO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46028</v>
      </c>
      <c r="E137" s="1" t="n">
        <v>46225</v>
      </c>
      <c r="F137" t="inlineStr">
        <is>
          <t>GÄVLEBORGS LÄN</t>
        </is>
      </c>
      <c r="G137" t="inlineStr">
        <is>
          <t>OCKELBO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46225</v>
      </c>
      <c r="F138" t="inlineStr">
        <is>
          <t>GÄVLEBORGS LÄN</t>
        </is>
      </c>
      <c r="G138" t="inlineStr">
        <is>
          <t>OCKELBO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46028</v>
      </c>
      <c r="E139" s="1" t="n">
        <v>46225</v>
      </c>
      <c r="F139" t="inlineStr">
        <is>
          <t>GÄVLEBORGS LÄN</t>
        </is>
      </c>
      <c r="G139" t="inlineStr">
        <is>
          <t>OCKELBO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46225</v>
      </c>
      <c r="F140" t="inlineStr">
        <is>
          <t>GÄVLEBORGS LÄN</t>
        </is>
      </c>
      <c r="G140" t="inlineStr">
        <is>
          <t>OCKELBO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46225</v>
      </c>
      <c r="F141" t="inlineStr">
        <is>
          <t>GÄVLEBORGS LÄN</t>
        </is>
      </c>
      <c r="G141" t="inlineStr">
        <is>
          <t>OCKELBO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46225</v>
      </c>
      <c r="F142" t="inlineStr">
        <is>
          <t>GÄVLEBORGS LÄN</t>
        </is>
      </c>
      <c r="G142" t="inlineStr">
        <is>
          <t>OCKELBO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46225</v>
      </c>
      <c r="F143" t="inlineStr">
        <is>
          <t>GÄVLEBORGS LÄN</t>
        </is>
      </c>
      <c r="G143" t="inlineStr">
        <is>
          <t>OCKELBO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46225</v>
      </c>
      <c r="F144" t="inlineStr">
        <is>
          <t>GÄVLEBORGS LÄN</t>
        </is>
      </c>
      <c r="G144" t="inlineStr">
        <is>
          <t>OCKELBO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46225</v>
      </c>
      <c r="F145" t="inlineStr">
        <is>
          <t>GÄVLEBORGS LÄN</t>
        </is>
      </c>
      <c r="G145" t="inlineStr">
        <is>
          <t>OCKELBO</t>
        </is>
      </c>
      <c r="I145" t="n">
        <v>9.4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60497-2021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44496</v>
      </c>
      <c r="E146" s="1" t="n">
        <v>46225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46033</v>
      </c>
      <c r="E147" s="1" t="n">
        <v>46225</v>
      </c>
      <c r="F147" t="inlineStr">
        <is>
          <t>GÄVLEBORGS LÄN</t>
        </is>
      </c>
      <c r="G147" t="inlineStr">
        <is>
          <t>OCKELBO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46225</v>
      </c>
      <c r="F148" t="inlineStr">
        <is>
          <t>GÄVLEBORGS LÄN</t>
        </is>
      </c>
      <c r="G148" t="inlineStr">
        <is>
          <t>OCKELBO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46225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46225</v>
      </c>
      <c r="F150" t="inlineStr">
        <is>
          <t>GÄVLEBORGS LÄN</t>
        </is>
      </c>
      <c r="G150" t="inlineStr">
        <is>
          <t>OCKELBO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46225</v>
      </c>
      <c r="F151" t="inlineStr">
        <is>
          <t>GÄVLEBORGS LÄN</t>
        </is>
      </c>
      <c r="G151" t="inlineStr">
        <is>
          <t>OCKELBO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46225</v>
      </c>
      <c r="F152" t="inlineStr">
        <is>
          <t>GÄVLEBORGS LÄN</t>
        </is>
      </c>
      <c r="G152" t="inlineStr">
        <is>
          <t>OCKELBO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46225</v>
      </c>
      <c r="F153" t="inlineStr">
        <is>
          <t>GÄVLEBORGS LÄN</t>
        </is>
      </c>
      <c r="G153" t="inlineStr">
        <is>
          <t>OCKELBO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2178-2026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46225</v>
      </c>
      <c r="F154" t="inlineStr">
        <is>
          <t>GÄVLEBORGS LÄN</t>
        </is>
      </c>
      <c r="G154" t="inlineStr">
        <is>
          <t>OCKELBO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46225</v>
      </c>
      <c r="F155" t="inlineStr">
        <is>
          <t>GÄVLEBORGS LÄN</t>
        </is>
      </c>
      <c r="G155" t="inlineStr">
        <is>
          <t>OCKELBO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46225</v>
      </c>
      <c r="F156" t="inlineStr">
        <is>
          <t>GÄVLEBORGS LÄN</t>
        </is>
      </c>
      <c r="G156" t="inlineStr">
        <is>
          <t>OCKELBO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46036</v>
      </c>
      <c r="E157" s="1" t="n">
        <v>46225</v>
      </c>
      <c r="F157" t="inlineStr">
        <is>
          <t>GÄVLEBORGS LÄN</t>
        </is>
      </c>
      <c r="G157" t="inlineStr">
        <is>
          <t>OCKELBO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46225</v>
      </c>
      <c r="F158" t="inlineStr">
        <is>
          <t>GÄVLEBORGS LÄN</t>
        </is>
      </c>
      <c r="G158" t="inlineStr">
        <is>
          <t>OCKELBO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46036</v>
      </c>
      <c r="E159" s="1" t="n">
        <v>46225</v>
      </c>
      <c r="F159" t="inlineStr">
        <is>
          <t>GÄVLEBORGS LÄN</t>
        </is>
      </c>
      <c r="G159" t="inlineStr">
        <is>
          <t>OCKELBO</t>
        </is>
      </c>
      <c r="I159" t="n">
        <v>16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46225</v>
      </c>
      <c r="F160" t="inlineStr">
        <is>
          <t>GÄVLEBORGS LÄN</t>
        </is>
      </c>
      <c r="G160" t="inlineStr">
        <is>
          <t>OCKELBO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46038</v>
      </c>
      <c r="E161" s="1" t="n">
        <v>46225</v>
      </c>
      <c r="F161" t="inlineStr">
        <is>
          <t>GÄVLEBORGS LÄN</t>
        </is>
      </c>
      <c r="G161" t="inlineStr">
        <is>
          <t>OCKELBO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46225</v>
      </c>
      <c r="F162" t="inlineStr">
        <is>
          <t>GÄVLEBORGS LÄN</t>
        </is>
      </c>
      <c r="G162" t="inlineStr">
        <is>
          <t>OCKELBO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46225</v>
      </c>
      <c r="F163" t="inlineStr">
        <is>
          <t>GÄVLEBORGS LÄN</t>
        </is>
      </c>
      <c r="G163" t="inlineStr">
        <is>
          <t>OCKELBO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46225</v>
      </c>
      <c r="F164" t="inlineStr">
        <is>
          <t>GÄVLEBORGS LÄN</t>
        </is>
      </c>
      <c r="G164" t="inlineStr">
        <is>
          <t>OCKELBO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46041</v>
      </c>
      <c r="E165" s="1" t="n">
        <v>46225</v>
      </c>
      <c r="F165" t="inlineStr">
        <is>
          <t>GÄVLEBORGS LÄN</t>
        </is>
      </c>
      <c r="G165" t="inlineStr">
        <is>
          <t>OCKELBO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46225</v>
      </c>
      <c r="F166" t="inlineStr">
        <is>
          <t>GÄVLEBORGS LÄN</t>
        </is>
      </c>
      <c r="G166" t="inlineStr">
        <is>
          <t>OCKELBO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46225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46225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46225</v>
      </c>
      <c r="F169" t="inlineStr">
        <is>
          <t>GÄVLEBORGS LÄN</t>
        </is>
      </c>
      <c r="G169" t="inlineStr">
        <is>
          <t>OCKELBO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46225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46225</v>
      </c>
      <c r="F171" t="inlineStr">
        <is>
          <t>GÄVLEBORGS LÄN</t>
        </is>
      </c>
      <c r="G171" t="inlineStr">
        <is>
          <t>OCKELBO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46225</v>
      </c>
      <c r="F172" t="inlineStr">
        <is>
          <t>GÄVLEBORGS LÄN</t>
        </is>
      </c>
      <c r="G172" t="inlineStr">
        <is>
          <t>OCKELBO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46225</v>
      </c>
      <c r="F173" t="inlineStr">
        <is>
          <t>GÄVLEBORGS LÄN</t>
        </is>
      </c>
      <c r="G173" t="inlineStr">
        <is>
          <t>OCKELBO</t>
        </is>
      </c>
      <c r="H173" t="inlineStr">
        <is>
          <t>Kyrkan</t>
        </is>
      </c>
      <c r="I173" t="n">
        <v>12.5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46225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46225</v>
      </c>
      <c r="F175" t="inlineStr">
        <is>
          <t>GÄVLEBORGS LÄN</t>
        </is>
      </c>
      <c r="G175" t="inlineStr">
        <is>
          <t>OCKELBO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46225</v>
      </c>
      <c r="F176" t="inlineStr">
        <is>
          <t>GÄVLEBORGS LÄN</t>
        </is>
      </c>
      <c r="G176" t="inlineStr">
        <is>
          <t>OCKELBO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46225</v>
      </c>
      <c r="F177" t="inlineStr">
        <is>
          <t>GÄVLEBORGS LÄN</t>
        </is>
      </c>
      <c r="G177" t="inlineStr">
        <is>
          <t>OCKELBO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46225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46225</v>
      </c>
      <c r="F179" t="inlineStr">
        <is>
          <t>GÄVLEBORGS LÄN</t>
        </is>
      </c>
      <c r="G179" t="inlineStr">
        <is>
          <t>OCKELBO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46225</v>
      </c>
      <c r="F180" t="inlineStr">
        <is>
          <t>GÄVLEBORGS LÄN</t>
        </is>
      </c>
      <c r="G180" t="inlineStr">
        <is>
          <t>OCKELBO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46225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46225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46225</v>
      </c>
      <c r="F183" t="inlineStr">
        <is>
          <t>GÄVLEBORGS LÄN</t>
        </is>
      </c>
      <c r="G183" t="inlineStr">
        <is>
          <t>OCKELBO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46225</v>
      </c>
      <c r="F184" t="inlineStr">
        <is>
          <t>GÄVLEBORGS LÄN</t>
        </is>
      </c>
      <c r="G184" t="inlineStr">
        <is>
          <t>OCKELBO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46225</v>
      </c>
      <c r="F185" t="inlineStr">
        <is>
          <t>GÄVLEBORGS LÄN</t>
        </is>
      </c>
      <c r="G185" t="inlineStr">
        <is>
          <t>OCKELBO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46045</v>
      </c>
      <c r="E186" s="1" t="n">
        <v>46225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39324-2025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46225</v>
      </c>
      <c r="F187" t="inlineStr">
        <is>
          <t>GÄVLEBORGS LÄN</t>
        </is>
      </c>
      <c r="G187" t="inlineStr">
        <is>
          <t>OCKELBO</t>
        </is>
      </c>
      <c r="I187" t="n">
        <v>8.6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46225</v>
      </c>
      <c r="F188" t="inlineStr">
        <is>
          <t>GÄVLEBORGS LÄN</t>
        </is>
      </c>
      <c r="G188" t="inlineStr">
        <is>
          <t>OCKELBO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39360-2025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46225</v>
      </c>
      <c r="F189" t="inlineStr">
        <is>
          <t>GÄVLEBORGS LÄN</t>
        </is>
      </c>
      <c r="G189" t="inlineStr">
        <is>
          <t>OCKELBO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45744</v>
      </c>
      <c r="E190" s="1" t="n">
        <v>46225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46225</v>
      </c>
      <c r="F191" t="inlineStr">
        <is>
          <t>GÄVLEBORGS LÄN</t>
        </is>
      </c>
      <c r="G191" t="inlineStr">
        <is>
          <t>OCKELBO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46225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46225</v>
      </c>
      <c r="F193" t="inlineStr">
        <is>
          <t>GÄVLEBORGS LÄN</t>
        </is>
      </c>
      <c r="G193" t="inlineStr">
        <is>
          <t>OCKELBO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46225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46225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45821</v>
      </c>
      <c r="E196" s="1" t="n">
        <v>46225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46225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17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46225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46225</v>
      </c>
      <c r="F199" t="inlineStr">
        <is>
          <t>GÄVLEBORGS LÄN</t>
        </is>
      </c>
      <c r="G199" t="inlineStr">
        <is>
          <t>OCKELBO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40148-2025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46225</v>
      </c>
      <c r="F200" t="inlineStr">
        <is>
          <t>GÄVLEBORGS LÄN</t>
        </is>
      </c>
      <c r="G200" t="inlineStr">
        <is>
          <t>OCKELBO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45488</v>
      </c>
      <c r="E201" s="1" t="n">
        <v>46225</v>
      </c>
      <c r="F201" t="inlineStr">
        <is>
          <t>GÄVLEBORGS LÄN</t>
        </is>
      </c>
      <c r="G201" t="inlineStr">
        <is>
          <t>OCKELBO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46225</v>
      </c>
      <c r="F202" t="inlineStr">
        <is>
          <t>GÄVLEBORGS LÄN</t>
        </is>
      </c>
      <c r="G202" t="inlineStr">
        <is>
          <t>OCKELBO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46225</v>
      </c>
      <c r="F203" t="inlineStr">
        <is>
          <t>GÄVLEBORGS LÄN</t>
        </is>
      </c>
      <c r="G203" t="inlineStr">
        <is>
          <t>OCKELBO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6531-2026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46225</v>
      </c>
      <c r="F204" t="inlineStr">
        <is>
          <t>GÄVLEBORGS LÄN</t>
        </is>
      </c>
      <c r="G204" t="inlineStr">
        <is>
          <t>OCKELBO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46225</v>
      </c>
      <c r="F205" t="inlineStr">
        <is>
          <t>GÄVLEBORGS LÄN</t>
        </is>
      </c>
      <c r="G205" t="inlineStr">
        <is>
          <t>OCKELBO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46225</v>
      </c>
      <c r="F206" t="inlineStr">
        <is>
          <t>GÄVLEBORGS LÄN</t>
        </is>
      </c>
      <c r="G206" t="inlineStr">
        <is>
          <t>OCKELBO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46225</v>
      </c>
      <c r="F207" t="inlineStr">
        <is>
          <t>GÄVLEBORGS LÄN</t>
        </is>
      </c>
      <c r="G207" t="inlineStr">
        <is>
          <t>OCKELBO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46225</v>
      </c>
      <c r="F208" t="inlineStr">
        <is>
          <t>GÄVLEBORGS LÄN</t>
        </is>
      </c>
      <c r="G208" t="inlineStr">
        <is>
          <t>OCKELBO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46225</v>
      </c>
      <c r="F209" t="inlineStr">
        <is>
          <t>GÄVLEBORGS LÄN</t>
        </is>
      </c>
      <c r="G209" t="inlineStr">
        <is>
          <t>OCKELBO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46053</v>
      </c>
      <c r="E210" s="1" t="n">
        <v>46225</v>
      </c>
      <c r="F210" t="inlineStr">
        <is>
          <t>GÄVLEBORGS LÄN</t>
        </is>
      </c>
      <c r="G210" t="inlineStr">
        <is>
          <t>OCKELBO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46225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46225</v>
      </c>
      <c r="F212" t="inlineStr">
        <is>
          <t>GÄVLEBORGS LÄN</t>
        </is>
      </c>
      <c r="G212" t="inlineStr">
        <is>
          <t>OCKELBO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46225</v>
      </c>
      <c r="F213" t="inlineStr">
        <is>
          <t>GÄVLEBORGS LÄN</t>
        </is>
      </c>
      <c r="G213" t="inlineStr">
        <is>
          <t>OCKELBO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46225</v>
      </c>
      <c r="F214" t="inlineStr">
        <is>
          <t>GÄVLEBORGS LÄN</t>
        </is>
      </c>
      <c r="G214" t="inlineStr">
        <is>
          <t>OCKELBO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46225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45827</v>
      </c>
      <c r="E216" s="1" t="n">
        <v>46225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45827</v>
      </c>
      <c r="E217" s="1" t="n">
        <v>46225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46225</v>
      </c>
      <c r="F218" t="inlineStr">
        <is>
          <t>GÄVLEBORGS LÄN</t>
        </is>
      </c>
      <c r="G218" t="inlineStr">
        <is>
          <t>OCKELBO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46225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46056</v>
      </c>
      <c r="E220" s="1" t="n">
        <v>46225</v>
      </c>
      <c r="F220" t="inlineStr">
        <is>
          <t>GÄVLEBORGS LÄN</t>
        </is>
      </c>
      <c r="G220" t="inlineStr">
        <is>
          <t>OCKELBO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46225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46225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46225</v>
      </c>
      <c r="F223" t="inlineStr">
        <is>
          <t>GÄVLEBORGS LÄN</t>
        </is>
      </c>
      <c r="G223" t="inlineStr">
        <is>
          <t>OCKELBO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46225</v>
      </c>
      <c r="F224" t="inlineStr">
        <is>
          <t>GÄVLEBORGS LÄN</t>
        </is>
      </c>
      <c r="G224" t="inlineStr">
        <is>
          <t>OCKELBO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46225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46225</v>
      </c>
      <c r="F226" t="inlineStr">
        <is>
          <t>GÄVLEBORGS LÄN</t>
        </is>
      </c>
      <c r="G226" t="inlineStr">
        <is>
          <t>OCKELBO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46225</v>
      </c>
      <c r="F227" t="inlineStr">
        <is>
          <t>GÄVLEBORGS LÄN</t>
        </is>
      </c>
      <c r="G227" t="inlineStr">
        <is>
          <t>OCKELBO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7639-2026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46225</v>
      </c>
      <c r="F228" t="inlineStr">
        <is>
          <t>GÄVLEBORGS LÄN</t>
        </is>
      </c>
      <c r="G228" t="inlineStr">
        <is>
          <t>OCKELBO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46225</v>
      </c>
      <c r="F229" t="inlineStr">
        <is>
          <t>GÄVLEBORGS LÄN</t>
        </is>
      </c>
      <c r="G229" t="inlineStr">
        <is>
          <t>OCKELBO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46225</v>
      </c>
      <c r="F230" t="inlineStr">
        <is>
          <t>GÄVLEBORGS LÄN</t>
        </is>
      </c>
      <c r="G230" t="inlineStr">
        <is>
          <t>OCKELBO</t>
        </is>
      </c>
      <c r="H230" t="inlineStr">
        <is>
          <t>Kyrkan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46062</v>
      </c>
      <c r="E231" s="1" t="n">
        <v>46225</v>
      </c>
      <c r="F231" t="inlineStr">
        <is>
          <t>GÄVLEBORGS LÄN</t>
        </is>
      </c>
      <c r="G231" t="inlineStr">
        <is>
          <t>OCKELBO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45835</v>
      </c>
      <c r="E232" s="1" t="n">
        <v>46225</v>
      </c>
      <c r="F232" t="inlineStr">
        <is>
          <t>GÄVLEBORGS LÄN</t>
        </is>
      </c>
      <c r="G232" t="inlineStr">
        <is>
          <t>OCKELBO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46225</v>
      </c>
      <c r="F233" t="inlineStr">
        <is>
          <t>GÄVLEBORGS LÄN</t>
        </is>
      </c>
      <c r="G233" t="inlineStr">
        <is>
          <t>OCKELBO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46225</v>
      </c>
      <c r="F234" t="inlineStr">
        <is>
          <t>GÄVLEBORGS LÄN</t>
        </is>
      </c>
      <c r="G234" t="inlineStr">
        <is>
          <t>OCKELBO</t>
        </is>
      </c>
      <c r="I234" t="n">
        <v>17.4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46064</v>
      </c>
      <c r="E235" s="1" t="n">
        <v>46225</v>
      </c>
      <c r="F235" t="inlineStr">
        <is>
          <t>GÄVLEBORGS LÄN</t>
        </is>
      </c>
      <c r="G235" t="inlineStr">
        <is>
          <t>OCKELBO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46064</v>
      </c>
      <c r="E236" s="1" t="n">
        <v>46225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46225</v>
      </c>
      <c r="F237" t="inlineStr">
        <is>
          <t>GÄVLEBORGS LÄN</t>
        </is>
      </c>
      <c r="G237" t="inlineStr">
        <is>
          <t>OCKELBO</t>
        </is>
      </c>
      <c r="H237" t="inlineStr">
        <is>
          <t>Kyrkan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46225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46225</v>
      </c>
      <c r="F239" t="inlineStr">
        <is>
          <t>GÄVLEBORGS LÄN</t>
        </is>
      </c>
      <c r="G239" t="inlineStr">
        <is>
          <t>OCKELBO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46225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46065</v>
      </c>
      <c r="E241" s="1" t="n">
        <v>46225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46225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46225</v>
      </c>
      <c r="F243" t="inlineStr">
        <is>
          <t>GÄVLEBORGS LÄN</t>
        </is>
      </c>
      <c r="G243" t="inlineStr">
        <is>
          <t>OCKELBO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46225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24.8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46225</v>
      </c>
      <c r="F245" t="inlineStr">
        <is>
          <t>GÄVLEBORGS LÄN</t>
        </is>
      </c>
      <c r="G245" t="inlineStr">
        <is>
          <t>OCKELBO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46225</v>
      </c>
      <c r="F246" t="inlineStr">
        <is>
          <t>GÄVLEBORGS LÄN</t>
        </is>
      </c>
      <c r="G246" t="inlineStr">
        <is>
          <t>OCKELBO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46225</v>
      </c>
      <c r="F247" t="inlineStr">
        <is>
          <t>GÄVLEBORGS LÄN</t>
        </is>
      </c>
      <c r="G247" t="inlineStr">
        <is>
          <t>OCKELBO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46225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46225</v>
      </c>
      <c r="F249" t="inlineStr">
        <is>
          <t>GÄVLEBORGS LÄN</t>
        </is>
      </c>
      <c r="G249" t="inlineStr">
        <is>
          <t>OCKELBO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45109</v>
      </c>
      <c r="E250" s="1" t="n">
        <v>46225</v>
      </c>
      <c r="F250" t="inlineStr">
        <is>
          <t>GÄVLEBORGS LÄN</t>
        </is>
      </c>
      <c r="G250" t="inlineStr">
        <is>
          <t>OCKELBO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46056</v>
      </c>
      <c r="E251" s="1" t="n">
        <v>46225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46225</v>
      </c>
      <c r="F252" t="inlineStr">
        <is>
          <t>GÄVLEBORGS LÄN</t>
        </is>
      </c>
      <c r="G252" t="inlineStr">
        <is>
          <t>OCKELBO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46225</v>
      </c>
      <c r="F253" t="inlineStr">
        <is>
          <t>GÄVLEBORGS LÄN</t>
        </is>
      </c>
      <c r="G253" t="inlineStr">
        <is>
          <t>OCKELBO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46225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46225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46071</v>
      </c>
      <c r="E256" s="1" t="n">
        <v>46225</v>
      </c>
      <c r="F256" t="inlineStr">
        <is>
          <t>GÄVLEBORGS LÄN</t>
        </is>
      </c>
      <c r="G256" t="inlineStr">
        <is>
          <t>OCKELBO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46225</v>
      </c>
      <c r="F257" t="inlineStr">
        <is>
          <t>GÄVLEBORGS LÄN</t>
        </is>
      </c>
      <c r="G257" t="inlineStr">
        <is>
          <t>OCKELBO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46225</v>
      </c>
      <c r="F258" t="inlineStr">
        <is>
          <t>GÄVLEBORGS LÄN</t>
        </is>
      </c>
      <c r="G258" t="inlineStr">
        <is>
          <t>OCKELBO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46072</v>
      </c>
      <c r="E259" s="1" t="n">
        <v>46225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46072</v>
      </c>
      <c r="E260" s="1" t="n">
        <v>46225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46071</v>
      </c>
      <c r="E261" s="1" t="n">
        <v>46225</v>
      </c>
      <c r="F261" t="inlineStr">
        <is>
          <t>GÄVLEBORGS LÄN</t>
        </is>
      </c>
      <c r="G261" t="inlineStr">
        <is>
          <t>OCKELBO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46225</v>
      </c>
      <c r="F262" t="inlineStr">
        <is>
          <t>GÄVLEBORGS LÄN</t>
        </is>
      </c>
      <c r="G262" t="inlineStr">
        <is>
          <t>OCKELBO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1288-2026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46225</v>
      </c>
      <c r="F263" t="inlineStr">
        <is>
          <t>GÄVLEBORGS LÄN</t>
        </is>
      </c>
      <c r="G263" t="inlineStr">
        <is>
          <t>OCKELBO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46225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46225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1286-2026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46225</v>
      </c>
      <c r="F266" t="inlineStr">
        <is>
          <t>GÄVLEBORGS LÄN</t>
        </is>
      </c>
      <c r="G266" t="inlineStr">
        <is>
          <t>OCKELBO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46225</v>
      </c>
      <c r="F267" t="inlineStr">
        <is>
          <t>GÄVLEBORGS LÄN</t>
        </is>
      </c>
      <c r="G267" t="inlineStr">
        <is>
          <t>OCKELBO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46225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45073</v>
      </c>
      <c r="E269" s="1" t="n">
        <v>46225</v>
      </c>
      <c r="F269" t="inlineStr">
        <is>
          <t>GÄVLEBORGS LÄN</t>
        </is>
      </c>
      <c r="G269" t="inlineStr">
        <is>
          <t>OCKELBO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46077</v>
      </c>
      <c r="E270" s="1" t="n">
        <v>46225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10418-2026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46077</v>
      </c>
      <c r="E271" s="1" t="n">
        <v>46225</v>
      </c>
      <c r="F271" t="inlineStr">
        <is>
          <t>GÄVLEBORGS LÄN</t>
        </is>
      </c>
      <c r="G271" t="inlineStr">
        <is>
          <t>OCKELBO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46077</v>
      </c>
      <c r="E272" s="1" t="n">
        <v>46225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46077</v>
      </c>
      <c r="E273" s="1" t="n">
        <v>46225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46073</v>
      </c>
      <c r="E274" s="1" t="n">
        <v>46225</v>
      </c>
      <c r="F274" t="inlineStr">
        <is>
          <t>GÄVLEBORGS LÄN</t>
        </is>
      </c>
      <c r="G274" t="inlineStr">
        <is>
          <t>OCKELBO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46073</v>
      </c>
      <c r="E275" s="1" t="n">
        <v>46225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10184-2026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46225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46077</v>
      </c>
      <c r="E277" s="1" t="n">
        <v>46225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öst AB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43550-2023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45184</v>
      </c>
      <c r="E278" s="1" t="n">
        <v>46225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10535-2026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46225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öst AB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46225</v>
      </c>
      <c r="F280" t="inlineStr">
        <is>
          <t>GÄVLEBORGS LÄN</t>
        </is>
      </c>
      <c r="G280" t="inlineStr">
        <is>
          <t>OCKELBO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46077</v>
      </c>
      <c r="E281" s="1" t="n">
        <v>46225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öst AB</t>
        </is>
      </c>
      <c r="I281" t="n">
        <v>45.7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46078</v>
      </c>
      <c r="E282" s="1" t="n">
        <v>46225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46225</v>
      </c>
      <c r="F283" t="inlineStr">
        <is>
          <t>GÄVLEBORGS LÄN</t>
        </is>
      </c>
      <c r="G283" t="inlineStr">
        <is>
          <t>OCKELBO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46225</v>
      </c>
      <c r="F284" t="inlineStr">
        <is>
          <t>GÄVLEBORGS LÄN</t>
        </is>
      </c>
      <c r="G284" t="inlineStr">
        <is>
          <t>OCKELBO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46225</v>
      </c>
      <c r="F285" t="inlineStr">
        <is>
          <t>GÄVLEBORGS LÄN</t>
        </is>
      </c>
      <c r="G285" t="inlineStr">
        <is>
          <t>OCKELBO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46225</v>
      </c>
      <c r="F286" t="inlineStr">
        <is>
          <t>GÄVLEBORGS LÄN</t>
        </is>
      </c>
      <c r="G286" t="inlineStr">
        <is>
          <t>OCKELBO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35017-2025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45851</v>
      </c>
      <c r="E287" s="1" t="n">
        <v>46225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27.8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46083</v>
      </c>
      <c r="E288" s="1" t="n">
        <v>46225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öst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46083</v>
      </c>
      <c r="E289" s="1" t="n">
        <v>46225</v>
      </c>
      <c r="F289" t="inlineStr">
        <is>
          <t>GÄVLEBORGS LÄN</t>
        </is>
      </c>
      <c r="G289" t="inlineStr">
        <is>
          <t>OCKELBO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46052</v>
      </c>
      <c r="E290" s="1" t="n">
        <v>46225</v>
      </c>
      <c r="F290" t="inlineStr">
        <is>
          <t>GÄVLEBORGS LÄN</t>
        </is>
      </c>
      <c r="G290" t="inlineStr">
        <is>
          <t>OCKELBO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46225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46225</v>
      </c>
      <c r="F292" t="inlineStr">
        <is>
          <t>GÄVLEBORGS LÄN</t>
        </is>
      </c>
      <c r="G292" t="inlineStr">
        <is>
          <t>OCKELBO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46320-2025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46225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46225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öst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35614-2025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45859</v>
      </c>
      <c r="E295" s="1" t="n">
        <v>46225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18326-2026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46126</v>
      </c>
      <c r="E296" s="1" t="n">
        <v>46225</v>
      </c>
      <c r="F296" t="inlineStr">
        <is>
          <t>GÄVLEBORGS LÄN</t>
        </is>
      </c>
      <c r="G296" t="inlineStr">
        <is>
          <t>OCKELBO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11810-2026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46225</v>
      </c>
      <c r="F297" t="inlineStr">
        <is>
          <t>GÄVLEBORGS LÄN</t>
        </is>
      </c>
      <c r="G297" t="inlineStr">
        <is>
          <t>OCKELBO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46225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18.7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45846</v>
      </c>
      <c r="E299" s="1" t="n">
        <v>46225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45107</v>
      </c>
      <c r="E300" s="1" t="n">
        <v>46225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46225</v>
      </c>
      <c r="F301" t="inlineStr">
        <is>
          <t>GÄVLEBORGS LÄN</t>
        </is>
      </c>
      <c r="G301" t="inlineStr">
        <is>
          <t>OCKELBO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46225</v>
      </c>
      <c r="F302" t="inlineStr">
        <is>
          <t>GÄVLEBORGS LÄN</t>
        </is>
      </c>
      <c r="G302" t="inlineStr">
        <is>
          <t>OCKELBO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45519-2022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44845</v>
      </c>
      <c r="E303" s="1" t="n">
        <v>46225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48221-2024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45590</v>
      </c>
      <c r="E304" s="1" t="n">
        <v>46225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54454-2024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45617</v>
      </c>
      <c r="E305" s="1" t="n">
        <v>46225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61622-2021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44501</v>
      </c>
      <c r="E306" s="1" t="n">
        <v>46225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46089</v>
      </c>
      <c r="E307" s="1" t="n">
        <v>46225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29.9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46225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45162</v>
      </c>
      <c r="E309" s="1" t="n">
        <v>46225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67768-2021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46225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46485-2024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45582</v>
      </c>
      <c r="E311" s="1" t="n">
        <v>46225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47011-2025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46225</v>
      </c>
      <c r="F312" t="inlineStr">
        <is>
          <t>GÄVLEBORGS LÄN</t>
        </is>
      </c>
      <c r="G312" t="inlineStr">
        <is>
          <t>OCKELBO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47016-2025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46225</v>
      </c>
      <c r="F313" t="inlineStr">
        <is>
          <t>GÄVLEBORGS LÄN</t>
        </is>
      </c>
      <c r="G313" t="inlineStr">
        <is>
          <t>OCKELBO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45602</v>
      </c>
      <c r="E314" s="1" t="n">
        <v>46225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45602</v>
      </c>
      <c r="E315" s="1" t="n">
        <v>46225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45602</v>
      </c>
      <c r="E316" s="1" t="n">
        <v>46225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38893-2022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44816</v>
      </c>
      <c r="E317" s="1" t="n">
        <v>46225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12716-2026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46225</v>
      </c>
      <c r="F318" t="inlineStr">
        <is>
          <t>GÄVLEBORGS LÄN</t>
        </is>
      </c>
      <c r="G318" t="inlineStr">
        <is>
          <t>OCKELBO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45027</v>
      </c>
      <c r="E319" s="1" t="n">
        <v>46225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45608</v>
      </c>
      <c r="E320" s="1" t="n">
        <v>46225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40281-2024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45554</v>
      </c>
      <c r="E321" s="1" t="n">
        <v>46225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46225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50235-2023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45216</v>
      </c>
      <c r="E323" s="1" t="n">
        <v>46225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66825-2021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44522</v>
      </c>
      <c r="E324" s="1" t="n">
        <v>46225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46225</v>
      </c>
      <c r="F325" t="inlineStr">
        <is>
          <t>GÄVLEBORGS LÄN</t>
        </is>
      </c>
      <c r="G325" t="inlineStr">
        <is>
          <t>OCKELBO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46225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13162-2026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46225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46225</v>
      </c>
      <c r="F328" t="inlineStr">
        <is>
          <t>GÄVLEBORGS LÄN</t>
        </is>
      </c>
      <c r="G328" t="inlineStr">
        <is>
          <t>OCKELBO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46225</v>
      </c>
      <c r="F329" t="inlineStr">
        <is>
          <t>GÄVLEBORGS LÄN</t>
        </is>
      </c>
      <c r="G329" t="inlineStr">
        <is>
          <t>OCKELBO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46225</v>
      </c>
      <c r="F330" t="inlineStr">
        <is>
          <t>GÄVLEBORGS LÄN</t>
        </is>
      </c>
      <c r="G330" t="inlineStr">
        <is>
          <t>OCKELBO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46225</v>
      </c>
      <c r="F331" t="inlineStr">
        <is>
          <t>GÄVLEBORGS LÄN</t>
        </is>
      </c>
      <c r="G331" t="inlineStr">
        <is>
          <t>OCKELBO</t>
        </is>
      </c>
      <c r="H331" t="inlineStr">
        <is>
          <t>Naturvårdsverket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13621-2026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46097</v>
      </c>
      <c r="E332" s="1" t="n">
        <v>46225</v>
      </c>
      <c r="F332" t="inlineStr">
        <is>
          <t>GÄVLEBORGS LÄN</t>
        </is>
      </c>
      <c r="G332" t="inlineStr">
        <is>
          <t>OCKELBO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46225</v>
      </c>
      <c r="F333" t="inlineStr">
        <is>
          <t>GÄVLEBORGS LÄN</t>
        </is>
      </c>
      <c r="G333" t="inlineStr">
        <is>
          <t>OCKELBO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46225</v>
      </c>
      <c r="F334" t="inlineStr">
        <is>
          <t>GÄVLEBORGS LÄN</t>
        </is>
      </c>
      <c r="G334" t="inlineStr">
        <is>
          <t>OCKELBO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48855-2025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46225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46225</v>
      </c>
      <c r="F336" t="inlineStr">
        <is>
          <t>GÄVLEBORGS LÄN</t>
        </is>
      </c>
      <c r="G336" t="inlineStr">
        <is>
          <t>OCKELBO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53393-2022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44879</v>
      </c>
      <c r="E337" s="1" t="n">
        <v>46225</v>
      </c>
      <c r="F337" t="inlineStr">
        <is>
          <t>GÄVLEBORGS LÄN</t>
        </is>
      </c>
      <c r="G337" t="inlineStr">
        <is>
          <t>OCKELBO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46098</v>
      </c>
      <c r="E338" s="1" t="n">
        <v>46225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46225</v>
      </c>
      <c r="F339" t="inlineStr">
        <is>
          <t>GÄVLEBORGS LÄN</t>
        </is>
      </c>
      <c r="G339" t="inlineStr">
        <is>
          <t>OCKELBO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13856-2026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46098</v>
      </c>
      <c r="E340" s="1" t="n">
        <v>46225</v>
      </c>
      <c r="F340" t="inlineStr">
        <is>
          <t>GÄVLEBORGS LÄN</t>
        </is>
      </c>
      <c r="G340" t="inlineStr">
        <is>
          <t>OCKELBO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46225</v>
      </c>
      <c r="F341" t="inlineStr">
        <is>
          <t>GÄVLEBORGS LÄN</t>
        </is>
      </c>
      <c r="G341" t="inlineStr">
        <is>
          <t>OCKELBO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46225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46098</v>
      </c>
      <c r="E343" s="1" t="n">
        <v>46225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49014-2025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45937</v>
      </c>
      <c r="E344" s="1" t="n">
        <v>46225</v>
      </c>
      <c r="F344" t="inlineStr">
        <is>
          <t>GÄVLEBORGS LÄN</t>
        </is>
      </c>
      <c r="G344" t="inlineStr">
        <is>
          <t>OCKELBO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46225</v>
      </c>
      <c r="F345" t="inlineStr">
        <is>
          <t>GÄVLEBORGS LÄN</t>
        </is>
      </c>
      <c r="G345" t="inlineStr">
        <is>
          <t>OCKELBO</t>
        </is>
      </c>
      <c r="I345" t="n">
        <v>11.1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13972-2026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46225</v>
      </c>
      <c r="F346" t="inlineStr">
        <is>
          <t>GÄVLEBORGS LÄN</t>
        </is>
      </c>
      <c r="G346" t="inlineStr">
        <is>
          <t>OCKELBO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46225</v>
      </c>
      <c r="F347" t="inlineStr">
        <is>
          <t>GÄVLEBORGS LÄN</t>
        </is>
      </c>
      <c r="G347" t="inlineStr">
        <is>
          <t>OCKELBO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46225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46225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46225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46225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46225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46225</v>
      </c>
      <c r="F353" t="inlineStr">
        <is>
          <t>GÄVLEBORGS LÄN</t>
        </is>
      </c>
      <c r="G353" t="inlineStr">
        <is>
          <t>OCKELBO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46225</v>
      </c>
      <c r="F354" t="inlineStr">
        <is>
          <t>GÄVLEBORGS LÄN</t>
        </is>
      </c>
      <c r="G354" t="inlineStr">
        <is>
          <t>OCKELBO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45719</v>
      </c>
      <c r="E355" s="1" t="n">
        <v>46225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öst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46225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54807-2024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45618</v>
      </c>
      <c r="E357" s="1" t="n">
        <v>46225</v>
      </c>
      <c r="F357" t="inlineStr">
        <is>
          <t>GÄVLEBORGS LÄN</t>
        </is>
      </c>
      <c r="G357" t="inlineStr">
        <is>
          <t>OCKELBO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46225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46225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46225</v>
      </c>
      <c r="F360" t="inlineStr">
        <is>
          <t>GÄVLEBORGS LÄN</t>
        </is>
      </c>
      <c r="G360" t="inlineStr">
        <is>
          <t>OCKELBO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47100-2024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46225</v>
      </c>
      <c r="F361" t="inlineStr">
        <is>
          <t>GÄVLEBORGS LÄN</t>
        </is>
      </c>
      <c r="G361" t="inlineStr">
        <is>
          <t>OCKELBO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46104</v>
      </c>
      <c r="E362" s="1" t="n">
        <v>46225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46225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öst AB</t>
        </is>
      </c>
      <c r="I363" t="n">
        <v>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46225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45551</v>
      </c>
      <c r="E365" s="1" t="n">
        <v>46225</v>
      </c>
      <c r="F365" t="inlineStr">
        <is>
          <t>GÄVLEBORGS LÄN</t>
        </is>
      </c>
      <c r="G365" t="inlineStr">
        <is>
          <t>OCKELBO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55952-2022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44889</v>
      </c>
      <c r="E366" s="1" t="n">
        <v>46225</v>
      </c>
      <c r="F366" t="inlineStr">
        <is>
          <t>GÄVLEBORGS LÄN</t>
        </is>
      </c>
      <c r="G366" t="inlineStr">
        <is>
          <t>OCKELBO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46225</v>
      </c>
      <c r="F367" t="inlineStr">
        <is>
          <t>GÄVLEBORGS LÄN</t>
        </is>
      </c>
      <c r="G367" t="inlineStr">
        <is>
          <t>OCKELBO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14827-2026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46225</v>
      </c>
      <c r="F368" t="inlineStr">
        <is>
          <t>GÄVLEBORGS LÄN</t>
        </is>
      </c>
      <c r="G368" t="inlineStr">
        <is>
          <t>OCKELBO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46225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34.1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46225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46225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46225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46225</v>
      </c>
      <c r="F373" t="inlineStr">
        <is>
          <t>GÄVLEBORGS LÄN</t>
        </is>
      </c>
      <c r="G373" t="inlineStr">
        <is>
          <t>OCKELBO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14169-2026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46225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15795-2026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46225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46225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46225</v>
      </c>
      <c r="F377" t="inlineStr">
        <is>
          <t>GÄVLEBORGS LÄN</t>
        </is>
      </c>
      <c r="G377" t="inlineStr">
        <is>
          <t>OCKELBO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15782-2026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46225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46225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46225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46225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46225</v>
      </c>
      <c r="F382" t="inlineStr">
        <is>
          <t>GÄVLEBORGS LÄN</t>
        </is>
      </c>
      <c r="G382" t="inlineStr">
        <is>
          <t>OCKELBO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46225</v>
      </c>
      <c r="F383" t="inlineStr">
        <is>
          <t>GÄVLEBORGS LÄN</t>
        </is>
      </c>
      <c r="G383" t="inlineStr">
        <is>
          <t>OCKELBO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46225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46225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51892-2025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45952</v>
      </c>
      <c r="E386" s="1" t="n">
        <v>46225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46108</v>
      </c>
      <c r="E387" s="1" t="n">
        <v>46225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9.699999999999999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46225</v>
      </c>
      <c r="F388" t="inlineStr">
        <is>
          <t>GÄVLEBORGS LÄN</t>
        </is>
      </c>
      <c r="G388" t="inlineStr">
        <is>
          <t>OCKELBO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52635-2025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45954</v>
      </c>
      <c r="E389" s="1" t="n">
        <v>46225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52259-2025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45953</v>
      </c>
      <c r="E390" s="1" t="n">
        <v>46225</v>
      </c>
      <c r="F390" t="inlineStr">
        <is>
          <t>GÄVLEBORGS LÄN</t>
        </is>
      </c>
      <c r="G390" t="inlineStr">
        <is>
          <t>OCKELBO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46225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38652-2025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45884</v>
      </c>
      <c r="E392" s="1" t="n">
        <v>46225</v>
      </c>
      <c r="F392" t="inlineStr">
        <is>
          <t>GÄVLEBORGS LÄN</t>
        </is>
      </c>
      <c r="G392" t="inlineStr">
        <is>
          <t>OCKELBO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46225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45954</v>
      </c>
      <c r="E394" s="1" t="n">
        <v>46225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46225</v>
      </c>
      <c r="F395" t="inlineStr">
        <is>
          <t>GÄVLEBORGS LÄN</t>
        </is>
      </c>
      <c r="G395" t="inlineStr">
        <is>
          <t>OCKELBO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46225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14.3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46114</v>
      </c>
      <c r="E397" s="1" t="n">
        <v>46225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46225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46114</v>
      </c>
      <c r="E399" s="1" t="n">
        <v>46225</v>
      </c>
      <c r="F399" t="inlineStr">
        <is>
          <t>GÄVLEBORGS LÄN</t>
        </is>
      </c>
      <c r="G399" t="inlineStr">
        <is>
          <t>OCKELBO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16991-2026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46114</v>
      </c>
      <c r="E400" s="1" t="n">
        <v>46225</v>
      </c>
      <c r="F400" t="inlineStr">
        <is>
          <t>GÄVLEBORGS LÄN</t>
        </is>
      </c>
      <c r="G400" t="inlineStr">
        <is>
          <t>OCKELBO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46225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46114</v>
      </c>
      <c r="E402" s="1" t="n">
        <v>46225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9.1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46225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52880-2025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45957</v>
      </c>
      <c r="E404" s="1" t="n">
        <v>46225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46225</v>
      </c>
      <c r="F405" t="inlineStr">
        <is>
          <t>GÄVLEBORGS LÄN</t>
        </is>
      </c>
      <c r="G405" t="inlineStr">
        <is>
          <t>OCKELBO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46225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46118</v>
      </c>
      <c r="E407" s="1" t="n">
        <v>46225</v>
      </c>
      <c r="F407" t="inlineStr">
        <is>
          <t>GÄVLEBORGS LÄN</t>
        </is>
      </c>
      <c r="G407" t="inlineStr">
        <is>
          <t>OCKELBO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46121</v>
      </c>
      <c r="E408" s="1" t="n">
        <v>46225</v>
      </c>
      <c r="F408" t="inlineStr">
        <is>
          <t>GÄVLEBORGS LÄN</t>
        </is>
      </c>
      <c r="G408" t="inlineStr">
        <is>
          <t>OCKELBO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46225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10326-2026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46076</v>
      </c>
      <c r="E410" s="1" t="n">
        <v>46225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öst AB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10457-2026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46077</v>
      </c>
      <c r="E411" s="1" t="n">
        <v>46225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öst AB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46225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46225</v>
      </c>
      <c r="F413" t="inlineStr">
        <is>
          <t>GÄVLEBORGS LÄN</t>
        </is>
      </c>
      <c r="G413" t="inlineStr">
        <is>
          <t>OCKELBO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53391-2025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45959</v>
      </c>
      <c r="E414" s="1" t="n">
        <v>46225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17600-2026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46225</v>
      </c>
      <c r="F415" t="inlineStr">
        <is>
          <t>GÄVLEBORGS LÄN</t>
        </is>
      </c>
      <c r="G415" t="inlineStr">
        <is>
          <t>OCKELBO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46225</v>
      </c>
      <c r="F416" t="inlineStr">
        <is>
          <t>GÄVLEBORGS LÄN</t>
        </is>
      </c>
      <c r="G416" t="inlineStr">
        <is>
          <t>OCKELBO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46225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öst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46125</v>
      </c>
      <c r="E418" s="1" t="n">
        <v>46225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64367-2023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45280</v>
      </c>
      <c r="E419" s="1" t="n">
        <v>46225</v>
      </c>
      <c r="F419" t="inlineStr">
        <is>
          <t>GÄVLEBORGS LÄN</t>
        </is>
      </c>
      <c r="G419" t="inlineStr">
        <is>
          <t>OCKELBO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46225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46225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öst AB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46225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54655-2025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46225</v>
      </c>
      <c r="F423" t="inlineStr">
        <is>
          <t>GÄVLEBORGS LÄN</t>
        </is>
      </c>
      <c r="G423" t="inlineStr">
        <is>
          <t>OCKELBO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46225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46225</v>
      </c>
      <c r="F425" t="inlineStr">
        <is>
          <t>GÄVLEBORGS LÄN</t>
        </is>
      </c>
      <c r="G425" t="inlineStr">
        <is>
          <t>OCKELBO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46127</v>
      </c>
      <c r="E426" s="1" t="n">
        <v>46225</v>
      </c>
      <c r="F426" t="inlineStr">
        <is>
          <t>GÄVLEBORGS LÄN</t>
        </is>
      </c>
      <c r="G426" t="inlineStr">
        <is>
          <t>OCKELBO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18513-2026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46127</v>
      </c>
      <c r="E427" s="1" t="n">
        <v>46225</v>
      </c>
      <c r="F427" t="inlineStr">
        <is>
          <t>GÄVLEBORGS LÄN</t>
        </is>
      </c>
      <c r="G427" t="inlineStr">
        <is>
          <t>OCKELBO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46225</v>
      </c>
      <c r="F428" t="inlineStr">
        <is>
          <t>GÄVLEBORGS LÄN</t>
        </is>
      </c>
      <c r="G428" t="inlineStr">
        <is>
          <t>OCKELBO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13855-2026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46225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19038-2026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46132</v>
      </c>
      <c r="E430" s="1" t="n">
        <v>46225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46225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46225</v>
      </c>
      <c r="F432" t="inlineStr">
        <is>
          <t>GÄVLEBORGS LÄN</t>
        </is>
      </c>
      <c r="G432" t="inlineStr">
        <is>
          <t>OCKELBO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46225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45967</v>
      </c>
      <c r="E434" s="1" t="n">
        <v>46225</v>
      </c>
      <c r="F434" t="inlineStr">
        <is>
          <t>GÄVLEBORGS LÄN</t>
        </is>
      </c>
      <c r="G434" t="inlineStr">
        <is>
          <t>OCKELBO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54880-2025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45967</v>
      </c>
      <c r="E435" s="1" t="n">
        <v>46225</v>
      </c>
      <c r="F435" t="inlineStr">
        <is>
          <t>GÄVLEBORGS LÄN</t>
        </is>
      </c>
      <c r="G435" t="inlineStr">
        <is>
          <t>OCKELBO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18705-2026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46225</v>
      </c>
      <c r="F436" t="inlineStr">
        <is>
          <t>GÄVLEBORGS LÄN</t>
        </is>
      </c>
      <c r="G436" t="inlineStr">
        <is>
          <t>OCKELBO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16572-2026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46225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46225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46225</v>
      </c>
      <c r="F439" t="inlineStr">
        <is>
          <t>GÄVLEBORGS LÄN</t>
        </is>
      </c>
      <c r="G439" t="inlineStr">
        <is>
          <t>OCKELBO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46225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46225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46225</v>
      </c>
      <c r="F442" t="inlineStr">
        <is>
          <t>GÄVLEBORGS LÄN</t>
        </is>
      </c>
      <c r="G442" t="inlineStr">
        <is>
          <t>OCKELBO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18669-2026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46225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19040-2026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46225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46225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45972</v>
      </c>
      <c r="E446" s="1" t="n">
        <v>46225</v>
      </c>
      <c r="F446" t="inlineStr">
        <is>
          <t>GÄVLEBORGS LÄN</t>
        </is>
      </c>
      <c r="G446" t="inlineStr">
        <is>
          <t>OCKELBO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45972</v>
      </c>
      <c r="E447" s="1" t="n">
        <v>46225</v>
      </c>
      <c r="F447" t="inlineStr">
        <is>
          <t>GÄVLEBORGS LÄN</t>
        </is>
      </c>
      <c r="G447" t="inlineStr">
        <is>
          <t>OCKELBO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46225</v>
      </c>
      <c r="F448" t="inlineStr">
        <is>
          <t>GÄVLEBORGS LÄN</t>
        </is>
      </c>
      <c r="G448" t="inlineStr">
        <is>
          <t>OCKELBO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46134</v>
      </c>
      <c r="E449" s="1" t="n">
        <v>46225</v>
      </c>
      <c r="F449" t="inlineStr">
        <is>
          <t>GÄVLEBORGS LÄN</t>
        </is>
      </c>
      <c r="G449" t="inlineStr">
        <is>
          <t>OCKELBO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55920-2025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45973</v>
      </c>
      <c r="E450" s="1" t="n">
        <v>46225</v>
      </c>
      <c r="F450" t="inlineStr">
        <is>
          <t>GÄVLEBORGS LÄN</t>
        </is>
      </c>
      <c r="G450" t="inlineStr">
        <is>
          <t>OCKELBO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46225</v>
      </c>
      <c r="F451" t="inlineStr">
        <is>
          <t>GÄVLEBORGS LÄN</t>
        </is>
      </c>
      <c r="G451" t="inlineStr">
        <is>
          <t>OCKELBO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19603-2026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46134</v>
      </c>
      <c r="E452" s="1" t="n">
        <v>46225</v>
      </c>
      <c r="F452" t="inlineStr">
        <is>
          <t>GÄVLEBORGS LÄN</t>
        </is>
      </c>
      <c r="G452" t="inlineStr">
        <is>
          <t>OCKELBO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46134</v>
      </c>
      <c r="E453" s="1" t="n">
        <v>46225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46225</v>
      </c>
      <c r="F454" t="inlineStr">
        <is>
          <t>GÄVLEBORGS LÄN</t>
        </is>
      </c>
      <c r="G454" t="inlineStr">
        <is>
          <t>OCKELBO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55859-2025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46225</v>
      </c>
      <c r="F455" t="inlineStr">
        <is>
          <t>GÄVLEBORGS LÄN</t>
        </is>
      </c>
      <c r="G455" t="inlineStr">
        <is>
          <t>OCKELBO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55866-2025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45973</v>
      </c>
      <c r="E456" s="1" t="n">
        <v>46225</v>
      </c>
      <c r="F456" t="inlineStr">
        <is>
          <t>GÄVLEBORGS LÄN</t>
        </is>
      </c>
      <c r="G456" t="inlineStr">
        <is>
          <t>OCKELBO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46133</v>
      </c>
      <c r="E457" s="1" t="n">
        <v>46225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55911-2025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45973</v>
      </c>
      <c r="E458" s="1" t="n">
        <v>46225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40196-2024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45554</v>
      </c>
      <c r="E459" s="1" t="n">
        <v>46225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46225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55884-2025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46225</v>
      </c>
      <c r="F461" t="inlineStr">
        <is>
          <t>GÄVLEBORGS LÄN</t>
        </is>
      </c>
      <c r="G461" t="inlineStr">
        <is>
          <t>OCKELBO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19424-2026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46133</v>
      </c>
      <c r="E462" s="1" t="n">
        <v>46225</v>
      </c>
      <c r="F462" t="inlineStr">
        <is>
          <t>GÄVLEBORGS LÄN</t>
        </is>
      </c>
      <c r="G462" t="inlineStr">
        <is>
          <t>OCKELBO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19924-2026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46136</v>
      </c>
      <c r="E463" s="1" t="n">
        <v>46225</v>
      </c>
      <c r="F463" t="inlineStr">
        <is>
          <t>GÄVLEBORGS LÄN</t>
        </is>
      </c>
      <c r="G463" t="inlineStr">
        <is>
          <t>OCKELBO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46225</v>
      </c>
      <c r="F464" t="inlineStr">
        <is>
          <t>GÄVLEBORGS LÄN</t>
        </is>
      </c>
      <c r="G464" t="inlineStr">
        <is>
          <t>OCKELBO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56803-2025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46225</v>
      </c>
      <c r="F465" t="inlineStr">
        <is>
          <t>GÄVLEBORGS LÄN</t>
        </is>
      </c>
      <c r="G465" t="inlineStr">
        <is>
          <t>OCKELBO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46225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56888-2025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46225</v>
      </c>
      <c r="F467" t="inlineStr">
        <is>
          <t>GÄVLEBORGS LÄN</t>
        </is>
      </c>
      <c r="G467" t="inlineStr">
        <is>
          <t>OCKELBO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45978</v>
      </c>
      <c r="E468" s="1" t="n">
        <v>46225</v>
      </c>
      <c r="F468" t="inlineStr">
        <is>
          <t>GÄVLEBORGS LÄN</t>
        </is>
      </c>
      <c r="G468" t="inlineStr">
        <is>
          <t>OCKELBO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56882-2025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46225</v>
      </c>
      <c r="F469" t="inlineStr">
        <is>
          <t>GÄVLEBORGS LÄN</t>
        </is>
      </c>
      <c r="G469" t="inlineStr">
        <is>
          <t>OCKELBO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46225</v>
      </c>
      <c r="F470" t="inlineStr">
        <is>
          <t>GÄVLEBORGS LÄN</t>
        </is>
      </c>
      <c r="G470" t="inlineStr">
        <is>
          <t>OCKELBO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62096-2024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45656</v>
      </c>
      <c r="E471" s="1" t="n">
        <v>46225</v>
      </c>
      <c r="F471" t="inlineStr">
        <is>
          <t>GÄVLEBORGS LÄN</t>
        </is>
      </c>
      <c r="G471" t="inlineStr">
        <is>
          <t>OCKELBO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46225</v>
      </c>
      <c r="F472" t="inlineStr">
        <is>
          <t>GÄVLEBORGS LÄN</t>
        </is>
      </c>
      <c r="G472" t="inlineStr">
        <is>
          <t>OCKELBO</t>
        </is>
      </c>
      <c r="I472" t="n">
        <v>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44950</v>
      </c>
      <c r="E473" s="1" t="n">
        <v>46225</v>
      </c>
      <c r="F473" t="inlineStr">
        <is>
          <t>GÄVLEBORGS LÄN</t>
        </is>
      </c>
      <c r="G473" t="inlineStr">
        <is>
          <t>OCKELBO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45982</v>
      </c>
      <c r="E474" s="1" t="n">
        <v>46225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19945-2026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46136</v>
      </c>
      <c r="E475" s="1" t="n">
        <v>46225</v>
      </c>
      <c r="F475" t="inlineStr">
        <is>
          <t>GÄVLEBORGS LÄN</t>
        </is>
      </c>
      <c r="G475" t="inlineStr">
        <is>
          <t>OCKELBO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17682-2026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46225</v>
      </c>
      <c r="F476" t="inlineStr">
        <is>
          <t>GÄVLEBORGS LÄN</t>
        </is>
      </c>
      <c r="G476" t="inlineStr">
        <is>
          <t>OCKELBO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57614-2025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46225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46119</v>
      </c>
      <c r="E478" s="1" t="n">
        <v>46225</v>
      </c>
      <c r="F478" t="inlineStr">
        <is>
          <t>GÄVLEBORGS LÄN</t>
        </is>
      </c>
      <c r="G478" t="inlineStr">
        <is>
          <t>OCKELBO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17117-2026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46114</v>
      </c>
      <c r="E479" s="1" t="n">
        <v>46225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8662-2025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45712</v>
      </c>
      <c r="E480" s="1" t="n">
        <v>46225</v>
      </c>
      <c r="F480" t="inlineStr">
        <is>
          <t>GÄVLEBORGS LÄN</t>
        </is>
      </c>
      <c r="G480" t="inlineStr">
        <is>
          <t>OCKELBO</t>
        </is>
      </c>
      <c r="I480" t="n">
        <v>14.7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58770-2025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46225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20481-2026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46140</v>
      </c>
      <c r="E482" s="1" t="n">
        <v>46225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46225</v>
      </c>
      <c r="F483" t="inlineStr">
        <is>
          <t>GÄVLEBORGS LÄN</t>
        </is>
      </c>
      <c r="G483" t="inlineStr">
        <is>
          <t>OCKELBO</t>
        </is>
      </c>
      <c r="I483" t="n">
        <v>11.9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33079-2025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46225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58727-2025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45986</v>
      </c>
      <c r="E485" s="1" t="n">
        <v>46225</v>
      </c>
      <c r="F485" t="inlineStr">
        <is>
          <t>GÄVLEBORGS LÄN</t>
        </is>
      </c>
      <c r="G485" t="inlineStr">
        <is>
          <t>OCKELBO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46225</v>
      </c>
      <c r="F486" t="inlineStr">
        <is>
          <t>GÄVLEBORGS LÄN</t>
        </is>
      </c>
      <c r="G486" t="inlineStr">
        <is>
          <t>OCKELBO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58299-2025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46225</v>
      </c>
      <c r="F487" t="inlineStr">
        <is>
          <t>GÄVLEBORGS LÄN</t>
        </is>
      </c>
      <c r="G487" t="inlineStr">
        <is>
          <t>OCKELBO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46048</v>
      </c>
      <c r="E488" s="1" t="n">
        <v>46225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46225</v>
      </c>
      <c r="F489" t="inlineStr">
        <is>
          <t>GÄVLEBORGS LÄN</t>
        </is>
      </c>
      <c r="G489" t="inlineStr">
        <is>
          <t>OCKELBO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8343-2026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46225</v>
      </c>
      <c r="F490" t="inlineStr">
        <is>
          <t>GÄVLEBORGS LÄN</t>
        </is>
      </c>
      <c r="G490" t="inlineStr">
        <is>
          <t>OCKELBO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45988</v>
      </c>
      <c r="E491" s="1" t="n">
        <v>46225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46225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20149-2026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46137</v>
      </c>
      <c r="E493" s="1" t="n">
        <v>46225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20150-2026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46137</v>
      </c>
      <c r="E494" s="1" t="n">
        <v>46225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46225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46225</v>
      </c>
      <c r="F496" t="inlineStr">
        <is>
          <t>GÄVLEBORGS LÄN</t>
        </is>
      </c>
      <c r="G496" t="inlineStr">
        <is>
          <t>OCKELBO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20251-2026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46225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46225</v>
      </c>
      <c r="F498" t="inlineStr">
        <is>
          <t>GÄVLEBORGS LÄN</t>
        </is>
      </c>
      <c r="G498" t="inlineStr">
        <is>
          <t>OCKELBO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60183-2025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45994</v>
      </c>
      <c r="E499" s="1" t="n">
        <v>46225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20157-2026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46138</v>
      </c>
      <c r="E500" s="1" t="n">
        <v>46225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28966-2025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45821</v>
      </c>
      <c r="E501" s="1" t="n">
        <v>46225</v>
      </c>
      <c r="F501" t="inlineStr">
        <is>
          <t>GÄVLEBORGS LÄN</t>
        </is>
      </c>
      <c r="G501" t="inlineStr">
        <is>
          <t>OCKELBO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45996</v>
      </c>
      <c r="E502" s="1" t="n">
        <v>46225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45497</v>
      </c>
      <c r="E503" s="1" t="n">
        <v>46225</v>
      </c>
      <c r="F503" t="inlineStr">
        <is>
          <t>GÄVLEBORGS LÄN</t>
        </is>
      </c>
      <c r="G503" t="inlineStr">
        <is>
          <t>OCKELBO</t>
        </is>
      </c>
      <c r="I503" t="n">
        <v>8.699999999999999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60487-2025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45995</v>
      </c>
      <c r="E504" s="1" t="n">
        <v>46225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50742-2025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45946</v>
      </c>
      <c r="E505" s="1" t="n">
        <v>46225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46225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46225</v>
      </c>
      <c r="F507" t="inlineStr">
        <is>
          <t>GÄVLEBORGS LÄN</t>
        </is>
      </c>
      <c r="G507" t="inlineStr">
        <is>
          <t>OCKELBO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46225</v>
      </c>
      <c r="F508" t="inlineStr">
        <is>
          <t>GÄVLEBORGS LÄN</t>
        </is>
      </c>
      <c r="G508" t="inlineStr">
        <is>
          <t>OCKELBO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29953-2024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45488</v>
      </c>
      <c r="E509" s="1" t="n">
        <v>46225</v>
      </c>
      <c r="F509" t="inlineStr">
        <is>
          <t>GÄVLEBORGS LÄN</t>
        </is>
      </c>
      <c r="G509" t="inlineStr">
        <is>
          <t>OCKELBO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46225</v>
      </c>
      <c r="F510" t="inlineStr">
        <is>
          <t>GÄVLEBORGS LÄN</t>
        </is>
      </c>
      <c r="G510" t="inlineStr">
        <is>
          <t>OCKELBO</t>
        </is>
      </c>
      <c r="I510" t="n">
        <v>11.5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46042</v>
      </c>
      <c r="E511" s="1" t="n">
        <v>46225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46225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46225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17.1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7949-2026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46063</v>
      </c>
      <c r="E514" s="1" t="n">
        <v>46225</v>
      </c>
      <c r="F514" t="inlineStr">
        <is>
          <t>GÄVLEBORGS LÄN</t>
        </is>
      </c>
      <c r="G514" t="inlineStr">
        <is>
          <t>OCKELBO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46106</v>
      </c>
      <c r="E515" s="1" t="n">
        <v>46225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46138</v>
      </c>
      <c r="E516" s="1" t="n">
        <v>46225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46225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46225</v>
      </c>
      <c r="F518" t="inlineStr">
        <is>
          <t>GÄVLEBORGS LÄN</t>
        </is>
      </c>
      <c r="G518" t="inlineStr">
        <is>
          <t>OCKELBO</t>
        </is>
      </c>
      <c r="I518" t="n">
        <v>36.1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34792-2024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45526</v>
      </c>
      <c r="E519" s="1" t="n">
        <v>46225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46098</v>
      </c>
      <c r="E520" s="1" t="n">
        <v>46225</v>
      </c>
      <c r="F520" t="inlineStr">
        <is>
          <t>GÄVLEBORGS LÄN</t>
        </is>
      </c>
      <c r="G520" t="inlineStr">
        <is>
          <t>OCKELBO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46225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46055</v>
      </c>
      <c r="E522" s="1" t="n">
        <v>46225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7.8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15739-2026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46107</v>
      </c>
      <c r="E523" s="1" t="n">
        <v>46225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27997-2025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45817</v>
      </c>
      <c r="E524" s="1" t="n">
        <v>46225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45803</v>
      </c>
      <c r="E525" s="1" t="n">
        <v>46225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46225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63977-2025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46021</v>
      </c>
      <c r="E527" s="1" t="n">
        <v>46225</v>
      </c>
      <c r="F527" t="inlineStr">
        <is>
          <t>GÄVLEBORGS LÄN</t>
        </is>
      </c>
      <c r="G527" t="inlineStr">
        <is>
          <t>OCKELBO</t>
        </is>
      </c>
      <c r="I527" t="n">
        <v>18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20469-2026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46225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46225</v>
      </c>
      <c r="F529" t="inlineStr">
        <is>
          <t>GÄVLEBORGS LÄN</t>
        </is>
      </c>
      <c r="G529" t="inlineStr">
        <is>
          <t>OCKELBO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46225</v>
      </c>
      <c r="F530" t="inlineStr">
        <is>
          <t>GÄVLEBORGS LÄN</t>
        </is>
      </c>
      <c r="G530" t="inlineStr">
        <is>
          <t>OCKELBO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36604-2025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45870</v>
      </c>
      <c r="E531" s="1" t="n">
        <v>46225</v>
      </c>
      <c r="F531" t="inlineStr">
        <is>
          <t>GÄVLEBORGS LÄN</t>
        </is>
      </c>
      <c r="G531" t="inlineStr">
        <is>
          <t>OCKELBO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25404-2025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46225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62196-2025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46006</v>
      </c>
      <c r="E533" s="1" t="n">
        <v>46225</v>
      </c>
      <c r="F533" t="inlineStr">
        <is>
          <t>GÄVLEBORGS LÄN</t>
        </is>
      </c>
      <c r="G533" t="inlineStr">
        <is>
          <t>OCKELBO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46225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45800</v>
      </c>
      <c r="E535" s="1" t="n">
        <v>46225</v>
      </c>
      <c r="F535" t="inlineStr">
        <is>
          <t>GÄVLEBORGS LÄN</t>
        </is>
      </c>
      <c r="G535" t="inlineStr">
        <is>
          <t>OCKELBO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46225</v>
      </c>
      <c r="F536" t="inlineStr">
        <is>
          <t>GÄVLEBORGS LÄN</t>
        </is>
      </c>
      <c r="G536" t="inlineStr">
        <is>
          <t>OCKELBO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46225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59383-2025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45989</v>
      </c>
      <c r="E538" s="1" t="n">
        <v>46225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46137</v>
      </c>
      <c r="E539" s="1" t="n">
        <v>46225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45925</v>
      </c>
      <c r="E540" s="1" t="n">
        <v>46225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46225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46064</v>
      </c>
      <c r="E542" s="1" t="n">
        <v>46225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44663</v>
      </c>
      <c r="E543" s="1" t="n">
        <v>46225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46225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46225</v>
      </c>
      <c r="F545" t="inlineStr">
        <is>
          <t>GÄVLEBORGS LÄN</t>
        </is>
      </c>
      <c r="G545" t="inlineStr">
        <is>
          <t>OCKELBO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63061-2025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46225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61335-2022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44915</v>
      </c>
      <c r="E547" s="1" t="n">
        <v>46225</v>
      </c>
      <c r="F547" t="inlineStr">
        <is>
          <t>GÄVLEBORGS LÄN</t>
        </is>
      </c>
      <c r="G547" t="inlineStr">
        <is>
          <t>OCKELBO</t>
        </is>
      </c>
      <c r="I547" t="n">
        <v>8.5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46029</v>
      </c>
      <c r="E548" s="1" t="n">
        <v>46225</v>
      </c>
      <c r="F548" t="inlineStr">
        <is>
          <t>GÄVLEBORGS LÄN</t>
        </is>
      </c>
      <c r="G548" t="inlineStr">
        <is>
          <t>OCKELBO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46043</v>
      </c>
      <c r="E549" s="1" t="n">
        <v>46225</v>
      </c>
      <c r="F549" t="inlineStr">
        <is>
          <t>GÄVLEBORGS LÄN</t>
        </is>
      </c>
      <c r="G549" t="inlineStr">
        <is>
          <t>OCKELBO</t>
        </is>
      </c>
      <c r="I549" t="n">
        <v>10.3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14934-2026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46225</v>
      </c>
      <c r="F550" t="inlineStr">
        <is>
          <t>GÄVLEBORGS LÄN</t>
        </is>
      </c>
      <c r="G550" t="inlineStr">
        <is>
          <t>OCKELBO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49207-2023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45210</v>
      </c>
      <c r="E551" s="1" t="n">
        <v>46225</v>
      </c>
      <c r="F551" t="inlineStr">
        <is>
          <t>GÄVLEBORGS LÄN</t>
        </is>
      </c>
      <c r="G551" t="inlineStr">
        <is>
          <t>OCKELBO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62914-2025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46009</v>
      </c>
      <c r="E552" s="1" t="n">
        <v>46225</v>
      </c>
      <c r="F552" t="inlineStr">
        <is>
          <t>GÄVLEBORGS LÄN</t>
        </is>
      </c>
      <c r="G552" t="inlineStr">
        <is>
          <t>OCKELBO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20674-2026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46141</v>
      </c>
      <c r="E553" s="1" t="n">
        <v>46225</v>
      </c>
      <c r="F553" t="inlineStr">
        <is>
          <t>GÄVLEBORGS LÄN</t>
        </is>
      </c>
      <c r="G553" t="inlineStr">
        <is>
          <t>OCKELBO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63459-2025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46013</v>
      </c>
      <c r="E554" s="1" t="n">
        <v>46225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63616-2025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46014</v>
      </c>
      <c r="E555" s="1" t="n">
        <v>46225</v>
      </c>
      <c r="F555" t="inlineStr">
        <is>
          <t>GÄVLEBORGS LÄN</t>
        </is>
      </c>
      <c r="G555" t="inlineStr">
        <is>
          <t>OCKELBO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63224-2025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46010</v>
      </c>
      <c r="E556" s="1" t="n">
        <v>46225</v>
      </c>
      <c r="F556" t="inlineStr">
        <is>
          <t>GÄVLEBORGS LÄN</t>
        </is>
      </c>
      <c r="G556" t="inlineStr">
        <is>
          <t>OCKELBO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63464-2025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46013</v>
      </c>
      <c r="E557" s="1" t="n">
        <v>46225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46225</v>
      </c>
      <c r="F558" t="inlineStr">
        <is>
          <t>GÄVLEBORGS LÄN</t>
        </is>
      </c>
      <c r="G558" t="inlineStr">
        <is>
          <t>OCKELBO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46225</v>
      </c>
      <c r="F559" t="inlineStr">
        <is>
          <t>GÄVLEBORGS LÄN</t>
        </is>
      </c>
      <c r="G559" t="inlineStr">
        <is>
          <t>OCKELBO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12708-2026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46091</v>
      </c>
      <c r="E560" s="1" t="n">
        <v>46225</v>
      </c>
      <c r="F560" t="inlineStr">
        <is>
          <t>GÄVLEBORGS LÄN</t>
        </is>
      </c>
      <c r="G560" t="inlineStr">
        <is>
          <t>OCKELBO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8683-2026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46225</v>
      </c>
      <c r="F561" t="inlineStr">
        <is>
          <t>GÄVLEBORGS LÄN</t>
        </is>
      </c>
      <c r="G561" t="inlineStr">
        <is>
          <t>OCKELBO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46225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46225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30418-2023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45111</v>
      </c>
      <c r="E564" s="1" t="n">
        <v>46225</v>
      </c>
      <c r="F564" t="inlineStr">
        <is>
          <t>GÄVLEBORGS LÄN</t>
        </is>
      </c>
      <c r="G564" t="inlineStr">
        <is>
          <t>OCKELBO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63017-2025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46009</v>
      </c>
      <c r="E565" s="1" t="n">
        <v>46225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46225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46225</v>
      </c>
      <c r="F567" t="inlineStr">
        <is>
          <t>GÄVLEBORGS LÄN</t>
        </is>
      </c>
      <c r="G567" t="inlineStr">
        <is>
          <t>OCKELBO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60117-2025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45994</v>
      </c>
      <c r="E568" s="1" t="n">
        <v>46225</v>
      </c>
      <c r="F568" t="inlineStr">
        <is>
          <t>GÄVLEBORGS LÄN</t>
        </is>
      </c>
      <c r="G568" t="inlineStr">
        <is>
          <t>OCKELBO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8348-2026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46064</v>
      </c>
      <c r="E569" s="1" t="n">
        <v>46225</v>
      </c>
      <c r="F569" t="inlineStr">
        <is>
          <t>GÄVLEBORGS LÄN</t>
        </is>
      </c>
      <c r="G569" t="inlineStr">
        <is>
          <t>OCKELBO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64006-2025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46225</v>
      </c>
      <c r="F570" t="inlineStr">
        <is>
          <t>GÄVLEBORGS LÄN</t>
        </is>
      </c>
      <c r="G570" t="inlineStr">
        <is>
          <t>OCKELBO</t>
        </is>
      </c>
      <c r="I570" t="n">
        <v>13.6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46024</v>
      </c>
      <c r="E571" s="1" t="n">
        <v>46225</v>
      </c>
      <c r="F571" t="inlineStr">
        <is>
          <t>GÄVLEBORGS LÄN</t>
        </is>
      </c>
      <c r="G571" t="inlineStr">
        <is>
          <t>OCKELBO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46225</v>
      </c>
      <c r="F572" t="inlineStr">
        <is>
          <t>GÄVLEBORGS LÄN</t>
        </is>
      </c>
      <c r="G572" t="inlineStr">
        <is>
          <t>OCKELBO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20641-2026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46141</v>
      </c>
      <c r="E573" s="1" t="n">
        <v>46225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3628-2023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44950</v>
      </c>
      <c r="E574" s="1" t="n">
        <v>46225</v>
      </c>
      <c r="F574" t="inlineStr">
        <is>
          <t>GÄVLEBORGS LÄN</t>
        </is>
      </c>
      <c r="G574" t="inlineStr">
        <is>
          <t>OCKELBO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18191-2026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46125</v>
      </c>
      <c r="E575" s="1" t="n">
        <v>46225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6561-2026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46225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46027</v>
      </c>
      <c r="E577" s="1" t="n">
        <v>46225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46225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10083-2026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46073</v>
      </c>
      <c r="E579" s="1" t="n">
        <v>46225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46142</v>
      </c>
      <c r="E580" s="1" t="n">
        <v>46225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46225</v>
      </c>
      <c r="F581" t="inlineStr">
        <is>
          <t>GÄVLEBORGS LÄN</t>
        </is>
      </c>
      <c r="G581" t="inlineStr">
        <is>
          <t>OCKELBO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26861-2026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46225</v>
      </c>
      <c r="F582" t="inlineStr">
        <is>
          <t>GÄVLEBORGS LÄN</t>
        </is>
      </c>
      <c r="G582" t="inlineStr">
        <is>
          <t>OCKELBO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14937-2024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45398</v>
      </c>
      <c r="E583" s="1" t="n">
        <v>46225</v>
      </c>
      <c r="F583" t="inlineStr">
        <is>
          <t>GÄVLEBORGS LÄN</t>
        </is>
      </c>
      <c r="G583" t="inlineStr">
        <is>
          <t>OCKELBO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22824-2024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45448</v>
      </c>
      <c r="E584" s="1" t="n">
        <v>46225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46225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46188</v>
      </c>
      <c r="E586" s="1" t="n">
        <v>46225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46225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17951-2026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46122</v>
      </c>
      <c r="E588" s="1" t="n">
        <v>46225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46225</v>
      </c>
      <c r="F589" t="inlineStr">
        <is>
          <t>GÄVLEBORGS LÄN</t>
        </is>
      </c>
      <c r="G589" t="inlineStr">
        <is>
          <t>OCKELBO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27272-2026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46225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12.8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26843-2026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46185</v>
      </c>
      <c r="E591" s="1" t="n">
        <v>46225</v>
      </c>
      <c r="F591" t="inlineStr">
        <is>
          <t>GÄVLEBORGS LÄN</t>
        </is>
      </c>
      <c r="G591" t="inlineStr">
        <is>
          <t>OCKELBO</t>
        </is>
      </c>
      <c r="I591" t="n">
        <v>14.6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46225</v>
      </c>
      <c r="F592" t="inlineStr">
        <is>
          <t>GÄVLEBORGS LÄN</t>
        </is>
      </c>
      <c r="G592" t="inlineStr">
        <is>
          <t>OCKELBO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46127</v>
      </c>
      <c r="E593" s="1" t="n">
        <v>46225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18097-2026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46125</v>
      </c>
      <c r="E594" s="1" t="n">
        <v>46225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46225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27382-2026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46189</v>
      </c>
      <c r="E596" s="1" t="n">
        <v>46225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64609-2023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45281</v>
      </c>
      <c r="E597" s="1" t="n">
        <v>46225</v>
      </c>
      <c r="F597" t="inlineStr">
        <is>
          <t>GÄVLEBORGS LÄN</t>
        </is>
      </c>
      <c r="G597" t="inlineStr">
        <is>
          <t>OCKELBO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46225</v>
      </c>
      <c r="F598" t="inlineStr">
        <is>
          <t>GÄVLEBORGS LÄN</t>
        </is>
      </c>
      <c r="G598" t="inlineStr">
        <is>
          <t>OCKELBO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27623-2026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46190</v>
      </c>
      <c r="E599" s="1" t="n">
        <v>46225</v>
      </c>
      <c r="F599" t="inlineStr">
        <is>
          <t>GÄVLEBORGS LÄN</t>
        </is>
      </c>
      <c r="G599" t="inlineStr">
        <is>
          <t>OCKELBO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46148</v>
      </c>
      <c r="E600" s="1" t="n">
        <v>46225</v>
      </c>
      <c r="F600" t="inlineStr">
        <is>
          <t>GÄVLEBORGS LÄN</t>
        </is>
      </c>
      <c r="G600" t="inlineStr">
        <is>
          <t>OCKELBO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15908-2026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46225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öst AB</t>
        </is>
      </c>
      <c r="I601" t="n">
        <v>6.8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21500-2026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46148</v>
      </c>
      <c r="E602" s="1" t="n">
        <v>46225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19537-2026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46134</v>
      </c>
      <c r="E603" s="1" t="n">
        <v>46225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27562-2026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46190</v>
      </c>
      <c r="E604" s="1" t="n">
        <v>46225</v>
      </c>
      <c r="F604" t="inlineStr">
        <is>
          <t>GÄVLEBORGS LÄN</t>
        </is>
      </c>
      <c r="G604" t="inlineStr">
        <is>
          <t>OCKELBO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21280-2026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46147</v>
      </c>
      <c r="E605" s="1" t="n">
        <v>46225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öst AB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17233-2026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46225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65259-2023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45291</v>
      </c>
      <c r="E607" s="1" t="n">
        <v>46225</v>
      </c>
      <c r="F607" t="inlineStr">
        <is>
          <t>GÄVLEBORGS LÄN</t>
        </is>
      </c>
      <c r="G607" t="inlineStr">
        <is>
          <t>OCKELBO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46147</v>
      </c>
      <c r="E608" s="1" t="n">
        <v>46225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öst AB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21461-2026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46148</v>
      </c>
      <c r="E609" s="1" t="n">
        <v>46225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21459-2026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46225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29534-2023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45106</v>
      </c>
      <c r="E611" s="1" t="n">
        <v>46225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52335-2024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45609</v>
      </c>
      <c r="E612" s="1" t="n">
        <v>46225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14410-2026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46100</v>
      </c>
      <c r="E613" s="1" t="n">
        <v>46225</v>
      </c>
      <c r="F613" t="inlineStr">
        <is>
          <t>GÄVLEBORGS LÄN</t>
        </is>
      </c>
      <c r="G613" t="inlineStr">
        <is>
          <t>OCKELBO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21640-2026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46149</v>
      </c>
      <c r="E614" s="1" t="n">
        <v>46225</v>
      </c>
      <c r="F614" t="inlineStr">
        <is>
          <t>GÄVLEBORGS LÄN</t>
        </is>
      </c>
      <c r="G614" t="inlineStr">
        <is>
          <t>OCKELBO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22057-2026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46225</v>
      </c>
      <c r="F615" t="inlineStr">
        <is>
          <t>GÄVLEBORGS LÄN</t>
        </is>
      </c>
      <c r="G615" t="inlineStr">
        <is>
          <t>OCKELBO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28289-2026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46196</v>
      </c>
      <c r="E616" s="1" t="n">
        <v>46225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27383-2026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46189</v>
      </c>
      <c r="E617" s="1" t="n">
        <v>46225</v>
      </c>
      <c r="F617" t="inlineStr">
        <is>
          <t>GÄVLEBORGS LÄN</t>
        </is>
      </c>
      <c r="G617" t="inlineStr">
        <is>
          <t>OCKELBO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18645-2026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46225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46093</v>
      </c>
      <c r="E619" s="1" t="n">
        <v>46225</v>
      </c>
      <c r="F619" t="inlineStr">
        <is>
          <t>GÄVLEBORGS LÄN</t>
        </is>
      </c>
      <c r="G619" t="inlineStr">
        <is>
          <t>OCKELBO</t>
        </is>
      </c>
      <c r="I619" t="n">
        <v>8.199999999999999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13233-2026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46093</v>
      </c>
      <c r="E620" s="1" t="n">
        <v>46225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53139-2024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45611</v>
      </c>
      <c r="E621" s="1" t="n">
        <v>46225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46225</v>
      </c>
      <c r="F622" t="inlineStr">
        <is>
          <t>GÄVLEBORGS LÄN</t>
        </is>
      </c>
      <c r="G622" t="inlineStr">
        <is>
          <t>OCKELBO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45674</v>
      </c>
      <c r="E623" s="1" t="n">
        <v>46225</v>
      </c>
      <c r="F623" t="inlineStr">
        <is>
          <t>GÄVLEBORGS LÄN</t>
        </is>
      </c>
      <c r="G623" t="inlineStr">
        <is>
          <t>OCKELBO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28317-2026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46196</v>
      </c>
      <c r="E624" s="1" t="n">
        <v>46225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13210-2026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46225</v>
      </c>
      <c r="F625" t="inlineStr">
        <is>
          <t>GÄVLEBORGS LÄN</t>
        </is>
      </c>
      <c r="G625" t="inlineStr">
        <is>
          <t>OCKELBO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12352-2026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46088</v>
      </c>
      <c r="E626" s="1" t="n">
        <v>46225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46225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9.1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46225</v>
      </c>
      <c r="F628" t="inlineStr">
        <is>
          <t>GÄVLEBORGS LÄN</t>
        </is>
      </c>
      <c r="G628" t="inlineStr">
        <is>
          <t>OCKELBO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43071-2025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45909</v>
      </c>
      <c r="E629" s="1" t="n">
        <v>46225</v>
      </c>
      <c r="F629" t="inlineStr">
        <is>
          <t>GÄVLEBORGS LÄN</t>
        </is>
      </c>
      <c r="G629" t="inlineStr">
        <is>
          <t>OCKELBO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58718-2025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45986</v>
      </c>
      <c r="E630" s="1" t="n">
        <v>46225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27379-2026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46189</v>
      </c>
      <c r="E631" s="1" t="n">
        <v>46225</v>
      </c>
      <c r="F631" t="inlineStr">
        <is>
          <t>GÄVLEBORGS LÄN</t>
        </is>
      </c>
      <c r="G631" t="inlineStr">
        <is>
          <t>OCKELBO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27381-2026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46189</v>
      </c>
      <c r="E632" s="1" t="n">
        <v>46225</v>
      </c>
      <c r="F632" t="inlineStr">
        <is>
          <t>GÄVLEBORGS LÄN</t>
        </is>
      </c>
      <c r="G632" t="inlineStr">
        <is>
          <t>OCKELBO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22426-2026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46225</v>
      </c>
      <c r="F633" t="inlineStr">
        <is>
          <t>GÄVLEBORGS LÄN</t>
        </is>
      </c>
      <c r="G633" t="inlineStr">
        <is>
          <t>OCKELBO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3697-2026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46043</v>
      </c>
      <c r="E634" s="1" t="n">
        <v>46225</v>
      </c>
      <c r="F634" t="inlineStr">
        <is>
          <t>GÄVLEBORGS LÄN</t>
        </is>
      </c>
      <c r="G634" t="inlineStr">
        <is>
          <t>OCKELBO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15034-2026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46104</v>
      </c>
      <c r="E635" s="1" t="n">
        <v>46225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22329-2026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46154</v>
      </c>
      <c r="E636" s="1" t="n">
        <v>46225</v>
      </c>
      <c r="F636" t="inlineStr">
        <is>
          <t>GÄVLEBORGS LÄN</t>
        </is>
      </c>
      <c r="G636" t="inlineStr">
        <is>
          <t>OCKELBO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8408-2026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46065</v>
      </c>
      <c r="E637" s="1" t="n">
        <v>46225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8865-2026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46066</v>
      </c>
      <c r="E638" s="1" t="n">
        <v>46225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1143-2025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45666</v>
      </c>
      <c r="E639" s="1" t="n">
        <v>46225</v>
      </c>
      <c r="F639" t="inlineStr">
        <is>
          <t>GÄVLEBORGS LÄN</t>
        </is>
      </c>
      <c r="G639" t="inlineStr">
        <is>
          <t>OCKELBO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28318-2026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46196</v>
      </c>
      <c r="E640" s="1" t="n">
        <v>46225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46225</v>
      </c>
      <c r="F641" t="inlineStr">
        <is>
          <t>GÄVLEBORGS LÄN</t>
        </is>
      </c>
      <c r="G641" t="inlineStr">
        <is>
          <t>OCKELBO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32011-2024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45510</v>
      </c>
      <c r="E642" s="1" t="n">
        <v>46225</v>
      </c>
      <c r="F642" t="inlineStr">
        <is>
          <t>GÄVLEBORGS LÄN</t>
        </is>
      </c>
      <c r="G642" t="inlineStr">
        <is>
          <t>OCKELBO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28672-2026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46198</v>
      </c>
      <c r="E643" s="1" t="n">
        <v>46225</v>
      </c>
      <c r="F643" t="inlineStr">
        <is>
          <t>GÄVLEBORGS LÄN</t>
        </is>
      </c>
      <c r="G643" t="inlineStr">
        <is>
          <t>OCKELBO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46225</v>
      </c>
      <c r="F644" t="inlineStr">
        <is>
          <t>GÄVLEBORGS LÄN</t>
        </is>
      </c>
      <c r="G644" t="inlineStr">
        <is>
          <t>OCKELBO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60122-2025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45994</v>
      </c>
      <c r="E645" s="1" t="n">
        <v>46225</v>
      </c>
      <c r="F645" t="inlineStr">
        <is>
          <t>GÄVLEBORGS LÄN</t>
        </is>
      </c>
      <c r="G645" t="inlineStr">
        <is>
          <t>OCKELBO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45511</v>
      </c>
      <c r="E646" s="1" t="n">
        <v>46225</v>
      </c>
      <c r="F646" t="inlineStr">
        <is>
          <t>GÄVLEBORGS LÄN</t>
        </is>
      </c>
      <c r="G646" t="inlineStr">
        <is>
          <t>OCKELBO</t>
        </is>
      </c>
      <c r="I646" t="n">
        <v>11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46225</v>
      </c>
      <c r="F647" t="inlineStr">
        <is>
          <t>GÄVLEBORGS LÄN</t>
        </is>
      </c>
      <c r="G647" t="inlineStr">
        <is>
          <t>OCKELBO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22712-2026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46156</v>
      </c>
      <c r="E648" s="1" t="n">
        <v>46225</v>
      </c>
      <c r="F648" t="inlineStr">
        <is>
          <t>GÄVLEBORGS LÄN</t>
        </is>
      </c>
      <c r="G648" t="inlineStr">
        <is>
          <t>OCKELBO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22385-2023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45070</v>
      </c>
      <c r="E649" s="1" t="n">
        <v>46225</v>
      </c>
      <c r="F649" t="inlineStr">
        <is>
          <t>GÄVLEBORGS LÄN</t>
        </is>
      </c>
      <c r="G649" t="inlineStr">
        <is>
          <t>OCKELBO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61456-2024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46225</v>
      </c>
      <c r="F650" t="inlineStr">
        <is>
          <t>GÄVLEBORGS LÄN</t>
        </is>
      </c>
      <c r="G650" t="inlineStr">
        <is>
          <t>OCKELBO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45994</v>
      </c>
      <c r="E651" s="1" t="n">
        <v>46225</v>
      </c>
      <c r="F651" t="inlineStr">
        <is>
          <t>GÄVLEBORGS LÄN</t>
        </is>
      </c>
      <c r="G651" t="inlineStr">
        <is>
          <t>OCKELBO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4179-2026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46225</v>
      </c>
      <c r="F652" t="inlineStr">
        <is>
          <t>GÄVLEBORGS LÄN</t>
        </is>
      </c>
      <c r="G652" t="inlineStr">
        <is>
          <t>OCKELBO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46609-2025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45926</v>
      </c>
      <c r="E653" s="1" t="n">
        <v>46225</v>
      </c>
      <c r="F653" t="inlineStr">
        <is>
          <t>GÄVLEBORGS LÄN</t>
        </is>
      </c>
      <c r="G653" t="inlineStr">
        <is>
          <t>OCKELBO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28681-2026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46225</v>
      </c>
      <c r="F654" t="inlineStr">
        <is>
          <t>GÄVLEBORGS LÄN</t>
        </is>
      </c>
      <c r="G654" t="inlineStr">
        <is>
          <t>OCKELBO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60962-2024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46225</v>
      </c>
      <c r="F655" t="inlineStr">
        <is>
          <t>GÄVLEBORGS LÄN</t>
        </is>
      </c>
      <c r="G655" t="inlineStr">
        <is>
          <t>OCKELBO</t>
        </is>
      </c>
      <c r="H655" t="inlineStr">
        <is>
          <t>Kyrkan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22460-2026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46225</v>
      </c>
      <c r="F656" t="inlineStr">
        <is>
          <t>GÄVLEBORGS LÄN</t>
        </is>
      </c>
      <c r="G656" t="inlineStr">
        <is>
          <t>OCKELBO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22594-2026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46225</v>
      </c>
      <c r="F657" t="inlineStr">
        <is>
          <t>GÄVLEBORGS LÄN</t>
        </is>
      </c>
      <c r="G657" t="inlineStr">
        <is>
          <t>OCKELBO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22692-2026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46156</v>
      </c>
      <c r="E658" s="1" t="n">
        <v>46225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11734-2025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46225</v>
      </c>
      <c r="F659" t="inlineStr">
        <is>
          <t>GÄVLEBORGS LÄN</t>
        </is>
      </c>
      <c r="G659" t="inlineStr">
        <is>
          <t>OCKELBO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6396-2025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45699</v>
      </c>
      <c r="E660" s="1" t="n">
        <v>46225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14474-2026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46225</v>
      </c>
      <c r="F661" t="inlineStr">
        <is>
          <t>GÄVLEBORGS LÄN</t>
        </is>
      </c>
      <c r="G661" t="inlineStr">
        <is>
          <t>OCKELBO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46225</v>
      </c>
      <c r="F662" t="inlineStr">
        <is>
          <t>GÄVLEBORGS LÄN</t>
        </is>
      </c>
      <c r="G662" t="inlineStr">
        <is>
          <t>OCKELBO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46199</v>
      </c>
      <c r="E663" s="1" t="n">
        <v>46225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29567-2024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45484</v>
      </c>
      <c r="E664" s="1" t="n">
        <v>46225</v>
      </c>
      <c r="F664" t="inlineStr">
        <is>
          <t>GÄVLEBORGS LÄN</t>
        </is>
      </c>
      <c r="G664" t="inlineStr">
        <is>
          <t>OCKELBO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22843-2026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46160</v>
      </c>
      <c r="E665" s="1" t="n">
        <v>46225</v>
      </c>
      <c r="F665" t="inlineStr">
        <is>
          <t>GÄVLEBORGS LÄN</t>
        </is>
      </c>
      <c r="G665" t="inlineStr">
        <is>
          <t>OCKELBO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17862-2026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46122</v>
      </c>
      <c r="E666" s="1" t="n">
        <v>46225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23040-2026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46161</v>
      </c>
      <c r="E667" s="1" t="n">
        <v>46225</v>
      </c>
      <c r="F667" t="inlineStr">
        <is>
          <t>GÄVLEBORGS LÄN</t>
        </is>
      </c>
      <c r="G667" t="inlineStr">
        <is>
          <t>OCKELBO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36210-2024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46225</v>
      </c>
      <c r="F668" t="inlineStr">
        <is>
          <t>GÄVLEBORGS LÄN</t>
        </is>
      </c>
      <c r="G668" t="inlineStr">
        <is>
          <t>OCKELBO</t>
        </is>
      </c>
      <c r="H668" t="inlineStr">
        <is>
          <t>Kyrkan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29611-2026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46204</v>
      </c>
      <c r="E669" s="1" t="n">
        <v>46225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23149-2026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46225</v>
      </c>
      <c r="F670" t="inlineStr">
        <is>
          <t>GÄVLEBORGS LÄN</t>
        </is>
      </c>
      <c r="G670" t="inlineStr">
        <is>
          <t>OCKELBO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45716</v>
      </c>
      <c r="E671" s="1" t="n">
        <v>46225</v>
      </c>
      <c r="F671" t="inlineStr">
        <is>
          <t>GÄVLEBORGS LÄN</t>
        </is>
      </c>
      <c r="G671" t="inlineStr">
        <is>
          <t>OCKELBO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46161</v>
      </c>
      <c r="E672" s="1" t="n">
        <v>46225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17.6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29789-2026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46205</v>
      </c>
      <c r="E673" s="1" t="n">
        <v>46225</v>
      </c>
      <c r="F673" t="inlineStr">
        <is>
          <t>GÄVLEBORGS LÄN</t>
        </is>
      </c>
      <c r="G673" t="inlineStr">
        <is>
          <t>OCKELBO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46225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47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6194-2025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45698</v>
      </c>
      <c r="E675" s="1" t="n">
        <v>46225</v>
      </c>
      <c r="F675" t="inlineStr">
        <is>
          <t>GÄVLEBORGS LÄN</t>
        </is>
      </c>
      <c r="G675" t="inlineStr">
        <is>
          <t>OCKELBO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23456-2026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46163</v>
      </c>
      <c r="E676" s="1" t="n">
        <v>46225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23513-2026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46163</v>
      </c>
      <c r="E677" s="1" t="n">
        <v>46225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29835-2026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46205</v>
      </c>
      <c r="E678" s="1" t="n">
        <v>46225</v>
      </c>
      <c r="F678" t="inlineStr">
        <is>
          <t>GÄVLEBORGS LÄN</t>
        </is>
      </c>
      <c r="G678" t="inlineStr">
        <is>
          <t>OCKELBO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30349-2023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45111</v>
      </c>
      <c r="E679" s="1" t="n">
        <v>46225</v>
      </c>
      <c r="F679" t="inlineStr">
        <is>
          <t>GÄVLEBORGS LÄN</t>
        </is>
      </c>
      <c r="G679" t="inlineStr">
        <is>
          <t>OCKELBO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27416-2026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46189</v>
      </c>
      <c r="E680" s="1" t="n">
        <v>46225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15966-2023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45022</v>
      </c>
      <c r="E681" s="1" t="n">
        <v>46225</v>
      </c>
      <c r="F681" t="inlineStr">
        <is>
          <t>GÄVLEBORGS LÄN</t>
        </is>
      </c>
      <c r="G681" t="inlineStr">
        <is>
          <t>OCKELBO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30031-2026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46206</v>
      </c>
      <c r="E682" s="1" t="n">
        <v>46225</v>
      </c>
      <c r="F682" t="inlineStr">
        <is>
          <t>GÄVLEBORGS LÄN</t>
        </is>
      </c>
      <c r="G682" t="inlineStr">
        <is>
          <t>OCKELBO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56232-2022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44890</v>
      </c>
      <c r="E683" s="1" t="n">
        <v>46225</v>
      </c>
      <c r="F683" t="inlineStr">
        <is>
          <t>GÄVLEBORGS LÄN</t>
        </is>
      </c>
      <c r="G683" t="inlineStr">
        <is>
          <t>OCKELBO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46164</v>
      </c>
      <c r="E684" s="1" t="n">
        <v>46225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23663-2026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46164</v>
      </c>
      <c r="E685" s="1" t="n">
        <v>46225</v>
      </c>
      <c r="F685" t="inlineStr">
        <is>
          <t>GÄVLEBORGS LÄN</t>
        </is>
      </c>
      <c r="G685" t="inlineStr">
        <is>
          <t>OCKELBO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46205</v>
      </c>
      <c r="E686" s="1" t="n">
        <v>46225</v>
      </c>
      <c r="F686" t="inlineStr">
        <is>
          <t>GÄVLEBORGS LÄN</t>
        </is>
      </c>
      <c r="G686" t="inlineStr">
        <is>
          <t>OCKELBO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47849-2021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44448</v>
      </c>
      <c r="E687" s="1" t="n">
        <v>46225</v>
      </c>
      <c r="F687" t="inlineStr">
        <is>
          <t>GÄVLEBORGS LÄN</t>
        </is>
      </c>
      <c r="G687" t="inlineStr">
        <is>
          <t>OCKELBO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54817-2022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44883</v>
      </c>
      <c r="E688" s="1" t="n">
        <v>46225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24059-2026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46225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22151-2022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44712</v>
      </c>
      <c r="E690" s="1" t="n">
        <v>46225</v>
      </c>
      <c r="F690" t="inlineStr">
        <is>
          <t>GÄVLEBORGS LÄN</t>
        </is>
      </c>
      <c r="G690" t="inlineStr">
        <is>
          <t>OCKELBO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33881-2023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45134</v>
      </c>
      <c r="E691" s="1" t="n">
        <v>46225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46225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46044</v>
      </c>
      <c r="E693" s="1" t="n">
        <v>46225</v>
      </c>
      <c r="F693" t="inlineStr">
        <is>
          <t>GÄVLEBORGS LÄN</t>
        </is>
      </c>
      <c r="G693" t="inlineStr">
        <is>
          <t>OCKELBO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36362-2024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45534</v>
      </c>
      <c r="E694" s="1" t="n">
        <v>46225</v>
      </c>
      <c r="F694" t="inlineStr">
        <is>
          <t>GÄVLEBORGS LÄN</t>
        </is>
      </c>
      <c r="G694" t="inlineStr">
        <is>
          <t>OCKELBO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46225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28725-2026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46225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27630-2026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46190</v>
      </c>
      <c r="E697" s="1" t="n">
        <v>46225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24408-2026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46169</v>
      </c>
      <c r="E698" s="1" t="n">
        <v>46225</v>
      </c>
      <c r="F698" t="inlineStr">
        <is>
          <t>GÄVLEBORGS LÄN</t>
        </is>
      </c>
      <c r="G698" t="inlineStr">
        <is>
          <t>OCKELBO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46225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24335-2026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46169</v>
      </c>
      <c r="E700" s="1" t="n">
        <v>46225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24333-2026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46169</v>
      </c>
      <c r="E701" s="1" t="n">
        <v>46225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24409-2026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46225</v>
      </c>
      <c r="F702" t="inlineStr">
        <is>
          <t>GÄVLEBORGS LÄN</t>
        </is>
      </c>
      <c r="G702" t="inlineStr">
        <is>
          <t>OCKELBO</t>
        </is>
      </c>
      <c r="I702" t="n">
        <v>8.1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46225</v>
      </c>
      <c r="F703" t="inlineStr">
        <is>
          <t>GÄVLEBORGS LÄN</t>
        </is>
      </c>
      <c r="G703" t="inlineStr">
        <is>
          <t>OCKELBO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27995-2026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46225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46225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46225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11974-2026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46085</v>
      </c>
      <c r="E707" s="1" t="n">
        <v>46225</v>
      </c>
      <c r="F707" t="inlineStr">
        <is>
          <t>GÄVLEBORGS LÄN</t>
        </is>
      </c>
      <c r="G707" t="inlineStr">
        <is>
          <t>OCKELBO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46023</v>
      </c>
      <c r="E708" s="1" t="n">
        <v>46225</v>
      </c>
      <c r="F708" t="inlineStr">
        <is>
          <t>GÄVLEBORGS LÄN</t>
        </is>
      </c>
      <c r="G708" t="inlineStr">
        <is>
          <t>OCKELBO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46225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24578-2026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46225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54944-2025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45967</v>
      </c>
      <c r="E711" s="1" t="n">
        <v>46225</v>
      </c>
      <c r="F711" t="inlineStr">
        <is>
          <t>GÄVLEBORGS LÄN</t>
        </is>
      </c>
      <c r="G711" t="inlineStr">
        <is>
          <t>OCKELBO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24451-2026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46225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24569-2026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46225</v>
      </c>
      <c r="F713" t="inlineStr">
        <is>
          <t>GÄVLEBORGS LÄN</t>
        </is>
      </c>
      <c r="G713" t="inlineStr">
        <is>
          <t>OCKELBO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46216</v>
      </c>
      <c r="E714" s="1" t="n">
        <v>46225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46225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24521-2026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46225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16629-2025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45754</v>
      </c>
      <c r="E717" s="1" t="n">
        <v>46225</v>
      </c>
      <c r="F717" t="inlineStr">
        <is>
          <t>GÄVLEBORGS LÄN</t>
        </is>
      </c>
      <c r="G717" t="inlineStr">
        <is>
          <t>OCKELBO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26481-2026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46183</v>
      </c>
      <c r="E718" s="1" t="n">
        <v>46225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30990-2026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46213</v>
      </c>
      <c r="E719" s="1" t="n">
        <v>46225</v>
      </c>
      <c r="F719" t="inlineStr">
        <is>
          <t>GÄVLEBORGS LÄN</t>
        </is>
      </c>
      <c r="G719" t="inlineStr">
        <is>
          <t>OCKELBO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29415-2026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46203</v>
      </c>
      <c r="E720" s="1" t="n">
        <v>46225</v>
      </c>
      <c r="F720" t="inlineStr">
        <is>
          <t>GÄVLEBORGS LÄN</t>
        </is>
      </c>
      <c r="G720" t="inlineStr">
        <is>
          <t>OCKELBO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24624-2026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46225</v>
      </c>
      <c r="F721" t="inlineStr">
        <is>
          <t>GÄVLEBORGS LÄN</t>
        </is>
      </c>
      <c r="G721" t="inlineStr">
        <is>
          <t>OCKELBO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46225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27889-2026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46191</v>
      </c>
      <c r="E723" s="1" t="n">
        <v>46225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25128-2026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46175</v>
      </c>
      <c r="E724" s="1" t="n">
        <v>46225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25133-2026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46175</v>
      </c>
      <c r="E725" s="1" t="n">
        <v>46225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31277-2026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46218</v>
      </c>
      <c r="E726" s="1" t="n">
        <v>46225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24974-2026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46174</v>
      </c>
      <c r="E727" s="1" t="n">
        <v>46225</v>
      </c>
      <c r="F727" t="inlineStr">
        <is>
          <t>GÄVLEBORGS LÄN</t>
        </is>
      </c>
      <c r="G727" t="inlineStr">
        <is>
          <t>OCKELBO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17730-2025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46225</v>
      </c>
      <c r="F728" t="inlineStr">
        <is>
          <t>GÄVLEBORGS LÄN</t>
        </is>
      </c>
      <c r="G728" t="inlineStr">
        <is>
          <t>OCKELBO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24952-2026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46174</v>
      </c>
      <c r="E729" s="1" t="n">
        <v>46225</v>
      </c>
      <c r="F729" t="inlineStr">
        <is>
          <t>GÄVLEBORGS LÄN</t>
        </is>
      </c>
      <c r="G729" t="inlineStr">
        <is>
          <t>OCKELBO</t>
        </is>
      </c>
      <c r="I729" t="n">
        <v>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24968-2026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46174</v>
      </c>
      <c r="E730" s="1" t="n">
        <v>46225</v>
      </c>
      <c r="F730" t="inlineStr">
        <is>
          <t>GÄVLEBORGS LÄN</t>
        </is>
      </c>
      <c r="G730" t="inlineStr">
        <is>
          <t>OCKELBO</t>
        </is>
      </c>
      <c r="I730" t="n">
        <v>6.2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50968-2024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45603</v>
      </c>
      <c r="E731" s="1" t="n">
        <v>46225</v>
      </c>
      <c r="F731" t="inlineStr">
        <is>
          <t>GÄVLEBORGS LÄN</t>
        </is>
      </c>
      <c r="G731" t="inlineStr">
        <is>
          <t>OCKELBO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46177</v>
      </c>
      <c r="E732" s="1" t="n">
        <v>46225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9.4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46220</v>
      </c>
      <c r="E733" s="1" t="n">
        <v>46225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25599-2026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46225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31591-2026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46224</v>
      </c>
      <c r="E735" s="1" t="n">
        <v>46225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31530-2026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46223</v>
      </c>
      <c r="E736" s="1" t="n">
        <v>46225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26131-2026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46181</v>
      </c>
      <c r="E737" s="1" t="n">
        <v>46225</v>
      </c>
      <c r="F737" t="inlineStr">
        <is>
          <t>GÄVLEBORGS LÄN</t>
        </is>
      </c>
      <c r="G737" t="inlineStr">
        <is>
          <t>OCKELBO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46224</v>
      </c>
      <c r="E738" s="1" t="n">
        <v>46225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31517-2026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46223</v>
      </c>
      <c r="E739" s="1" t="n">
        <v>46225</v>
      </c>
      <c r="F739" t="inlineStr">
        <is>
          <t>GÄVLEBORGS LÄN</t>
        </is>
      </c>
      <c r="G739" t="inlineStr">
        <is>
          <t>OCKELBO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46223</v>
      </c>
      <c r="E740" s="1" t="n">
        <v>46225</v>
      </c>
      <c r="F740" t="inlineStr">
        <is>
          <t>GÄVLEBORGS LÄN</t>
        </is>
      </c>
      <c r="G740" t="inlineStr">
        <is>
          <t>OCKELBO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26367-2024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45469</v>
      </c>
      <c r="E741" s="1" t="n">
        <v>46225</v>
      </c>
      <c r="F741" t="inlineStr">
        <is>
          <t>GÄVLEBORGS LÄN</t>
        </is>
      </c>
      <c r="G741" t="inlineStr">
        <is>
          <t>OCKELBO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37438-2023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45156</v>
      </c>
      <c r="E742" s="1" t="n">
        <v>46225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48804-2024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45593</v>
      </c>
      <c r="E743" s="1" t="n">
        <v>46225</v>
      </c>
      <c r="F743" t="inlineStr">
        <is>
          <t>GÄVLEBORGS LÄN</t>
        </is>
      </c>
      <c r="G743" t="inlineStr">
        <is>
          <t>OCKELBO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18291-2023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45041</v>
      </c>
      <c r="E744" s="1" t="n">
        <v>46225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53137-2024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45611</v>
      </c>
      <c r="E745" s="1" t="n">
        <v>46225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5.5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7276-2023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44970</v>
      </c>
      <c r="E746" s="1" t="n">
        <v>46225</v>
      </c>
      <c r="F746" t="inlineStr">
        <is>
          <t>GÄVLEBORGS LÄN</t>
        </is>
      </c>
      <c r="G746" t="inlineStr">
        <is>
          <t>OCKELBO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61732-2024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45649</v>
      </c>
      <c r="E747" s="1" t="n">
        <v>46225</v>
      </c>
      <c r="F747" t="inlineStr">
        <is>
          <t>GÄVLEBORGS LÄN</t>
        </is>
      </c>
      <c r="G747" t="inlineStr">
        <is>
          <t>OCKELBO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22952-2023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45072</v>
      </c>
      <c r="E748" s="1" t="n">
        <v>46225</v>
      </c>
      <c r="F748" t="inlineStr">
        <is>
          <t>GÄVLEBORGS LÄN</t>
        </is>
      </c>
      <c r="G748" t="inlineStr">
        <is>
          <t>OCKELBO</t>
        </is>
      </c>
      <c r="I748" t="n">
        <v>5.6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54977-2024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45620</v>
      </c>
      <c r="E749" s="1" t="n">
        <v>46225</v>
      </c>
      <c r="F749" t="inlineStr">
        <is>
          <t>GÄVLEBORGS LÄN</t>
        </is>
      </c>
      <c r="G749" t="inlineStr">
        <is>
          <t>OCKELBO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49529-2024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45596</v>
      </c>
      <c r="E750" s="1" t="n">
        <v>46225</v>
      </c>
      <c r="F750" t="inlineStr">
        <is>
          <t>GÄVLEBORGS LÄN</t>
        </is>
      </c>
      <c r="G750" t="inlineStr">
        <is>
          <t>OCKELBO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6568-2024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45341</v>
      </c>
      <c r="E751" s="1" t="n">
        <v>46225</v>
      </c>
      <c r="F751" t="inlineStr">
        <is>
          <t>GÄVLEBORGS LÄN</t>
        </is>
      </c>
      <c r="G751" t="inlineStr">
        <is>
          <t>OCKELBO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50194-2024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45600</v>
      </c>
      <c r="E752" s="1" t="n">
        <v>46225</v>
      </c>
      <c r="F752" t="inlineStr">
        <is>
          <t>GÄVLEBORGS LÄN</t>
        </is>
      </c>
      <c r="G752" t="inlineStr">
        <is>
          <t>OCKELBO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54309-2024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45617</v>
      </c>
      <c r="E753" s="1" t="n">
        <v>46225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42585-2023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45181</v>
      </c>
      <c r="E754" s="1" t="n">
        <v>46225</v>
      </c>
      <c r="F754" t="inlineStr">
        <is>
          <t>GÄVLEBORGS LÄN</t>
        </is>
      </c>
      <c r="G754" t="inlineStr">
        <is>
          <t>OCKELBO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56352-2024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45624</v>
      </c>
      <c r="E755" s="1" t="n">
        <v>46225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42313-2023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45180</v>
      </c>
      <c r="E756" s="1" t="n">
        <v>46225</v>
      </c>
      <c r="F756" t="inlineStr">
        <is>
          <t>GÄVLEBORGS LÄN</t>
        </is>
      </c>
      <c r="G756" t="inlineStr">
        <is>
          <t>OCKELBO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60915-2024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45645</v>
      </c>
      <c r="E757" s="1" t="n">
        <v>46225</v>
      </c>
      <c r="F757" t="inlineStr">
        <is>
          <t>GÄVLEBORGS LÄN</t>
        </is>
      </c>
      <c r="G757" t="inlineStr">
        <is>
          <t>OCKELBO</t>
        </is>
      </c>
      <c r="H757" t="inlineStr">
        <is>
          <t>Kyrkan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36343-2023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45152</v>
      </c>
      <c r="E758" s="1" t="n">
        <v>46225</v>
      </c>
      <c r="F758" t="inlineStr">
        <is>
          <t>GÄVLEBORGS LÄN</t>
        </is>
      </c>
      <c r="G758" t="inlineStr">
        <is>
          <t>OCKELBO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19762-2024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45432</v>
      </c>
      <c r="E759" s="1" t="n">
        <v>46225</v>
      </c>
      <c r="F759" t="inlineStr">
        <is>
          <t>GÄVLEBORGS LÄN</t>
        </is>
      </c>
      <c r="G759" t="inlineStr">
        <is>
          <t>OCKELBO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21582-2024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45441</v>
      </c>
      <c r="E760" s="1" t="n">
        <v>46225</v>
      </c>
      <c r="F760" t="inlineStr">
        <is>
          <t>GÄVLEBORGS LÄN</t>
        </is>
      </c>
      <c r="G760" t="inlineStr">
        <is>
          <t>OCKELBO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1716-2025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45671</v>
      </c>
      <c r="E761" s="1" t="n">
        <v>46225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45757</v>
      </c>
      <c r="E762" s="1" t="n">
        <v>46225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7478-2025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45705</v>
      </c>
      <c r="E763" s="1" t="n">
        <v>46225</v>
      </c>
      <c r="F763" t="inlineStr">
        <is>
          <t>GÄVLEBORGS LÄN</t>
        </is>
      </c>
      <c r="G763" t="inlineStr">
        <is>
          <t>OCKELBO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12983-2022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44643</v>
      </c>
      <c r="E764" s="1" t="n">
        <v>46225</v>
      </c>
      <c r="F764" t="inlineStr">
        <is>
          <t>GÄVLEBORGS LÄN</t>
        </is>
      </c>
      <c r="G764" t="inlineStr">
        <is>
          <t>OCKELBO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37391-2023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45156</v>
      </c>
      <c r="E765" s="1" t="n">
        <v>46225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56634-2023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45243</v>
      </c>
      <c r="E766" s="1" t="n">
        <v>46225</v>
      </c>
      <c r="F766" t="inlineStr">
        <is>
          <t>GÄVLEBORGS LÄN</t>
        </is>
      </c>
      <c r="G766" t="inlineStr">
        <is>
          <t>OCKELBO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59533-2023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45254</v>
      </c>
      <c r="E767" s="1" t="n">
        <v>46225</v>
      </c>
      <c r="F767" t="inlineStr">
        <is>
          <t>GÄVLEBORGS LÄN</t>
        </is>
      </c>
      <c r="G767" t="inlineStr">
        <is>
          <t>OCKELBO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36521-2022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44804</v>
      </c>
      <c r="E768" s="1" t="n">
        <v>46225</v>
      </c>
      <c r="F768" t="inlineStr">
        <is>
          <t>GÄVLEBORGS LÄN</t>
        </is>
      </c>
      <c r="G768" t="inlineStr">
        <is>
          <t>OCKELBO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24228-2022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44725</v>
      </c>
      <c r="E769" s="1" t="n">
        <v>46225</v>
      </c>
      <c r="F769" t="inlineStr">
        <is>
          <t>GÄVLEBORGS LÄN</t>
        </is>
      </c>
      <c r="G769" t="inlineStr">
        <is>
          <t>OCKELBO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32301-2022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44781</v>
      </c>
      <c r="E770" s="1" t="n">
        <v>46225</v>
      </c>
      <c r="F770" t="inlineStr">
        <is>
          <t>GÄVLEBORGS LÄN</t>
        </is>
      </c>
      <c r="G770" t="inlineStr">
        <is>
          <t>OCKELBO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47841-2023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45204</v>
      </c>
      <c r="E771" s="1" t="n">
        <v>46225</v>
      </c>
      <c r="F771" t="inlineStr">
        <is>
          <t>GÄVLEBORGS LÄN</t>
        </is>
      </c>
      <c r="G771" t="inlineStr">
        <is>
          <t>OCKELBO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33985-2023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45134</v>
      </c>
      <c r="E772" s="1" t="n">
        <v>46225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20660-2022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44700</v>
      </c>
      <c r="E773" s="1" t="n">
        <v>46225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61750-2023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45265</v>
      </c>
      <c r="E774" s="1" t="n">
        <v>46225</v>
      </c>
      <c r="F774" t="inlineStr">
        <is>
          <t>GÄVLEBORGS LÄN</t>
        </is>
      </c>
      <c r="G774" t="inlineStr">
        <is>
          <t>OCKELBO</t>
        </is>
      </c>
      <c r="I774" t="n">
        <v>11.2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15247-2025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45744</v>
      </c>
      <c r="E775" s="1" t="n">
        <v>46225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35054-2022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44797</v>
      </c>
      <c r="E776" s="1" t="n">
        <v>46225</v>
      </c>
      <c r="F776" t="inlineStr">
        <is>
          <t>GÄVLEBORGS LÄN</t>
        </is>
      </c>
      <c r="G776" t="inlineStr">
        <is>
          <t>OCKELBO</t>
        </is>
      </c>
      <c r="I776" t="n">
        <v>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20059-2025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45772</v>
      </c>
      <c r="E777" s="1" t="n">
        <v>46225</v>
      </c>
      <c r="F777" t="inlineStr">
        <is>
          <t>GÄVLEBORGS LÄN</t>
        </is>
      </c>
      <c r="G777" t="inlineStr">
        <is>
          <t>OCKELBO</t>
        </is>
      </c>
      <c r="I777" t="n">
        <v>14.8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55112-2023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45237</v>
      </c>
      <c r="E778" s="1" t="n">
        <v>46225</v>
      </c>
      <c r="F778" t="inlineStr">
        <is>
          <t>GÄVLEBORGS LÄN</t>
        </is>
      </c>
      <c r="G778" t="inlineStr">
        <is>
          <t>OCKELBO</t>
        </is>
      </c>
      <c r="I778" t="n">
        <v>14.6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59978-2023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45254</v>
      </c>
      <c r="E779" s="1" t="n">
        <v>46225</v>
      </c>
      <c r="F779" t="inlineStr">
        <is>
          <t>GÄVLEBORGS LÄN</t>
        </is>
      </c>
      <c r="G779" t="inlineStr">
        <is>
          <t>OCKELBO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53488-2023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45230</v>
      </c>
      <c r="E780" s="1" t="n">
        <v>46225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56034-2023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45240</v>
      </c>
      <c r="E781" s="1" t="n">
        <v>46225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921-2024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45301</v>
      </c>
      <c r="E782" s="1" t="n">
        <v>46225</v>
      </c>
      <c r="F782" t="inlineStr">
        <is>
          <t>GÄVLEBORGS LÄN</t>
        </is>
      </c>
      <c r="G782" t="inlineStr">
        <is>
          <t>OCKELBO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39710-2023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45167</v>
      </c>
      <c r="E783" s="1" t="n">
        <v>46225</v>
      </c>
      <c r="F783" t="inlineStr">
        <is>
          <t>GÄVLEBORGS LÄN</t>
        </is>
      </c>
      <c r="G783" t="inlineStr">
        <is>
          <t>OCKELBO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55906-2024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45623</v>
      </c>
      <c r="E784" s="1" t="n">
        <v>46225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34449-2023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45139</v>
      </c>
      <c r="E785" s="1" t="n">
        <v>46225</v>
      </c>
      <c r="F785" t="inlineStr">
        <is>
          <t>GÄVLEBORGS LÄN</t>
        </is>
      </c>
      <c r="G785" t="inlineStr">
        <is>
          <t>OCKELBO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39062-2024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45548</v>
      </c>
      <c r="E786" s="1" t="n">
        <v>46225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10.1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33617-2023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45132</v>
      </c>
      <c r="E787" s="1" t="n">
        <v>46225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34444-2023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45139</v>
      </c>
      <c r="E788" s="1" t="n">
        <v>46225</v>
      </c>
      <c r="F788" t="inlineStr">
        <is>
          <t>GÄVLEBORGS LÄN</t>
        </is>
      </c>
      <c r="G788" t="inlineStr">
        <is>
          <t>OCKELBO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3626-2023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44950</v>
      </c>
      <c r="E789" s="1" t="n">
        <v>46225</v>
      </c>
      <c r="F789" t="inlineStr">
        <is>
          <t>GÄVLEBORGS LÄN</t>
        </is>
      </c>
      <c r="G789" t="inlineStr">
        <is>
          <t>OCKELBO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50197-2024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46225</v>
      </c>
      <c r="F790" t="inlineStr">
        <is>
          <t>GÄVLEBORGS LÄN</t>
        </is>
      </c>
      <c r="G790" t="inlineStr">
        <is>
          <t>OCKELBO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52330-2024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45609</v>
      </c>
      <c r="E791" s="1" t="n">
        <v>46225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60148-2023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45258</v>
      </c>
      <c r="E792" s="1" t="n">
        <v>46225</v>
      </c>
      <c r="F792" t="inlineStr">
        <is>
          <t>GÄVLEBORGS LÄN</t>
        </is>
      </c>
      <c r="G792" t="inlineStr">
        <is>
          <t>OCKELBO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38292-2021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44406</v>
      </c>
      <c r="E793" s="1" t="n">
        <v>46225</v>
      </c>
      <c r="F793" t="inlineStr">
        <is>
          <t>GÄVLEBORGS LÄN</t>
        </is>
      </c>
      <c r="G793" t="inlineStr">
        <is>
          <t>OCKELBO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61116-2023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45261</v>
      </c>
      <c r="E794" s="1" t="n">
        <v>46225</v>
      </c>
      <c r="F794" t="inlineStr">
        <is>
          <t>GÄVLEBORGS LÄN</t>
        </is>
      </c>
      <c r="G794" t="inlineStr">
        <is>
          <t>OCKELBO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44281-2022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44839</v>
      </c>
      <c r="E795" s="1" t="n">
        <v>46225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15325-2025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45747</v>
      </c>
      <c r="E796" s="1" t="n">
        <v>46225</v>
      </c>
      <c r="F796" t="inlineStr">
        <is>
          <t>GÄVLEBORGS LÄN</t>
        </is>
      </c>
      <c r="G796" t="inlineStr">
        <is>
          <t>OCKELBO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29687-2023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45107</v>
      </c>
      <c r="E797" s="1" t="n">
        <v>46225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37442-2023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45156</v>
      </c>
      <c r="E798" s="1" t="n">
        <v>46225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3620-2023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44950</v>
      </c>
      <c r="E799" s="1" t="n">
        <v>46225</v>
      </c>
      <c r="F799" t="inlineStr">
        <is>
          <t>GÄVLEBORGS LÄN</t>
        </is>
      </c>
      <c r="G799" t="inlineStr">
        <is>
          <t>OCKELBO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53702-2024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45615</v>
      </c>
      <c r="E800" s="1" t="n">
        <v>46225</v>
      </c>
      <c r="F800" t="inlineStr">
        <is>
          <t>GÄVLEBORGS LÄN</t>
        </is>
      </c>
      <c r="G800" t="inlineStr">
        <is>
          <t>OCKELBO</t>
        </is>
      </c>
      <c r="I800" t="n">
        <v>5.8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33879-2023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45134</v>
      </c>
      <c r="E801" s="1" t="n">
        <v>46225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33987-2023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45134</v>
      </c>
      <c r="E802" s="1" t="n">
        <v>46225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29963-2024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45488</v>
      </c>
      <c r="E803" s="1" t="n">
        <v>46225</v>
      </c>
      <c r="F803" t="inlineStr">
        <is>
          <t>GÄVLEBORGS LÄN</t>
        </is>
      </c>
      <c r="G803" t="inlineStr">
        <is>
          <t>OCKELBO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52241-2024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46225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7.7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52243-2024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45608</v>
      </c>
      <c r="E805" s="1" t="n">
        <v>46225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34440-2023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45139</v>
      </c>
      <c r="E806" s="1" t="n">
        <v>46225</v>
      </c>
      <c r="F806" t="inlineStr">
        <is>
          <t>GÄVLEBORGS LÄN</t>
        </is>
      </c>
      <c r="G806" t="inlineStr">
        <is>
          <t>OCKELBO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29968-2024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45488</v>
      </c>
      <c r="E807" s="1" t="n">
        <v>46225</v>
      </c>
      <c r="F807" t="inlineStr">
        <is>
          <t>GÄVLEBORGS LÄN</t>
        </is>
      </c>
      <c r="G807" t="inlineStr">
        <is>
          <t>OCKELBO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51989-2023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45223</v>
      </c>
      <c r="E808" s="1" t="n">
        <v>46225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21900-2023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45068</v>
      </c>
      <c r="E809" s="1" t="n">
        <v>46225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3034-2025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45678</v>
      </c>
      <c r="E810" s="1" t="n">
        <v>46225</v>
      </c>
      <c r="F810" t="inlineStr">
        <is>
          <t>GÄVLEBORGS LÄN</t>
        </is>
      </c>
      <c r="G810" t="inlineStr">
        <is>
          <t>OCKELBO</t>
        </is>
      </c>
      <c r="I810" t="n">
        <v>8.1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56741-2024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45628</v>
      </c>
      <c r="E811" s="1" t="n">
        <v>46225</v>
      </c>
      <c r="F811" t="inlineStr">
        <is>
          <t>GÄVLEBORGS LÄN</t>
        </is>
      </c>
      <c r="G811" t="inlineStr">
        <is>
          <t>OCKELBO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49448-2023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45211</v>
      </c>
      <c r="E812" s="1" t="n">
        <v>46225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45771</v>
      </c>
      <c r="E813" s="1" t="n">
        <v>46225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4.8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19774-2025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45771</v>
      </c>
      <c r="E814" s="1" t="n">
        <v>46225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46074-2024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45581</v>
      </c>
      <c r="E815" s="1" t="n">
        <v>46225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21878-2023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45068</v>
      </c>
      <c r="E816" s="1" t="n">
        <v>46225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39430-2024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45551</v>
      </c>
      <c r="E817" s="1" t="n">
        <v>46225</v>
      </c>
      <c r="F817" t="inlineStr">
        <is>
          <t>GÄVLEBORGS LÄN</t>
        </is>
      </c>
      <c r="G817" t="inlineStr">
        <is>
          <t>OCKELBO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55070-2023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45237</v>
      </c>
      <c r="E818" s="1" t="n">
        <v>46225</v>
      </c>
      <c r="F818" t="inlineStr">
        <is>
          <t>GÄVLEBORGS LÄN</t>
        </is>
      </c>
      <c r="G818" t="inlineStr">
        <is>
          <t>OCKELBO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40218-2023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45169</v>
      </c>
      <c r="E819" s="1" t="n">
        <v>46225</v>
      </c>
      <c r="F819" t="inlineStr">
        <is>
          <t>GÄVLEBORGS LÄN</t>
        </is>
      </c>
      <c r="G819" t="inlineStr">
        <is>
          <t>OCKELBO</t>
        </is>
      </c>
      <c r="I819" t="n">
        <v>13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19178-2023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45048</v>
      </c>
      <c r="E820" s="1" t="n">
        <v>46225</v>
      </c>
      <c r="F820" t="inlineStr">
        <is>
          <t>GÄVLEBORGS LÄN</t>
        </is>
      </c>
      <c r="G820" t="inlineStr">
        <is>
          <t>OCKELBO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37386-2023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45156</v>
      </c>
      <c r="E821" s="1" t="n">
        <v>46225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2556-2025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45674</v>
      </c>
      <c r="E822" s="1" t="n">
        <v>46225</v>
      </c>
      <c r="F822" t="inlineStr">
        <is>
          <t>GÄVLEBORGS LÄN</t>
        </is>
      </c>
      <c r="G822" t="inlineStr">
        <is>
          <t>OCKELBO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59063-2023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45252</v>
      </c>
      <c r="E823" s="1" t="n">
        <v>46225</v>
      </c>
      <c r="F823" t="inlineStr">
        <is>
          <t>GÄVLEBORGS LÄN</t>
        </is>
      </c>
      <c r="G823" t="inlineStr">
        <is>
          <t>OCKELBO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10150-2023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44986</v>
      </c>
      <c r="E824" s="1" t="n">
        <v>46225</v>
      </c>
      <c r="F824" t="inlineStr">
        <is>
          <t>GÄVLEBORGS LÄN</t>
        </is>
      </c>
      <c r="G824" t="inlineStr">
        <is>
          <t>OCKELBO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37845-2024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45544</v>
      </c>
      <c r="E825" s="1" t="n">
        <v>46225</v>
      </c>
      <c r="F825" t="inlineStr">
        <is>
          <t>GÄVLEBORGS LÄN</t>
        </is>
      </c>
      <c r="G825" t="inlineStr">
        <is>
          <t>OCKELBO</t>
        </is>
      </c>
      <c r="I825" t="n">
        <v>5.1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20775-2025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45776</v>
      </c>
      <c r="E826" s="1" t="n">
        <v>46225</v>
      </c>
      <c r="F826" t="inlineStr">
        <is>
          <t>GÄVLEBORGS LÄN</t>
        </is>
      </c>
      <c r="G826" t="inlineStr">
        <is>
          <t>OCKELBO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52273-2024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45608</v>
      </c>
      <c r="E827" s="1" t="n">
        <v>46225</v>
      </c>
      <c r="F827" t="inlineStr">
        <is>
          <t>GÄVLEBORGS LÄN</t>
        </is>
      </c>
      <c r="G827" t="inlineStr">
        <is>
          <t>OCKELBO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54323-2024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45617</v>
      </c>
      <c r="E828" s="1" t="n">
        <v>46225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60253-2023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45258</v>
      </c>
      <c r="E829" s="1" t="n">
        <v>46225</v>
      </c>
      <c r="F829" t="inlineStr">
        <is>
          <t>GÄVLEBORGS LÄN</t>
        </is>
      </c>
      <c r="G829" t="inlineStr">
        <is>
          <t>OCKELBO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37848-2024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45544</v>
      </c>
      <c r="E830" s="1" t="n">
        <v>46225</v>
      </c>
      <c r="F830" t="inlineStr">
        <is>
          <t>GÄVLEBORGS LÄN</t>
        </is>
      </c>
      <c r="G830" t="inlineStr">
        <is>
          <t>OCKELBO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22387-2025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45786</v>
      </c>
      <c r="E831" s="1" t="n">
        <v>46225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23780-2024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45455</v>
      </c>
      <c r="E832" s="1" t="n">
        <v>46225</v>
      </c>
      <c r="F832" t="inlineStr">
        <is>
          <t>GÄVLEBORGS LÄN</t>
        </is>
      </c>
      <c r="G832" t="inlineStr">
        <is>
          <t>OCKELBO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22385-2025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45786</v>
      </c>
      <c r="E833" s="1" t="n">
        <v>46225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28584-2024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45478</v>
      </c>
      <c r="E834" s="1" t="n">
        <v>46225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28181-2022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44746</v>
      </c>
      <c r="E835" s="1" t="n">
        <v>46225</v>
      </c>
      <c r="F835" t="inlineStr">
        <is>
          <t>GÄVLEBORGS LÄN</t>
        </is>
      </c>
      <c r="G835" t="inlineStr">
        <is>
          <t>OCKELBO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23004-2025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45790</v>
      </c>
      <c r="E836" s="1" t="n">
        <v>46225</v>
      </c>
      <c r="F836" t="inlineStr">
        <is>
          <t>GÄVLEBORGS LÄN</t>
        </is>
      </c>
      <c r="G836" t="inlineStr">
        <is>
          <t>OCKELBO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48803-2024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45593</v>
      </c>
      <c r="E837" s="1" t="n">
        <v>46225</v>
      </c>
      <c r="F837" t="inlineStr">
        <is>
          <t>GÄVLEBORGS LÄN</t>
        </is>
      </c>
      <c r="G837" t="inlineStr">
        <is>
          <t>OCKELBO</t>
        </is>
      </c>
      <c r="I837" t="n">
        <v>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20689-2025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45776</v>
      </c>
      <c r="E838" s="1" t="n">
        <v>46225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16.2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64924-2023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45282</v>
      </c>
      <c r="E839" s="1" t="n">
        <v>46225</v>
      </c>
      <c r="F839" t="inlineStr">
        <is>
          <t>GÄVLEBORGS LÄN</t>
        </is>
      </c>
      <c r="G839" t="inlineStr">
        <is>
          <t>OCKELBO</t>
        </is>
      </c>
      <c r="I839" t="n">
        <v>6.8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20207-2024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45434</v>
      </c>
      <c r="E840" s="1" t="n">
        <v>46225</v>
      </c>
      <c r="F840" t="inlineStr">
        <is>
          <t>GÄVLEBORGS LÄN</t>
        </is>
      </c>
      <c r="G840" t="inlineStr">
        <is>
          <t>OCKELBO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55011-2024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45621</v>
      </c>
      <c r="E841" s="1" t="n">
        <v>46225</v>
      </c>
      <c r="F841" t="inlineStr">
        <is>
          <t>GÄVLEBORGS LÄN</t>
        </is>
      </c>
      <c r="G841" t="inlineStr">
        <is>
          <t>OCKELBO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15403-2022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44659</v>
      </c>
      <c r="E842" s="1" t="n">
        <v>46225</v>
      </c>
      <c r="F842" t="inlineStr">
        <is>
          <t>GÄVLEBORGS LÄN</t>
        </is>
      </c>
      <c r="G842" t="inlineStr">
        <is>
          <t>OCKELBO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26085-2024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45468</v>
      </c>
      <c r="E843" s="1" t="n">
        <v>46225</v>
      </c>
      <c r="F843" t="inlineStr">
        <is>
          <t>GÄVLEBORGS LÄN</t>
        </is>
      </c>
      <c r="G843" t="inlineStr">
        <is>
          <t>OCKELBO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16752-2025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45754</v>
      </c>
      <c r="E844" s="1" t="n">
        <v>46225</v>
      </c>
      <c r="F844" t="inlineStr">
        <is>
          <t>GÄVLEBORGS LÄN</t>
        </is>
      </c>
      <c r="G844" t="inlineStr">
        <is>
          <t>OCKELBO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15502-2025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45747</v>
      </c>
      <c r="E845" s="1" t="n">
        <v>46225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väst AB</t>
        </is>
      </c>
      <c r="I845" t="n">
        <v>5.7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49470-2024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45596</v>
      </c>
      <c r="E846" s="1" t="n">
        <v>46225</v>
      </c>
      <c r="F846" t="inlineStr">
        <is>
          <t>GÄVLEBORGS LÄN</t>
        </is>
      </c>
      <c r="G846" t="inlineStr">
        <is>
          <t>OCKELBO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282-2024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45323</v>
      </c>
      <c r="E847" s="1" t="n">
        <v>46225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väst AB</t>
        </is>
      </c>
      <c r="I847" t="n">
        <v>14.5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5063-2024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45638</v>
      </c>
      <c r="E848" s="1" t="n">
        <v>46225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väst AB</t>
        </is>
      </c>
      <c r="I848" t="n">
        <v>154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195-2024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45315</v>
      </c>
      <c r="E849" s="1" t="n">
        <v>46225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öst AB</t>
        </is>
      </c>
      <c r="I849" t="n">
        <v>46.4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411-2025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45699</v>
      </c>
      <c r="E850" s="1" t="n">
        <v>46225</v>
      </c>
      <c r="F850" t="inlineStr">
        <is>
          <t>GÄVLEBORGS LÄN</t>
        </is>
      </c>
      <c r="G850" t="inlineStr">
        <is>
          <t>OCKELBO</t>
        </is>
      </c>
      <c r="H850" t="inlineStr">
        <is>
          <t>Bergvik skog öst AB</t>
        </is>
      </c>
      <c r="I850" t="n">
        <v>24.3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7041-2022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44904</v>
      </c>
      <c r="E851" s="1" t="n">
        <v>46225</v>
      </c>
      <c r="F851" t="inlineStr">
        <is>
          <t>GÄVLEBORGS LÄN</t>
        </is>
      </c>
      <c r="G851" t="inlineStr">
        <is>
          <t>OCKELBO</t>
        </is>
      </c>
      <c r="H851" t="inlineStr">
        <is>
          <t>Bergvik skog väst AB</t>
        </is>
      </c>
      <c r="I851" t="n">
        <v>22.8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297-2026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46058</v>
      </c>
      <c r="E852" s="1" t="n">
        <v>46225</v>
      </c>
      <c r="F852" t="inlineStr">
        <is>
          <t>GÄVLEBORGS LÄN</t>
        </is>
      </c>
      <c r="G852" t="inlineStr">
        <is>
          <t>OCKELBO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657-2026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46089</v>
      </c>
      <c r="E853" s="1" t="n">
        <v>46225</v>
      </c>
      <c r="F853" t="inlineStr">
        <is>
          <t>GÄVLEBORGS LÄN</t>
        </is>
      </c>
      <c r="G853" t="inlineStr">
        <is>
          <t>OCKELBO</t>
        </is>
      </c>
      <c r="H853" t="inlineStr">
        <is>
          <t>Bergvik skog öst AB</t>
        </is>
      </c>
      <c r="I853" t="n">
        <v>131.3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190-2026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46048</v>
      </c>
      <c r="E854" s="1" t="n">
        <v>46225</v>
      </c>
      <c r="F854" t="inlineStr">
        <is>
          <t>GÄVLEBORGS LÄN</t>
        </is>
      </c>
      <c r="G854" t="inlineStr">
        <is>
          <t>OCKELBO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1344-2026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46148</v>
      </c>
      <c r="E855" s="1" t="n">
        <v>46225</v>
      </c>
      <c r="F855" t="inlineStr">
        <is>
          <t>GÄVLEBORGS LÄN</t>
        </is>
      </c>
      <c r="G855" t="inlineStr">
        <is>
          <t>OCKELBO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>
      <c r="A856" t="inlineStr">
        <is>
          <t>S 1345-2026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46148</v>
      </c>
      <c r="E856" s="1" t="n">
        <v>46225</v>
      </c>
      <c r="F856" t="inlineStr">
        <is>
          <t>GÄVLEBORGS LÄN</t>
        </is>
      </c>
      <c r="G856" t="inlineStr">
        <is>
          <t>OCKELBO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2026-07-22T01:33:34Z</dcterms:created>
  <dcterms:modified xmlns:dcterms="http://purl.org/dc/terms/" xmlns:xsi="http://www.w3.org/2001/XMLSchema-instance" xsi:type="dcterms:W3CDTF">2026-07-22T01:33:35Z</dcterms:modified>
</cp:coreProperties>
</file>