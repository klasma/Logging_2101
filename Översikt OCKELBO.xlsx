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46318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14258-2026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46318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40.5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14</v>
      </c>
      <c r="U6" t="n">
        <v>0</v>
      </c>
      <c r="V6" s="2" t="inlineStr">
        <is>
          <t>Garnlav
Blanksvart spiklav
Dropptaggsvamp
Vedskivlav
Mindre märgborre
Nästlav
Vågbandad barkbock</t>
        </is>
      </c>
      <c r="W6">
        <f>HYPERLINK("https://klasma.github.io/Logging_2101/artfynd/A 14258-2026 artfynd.xlsx", "A 14258-2026")</f>
        <v/>
      </c>
      <c r="X6">
        <f>HYPERLINK("https://klasma.github.io/Logging_2101/kartor/A 14258-2026 karta.png", "A 14258-2026")</f>
        <v/>
      </c>
      <c r="Y6">
        <f>HYPERLINK("https://klasma.github.io/Logging_2101/kartor_geotiff/A 14258-2026 georefererad karta.tif", "A 14258-2026")</f>
        <v/>
      </c>
      <c r="Z6">
        <f>HYPERLINK("https://klasma.github.io/Logging_2101/knärot/A 14258-2026 karta knärot.png", "A 14258-2026")</f>
        <v/>
      </c>
      <c r="AA6">
        <f>HYPERLINK("https://klasma.github.io/Logging_2101/klagomål/A 14258-2026 FSC-klagomål.docx", "A 14258-2026")</f>
        <v/>
      </c>
      <c r="AB6">
        <f>HYPERLINK("https://klasma.github.io/Logging_2101/klagomålsmail/A 14258-2026 FSC-klagomål mail.docx", "A 14258-2026")</f>
        <v/>
      </c>
      <c r="AC6">
        <f>HYPERLINK("https://klasma.github.io/Logging_2101/tillsyn/A 14258-2026 tillsynsbegäran.docx", "A 14258-2026")</f>
        <v/>
      </c>
      <c r="AD6">
        <f>HYPERLINK("https://klasma.github.io/Logging_2101/tillsynsmail/A 14258-2026 tillsynsbegäran mail.docx", "A 14258-2026")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46318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46318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46318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46318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46318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46318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46318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46318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46318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46318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46318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Dropptaggsvamp
Mattlummer</t>
        </is>
      </c>
      <c r="W21">
        <f>HYPERLINK("https://klasma.github.io/Logging_2101/artfynd/A 27199-2025 artfynd.xlsx", "A 27199-2025")</f>
        <v/>
      </c>
      <c r="X21">
        <f>HYPERLINK("https://klasma.github.io/Logging_2101/kartor/A 27199-2025 karta.png", "A 27199-2025")</f>
        <v/>
      </c>
      <c r="Y21">
        <f>HYPERLINK("https://klasma.github.io/Logging_2101/kartor_geotiff/A 27199-2025 georefererad karta.tif", "A 27199-2025")</f>
        <v/>
      </c>
      <c r="Z21">
        <f>HYPERLINK("https://klasma.github.io/Logging_2101/knärot/A 27199-2025 karta knärot.png", "A 27199-2025")</f>
        <v/>
      </c>
      <c r="AA21">
        <f>HYPERLINK("https://klasma.github.io/Logging_2101/klagomål/A 27199-2025 FSC-klagomål.docx", "A 27199-2025")</f>
        <v/>
      </c>
      <c r="AB21">
        <f>HYPERLINK("https://klasma.github.io/Logging_2101/klagomålsmail/A 27199-2025 FSC-klagomål mail.docx", "A 27199-2025")</f>
        <v/>
      </c>
      <c r="AC21">
        <f>HYPERLINK("https://klasma.github.io/Logging_2101/tillsyn/A 27199-2025 tillsynsbegäran.docx", "A 27199-2025")</f>
        <v/>
      </c>
      <c r="AD21">
        <f>HYPERLINK("https://klasma.github.io/Logging_2101/tillsynsmail/A 27199-2025 tillsynsbegäran mail.docx", "A 27199-2025")</f>
        <v/>
      </c>
    </row>
    <row r="22" ht="15" customHeight="1">
      <c r="A22" t="inlineStr">
        <is>
          <t>A 13474-2026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46094</v>
      </c>
      <c r="E22" s="1" t="n">
        <v>46318</v>
      </c>
      <c r="F22" t="inlineStr">
        <is>
          <t>GÄVLEBORGS LÄN</t>
        </is>
      </c>
      <c r="G22" t="inlineStr">
        <is>
          <t>OCKELBO</t>
        </is>
      </c>
      <c r="H22" t="inlineStr">
        <is>
          <t>Naturvårdsverket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Orange taggsvamp
Ullticka
Vedtrappmossa</t>
        </is>
      </c>
      <c r="W22">
        <f>HYPERLINK("https://klasma.github.io/Logging_2101/artfynd/A 13474-2026 artfynd.xlsx", "A 13474-2026")</f>
        <v/>
      </c>
      <c r="X22">
        <f>HYPERLINK("https://klasma.github.io/Logging_2101/kartor/A 13474-2026 karta.png", "A 13474-2026")</f>
        <v/>
      </c>
      <c r="Y22">
        <f>HYPERLINK("https://klasma.github.io/Logging_2101/kartor_geotiff/A 13474-2026 georefererad karta.tif", "A 13474-2026")</f>
        <v/>
      </c>
      <c r="AA22">
        <f>HYPERLINK("https://klasma.github.io/Logging_2101/klagomål/A 13474-2026 FSC-klagomål.docx", "A 13474-2026")</f>
        <v/>
      </c>
      <c r="AB22">
        <f>HYPERLINK("https://klasma.github.io/Logging_2101/klagomålsmail/A 13474-2026 FSC-klagomål mail.docx", "A 13474-2026")</f>
        <v/>
      </c>
      <c r="AC22">
        <f>HYPERLINK("https://klasma.github.io/Logging_2101/tillsyn/A 13474-2026 tillsynsbegäran.docx", "A 13474-2026")</f>
        <v/>
      </c>
      <c r="AD22">
        <f>HYPERLINK("https://klasma.github.io/Logging_2101/tillsynsmail/A 13474-2026 tillsynsbegäran mail.docx", "A 13474-2026")</f>
        <v/>
      </c>
    </row>
    <row r="23" ht="15" customHeight="1">
      <c r="A23" t="inlineStr">
        <is>
          <t>A 18091-2026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46125</v>
      </c>
      <c r="E23" s="1" t="n">
        <v>46318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21.6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9</v>
      </c>
      <c r="U23" t="n">
        <v>0</v>
      </c>
      <c r="V23" s="2" t="inlineStr">
        <is>
          <t>Vanlig groda
Vanlig padda
Fläcknycklar</t>
        </is>
      </c>
      <c r="W23">
        <f>HYPERLINK("https://klasma.github.io/Logging_2101/artfynd/A 18091-2026 artfynd.xlsx", "A 18091-2026")</f>
        <v/>
      </c>
      <c r="X23">
        <f>HYPERLINK("https://klasma.github.io/Logging_2101/kartor/A 18091-2026 karta.png", "A 18091-2026")</f>
        <v/>
      </c>
      <c r="Y23">
        <f>HYPERLINK("https://klasma.github.io/Logging_2101/kartor_geotiff/A 18091-2026 georefererad karta.tif", "A 18091-2026")</f>
        <v/>
      </c>
      <c r="AA23">
        <f>HYPERLINK("https://klasma.github.io/Logging_2101/klagomål/A 18091-2026 FSC-klagomål.docx", "A 18091-2026")</f>
        <v/>
      </c>
      <c r="AB23">
        <f>HYPERLINK("https://klasma.github.io/Logging_2101/klagomålsmail/A 18091-2026 FSC-klagomål mail.docx", "A 18091-2026")</f>
        <v/>
      </c>
      <c r="AC23">
        <f>HYPERLINK("https://klasma.github.io/Logging_2101/tillsyn/A 18091-2026 tillsynsbegäran.docx", "A 18091-2026")</f>
        <v/>
      </c>
      <c r="AD23">
        <f>HYPERLINK("https://klasma.github.io/Logging_2101/tillsynsmail/A 18091-2026 tillsynsbegäran mail.docx", "A 18091-2026")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46318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46318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14.5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Blåsippa
Nattviol</t>
        </is>
      </c>
      <c r="W25">
        <f>HYPERLINK("https://klasma.github.io/Logging_2101/artfynd/A 18253-2026 artfynd.xlsx", "A 18253-2026")</f>
        <v/>
      </c>
      <c r="X25">
        <f>HYPERLINK("https://klasma.github.io/Logging_2101/kartor/A 18253-2026 karta.png", "A 18253-2026")</f>
        <v/>
      </c>
      <c r="Y25">
        <f>HYPERLINK("https://klasma.github.io/Logging_2101/kartor_geotiff/A 18253-2026 georefererad karta.tif", "A 18253-2026")</f>
        <v/>
      </c>
      <c r="AA25">
        <f>HYPERLINK("https://klasma.github.io/Logging_2101/klagomål/A 18253-2026 FSC-klagomål.docx", "A 18253-2026")</f>
        <v/>
      </c>
      <c r="AB25">
        <f>HYPERLINK("https://klasma.github.io/Logging_2101/klagomålsmail/A 18253-2026 FSC-klagomål mail.docx", "A 18253-2026")</f>
        <v/>
      </c>
      <c r="AC25">
        <f>HYPERLINK("https://klasma.github.io/Logging_2101/tillsyn/A 18253-2026 tillsynsbegäran.docx", "A 18253-2026")</f>
        <v/>
      </c>
      <c r="AD25">
        <f>HYPERLINK("https://klasma.github.io/Logging_2101/tillsynsmail/A 18253-2026 tillsynsbegäran mail.docx", "A 18253-2026")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46318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18117-2026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46318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Vanlig groda
Fläcknycklar</t>
        </is>
      </c>
      <c r="W27">
        <f>HYPERLINK("https://klasma.github.io/Logging_2101/artfynd/A 18117-2026 artfynd.xlsx", "A 18117-2026")</f>
        <v/>
      </c>
      <c r="X27">
        <f>HYPERLINK("https://klasma.github.io/Logging_2101/kartor/A 18117-2026 karta.png", "A 18117-2026")</f>
        <v/>
      </c>
      <c r="Y27">
        <f>HYPERLINK("https://klasma.github.io/Logging_2101/kartor_geotiff/A 18117-2026 georefererad karta.tif", "A 18117-2026")</f>
        <v/>
      </c>
      <c r="AA27">
        <f>HYPERLINK("https://klasma.github.io/Logging_2101/klagomål/A 18117-2026 FSC-klagomål.docx", "A 18117-2026")</f>
        <v/>
      </c>
      <c r="AB27">
        <f>HYPERLINK("https://klasma.github.io/Logging_2101/klagomålsmail/A 18117-2026 FSC-klagomål mail.docx", "A 18117-2026")</f>
        <v/>
      </c>
      <c r="AC27">
        <f>HYPERLINK("https://klasma.github.io/Logging_2101/tillsyn/A 18117-2026 tillsynsbegäran.docx", "A 18117-2026")</f>
        <v/>
      </c>
      <c r="AD27">
        <f>HYPERLINK("https://klasma.github.io/Logging_2101/tillsynsmail/A 18117-2026 tillsynsbegäran mail.docx", "A 18117-2026")</f>
        <v/>
      </c>
    </row>
    <row r="28" ht="15" customHeight="1">
      <c r="A28" t="inlineStr">
        <is>
          <t>A 18120-2026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46318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7</v>
      </c>
      <c r="U28" t="n">
        <v>0</v>
      </c>
      <c r="V28" s="2" t="inlineStr">
        <is>
          <t>Vanlig padda
Fläcknycklar</t>
        </is>
      </c>
      <c r="W28">
        <f>HYPERLINK("https://klasma.github.io/Logging_2101/artfynd/A 18120-2026 artfynd.xlsx", "A 18120-2026")</f>
        <v/>
      </c>
      <c r="X28">
        <f>HYPERLINK("https://klasma.github.io/Logging_2101/kartor/A 18120-2026 karta.png", "A 18120-2026")</f>
        <v/>
      </c>
      <c r="Y28">
        <f>HYPERLINK("https://klasma.github.io/Logging_2101/kartor_geotiff/A 18120-2026 georefererad karta.tif", "A 18120-2026")</f>
        <v/>
      </c>
      <c r="AA28">
        <f>HYPERLINK("https://klasma.github.io/Logging_2101/klagomål/A 18120-2026 FSC-klagomål.docx", "A 18120-2026")</f>
        <v/>
      </c>
      <c r="AB28">
        <f>HYPERLINK("https://klasma.github.io/Logging_2101/klagomålsmail/A 18120-2026 FSC-klagomål mail.docx", "A 18120-2026")</f>
        <v/>
      </c>
      <c r="AC28">
        <f>HYPERLINK("https://klasma.github.io/Logging_2101/tillsyn/A 18120-2026 tillsynsbegäran.docx", "A 18120-2026")</f>
        <v/>
      </c>
      <c r="AD28">
        <f>HYPERLINK("https://klasma.github.io/Logging_2101/tillsynsmail/A 18120-2026 tillsynsbegäran mail.docx", "A 18120-2026")</f>
        <v/>
      </c>
    </row>
    <row r="29" ht="15" customHeight="1">
      <c r="A29" t="inlineStr">
        <is>
          <t>A 20299-2026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46318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Lopplummer (aggregat)</t>
        </is>
      </c>
      <c r="W29">
        <f>HYPERLINK("https://klasma.github.io/Logging_2101/artfynd/A 20299-2026 artfynd.xlsx", "A 20299-2026")</f>
        <v/>
      </c>
      <c r="X29">
        <f>HYPERLINK("https://klasma.github.io/Logging_2101/kartor/A 20299-2026 karta.png", "A 20299-2026")</f>
        <v/>
      </c>
      <c r="Y29">
        <f>HYPERLINK("https://klasma.github.io/Logging_2101/kartor_geotiff/A 20299-2026 georefererad karta.tif", "A 20299-2026")</f>
        <v/>
      </c>
      <c r="AA29">
        <f>HYPERLINK("https://klasma.github.io/Logging_2101/klagomål/A 20299-2026 FSC-klagomål.docx", "A 20299-2026")</f>
        <v/>
      </c>
      <c r="AB29">
        <f>HYPERLINK("https://klasma.github.io/Logging_2101/klagomålsmail/A 20299-2026 FSC-klagomål mail.docx", "A 20299-2026")</f>
        <v/>
      </c>
      <c r="AC29">
        <f>HYPERLINK("https://klasma.github.io/Logging_2101/tillsyn/A 20299-2026 tillsynsbegäran.docx", "A 20299-2026")</f>
        <v/>
      </c>
      <c r="AD29">
        <f>HYPERLINK("https://klasma.github.io/Logging_2101/tillsynsmail/A 20299-2026 tillsynsbegäran mail.docx", "A 20299-2026")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46318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46318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17107-2026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46114</v>
      </c>
      <c r="E32" s="1" t="n">
        <v>46318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36.8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Fläcknycklar
Revlummer</t>
        </is>
      </c>
      <c r="W32">
        <f>HYPERLINK("https://klasma.github.io/Logging_2101/artfynd/A 17107-2026 artfynd.xlsx", "A 17107-2026")</f>
        <v/>
      </c>
      <c r="X32">
        <f>HYPERLINK("https://klasma.github.io/Logging_2101/kartor/A 17107-2026 karta.png", "A 17107-2026")</f>
        <v/>
      </c>
      <c r="Y32">
        <f>HYPERLINK("https://klasma.github.io/Logging_2101/kartor_geotiff/A 17107-2026 georefererad karta.tif", "A 17107-2026")</f>
        <v/>
      </c>
      <c r="AA32">
        <f>HYPERLINK("https://klasma.github.io/Logging_2101/klagomål/A 17107-2026 FSC-klagomål.docx", "A 17107-2026")</f>
        <v/>
      </c>
      <c r="AB32">
        <f>HYPERLINK("https://klasma.github.io/Logging_2101/klagomålsmail/A 17107-2026 FSC-klagomål mail.docx", "A 17107-2026")</f>
        <v/>
      </c>
      <c r="AC32">
        <f>HYPERLINK("https://klasma.github.io/Logging_2101/tillsyn/A 17107-2026 tillsynsbegäran.docx", "A 17107-2026")</f>
        <v/>
      </c>
      <c r="AD32">
        <f>HYPERLINK("https://klasma.github.io/Logging_2101/tillsynsmail/A 17107-2026 tillsynsbegäran mail.docx", "A 17107-2026")</f>
        <v/>
      </c>
    </row>
    <row r="33" ht="15" customHeight="1">
      <c r="A33" t="inlineStr">
        <is>
          <t>A 19145-2026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46318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11.9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t="n">
        <v>0</v>
      </c>
      <c r="V33" s="2" t="inlineStr">
        <is>
          <t>Garnlav
Revlummer</t>
        </is>
      </c>
      <c r="W33">
        <f>HYPERLINK("https://klasma.github.io/Logging_2101/artfynd/A 19145-2026 artfynd.xlsx", "A 19145-2026")</f>
        <v/>
      </c>
      <c r="X33">
        <f>HYPERLINK("https://klasma.github.io/Logging_2101/kartor/A 19145-2026 karta.png", "A 19145-2026")</f>
        <v/>
      </c>
      <c r="Y33">
        <f>HYPERLINK("https://klasma.github.io/Logging_2101/kartor_geotiff/A 19145-2026 georefererad karta.tif", "A 19145-2026")</f>
        <v/>
      </c>
      <c r="AA33">
        <f>HYPERLINK("https://klasma.github.io/Logging_2101/klagomål/A 19145-2026 FSC-klagomål.docx", "A 19145-2026")</f>
        <v/>
      </c>
      <c r="AB33">
        <f>HYPERLINK("https://klasma.github.io/Logging_2101/klagomålsmail/A 19145-2026 FSC-klagomål mail.docx", "A 19145-2026")</f>
        <v/>
      </c>
      <c r="AC33">
        <f>HYPERLINK("https://klasma.github.io/Logging_2101/tillsyn/A 19145-2026 tillsynsbegäran.docx", "A 19145-2026")</f>
        <v/>
      </c>
      <c r="AD33">
        <f>HYPERLINK("https://klasma.github.io/Logging_2101/tillsynsmail/A 19145-2026 tillsynsbegäran mail.docx", "A 19145-2026")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46318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46318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60615-2021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46318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Vanlig padda</t>
        </is>
      </c>
      <c r="W37">
        <f>HYPERLINK("https://klasma.github.io/Logging_2101/artfynd/A 60615-2021 artfynd.xlsx", "A 60615-2021")</f>
        <v/>
      </c>
      <c r="X37">
        <f>HYPERLINK("https://klasma.github.io/Logging_2101/kartor/A 60615-2021 karta.png", "A 60615-2021")</f>
        <v/>
      </c>
      <c r="Y37">
        <f>HYPERLINK("https://klasma.github.io/Logging_2101/kartor_geotiff/A 60615-2021 georefererad karta.tif", "A 60615-2021")</f>
        <v/>
      </c>
      <c r="AA37">
        <f>HYPERLINK("https://klasma.github.io/Logging_2101/klagomål/A 60615-2021 FSC-klagomål.docx", "A 60615-2021")</f>
        <v/>
      </c>
      <c r="AB37">
        <f>HYPERLINK("https://klasma.github.io/Logging_2101/klagomålsmail/A 60615-2021 FSC-klagomål mail.docx", "A 60615-2021")</f>
        <v/>
      </c>
      <c r="AC37">
        <f>HYPERLINK("https://klasma.github.io/Logging_2101/tillsyn/A 60615-2021 tillsynsbegäran.docx", "A 60615-2021")</f>
        <v/>
      </c>
      <c r="AD37">
        <f>HYPERLINK("https://klasma.github.io/Logging_2101/tillsynsmail/A 60615-2021 tillsynsbegäran mail.docx", "A 60615-2021")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46318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46318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15841-2023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45022</v>
      </c>
      <c r="E40" s="1" t="n">
        <v>46318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Havsörn</t>
        </is>
      </c>
      <c r="W40">
        <f>HYPERLINK("https://klasma.github.io/Logging_2101/artfynd/A 15841-2023 artfynd.xlsx", "A 15841-2023")</f>
        <v/>
      </c>
      <c r="X40">
        <f>HYPERLINK("https://klasma.github.io/Logging_2101/kartor/A 15841-2023 karta.png", "A 15841-2023")</f>
        <v/>
      </c>
      <c r="Y40">
        <f>HYPERLINK("https://klasma.github.io/Logging_2101/kartor_geotiff/A 15841-2023 georefererad karta.tif", "A 15841-2023")</f>
        <v/>
      </c>
      <c r="AA40">
        <f>HYPERLINK("https://klasma.github.io/Logging_2101/klagomål/A 15841-2023 FSC-klagomål.docx", "A 15841-2023")</f>
        <v/>
      </c>
      <c r="AB40">
        <f>HYPERLINK("https://klasma.github.io/Logging_2101/klagomålsmail/A 15841-2023 FSC-klagomål mail.docx", "A 15841-2023")</f>
        <v/>
      </c>
      <c r="AC40">
        <f>HYPERLINK("https://klasma.github.io/Logging_2101/tillsyn/A 15841-2023 tillsynsbegäran.docx", "A 15841-2023")</f>
        <v/>
      </c>
      <c r="AD40">
        <f>HYPERLINK("https://klasma.github.io/Logging_2101/tillsynsmail/A 15841-2023 tillsynsbegäran mail.docx", "A 15841-2023")</f>
        <v/>
      </c>
      <c r="AE40">
        <f>HYPERLINK("https://klasma.github.io/Logging_2101/fåglar/A 15841-2023 prioriterade fågelarter.docx", "A 15841-2023")</f>
        <v/>
      </c>
    </row>
    <row r="41" ht="15" customHeight="1">
      <c r="A41" t="inlineStr">
        <is>
          <t>A 22821-2024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46318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HYPERLINK("https://klasma.github.io/Logging_2101/artfynd/A 22821-2024 artfynd.xlsx", "A 22821-2024")</f>
        <v/>
      </c>
      <c r="X41">
        <f>HYPERLINK("https://klasma.github.io/Logging_2101/kartor/A 22821-2024 karta.png", "A 22821-2024")</f>
        <v/>
      </c>
      <c r="Y41">
        <f>HYPERLINK("https://klasma.github.io/Logging_2101/kartor_geotiff/A 22821-2024 georefererad karta.tif", "A 22821-2024")</f>
        <v/>
      </c>
      <c r="AA41">
        <f>HYPERLINK("https://klasma.github.io/Logging_2101/klagomål/A 22821-2024 FSC-klagomål.docx", "A 22821-2024")</f>
        <v/>
      </c>
      <c r="AB41">
        <f>HYPERLINK("https://klasma.github.io/Logging_2101/klagomålsmail/A 22821-2024 FSC-klagomål mail.docx", "A 22821-2024")</f>
        <v/>
      </c>
      <c r="AC41">
        <f>HYPERLINK("https://klasma.github.io/Logging_2101/tillsyn/A 22821-2024 tillsynsbegäran.docx", "A 22821-2024")</f>
        <v/>
      </c>
      <c r="AD41">
        <f>HYPERLINK("https://klasma.github.io/Logging_2101/tillsynsmail/A 22821-2024 tillsynsbegäran mail.docx", "A 22821-2024")</f>
        <v/>
      </c>
    </row>
    <row r="42" ht="15" customHeight="1">
      <c r="A42" t="inlineStr">
        <is>
          <t>A 9155-2026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46318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4.2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Kolflarnlav</t>
        </is>
      </c>
      <c r="W42">
        <f>HYPERLINK("https://klasma.github.io/Logging_2101/artfynd/A 9155-2026 artfynd.xlsx", "A 9155-2026")</f>
        <v/>
      </c>
      <c r="X42">
        <f>HYPERLINK("https://klasma.github.io/Logging_2101/kartor/A 9155-2026 karta.png", "A 9155-2026")</f>
        <v/>
      </c>
      <c r="Y42">
        <f>HYPERLINK("https://klasma.github.io/Logging_2101/kartor_geotiff/A 9155-2026 georefererad karta.tif", "A 9155-2026")</f>
        <v/>
      </c>
      <c r="AA42">
        <f>HYPERLINK("https://klasma.github.io/Logging_2101/klagomål/A 9155-2026 FSC-klagomål.docx", "A 9155-2026")</f>
        <v/>
      </c>
      <c r="AB42">
        <f>HYPERLINK("https://klasma.github.io/Logging_2101/klagomålsmail/A 9155-2026 FSC-klagomål mail.docx", "A 9155-2026")</f>
        <v/>
      </c>
      <c r="AC42">
        <f>HYPERLINK("https://klasma.github.io/Logging_2101/tillsyn/A 9155-2026 tillsynsbegäran.docx", "A 9155-2026")</f>
        <v/>
      </c>
      <c r="AD42">
        <f>HYPERLINK("https://klasma.github.io/Logging_2101/tillsynsmail/A 9155-2026 tillsynsbegäran mail.docx", "A 9155-2026")</f>
        <v/>
      </c>
    </row>
    <row r="43" ht="15" customHeight="1">
      <c r="A43" t="inlineStr">
        <is>
          <t>A 26448-2024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45469</v>
      </c>
      <c r="E43" s="1" t="n">
        <v>46318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4.5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HYPERLINK("https://klasma.github.io/Logging_2101/artfynd/A 26448-2024 artfynd.xlsx", "A 26448-2024")</f>
        <v/>
      </c>
      <c r="X43">
        <f>HYPERLINK("https://klasma.github.io/Logging_2101/kartor/A 26448-2024 karta.png", "A 26448-2024")</f>
        <v/>
      </c>
      <c r="Y43">
        <f>HYPERLINK("https://klasma.github.io/Logging_2101/kartor_geotiff/A 26448-2024 georefererad karta.tif", "A 26448-2024")</f>
        <v/>
      </c>
      <c r="AA43">
        <f>HYPERLINK("https://klasma.github.io/Logging_2101/klagomål/A 26448-2024 FSC-klagomål.docx", "A 26448-2024")</f>
        <v/>
      </c>
      <c r="AB43">
        <f>HYPERLINK("https://klasma.github.io/Logging_2101/klagomålsmail/A 26448-2024 FSC-klagomål mail.docx", "A 26448-2024")</f>
        <v/>
      </c>
      <c r="AC43">
        <f>HYPERLINK("https://klasma.github.io/Logging_2101/tillsyn/A 26448-2024 tillsynsbegäran.docx", "A 26448-2024")</f>
        <v/>
      </c>
      <c r="AD43">
        <f>HYPERLINK("https://klasma.github.io/Logging_2101/tillsynsmail/A 26448-2024 tillsynsbegäran mail.docx", "A 26448-2024")</f>
        <v/>
      </c>
    </row>
    <row r="44" ht="15" customHeight="1">
      <c r="A44" t="inlineStr">
        <is>
          <t>A 20233-2026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46139</v>
      </c>
      <c r="E44" s="1" t="n">
        <v>46318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17.9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0</v>
      </c>
      <c r="V44" s="2" t="inlineStr">
        <is>
          <t>Tibast</t>
        </is>
      </c>
      <c r="W44">
        <f>HYPERLINK("https://klasma.github.io/Logging_2101/artfynd/A 20233-2026 artfynd.xlsx", "A 20233-2026")</f>
        <v/>
      </c>
      <c r="X44">
        <f>HYPERLINK("https://klasma.github.io/Logging_2101/kartor/A 20233-2026 karta.png", "A 20233-2026")</f>
        <v/>
      </c>
      <c r="Y44">
        <f>HYPERLINK("https://klasma.github.io/Logging_2101/kartor_geotiff/A 20233-2026 georefererad karta.tif", "A 20233-2026")</f>
        <v/>
      </c>
      <c r="AA44">
        <f>HYPERLINK("https://klasma.github.io/Logging_2101/klagomål/A 20233-2026 FSC-klagomål.docx", "A 20233-2026")</f>
        <v/>
      </c>
      <c r="AB44">
        <f>HYPERLINK("https://klasma.github.io/Logging_2101/klagomålsmail/A 20233-2026 FSC-klagomål mail.docx", "A 20233-2026")</f>
        <v/>
      </c>
      <c r="AC44">
        <f>HYPERLINK("https://klasma.github.io/Logging_2101/tillsyn/A 20233-2026 tillsynsbegäran.docx", "A 20233-2026")</f>
        <v/>
      </c>
      <c r="AD44">
        <f>HYPERLINK("https://klasma.github.io/Logging_2101/tillsynsmail/A 20233-2026 tillsynsbegäran mail.docx", "A 20233-2026")</f>
        <v/>
      </c>
    </row>
    <row r="45" ht="15" customHeight="1">
      <c r="A45" t="inlineStr">
        <is>
          <t>A 15039-2026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46318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18.2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15039-2026 artfynd.xlsx", "A 15039-2026")</f>
        <v/>
      </c>
      <c r="X45">
        <f>HYPERLINK("https://klasma.github.io/Logging_2101/kartor/A 15039-2026 karta.png", "A 15039-2026")</f>
        <v/>
      </c>
      <c r="Y45">
        <f>HYPERLINK("https://klasma.github.io/Logging_2101/kartor_geotiff/A 15039-2026 georefererad karta.tif", "A 15039-2026")</f>
        <v/>
      </c>
      <c r="AA45">
        <f>HYPERLINK("https://klasma.github.io/Logging_2101/klagomål/A 15039-2026 FSC-klagomål.docx", "A 15039-2026")</f>
        <v/>
      </c>
      <c r="AB45">
        <f>HYPERLINK("https://klasma.github.io/Logging_2101/klagomålsmail/A 15039-2026 FSC-klagomål mail.docx", "A 15039-2026")</f>
        <v/>
      </c>
      <c r="AC45">
        <f>HYPERLINK("https://klasma.github.io/Logging_2101/tillsyn/A 15039-2026 tillsynsbegäran.docx", "A 15039-2026")</f>
        <v/>
      </c>
      <c r="AD45">
        <f>HYPERLINK("https://klasma.github.io/Logging_2101/tillsynsmail/A 15039-2026 tillsynsbegäran mail.docx", "A 15039-2026")</f>
        <v/>
      </c>
      <c r="AE45">
        <f>HYPERLINK("https://klasma.github.io/Logging_2101/fåglar/A 15039-2026 prioriterade fågelarter.docx", "A 15039-2026")</f>
        <v/>
      </c>
    </row>
    <row r="46" ht="15" customHeight="1">
      <c r="A46" t="inlineStr">
        <is>
          <t>A 11970-2026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46318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HYPERLINK("https://klasma.github.io/Logging_2101/artfynd/A 11970-2026 artfynd.xlsx", "A 11970-2026")</f>
        <v/>
      </c>
      <c r="X46">
        <f>HYPERLINK("https://klasma.github.io/Logging_2101/kartor/A 11970-2026 karta.png", "A 11970-2026")</f>
        <v/>
      </c>
      <c r="Y46">
        <f>HYPERLINK("https://klasma.github.io/Logging_2101/kartor_geotiff/A 11970-2026 georefererad karta.tif", "A 11970-2026")</f>
        <v/>
      </c>
      <c r="AA46">
        <f>HYPERLINK("https://klasma.github.io/Logging_2101/klagomål/A 11970-2026 FSC-klagomål.docx", "A 11970-2026")</f>
        <v/>
      </c>
      <c r="AB46">
        <f>HYPERLINK("https://klasma.github.io/Logging_2101/klagomålsmail/A 11970-2026 FSC-klagomål mail.docx", "A 11970-2026")</f>
        <v/>
      </c>
      <c r="AC46">
        <f>HYPERLINK("https://klasma.github.io/Logging_2101/tillsyn/A 11970-2026 tillsynsbegäran.docx", "A 11970-2026")</f>
        <v/>
      </c>
      <c r="AD46">
        <f>HYPERLINK("https://klasma.github.io/Logging_2101/tillsynsmail/A 11970-2026 tillsynsbegäran mail.docx", "A 11970-2026")</f>
        <v/>
      </c>
      <c r="AE46">
        <f>HYPERLINK("https://klasma.github.io/Logging_2101/fåglar/A 11970-2026 prioriterade fågelarter.docx", "A 11970-2026")</f>
        <v/>
      </c>
    </row>
    <row r="47" ht="15" customHeight="1">
      <c r="A47" t="inlineStr">
        <is>
          <t>A 55778-2025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45972</v>
      </c>
      <c r="E47" s="1" t="n">
        <v>46318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HYPERLINK("https://klasma.github.io/Logging_2101/artfynd/A 55778-2025 artfynd.xlsx", "A 55778-2025")</f>
        <v/>
      </c>
      <c r="X47">
        <f>HYPERLINK("https://klasma.github.io/Logging_2101/kartor/A 55778-2025 karta.png", "A 55778-2025")</f>
        <v/>
      </c>
      <c r="Y47">
        <f>HYPERLINK("https://klasma.github.io/Logging_2101/kartor_geotiff/A 55778-2025 georefererad karta.tif", "A 55778-2025")</f>
        <v/>
      </c>
      <c r="AA47">
        <f>HYPERLINK("https://klasma.github.io/Logging_2101/klagomål/A 55778-2025 FSC-klagomål.docx", "A 55778-2025")</f>
        <v/>
      </c>
      <c r="AB47">
        <f>HYPERLINK("https://klasma.github.io/Logging_2101/klagomålsmail/A 55778-2025 FSC-klagomål mail.docx", "A 55778-2025")</f>
        <v/>
      </c>
      <c r="AC47">
        <f>HYPERLINK("https://klasma.github.io/Logging_2101/tillsyn/A 55778-2025 tillsynsbegäran.docx", "A 55778-2025")</f>
        <v/>
      </c>
      <c r="AD47">
        <f>HYPERLINK("https://klasma.github.io/Logging_2101/tillsynsmail/A 55778-2025 tillsynsbegäran mail.docx", "A 55778-2025")</f>
        <v/>
      </c>
    </row>
    <row r="48" ht="15" customHeight="1">
      <c r="A48" t="inlineStr">
        <is>
          <t>A 10448-2026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46318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Plattlummer</t>
        </is>
      </c>
      <c r="W48">
        <f>HYPERLINK("https://klasma.github.io/Logging_2101/artfynd/A 10448-2026 artfynd.xlsx", "A 10448-2026")</f>
        <v/>
      </c>
      <c r="X48">
        <f>HYPERLINK("https://klasma.github.io/Logging_2101/kartor/A 10448-2026 karta.png", "A 10448-2026")</f>
        <v/>
      </c>
      <c r="Y48">
        <f>HYPERLINK("https://klasma.github.io/Logging_2101/kartor_geotiff/A 10448-2026 georefererad karta.tif", "A 10448-2026")</f>
        <v/>
      </c>
      <c r="AA48">
        <f>HYPERLINK("https://klasma.github.io/Logging_2101/klagomål/A 10448-2026 FSC-klagomål.docx", "A 10448-2026")</f>
        <v/>
      </c>
      <c r="AB48">
        <f>HYPERLINK("https://klasma.github.io/Logging_2101/klagomålsmail/A 10448-2026 FSC-klagomål mail.docx", "A 10448-2026")</f>
        <v/>
      </c>
      <c r="AC48">
        <f>HYPERLINK("https://klasma.github.io/Logging_2101/tillsyn/A 10448-2026 tillsynsbegäran.docx", "A 10448-2026")</f>
        <v/>
      </c>
      <c r="AD48">
        <f>HYPERLINK("https://klasma.github.io/Logging_2101/tillsynsmail/A 10448-2026 tillsynsbegäran mail.docx", "A 10448-2026")</f>
        <v/>
      </c>
    </row>
    <row r="49" ht="15" customHeight="1">
      <c r="A49" t="inlineStr">
        <is>
          <t>A 16738-2025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46318</v>
      </c>
      <c r="F49" t="inlineStr">
        <is>
          <t>GÄVLEBORGS LÄN</t>
        </is>
      </c>
      <c r="G49" t="inlineStr">
        <is>
          <t>OCKELBO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HYPERLINK("https://klasma.github.io/Logging_2101/artfynd/A 16738-2025 artfynd.xlsx", "A 16738-2025")</f>
        <v/>
      </c>
      <c r="X49">
        <f>HYPERLINK("https://klasma.github.io/Logging_2101/kartor/A 16738-2025 karta.png", "A 16738-2025")</f>
        <v/>
      </c>
      <c r="Y49">
        <f>HYPERLINK("https://klasma.github.io/Logging_2101/kartor_geotiff/A 16738-2025 georefererad karta.tif", "A 16738-2025")</f>
        <v/>
      </c>
      <c r="AA49">
        <f>HYPERLINK("https://klasma.github.io/Logging_2101/klagomål/A 16738-2025 FSC-klagomål.docx", "A 16738-2025")</f>
        <v/>
      </c>
      <c r="AB49">
        <f>HYPERLINK("https://klasma.github.io/Logging_2101/klagomålsmail/A 16738-2025 FSC-klagomål mail.docx", "A 16738-2025")</f>
        <v/>
      </c>
      <c r="AC49">
        <f>HYPERLINK("https://klasma.github.io/Logging_2101/tillsyn/A 16738-2025 tillsynsbegäran.docx", "A 16738-2025")</f>
        <v/>
      </c>
      <c r="AD49">
        <f>HYPERLINK("https://klasma.github.io/Logging_2101/tillsynsmail/A 16738-2025 tillsynsbegäran mail.docx", "A 16738-2025")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46318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4226-2023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46318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Skogsknipprot</t>
        </is>
      </c>
      <c r="W51">
        <f>HYPERLINK("https://klasma.github.io/Logging_2101/artfynd/A 4226-2023 artfynd.xlsx", "A 4226-2023")</f>
        <v/>
      </c>
      <c r="X51">
        <f>HYPERLINK("https://klasma.github.io/Logging_2101/kartor/A 4226-2023 karta.png", "A 4226-2023")</f>
        <v/>
      </c>
      <c r="Y51">
        <f>HYPERLINK("https://klasma.github.io/Logging_2101/kartor_geotiff/A 4226-2023 georefererad karta.tif", "A 4226-2023")</f>
        <v/>
      </c>
      <c r="AA51">
        <f>HYPERLINK("https://klasma.github.io/Logging_2101/klagomål/A 4226-2023 FSC-klagomål.docx", "A 4226-2023")</f>
        <v/>
      </c>
      <c r="AB51">
        <f>HYPERLINK("https://klasma.github.io/Logging_2101/klagomålsmail/A 4226-2023 FSC-klagomål mail.docx", "A 4226-2023")</f>
        <v/>
      </c>
      <c r="AC51">
        <f>HYPERLINK("https://klasma.github.io/Logging_2101/tillsyn/A 4226-2023 tillsynsbegäran.docx", "A 4226-2023")</f>
        <v/>
      </c>
      <c r="AD51">
        <f>HYPERLINK("https://klasma.github.io/Logging_2101/tillsynsmail/A 4226-2023 tillsynsbegäran mail.docx", "A 4226-2023")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46318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6121-2026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46053</v>
      </c>
      <c r="E53" s="1" t="n">
        <v>46318</v>
      </c>
      <c r="F53" t="inlineStr">
        <is>
          <t>GÄVLEBORGS LÄN</t>
        </is>
      </c>
      <c r="G53" t="inlineStr">
        <is>
          <t>OCKELBO</t>
        </is>
      </c>
      <c r="I53" t="n">
        <v>2.6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HYPERLINK("https://klasma.github.io/Logging_2101/artfynd/A 6121-2026 artfynd.xlsx", "A 6121-2026")</f>
        <v/>
      </c>
      <c r="X53">
        <f>HYPERLINK("https://klasma.github.io/Logging_2101/kartor/A 6121-2026 karta.png", "A 6121-2026")</f>
        <v/>
      </c>
      <c r="Y53">
        <f>HYPERLINK("https://klasma.github.io/Logging_2101/kartor_geotiff/A 6121-2026 georefererad karta.tif", "A 6121-2026")</f>
        <v/>
      </c>
      <c r="AA53">
        <f>HYPERLINK("https://klasma.github.io/Logging_2101/klagomål/A 6121-2026 FSC-klagomål.docx", "A 6121-2026")</f>
        <v/>
      </c>
      <c r="AB53">
        <f>HYPERLINK("https://klasma.github.io/Logging_2101/klagomålsmail/A 6121-2026 FSC-klagomål mail.docx", "A 6121-2026")</f>
        <v/>
      </c>
      <c r="AC53">
        <f>HYPERLINK("https://klasma.github.io/Logging_2101/tillsyn/A 6121-2026 tillsynsbegäran.docx", "A 6121-2026")</f>
        <v/>
      </c>
      <c r="AD53">
        <f>HYPERLINK("https://klasma.github.io/Logging_2101/tillsynsmail/A 6121-2026 tillsynsbegäran mail.docx", "A 6121-2026")</f>
        <v/>
      </c>
      <c r="AE53">
        <f>HYPERLINK("https://klasma.github.io/Logging_2101/fåglar/A 6121-2026 prioriterade fågelarter.docx", "A 6121-2026")</f>
        <v/>
      </c>
    </row>
    <row r="54" ht="15" customHeight="1">
      <c r="A54" t="inlineStr">
        <is>
          <t>A 33384-2024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45519</v>
      </c>
      <c r="E54" s="1" t="n">
        <v>46318</v>
      </c>
      <c r="F54" t="inlineStr">
        <is>
          <t>GÄVLEBORGS LÄN</t>
        </is>
      </c>
      <c r="G54" t="inlineStr">
        <is>
          <t>OCKELBO</t>
        </is>
      </c>
      <c r="I54" t="n">
        <v>3.8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Plattlummer</t>
        </is>
      </c>
      <c r="W54">
        <f>HYPERLINK("https://klasma.github.io/Logging_2101/artfynd/A 33384-2024 artfynd.xlsx", "A 33384-2024")</f>
        <v/>
      </c>
      <c r="X54">
        <f>HYPERLINK("https://klasma.github.io/Logging_2101/kartor/A 33384-2024 karta.png", "A 33384-2024")</f>
        <v/>
      </c>
      <c r="Y54">
        <f>HYPERLINK("https://klasma.github.io/Logging_2101/kartor_geotiff/A 33384-2024 georefererad karta.tif", "A 33384-2024")</f>
        <v/>
      </c>
      <c r="AA54">
        <f>HYPERLINK("https://klasma.github.io/Logging_2101/klagomål/A 33384-2024 FSC-klagomål.docx", "A 33384-2024")</f>
        <v/>
      </c>
      <c r="AB54">
        <f>HYPERLINK("https://klasma.github.io/Logging_2101/klagomålsmail/A 33384-2024 FSC-klagomål mail.docx", "A 33384-2024")</f>
        <v/>
      </c>
      <c r="AC54">
        <f>HYPERLINK("https://klasma.github.io/Logging_2101/tillsyn/A 33384-2024 tillsynsbegäran.docx", "A 33384-2024")</f>
        <v/>
      </c>
      <c r="AD54">
        <f>HYPERLINK("https://klasma.github.io/Logging_2101/tillsynsmail/A 33384-2024 tillsynsbegäran mail.docx", "A 33384-2024")</f>
        <v/>
      </c>
    </row>
    <row r="55" ht="15" customHeight="1">
      <c r="A55" t="inlineStr">
        <is>
          <t>A 6586-2026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46056</v>
      </c>
      <c r="E55" s="1" t="n">
        <v>46318</v>
      </c>
      <c r="F55" t="inlineStr">
        <is>
          <t>GÄVLEBORGS LÄN</t>
        </is>
      </c>
      <c r="G55" t="inlineStr">
        <is>
          <t>OCKELBO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HYPERLINK("https://klasma.github.io/Logging_2101/artfynd/A 6586-2026 artfynd.xlsx", "A 6586-2026")</f>
        <v/>
      </c>
      <c r="X55">
        <f>HYPERLINK("https://klasma.github.io/Logging_2101/kartor/A 6586-2026 karta.png", "A 6586-2026")</f>
        <v/>
      </c>
      <c r="Y55">
        <f>HYPERLINK("https://klasma.github.io/Logging_2101/kartor_geotiff/A 6586-2026 georefererad karta.tif", "A 6586-2026")</f>
        <v/>
      </c>
      <c r="AA55">
        <f>HYPERLINK("https://klasma.github.io/Logging_2101/klagomål/A 6586-2026 FSC-klagomål.docx", "A 6586-2026")</f>
        <v/>
      </c>
      <c r="AB55">
        <f>HYPERLINK("https://klasma.github.io/Logging_2101/klagomålsmail/A 6586-2026 FSC-klagomål mail.docx", "A 6586-2026")</f>
        <v/>
      </c>
      <c r="AC55">
        <f>HYPERLINK("https://klasma.github.io/Logging_2101/tillsyn/A 6586-2026 tillsynsbegäran.docx", "A 6586-2026")</f>
        <v/>
      </c>
      <c r="AD55">
        <f>HYPERLINK("https://klasma.github.io/Logging_2101/tillsynsmail/A 6586-2026 tillsynsbegäran mail.docx", "A 6586-2026")</f>
        <v/>
      </c>
    </row>
    <row r="56" ht="15" customHeight="1">
      <c r="A56" t="inlineStr">
        <is>
          <t>A 10484-2026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46077</v>
      </c>
      <c r="E56" s="1" t="n">
        <v>46318</v>
      </c>
      <c r="F56" t="inlineStr">
        <is>
          <t>GÄVLEBORGS LÄN</t>
        </is>
      </c>
      <c r="G56" t="inlineStr">
        <is>
          <t>OCKELBO</t>
        </is>
      </c>
      <c r="I56" t="n">
        <v>1.8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Ullticka</t>
        </is>
      </c>
      <c r="W56">
        <f>HYPERLINK("https://klasma.github.io/Logging_2101/artfynd/A 10484-2026 artfynd.xlsx", "A 10484-2026")</f>
        <v/>
      </c>
      <c r="X56">
        <f>HYPERLINK("https://klasma.github.io/Logging_2101/kartor/A 10484-2026 karta.png", "A 10484-2026")</f>
        <v/>
      </c>
      <c r="Y56">
        <f>HYPERLINK("https://klasma.github.io/Logging_2101/kartor_geotiff/A 10484-2026 georefererad karta.tif", "A 10484-2026")</f>
        <v/>
      </c>
      <c r="AA56">
        <f>HYPERLINK("https://klasma.github.io/Logging_2101/klagomål/A 10484-2026 FSC-klagomål.docx", "A 10484-2026")</f>
        <v/>
      </c>
      <c r="AB56">
        <f>HYPERLINK("https://klasma.github.io/Logging_2101/klagomålsmail/A 10484-2026 FSC-klagomål mail.docx", "A 10484-2026")</f>
        <v/>
      </c>
      <c r="AC56">
        <f>HYPERLINK("https://klasma.github.io/Logging_2101/tillsyn/A 10484-2026 tillsynsbegäran.docx", "A 10484-2026")</f>
        <v/>
      </c>
      <c r="AD56">
        <f>HYPERLINK("https://klasma.github.io/Logging_2101/tillsynsmail/A 10484-2026 tillsynsbegäran mail.docx", "A 10484-2026")</f>
        <v/>
      </c>
    </row>
    <row r="57" ht="15" customHeight="1">
      <c r="A57" t="inlineStr">
        <is>
          <t>A 13640-2026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46318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HYPERLINK("https://klasma.github.io/Logging_2101/artfynd/A 13640-2026 artfynd.xlsx", "A 13640-2026")</f>
        <v/>
      </c>
      <c r="X57">
        <f>HYPERLINK("https://klasma.github.io/Logging_2101/kartor/A 13640-2026 karta.png", "A 13640-2026")</f>
        <v/>
      </c>
      <c r="Y57">
        <f>HYPERLINK("https://klasma.github.io/Logging_2101/kartor_geotiff/A 13640-2026 georefererad karta.tif", "A 13640-2026")</f>
        <v/>
      </c>
      <c r="AA57">
        <f>HYPERLINK("https://klasma.github.io/Logging_2101/klagomål/A 13640-2026 FSC-klagomål.docx", "A 13640-2026")</f>
        <v/>
      </c>
      <c r="AB57">
        <f>HYPERLINK("https://klasma.github.io/Logging_2101/klagomålsmail/A 13640-2026 FSC-klagomål mail.docx", "A 13640-2026")</f>
        <v/>
      </c>
      <c r="AC57">
        <f>HYPERLINK("https://klasma.github.io/Logging_2101/tillsyn/A 13640-2026 tillsynsbegäran.docx", "A 13640-2026")</f>
        <v/>
      </c>
      <c r="AD57">
        <f>HYPERLINK("https://klasma.github.io/Logging_2101/tillsynsmail/A 13640-2026 tillsynsbegäran mail.docx", "A 13640-2026")</f>
        <v/>
      </c>
    </row>
    <row r="58" ht="15" customHeight="1">
      <c r="A58" t="inlineStr">
        <is>
          <t>A 14479-2026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46318</v>
      </c>
      <c r="F58" t="inlineStr">
        <is>
          <t>GÄVLEBORGS LÄN</t>
        </is>
      </c>
      <c r="G58" t="inlineStr">
        <is>
          <t>OCKELBO</t>
        </is>
      </c>
      <c r="I58" t="n">
        <v>4.8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HYPERLINK("https://klasma.github.io/Logging_2101/artfynd/A 14479-2026 artfynd.xlsx", "A 14479-2026")</f>
        <v/>
      </c>
      <c r="X58">
        <f>HYPERLINK("https://klasma.github.io/Logging_2101/kartor/A 14479-2026 karta.png", "A 14479-2026")</f>
        <v/>
      </c>
      <c r="Y58">
        <f>HYPERLINK("https://klasma.github.io/Logging_2101/kartor_geotiff/A 14479-2026 georefererad karta.tif", "A 14479-2026")</f>
        <v/>
      </c>
      <c r="AA58">
        <f>HYPERLINK("https://klasma.github.io/Logging_2101/klagomål/A 14479-2026 FSC-klagomål.docx", "A 14479-2026")</f>
        <v/>
      </c>
      <c r="AB58">
        <f>HYPERLINK("https://klasma.github.io/Logging_2101/klagomålsmail/A 14479-2026 FSC-klagomål mail.docx", "A 14479-2026")</f>
        <v/>
      </c>
      <c r="AC58">
        <f>HYPERLINK("https://klasma.github.io/Logging_2101/tillsyn/A 14479-2026 tillsynsbegäran.docx", "A 14479-2026")</f>
        <v/>
      </c>
      <c r="AD58">
        <f>HYPERLINK("https://klasma.github.io/Logging_2101/tillsynsmail/A 14479-2026 tillsynsbegäran mail.docx", "A 14479-2026")</f>
        <v/>
      </c>
    </row>
    <row r="59" ht="15" customHeight="1">
      <c r="A59" t="inlineStr">
        <is>
          <t>A 14664-2026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46318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Tjäder</t>
        </is>
      </c>
      <c r="W59">
        <f>HYPERLINK("https://klasma.github.io/Logging_2101/artfynd/A 14664-2026 artfynd.xlsx", "A 14664-2026")</f>
        <v/>
      </c>
      <c r="X59">
        <f>HYPERLINK("https://klasma.github.io/Logging_2101/kartor/A 14664-2026 karta.png", "A 14664-2026")</f>
        <v/>
      </c>
      <c r="Y59">
        <f>HYPERLINK("https://klasma.github.io/Logging_2101/kartor_geotiff/A 14664-2026 georefererad karta.tif", "A 14664-2026")</f>
        <v/>
      </c>
      <c r="AA59">
        <f>HYPERLINK("https://klasma.github.io/Logging_2101/klagomål/A 14664-2026 FSC-klagomål.docx", "A 14664-2026")</f>
        <v/>
      </c>
      <c r="AB59">
        <f>HYPERLINK("https://klasma.github.io/Logging_2101/klagomålsmail/A 14664-2026 FSC-klagomål mail.docx", "A 14664-2026")</f>
        <v/>
      </c>
      <c r="AC59">
        <f>HYPERLINK("https://klasma.github.io/Logging_2101/tillsyn/A 14664-2026 tillsynsbegäran.docx", "A 14664-2026")</f>
        <v/>
      </c>
      <c r="AD59">
        <f>HYPERLINK("https://klasma.github.io/Logging_2101/tillsynsmail/A 14664-2026 tillsynsbegäran mail.docx", "A 14664-2026")</f>
        <v/>
      </c>
      <c r="AE59">
        <f>HYPERLINK("https://klasma.github.io/Logging_2101/fåglar/A 14664-2026 prioriterade fågelarter.docx", "A 14664-2026")</f>
        <v/>
      </c>
    </row>
    <row r="60" ht="15" customHeight="1">
      <c r="A60" t="inlineStr">
        <is>
          <t>A 18188-2026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46125</v>
      </c>
      <c r="E60" s="1" t="n">
        <v>46318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32.9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18188-2026 artfynd.xlsx", "A 18188-2026")</f>
        <v/>
      </c>
      <c r="X60">
        <f>HYPERLINK("https://klasma.github.io/Logging_2101/kartor/A 18188-2026 karta.png", "A 18188-2026")</f>
        <v/>
      </c>
      <c r="Y60">
        <f>HYPERLINK("https://klasma.github.io/Logging_2101/kartor_geotiff/A 18188-2026 georefererad karta.tif", "A 18188-2026")</f>
        <v/>
      </c>
      <c r="AA60">
        <f>HYPERLINK("https://klasma.github.io/Logging_2101/klagomål/A 18188-2026 FSC-klagomål.docx", "A 18188-2026")</f>
        <v/>
      </c>
      <c r="AB60">
        <f>HYPERLINK("https://klasma.github.io/Logging_2101/klagomålsmail/A 18188-2026 FSC-klagomål mail.docx", "A 18188-2026")</f>
        <v/>
      </c>
      <c r="AC60">
        <f>HYPERLINK("https://klasma.github.io/Logging_2101/tillsyn/A 18188-2026 tillsynsbegäran.docx", "A 18188-2026")</f>
        <v/>
      </c>
      <c r="AD60">
        <f>HYPERLINK("https://klasma.github.io/Logging_2101/tillsynsmail/A 18188-2026 tillsynsbegäran mail.docx", "A 18188-2026")</f>
        <v/>
      </c>
      <c r="AE60">
        <f>HYPERLINK("https://klasma.github.io/Logging_2101/fåglar/A 18188-2026 prioriterade fågelarter.docx", "A 18188-2026")</f>
        <v/>
      </c>
    </row>
    <row r="61" ht="15" customHeight="1">
      <c r="A61" t="inlineStr">
        <is>
          <t>A 12777-2026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46091</v>
      </c>
      <c r="E61" s="1" t="n">
        <v>46318</v>
      </c>
      <c r="F61" t="inlineStr">
        <is>
          <t>GÄVLEBORGS LÄN</t>
        </is>
      </c>
      <c r="G61" t="inlineStr">
        <is>
          <t>OCKELBO</t>
        </is>
      </c>
      <c r="I61" t="n">
        <v>4.2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HYPERLINK("https://klasma.github.io/Logging_2101/artfynd/A 12777-2026 artfynd.xlsx", "A 12777-2026")</f>
        <v/>
      </c>
      <c r="X61">
        <f>HYPERLINK("https://klasma.github.io/Logging_2101/kartor/A 12777-2026 karta.png", "A 12777-2026")</f>
        <v/>
      </c>
      <c r="Y61">
        <f>HYPERLINK("https://klasma.github.io/Logging_2101/kartor_geotiff/A 12777-2026 georefererad karta.tif", "A 12777-2026")</f>
        <v/>
      </c>
      <c r="AA61">
        <f>HYPERLINK("https://klasma.github.io/Logging_2101/klagomål/A 12777-2026 FSC-klagomål.docx", "A 12777-2026")</f>
        <v/>
      </c>
      <c r="AB61">
        <f>HYPERLINK("https://klasma.github.io/Logging_2101/klagomålsmail/A 12777-2026 FSC-klagomål mail.docx", "A 12777-2026")</f>
        <v/>
      </c>
      <c r="AC61">
        <f>HYPERLINK("https://klasma.github.io/Logging_2101/tillsyn/A 12777-2026 tillsynsbegäran.docx", "A 12777-2026")</f>
        <v/>
      </c>
      <c r="AD61">
        <f>HYPERLINK("https://klasma.github.io/Logging_2101/tillsynsmail/A 12777-2026 tillsynsbegäran mail.docx", "A 12777-2026")</f>
        <v/>
      </c>
      <c r="AE61">
        <f>HYPERLINK("https://klasma.github.io/Logging_2101/fåglar/A 12777-2026 prioriterade fågelarter.docx", "A 12777-2026")</f>
        <v/>
      </c>
    </row>
    <row r="62" ht="15" customHeight="1">
      <c r="A62" t="inlineStr">
        <is>
          <t>A 10145-2026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46076</v>
      </c>
      <c r="E62" s="1" t="n">
        <v>46318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öst AB</t>
        </is>
      </c>
      <c r="I62" t="n">
        <v>10.5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Fläcknycklar</t>
        </is>
      </c>
      <c r="W62">
        <f>HYPERLINK("https://klasma.github.io/Logging_2101/artfynd/A 10145-2026 artfynd.xlsx", "A 10145-2026")</f>
        <v/>
      </c>
      <c r="X62">
        <f>HYPERLINK("https://klasma.github.io/Logging_2101/kartor/A 10145-2026 karta.png", "A 10145-2026")</f>
        <v/>
      </c>
      <c r="Y62">
        <f>HYPERLINK("https://klasma.github.io/Logging_2101/kartor_geotiff/A 10145-2026 georefererad karta.tif", "A 10145-2026")</f>
        <v/>
      </c>
      <c r="Z62">
        <f>HYPERLINK("https://klasma.github.io/Logging_2101/knärot/A 10145-2026 karta knärot.png", "A 10145-2026")</f>
        <v/>
      </c>
      <c r="AA62">
        <f>HYPERLINK("https://klasma.github.io/Logging_2101/klagomål/A 10145-2026 FSC-klagomål.docx", "A 10145-2026")</f>
        <v/>
      </c>
      <c r="AB62">
        <f>HYPERLINK("https://klasma.github.io/Logging_2101/klagomålsmail/A 10145-2026 FSC-klagomål mail.docx", "A 10145-2026")</f>
        <v/>
      </c>
      <c r="AC62">
        <f>HYPERLINK("https://klasma.github.io/Logging_2101/tillsyn/A 10145-2026 tillsynsbegäran.docx", "A 10145-2026")</f>
        <v/>
      </c>
      <c r="AD62">
        <f>HYPERLINK("https://klasma.github.io/Logging_2101/tillsynsmail/A 10145-2026 tillsynsbegäran mail.docx", "A 10145-2026")</f>
        <v/>
      </c>
    </row>
    <row r="63" ht="15" customHeight="1">
      <c r="A63" t="inlineStr">
        <is>
          <t>A 38583-2026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46283</v>
      </c>
      <c r="E63" s="1" t="n">
        <v>46318</v>
      </c>
      <c r="F63" t="inlineStr">
        <is>
          <t>GÄVLEBORGS LÄN</t>
        </is>
      </c>
      <c r="G63" t="inlineStr">
        <is>
          <t>OCKELBO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Månlåsbräken</t>
        </is>
      </c>
      <c r="W63">
        <f>HYPERLINK("https://klasma.github.io/Logging_2101/artfynd/A 38583-2026 artfynd.xlsx", "A 38583-2026")</f>
        <v/>
      </c>
      <c r="X63">
        <f>HYPERLINK("https://klasma.github.io/Logging_2101/kartor/A 38583-2026 karta.png", "A 38583-2026")</f>
        <v/>
      </c>
      <c r="Y63">
        <f>HYPERLINK("https://klasma.github.io/Logging_2101/kartor_geotiff/A 38583-2026 georefererad karta.tif", "A 38583-2026")</f>
        <v/>
      </c>
      <c r="AA63">
        <f>HYPERLINK("https://klasma.github.io/Logging_2101/klagomål/A 38583-2026 FSC-klagomål.docx", "A 38583-2026")</f>
        <v/>
      </c>
      <c r="AB63">
        <f>HYPERLINK("https://klasma.github.io/Logging_2101/klagomålsmail/A 38583-2026 FSC-klagomål mail.docx", "A 38583-2026")</f>
        <v/>
      </c>
      <c r="AC63">
        <f>HYPERLINK("https://klasma.github.io/Logging_2101/tillsyn/A 38583-2026 tillsynsbegäran.docx", "A 38583-2026")</f>
        <v/>
      </c>
      <c r="AD63">
        <f>HYPERLINK("https://klasma.github.io/Logging_2101/tillsynsmail/A 38583-2026 tillsynsbegäran mail.docx", "A 38583-2026")</f>
        <v/>
      </c>
    </row>
    <row r="64" ht="15" customHeight="1">
      <c r="A64" t="inlineStr">
        <is>
          <t>A 38351-2026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46318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12.1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38351-2026 artfynd.xlsx", "A 38351-2026")</f>
        <v/>
      </c>
      <c r="X64">
        <f>HYPERLINK("https://klasma.github.io/Logging_2101/kartor/A 38351-2026 karta.png", "A 38351-2026")</f>
        <v/>
      </c>
      <c r="Y64">
        <f>HYPERLINK("https://klasma.github.io/Logging_2101/kartor_geotiff/A 38351-2026 georefererad karta.tif", "A 38351-2026")</f>
        <v/>
      </c>
      <c r="AA64">
        <f>HYPERLINK("https://klasma.github.io/Logging_2101/klagomål/A 38351-2026 FSC-klagomål.docx", "A 38351-2026")</f>
        <v/>
      </c>
      <c r="AB64">
        <f>HYPERLINK("https://klasma.github.io/Logging_2101/klagomålsmail/A 38351-2026 FSC-klagomål mail.docx", "A 38351-2026")</f>
        <v/>
      </c>
      <c r="AC64">
        <f>HYPERLINK("https://klasma.github.io/Logging_2101/tillsyn/A 38351-2026 tillsynsbegäran.docx", "A 38351-2026")</f>
        <v/>
      </c>
      <c r="AD64">
        <f>HYPERLINK("https://klasma.github.io/Logging_2101/tillsynsmail/A 38351-2026 tillsynsbegäran mail.docx", "A 38351-2026")</f>
        <v/>
      </c>
      <c r="AE64">
        <f>HYPERLINK("https://klasma.github.io/Logging_2101/fåglar/A 38351-2026 prioriterade fågelarter.docx", "A 38351-2026")</f>
        <v/>
      </c>
    </row>
    <row r="65" ht="15" customHeight="1">
      <c r="A65" t="inlineStr">
        <is>
          <t>A 38355-2026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46318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38355-2026 artfynd.xlsx", "A 38355-2026")</f>
        <v/>
      </c>
      <c r="X65">
        <f>HYPERLINK("https://klasma.github.io/Logging_2101/kartor/A 38355-2026 karta.png", "A 38355-2026")</f>
        <v/>
      </c>
      <c r="Y65">
        <f>HYPERLINK("https://klasma.github.io/Logging_2101/kartor_geotiff/A 38355-2026 georefererad karta.tif", "A 38355-2026")</f>
        <v/>
      </c>
      <c r="AA65">
        <f>HYPERLINK("https://klasma.github.io/Logging_2101/klagomål/A 38355-2026 FSC-klagomål.docx", "A 38355-2026")</f>
        <v/>
      </c>
      <c r="AB65">
        <f>HYPERLINK("https://klasma.github.io/Logging_2101/klagomålsmail/A 38355-2026 FSC-klagomål mail.docx", "A 38355-2026")</f>
        <v/>
      </c>
      <c r="AC65">
        <f>HYPERLINK("https://klasma.github.io/Logging_2101/tillsyn/A 38355-2026 tillsynsbegäran.docx", "A 38355-2026")</f>
        <v/>
      </c>
      <c r="AD65">
        <f>HYPERLINK("https://klasma.github.io/Logging_2101/tillsynsmail/A 38355-2026 tillsynsbegäran mail.docx", "A 38355-2026")</f>
        <v/>
      </c>
      <c r="AE65">
        <f>HYPERLINK("https://klasma.github.io/Logging_2101/fåglar/A 38355-2026 prioriterade fågelarter.docx", "A 38355-2026")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46318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46318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46318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46318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46318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46318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46318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46318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46318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46318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46318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46318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46318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46318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46318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46318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15705-2022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44663</v>
      </c>
      <c r="E82" s="1" t="n">
        <v>46318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46318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46318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46318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46318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45548</v>
      </c>
      <c r="E87" s="1" t="n">
        <v>46318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10.1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53393-2022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46318</v>
      </c>
      <c r="F88" t="inlineStr">
        <is>
          <t>GÄVLEBORGS LÄN</t>
        </is>
      </c>
      <c r="G88" t="inlineStr">
        <is>
          <t>OCKELBO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46318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46318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46318</v>
      </c>
      <c r="F91" t="inlineStr">
        <is>
          <t>GÄVLEBORGS LÄN</t>
        </is>
      </c>
      <c r="G91" t="inlineStr">
        <is>
          <t>OCKELBO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45211</v>
      </c>
      <c r="E92" s="1" t="n">
        <v>46318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44281-2022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46318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46318</v>
      </c>
      <c r="F94" t="inlineStr">
        <is>
          <t>GÄVLEBORGS LÄN</t>
        </is>
      </c>
      <c r="G94" t="inlineStr">
        <is>
          <t>OCKELBO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46318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45156</v>
      </c>
      <c r="E96" s="1" t="n">
        <v>46318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44889</v>
      </c>
      <c r="E97" s="1" t="n">
        <v>46318</v>
      </c>
      <c r="F97" t="inlineStr">
        <is>
          <t>GÄVLEBORGS LÄN</t>
        </is>
      </c>
      <c r="G97" t="inlineStr">
        <is>
          <t>OCKELBO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46318</v>
      </c>
      <c r="F98" t="inlineStr">
        <is>
          <t>GÄVLEBORGS LÄN</t>
        </is>
      </c>
      <c r="G98" t="inlineStr">
        <is>
          <t>OCKELBO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46318</v>
      </c>
      <c r="F99" t="inlineStr">
        <is>
          <t>GÄVLEBORGS LÄN</t>
        </is>
      </c>
      <c r="G99" t="inlineStr">
        <is>
          <t>OCKELBO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46318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25246-2025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46318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45800</v>
      </c>
      <c r="E102" s="1" t="n">
        <v>46318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46318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46318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25250-2025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45800</v>
      </c>
      <c r="E105" s="1" t="n">
        <v>46318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45534</v>
      </c>
      <c r="E106" s="1" t="n">
        <v>46318</v>
      </c>
      <c r="F106" t="inlineStr">
        <is>
          <t>GÄVLEBORGS LÄN</t>
        </is>
      </c>
      <c r="G106" t="inlineStr">
        <is>
          <t>OCKELBO</t>
        </is>
      </c>
      <c r="H106" t="inlineStr">
        <is>
          <t>Kyrkan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46318</v>
      </c>
      <c r="F107" t="inlineStr">
        <is>
          <t>GÄVLEBORGS LÄN</t>
        </is>
      </c>
      <c r="G107" t="inlineStr">
        <is>
          <t>OCKELBO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46318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46318</v>
      </c>
      <c r="F109" t="inlineStr">
        <is>
          <t>GÄVLEBORGS LÄN</t>
        </is>
      </c>
      <c r="G109" t="inlineStr">
        <is>
          <t>OCKELBO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44804</v>
      </c>
      <c r="E110" s="1" t="n">
        <v>46318</v>
      </c>
      <c r="F110" t="inlineStr">
        <is>
          <t>GÄVLEBORGS LÄN</t>
        </is>
      </c>
      <c r="G110" t="inlineStr">
        <is>
          <t>OCKELBO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45611</v>
      </c>
      <c r="E111" s="1" t="n">
        <v>46318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46318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56232-2022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44890</v>
      </c>
      <c r="E113" s="1" t="n">
        <v>46318</v>
      </c>
      <c r="F113" t="inlineStr">
        <is>
          <t>GÄVLEBORGS LÄN</t>
        </is>
      </c>
      <c r="G113" t="inlineStr">
        <is>
          <t>OCKELBO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46318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46318</v>
      </c>
      <c r="F115" t="inlineStr">
        <is>
          <t>GÄVLEBORGS LÄN</t>
        </is>
      </c>
      <c r="G115" t="inlineStr">
        <is>
          <t>OCKELBO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32123-2024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45511</v>
      </c>
      <c r="E116" s="1" t="n">
        <v>46318</v>
      </c>
      <c r="F116" t="inlineStr">
        <is>
          <t>GÄVLEBORGS LÄN</t>
        </is>
      </c>
      <c r="G116" t="inlineStr">
        <is>
          <t>OCKELBO</t>
        </is>
      </c>
      <c r="I116" t="n">
        <v>11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46318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45817</v>
      </c>
      <c r="E118" s="1" t="n">
        <v>46318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46318</v>
      </c>
      <c r="F119" t="inlineStr">
        <is>
          <t>GÄVLEBORGS LÄN</t>
        </is>
      </c>
      <c r="G119" t="inlineStr">
        <is>
          <t>OCKELBO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46318</v>
      </c>
      <c r="F120" t="inlineStr">
        <is>
          <t>GÄVLEBORGS LÄN</t>
        </is>
      </c>
      <c r="G120" t="inlineStr">
        <is>
          <t>OCKELBO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45817</v>
      </c>
      <c r="E121" s="1" t="n">
        <v>46318</v>
      </c>
      <c r="F121" t="inlineStr">
        <is>
          <t>GÄVLEBORGS LÄN</t>
        </is>
      </c>
      <c r="G121" t="inlineStr">
        <is>
          <t>OCKELBO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44643</v>
      </c>
      <c r="E122" s="1" t="n">
        <v>46318</v>
      </c>
      <c r="F122" t="inlineStr">
        <is>
          <t>GÄVLEBORGS LÄN</t>
        </is>
      </c>
      <c r="G122" t="inlineStr">
        <is>
          <t>OCKELBO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46318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46318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56631-2022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44893</v>
      </c>
      <c r="E125" s="1" t="n">
        <v>46318</v>
      </c>
      <c r="F125" t="inlineStr">
        <is>
          <t>GÄVLEBORGS LÄN</t>
        </is>
      </c>
      <c r="G125" t="inlineStr">
        <is>
          <t>OCKELBO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46318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46318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46318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46318</v>
      </c>
      <c r="F129" t="inlineStr">
        <is>
          <t>GÄVLEBORGS LÄN</t>
        </is>
      </c>
      <c r="G129" t="inlineStr">
        <is>
          <t>OCKELBO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46318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46318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46318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49207-2023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45210</v>
      </c>
      <c r="E133" s="1" t="n">
        <v>46318</v>
      </c>
      <c r="F133" t="inlineStr">
        <is>
          <t>GÄVLEBORGS LÄN</t>
        </is>
      </c>
      <c r="G133" t="inlineStr">
        <is>
          <t>OCKELBO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46318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46318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46318</v>
      </c>
      <c r="F136" t="inlineStr">
        <is>
          <t>GÄVLEBORGS LÄN</t>
        </is>
      </c>
      <c r="G136" t="inlineStr">
        <is>
          <t>OCKELBO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46318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46318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46318</v>
      </c>
      <c r="F139" t="inlineStr">
        <is>
          <t>GÄVLEBORGS LÄN</t>
        </is>
      </c>
      <c r="G139" t="inlineStr">
        <is>
          <t>OCKELBO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45678</v>
      </c>
      <c r="E140" s="1" t="n">
        <v>46318</v>
      </c>
      <c r="F140" t="inlineStr">
        <is>
          <t>GÄVLEBORGS LÄN</t>
        </is>
      </c>
      <c r="G140" t="inlineStr">
        <is>
          <t>OCKELBO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45341</v>
      </c>
      <c r="E141" s="1" t="n">
        <v>46318</v>
      </c>
      <c r="F141" t="inlineStr">
        <is>
          <t>GÄVLEBORGS LÄN</t>
        </is>
      </c>
      <c r="G141" t="inlineStr">
        <is>
          <t>OCKELBO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46318</v>
      </c>
      <c r="F142" t="inlineStr">
        <is>
          <t>GÄVLEBORGS LÄN</t>
        </is>
      </c>
      <c r="G142" t="inlineStr">
        <is>
          <t>OCKELBO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46318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46318</v>
      </c>
      <c r="F144" t="inlineStr">
        <is>
          <t>GÄVLEBORGS LÄN</t>
        </is>
      </c>
      <c r="G144" t="inlineStr">
        <is>
          <t>OCKELBO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46318</v>
      </c>
      <c r="F145" t="inlineStr">
        <is>
          <t>GÄVLEBORGS LÄN</t>
        </is>
      </c>
      <c r="G145" t="inlineStr">
        <is>
          <t>OCKELBO</t>
        </is>
      </c>
      <c r="H145" t="inlineStr">
        <is>
          <t>Kyrkan</t>
        </is>
      </c>
      <c r="I145" t="n">
        <v>12.5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33231-2025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46318</v>
      </c>
      <c r="F146" t="inlineStr">
        <is>
          <t>GÄVLEBORGS LÄN</t>
        </is>
      </c>
      <c r="G146" t="inlineStr">
        <is>
          <t>OCKELBO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46318</v>
      </c>
      <c r="F147" t="inlineStr">
        <is>
          <t>GÄVLEBORGS LÄN</t>
        </is>
      </c>
      <c r="G147" t="inlineStr">
        <is>
          <t>OCKELBO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46318</v>
      </c>
      <c r="F148" t="inlineStr">
        <is>
          <t>GÄVLEBORGS LÄN</t>
        </is>
      </c>
      <c r="G148" t="inlineStr">
        <is>
          <t>OCKELBO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45674</v>
      </c>
      <c r="E149" s="1" t="n">
        <v>46318</v>
      </c>
      <c r="F149" t="inlineStr">
        <is>
          <t>GÄVLEBORGS LÄN</t>
        </is>
      </c>
      <c r="G149" t="inlineStr">
        <is>
          <t>OCKELBO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46318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46318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46318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45109</v>
      </c>
      <c r="E153" s="1" t="n">
        <v>46318</v>
      </c>
      <c r="F153" t="inlineStr">
        <is>
          <t>GÄVLEBORGS LÄN</t>
        </is>
      </c>
      <c r="G153" t="inlineStr">
        <is>
          <t>OCKELBO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46318</v>
      </c>
      <c r="F154" t="inlineStr">
        <is>
          <t>GÄVLEBORGS LÄN</t>
        </is>
      </c>
      <c r="G154" t="inlineStr">
        <is>
          <t>OCKELBO</t>
        </is>
      </c>
      <c r="H154" t="inlineStr">
        <is>
          <t>Kyrkan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45719</v>
      </c>
      <c r="E155" s="1" t="n">
        <v>46318</v>
      </c>
      <c r="F155" t="inlineStr">
        <is>
          <t>GÄVLEBORGS LÄN</t>
        </is>
      </c>
      <c r="G155" t="inlineStr">
        <is>
          <t>OCKELBO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45073</v>
      </c>
      <c r="E156" s="1" t="n">
        <v>46318</v>
      </c>
      <c r="F156" t="inlineStr">
        <is>
          <t>GÄVLEBORGS LÄN</t>
        </is>
      </c>
      <c r="G156" t="inlineStr">
        <is>
          <t>OCKELBO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46318</v>
      </c>
      <c r="F157" t="inlineStr">
        <is>
          <t>GÄVLEBORGS LÄN</t>
        </is>
      </c>
      <c r="G157" t="inlineStr">
        <is>
          <t>OCKELBO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46318</v>
      </c>
      <c r="F158" t="inlineStr">
        <is>
          <t>GÄVLEBORGS LÄN</t>
        </is>
      </c>
      <c r="G158" t="inlineStr">
        <is>
          <t>OCKELBO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35017-2025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45851</v>
      </c>
      <c r="E159" s="1" t="n">
        <v>46318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27.8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45527</v>
      </c>
      <c r="E160" s="1" t="n">
        <v>46318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46318</v>
      </c>
      <c r="F161" t="inlineStr">
        <is>
          <t>GÄVLEBORGS LÄN</t>
        </is>
      </c>
      <c r="G161" t="inlineStr">
        <is>
          <t>OCKELBO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46318</v>
      </c>
      <c r="F162" t="inlineStr">
        <is>
          <t>GÄVLEBORGS LÄN</t>
        </is>
      </c>
      <c r="G162" t="inlineStr">
        <is>
          <t>OCKELBO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41899-2025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46318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46318</v>
      </c>
      <c r="F164" t="inlineStr">
        <is>
          <t>GÄVLEBORGS LÄN</t>
        </is>
      </c>
      <c r="G164" t="inlineStr">
        <is>
          <t>OCKELBO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46318</v>
      </c>
      <c r="F165" t="inlineStr">
        <is>
          <t>GÄVLEBORGS LÄN</t>
        </is>
      </c>
      <c r="G165" t="inlineStr">
        <is>
          <t>OCKELBO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46318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46318</v>
      </c>
      <c r="F167" t="inlineStr">
        <is>
          <t>GÄVLEBORGS LÄN</t>
        </is>
      </c>
      <c r="G167" t="inlineStr">
        <is>
          <t>OCKELBO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46318</v>
      </c>
      <c r="F168" t="inlineStr">
        <is>
          <t>GÄVLEBORGS LÄN</t>
        </is>
      </c>
      <c r="G168" t="inlineStr">
        <is>
          <t>OCKELBO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45777</v>
      </c>
      <c r="E169" s="1" t="n">
        <v>46318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46318</v>
      </c>
      <c r="F170" t="inlineStr">
        <is>
          <t>GÄVLEBORGS LÄN</t>
        </is>
      </c>
      <c r="G170" t="inlineStr">
        <is>
          <t>OCKELBO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46318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46318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46318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öst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45551</v>
      </c>
      <c r="E174" s="1" t="n">
        <v>46318</v>
      </c>
      <c r="F174" t="inlineStr">
        <is>
          <t>GÄVLEBORGS LÄN</t>
        </is>
      </c>
      <c r="G174" t="inlineStr">
        <is>
          <t>OCKELBO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46318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46318</v>
      </c>
      <c r="F176" t="inlineStr">
        <is>
          <t>GÄVLEBORGS LÄN</t>
        </is>
      </c>
      <c r="G176" t="inlineStr">
        <is>
          <t>OCKELBO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60699-2024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45644</v>
      </c>
      <c r="E177" s="1" t="n">
        <v>46318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46318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45027</v>
      </c>
      <c r="E179" s="1" t="n">
        <v>46318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46318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46318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46318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9.800000000000001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46318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46318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46318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46318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45216</v>
      </c>
      <c r="E187" s="1" t="n">
        <v>46318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45554</v>
      </c>
      <c r="E188" s="1" t="n">
        <v>46318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44816</v>
      </c>
      <c r="E189" s="1" t="n">
        <v>46318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46318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46318</v>
      </c>
      <c r="F191" t="inlineStr">
        <is>
          <t>GÄVLEBORGS LÄN</t>
        </is>
      </c>
      <c r="G191" t="inlineStr">
        <is>
          <t>OCKELBO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46318</v>
      </c>
      <c r="F192" t="inlineStr">
        <is>
          <t>GÄVLEBORGS LÄN</t>
        </is>
      </c>
      <c r="G192" t="inlineStr">
        <is>
          <t>OCKELBO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46318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46318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44845</v>
      </c>
      <c r="E195" s="1" t="n">
        <v>46318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67768-2021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46318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46318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46318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46318</v>
      </c>
      <c r="F199" t="inlineStr">
        <is>
          <t>GÄVLEBORGS LÄN</t>
        </is>
      </c>
      <c r="G199" t="inlineStr">
        <is>
          <t>OCKELBO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45932</v>
      </c>
      <c r="E200" s="1" t="n">
        <v>46318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46043</v>
      </c>
      <c r="E201" s="1" t="n">
        <v>46318</v>
      </c>
      <c r="F201" t="inlineStr">
        <is>
          <t>GÄVLEBORGS LÄN</t>
        </is>
      </c>
      <c r="G201" t="inlineStr">
        <is>
          <t>OCKELBO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46318</v>
      </c>
      <c r="F202" t="inlineStr">
        <is>
          <t>GÄVLEBORGS LÄN</t>
        </is>
      </c>
      <c r="G202" t="inlineStr">
        <is>
          <t>OCKELBO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46318</v>
      </c>
      <c r="F203" t="inlineStr">
        <is>
          <t>GÄVLEBORGS LÄN</t>
        </is>
      </c>
      <c r="G203" t="inlineStr">
        <is>
          <t>OCKELBO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45534</v>
      </c>
      <c r="E204" s="1" t="n">
        <v>46318</v>
      </c>
      <c r="F204" t="inlineStr">
        <is>
          <t>GÄVLEBORGS LÄN</t>
        </is>
      </c>
      <c r="G204" t="inlineStr">
        <is>
          <t>OCKELBO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45334</v>
      </c>
      <c r="E205" s="1" t="n">
        <v>46318</v>
      </c>
      <c r="F205" t="inlineStr">
        <is>
          <t>GÄVLEBORGS LÄN</t>
        </is>
      </c>
      <c r="G205" t="inlineStr">
        <is>
          <t>OCKELBO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46137</v>
      </c>
      <c r="E206" s="1" t="n">
        <v>46318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46318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46318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46318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52335-2024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45609</v>
      </c>
      <c r="E210" s="1" t="n">
        <v>46318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46318</v>
      </c>
      <c r="F211" t="inlineStr">
        <is>
          <t>GÄVLEBORGS LÄN</t>
        </is>
      </c>
      <c r="G211" t="inlineStr">
        <is>
          <t>OCKELBO</t>
        </is>
      </c>
      <c r="I211" t="n">
        <v>11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46318</v>
      </c>
      <c r="F212" t="inlineStr">
        <is>
          <t>GÄVLEBORGS LÄN</t>
        </is>
      </c>
      <c r="G212" t="inlineStr">
        <is>
          <t>OCKELBO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46318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45937</v>
      </c>
      <c r="E214" s="1" t="n">
        <v>46318</v>
      </c>
      <c r="F214" t="inlineStr">
        <is>
          <t>GÄVLEBORGS LÄN</t>
        </is>
      </c>
      <c r="G214" t="inlineStr">
        <is>
          <t>OCKELBO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44663</v>
      </c>
      <c r="E215" s="1" t="n">
        <v>46318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46318</v>
      </c>
      <c r="F216" t="inlineStr">
        <is>
          <t>GÄVLEBORGS LÄN</t>
        </is>
      </c>
      <c r="G216" t="inlineStr">
        <is>
          <t>OCKELBO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46316-2025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46318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45022</v>
      </c>
      <c r="E218" s="1" t="n">
        <v>46318</v>
      </c>
      <c r="F218" t="inlineStr">
        <is>
          <t>GÄVLEBORGS LÄN</t>
        </is>
      </c>
      <c r="G218" t="inlineStr">
        <is>
          <t>OCKELBO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45139</v>
      </c>
      <c r="E219" s="1" t="n">
        <v>46318</v>
      </c>
      <c r="F219" t="inlineStr">
        <is>
          <t>GÄVLEBORGS LÄN</t>
        </is>
      </c>
      <c r="G219" t="inlineStr">
        <is>
          <t>OCKELBO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46318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46048</v>
      </c>
      <c r="E221" s="1" t="n">
        <v>46318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46055</v>
      </c>
      <c r="E222" s="1" t="n">
        <v>46318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46318</v>
      </c>
      <c r="F223" t="inlineStr">
        <is>
          <t>GÄVLEBORGS LÄN</t>
        </is>
      </c>
      <c r="G223" t="inlineStr">
        <is>
          <t>OCKELBO</t>
        </is>
      </c>
      <c r="I223" t="n">
        <v>11.1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46318</v>
      </c>
      <c r="F224" t="inlineStr">
        <is>
          <t>GÄVLEBORGS LÄN</t>
        </is>
      </c>
      <c r="G224" t="inlineStr">
        <is>
          <t>OCKELBO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36604-2025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45870</v>
      </c>
      <c r="E225" s="1" t="n">
        <v>46318</v>
      </c>
      <c r="F225" t="inlineStr">
        <is>
          <t>GÄVLEBORGS LÄN</t>
        </is>
      </c>
      <c r="G225" t="inlineStr">
        <is>
          <t>OCKELBO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46050</v>
      </c>
      <c r="E226" s="1" t="n">
        <v>46318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46318</v>
      </c>
      <c r="F227" t="inlineStr">
        <is>
          <t>GÄVLEBORGS LÄN</t>
        </is>
      </c>
      <c r="G227" t="inlineStr">
        <is>
          <t>OCKELBO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46318</v>
      </c>
      <c r="F228" t="inlineStr">
        <is>
          <t>GÄVLEBORGS LÄN</t>
        </is>
      </c>
      <c r="G228" t="inlineStr">
        <is>
          <t>OCKELBO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45237</v>
      </c>
      <c r="E229" s="1" t="n">
        <v>46318</v>
      </c>
      <c r="F229" t="inlineStr">
        <is>
          <t>GÄVLEBORGS LÄN</t>
        </is>
      </c>
      <c r="G229" t="inlineStr">
        <is>
          <t>OCKELBO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45698</v>
      </c>
      <c r="E230" s="1" t="n">
        <v>46318</v>
      </c>
      <c r="F230" t="inlineStr">
        <is>
          <t>GÄVLEBORGS LÄN</t>
        </is>
      </c>
      <c r="G230" t="inlineStr">
        <is>
          <t>OCKELBO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45656</v>
      </c>
      <c r="E231" s="1" t="n">
        <v>46318</v>
      </c>
      <c r="F231" t="inlineStr">
        <is>
          <t>GÄVLEBORGS LÄN</t>
        </is>
      </c>
      <c r="G231" t="inlineStr">
        <is>
          <t>OCKELBO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20149-2026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46137</v>
      </c>
      <c r="E232" s="1" t="n">
        <v>46318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20150-2026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46137</v>
      </c>
      <c r="E233" s="1" t="n">
        <v>46318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46318</v>
      </c>
      <c r="F234" t="inlineStr">
        <is>
          <t>GÄVLEBORGS LÄN</t>
        </is>
      </c>
      <c r="G234" t="inlineStr">
        <is>
          <t>OCKELBO</t>
        </is>
      </c>
      <c r="I234" t="n">
        <v>14.8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46318</v>
      </c>
      <c r="F235" t="inlineStr">
        <is>
          <t>GÄVLEBORGS LÄN</t>
        </is>
      </c>
      <c r="G235" t="inlineStr">
        <is>
          <t>OCKELBO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46318</v>
      </c>
      <c r="F236" t="inlineStr">
        <is>
          <t>GÄVLEBORGS LÄN</t>
        </is>
      </c>
      <c r="G236" t="inlineStr">
        <is>
          <t>OCKELBO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25564-2025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45803</v>
      </c>
      <c r="E237" s="1" t="n">
        <v>46318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46318</v>
      </c>
      <c r="F238" t="inlineStr">
        <is>
          <t>GÄVLEBORGS LÄN</t>
        </is>
      </c>
      <c r="G238" t="inlineStr">
        <is>
          <t>OCKELBO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46318</v>
      </c>
      <c r="F239" t="inlineStr">
        <is>
          <t>GÄVLEBORGS LÄN</t>
        </is>
      </c>
      <c r="G239" t="inlineStr">
        <is>
          <t>OCKELBO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46052</v>
      </c>
      <c r="E240" s="1" t="n">
        <v>46318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61335-2022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46318</v>
      </c>
      <c r="F241" t="inlineStr">
        <is>
          <t>GÄVLEBORGS LÄN</t>
        </is>
      </c>
      <c r="G241" t="inlineStr">
        <is>
          <t>OCKELBO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45821</v>
      </c>
      <c r="E242" s="1" t="n">
        <v>46318</v>
      </c>
      <c r="F242" t="inlineStr">
        <is>
          <t>GÄVLEBORGS LÄN</t>
        </is>
      </c>
      <c r="G242" t="inlineStr">
        <is>
          <t>OCKELBO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46318</v>
      </c>
      <c r="F243" t="inlineStr">
        <is>
          <t>GÄVLEBORGS LÄN</t>
        </is>
      </c>
      <c r="G243" t="inlineStr">
        <is>
          <t>OCKELBO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45497</v>
      </c>
      <c r="E244" s="1" t="n">
        <v>46318</v>
      </c>
      <c r="F244" t="inlineStr">
        <is>
          <t>GÄVLEBORGS LÄN</t>
        </is>
      </c>
      <c r="G244" t="inlineStr">
        <is>
          <t>OCKELBO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45953</v>
      </c>
      <c r="E245" s="1" t="n">
        <v>46318</v>
      </c>
      <c r="F245" t="inlineStr">
        <is>
          <t>GÄVLEBORGS LÄN</t>
        </is>
      </c>
      <c r="G245" t="inlineStr">
        <is>
          <t>OCKELBO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46318</v>
      </c>
      <c r="F246" t="inlineStr">
        <is>
          <t>GÄVLEBORGS LÄN</t>
        </is>
      </c>
      <c r="G246" t="inlineStr">
        <is>
          <t>OCKELBO</t>
        </is>
      </c>
      <c r="I246" t="n">
        <v>18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46318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46318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15739-2026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46318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20.4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46318</v>
      </c>
      <c r="F250" t="inlineStr">
        <is>
          <t>GÄVLEBORGS LÄN</t>
        </is>
      </c>
      <c r="G250" t="inlineStr">
        <is>
          <t>OCKELBO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19924-2026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46136</v>
      </c>
      <c r="E251" s="1" t="n">
        <v>46318</v>
      </c>
      <c r="F251" t="inlineStr">
        <is>
          <t>GÄVLEBORGS LÄN</t>
        </is>
      </c>
      <c r="G251" t="inlineStr">
        <is>
          <t>OCKELBO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46318</v>
      </c>
      <c r="F252" t="inlineStr">
        <is>
          <t>GÄVLEBORGS LÄN</t>
        </is>
      </c>
      <c r="G252" t="inlineStr">
        <is>
          <t>OCKELBO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8253-2026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46064</v>
      </c>
      <c r="E253" s="1" t="n">
        <v>46318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20155-2026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46138</v>
      </c>
      <c r="E254" s="1" t="n">
        <v>46318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44838</v>
      </c>
      <c r="E255" s="1" t="n">
        <v>46318</v>
      </c>
      <c r="F255" t="inlineStr">
        <is>
          <t>GÄVLEBORGS LÄN</t>
        </is>
      </c>
      <c r="G255" t="inlineStr">
        <is>
          <t>OCKELBO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46318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46065</v>
      </c>
      <c r="E257" s="1" t="n">
        <v>46318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52880-2025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46318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46318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52461-2025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46318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45712</v>
      </c>
      <c r="E261" s="1" t="n">
        <v>46318</v>
      </c>
      <c r="F261" t="inlineStr">
        <is>
          <t>GÄVLEBORGS LÄN</t>
        </is>
      </c>
      <c r="G261" t="inlineStr">
        <is>
          <t>OCKELBO</t>
        </is>
      </c>
      <c r="I261" t="n">
        <v>14.7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45156</v>
      </c>
      <c r="E262" s="1" t="n">
        <v>46318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45254</v>
      </c>
      <c r="E263" s="1" t="n">
        <v>46318</v>
      </c>
      <c r="F263" t="inlineStr">
        <is>
          <t>GÄVLEBORGS LÄN</t>
        </is>
      </c>
      <c r="G263" t="inlineStr">
        <is>
          <t>OCKELBO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46318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45840</v>
      </c>
      <c r="E265" s="1" t="n">
        <v>46318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46052</v>
      </c>
      <c r="E266" s="1" t="n">
        <v>46318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45959</v>
      </c>
      <c r="E267" s="1" t="n">
        <v>46318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11.3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45134</v>
      </c>
      <c r="E268" s="1" t="n">
        <v>46318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33879-2023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45134</v>
      </c>
      <c r="E269" s="1" t="n">
        <v>46318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20604-2026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46318</v>
      </c>
      <c r="F270" t="inlineStr">
        <is>
          <t>GÄVLEBORGS LÄN</t>
        </is>
      </c>
      <c r="G270" t="inlineStr">
        <is>
          <t>OCKELBO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46318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49529-2024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45596</v>
      </c>
      <c r="E272" s="1" t="n">
        <v>46318</v>
      </c>
      <c r="F272" t="inlineStr">
        <is>
          <t>GÄVLEBORGS LÄN</t>
        </is>
      </c>
      <c r="G272" t="inlineStr">
        <is>
          <t>OCKELBO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46064</v>
      </c>
      <c r="E273" s="1" t="n">
        <v>46318</v>
      </c>
      <c r="F273" t="inlineStr">
        <is>
          <t>GÄVLEBORGS LÄN</t>
        </is>
      </c>
      <c r="G273" t="inlineStr">
        <is>
          <t>OCKELBO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46318</v>
      </c>
      <c r="F274" t="inlineStr">
        <is>
          <t>GÄVLEBORGS LÄN</t>
        </is>
      </c>
      <c r="G274" t="inlineStr">
        <is>
          <t>OCKELBO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46318</v>
      </c>
      <c r="F275" t="inlineStr">
        <is>
          <t>GÄVLEBORGS LÄN</t>
        </is>
      </c>
      <c r="G275" t="inlineStr">
        <is>
          <t>OCKELBO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46318</v>
      </c>
      <c r="F276" t="inlineStr">
        <is>
          <t>GÄVLEBORGS LÄN</t>
        </is>
      </c>
      <c r="G276" t="inlineStr">
        <is>
          <t>OCKELBO</t>
        </is>
      </c>
      <c r="I276" t="n">
        <v>36.1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46140</v>
      </c>
      <c r="E277" s="1" t="n">
        <v>46318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46318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45111</v>
      </c>
      <c r="E279" s="1" t="n">
        <v>46318</v>
      </c>
      <c r="F279" t="inlineStr">
        <is>
          <t>GÄVLEBORGS LÄN</t>
        </is>
      </c>
      <c r="G279" t="inlineStr">
        <is>
          <t>OCKELBO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46318</v>
      </c>
      <c r="F280" t="inlineStr">
        <is>
          <t>GÄVLEBORGS LÄN</t>
        </is>
      </c>
      <c r="G280" t="inlineStr">
        <is>
          <t>OCKELBO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46027</v>
      </c>
      <c r="E281" s="1" t="n">
        <v>46318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46318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46318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46318</v>
      </c>
      <c r="F284" t="inlineStr">
        <is>
          <t>GÄVLEBORGS LÄN</t>
        </is>
      </c>
      <c r="G284" t="inlineStr">
        <is>
          <t>OCKELBO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46318</v>
      </c>
      <c r="F285" t="inlineStr">
        <is>
          <t>GÄVLEBORGS LÄN</t>
        </is>
      </c>
      <c r="G285" t="inlineStr">
        <is>
          <t>OCKELBO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52330-2024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45609</v>
      </c>
      <c r="E286" s="1" t="n">
        <v>46318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45139</v>
      </c>
      <c r="E287" s="1" t="n">
        <v>46318</v>
      </c>
      <c r="F287" t="inlineStr">
        <is>
          <t>GÄVLEBORGS LÄN</t>
        </is>
      </c>
      <c r="G287" t="inlineStr">
        <is>
          <t>OCKELBO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46318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46318</v>
      </c>
      <c r="F289" t="inlineStr">
        <is>
          <t>GÄVLEBORGS LÄN</t>
        </is>
      </c>
      <c r="G289" t="inlineStr">
        <is>
          <t>OCKELBO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46318</v>
      </c>
      <c r="F290" t="inlineStr">
        <is>
          <t>GÄVLEBORGS LÄN</t>
        </is>
      </c>
      <c r="G290" t="inlineStr">
        <is>
          <t>OCKELBO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46318</v>
      </c>
      <c r="F291" t="inlineStr">
        <is>
          <t>GÄVLEBORGS LÄN</t>
        </is>
      </c>
      <c r="G291" t="inlineStr">
        <is>
          <t>OCKELBO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46318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45488</v>
      </c>
      <c r="E293" s="1" t="n">
        <v>46318</v>
      </c>
      <c r="F293" t="inlineStr">
        <is>
          <t>GÄVLEBORGS LÄN</t>
        </is>
      </c>
      <c r="G293" t="inlineStr">
        <is>
          <t>OCKELBO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46318</v>
      </c>
      <c r="F294" t="inlineStr">
        <is>
          <t>GÄVLEBORGS LÄN</t>
        </is>
      </c>
      <c r="G294" t="inlineStr">
        <is>
          <t>OCKELBO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45526</v>
      </c>
      <c r="E295" s="1" t="n">
        <v>46318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46318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46125</v>
      </c>
      <c r="E297" s="1" t="n">
        <v>46318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12708-2026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46318</v>
      </c>
      <c r="F298" t="inlineStr">
        <is>
          <t>GÄVLEBORGS LÄN</t>
        </is>
      </c>
      <c r="G298" t="inlineStr">
        <is>
          <t>OCKELBO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46318</v>
      </c>
      <c r="F299" t="inlineStr">
        <is>
          <t>GÄVLEBORGS LÄN</t>
        </is>
      </c>
      <c r="G299" t="inlineStr">
        <is>
          <t>OCKELBO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46318</v>
      </c>
      <c r="F300" t="inlineStr">
        <is>
          <t>GÄVLEBORGS LÄN</t>
        </is>
      </c>
      <c r="G300" t="inlineStr">
        <is>
          <t>OCKELBO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46063</v>
      </c>
      <c r="E301" s="1" t="n">
        <v>46318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23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46318</v>
      </c>
      <c r="F302" t="inlineStr">
        <is>
          <t>GÄVLEBORGS LÄN</t>
        </is>
      </c>
      <c r="G302" t="inlineStr">
        <is>
          <t>OCKELBO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46318</v>
      </c>
      <c r="F303" t="inlineStr">
        <is>
          <t>GÄVLEBORGS LÄN</t>
        </is>
      </c>
      <c r="G303" t="inlineStr">
        <is>
          <t>OCKELBO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45973</v>
      </c>
      <c r="E304" s="1" t="n">
        <v>46318</v>
      </c>
      <c r="F304" t="inlineStr">
        <is>
          <t>GÄVLEBORGS LÄN</t>
        </is>
      </c>
      <c r="G304" t="inlineStr">
        <is>
          <t>OCKELBO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46318</v>
      </c>
      <c r="F305" t="inlineStr">
        <is>
          <t>GÄVLEBORGS LÄN</t>
        </is>
      </c>
      <c r="G305" t="inlineStr">
        <is>
          <t>OCKELBO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46318</v>
      </c>
      <c r="F306" t="inlineStr">
        <is>
          <t>GÄVLEBORGS LÄN</t>
        </is>
      </c>
      <c r="G306" t="inlineStr">
        <is>
          <t>OCKELBO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46318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46318</v>
      </c>
      <c r="F308" t="inlineStr">
        <is>
          <t>GÄVLEBORGS LÄN</t>
        </is>
      </c>
      <c r="G308" t="inlineStr">
        <is>
          <t>OCKELBO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46318</v>
      </c>
      <c r="F309" t="inlineStr">
        <is>
          <t>GÄVLEBORGS LÄN</t>
        </is>
      </c>
      <c r="G309" t="inlineStr">
        <is>
          <t>OCKELBO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46318</v>
      </c>
      <c r="F310" t="inlineStr">
        <is>
          <t>GÄVLEBORGS LÄN</t>
        </is>
      </c>
      <c r="G310" t="inlineStr">
        <is>
          <t>OCKELBO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45972</v>
      </c>
      <c r="E311" s="1" t="n">
        <v>46318</v>
      </c>
      <c r="F311" t="inlineStr">
        <is>
          <t>GÄVLEBORGS LÄN</t>
        </is>
      </c>
      <c r="G311" t="inlineStr">
        <is>
          <t>OCKELBO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46056</v>
      </c>
      <c r="E312" s="1" t="n">
        <v>46318</v>
      </c>
      <c r="F312" t="inlineStr">
        <is>
          <t>GÄVLEBORGS LÄN</t>
        </is>
      </c>
      <c r="G312" t="inlineStr">
        <is>
          <t>OCKELBO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46052</v>
      </c>
      <c r="E313" s="1" t="n">
        <v>46318</v>
      </c>
      <c r="F313" t="inlineStr">
        <is>
          <t>GÄVLEBORGS LÄN</t>
        </is>
      </c>
      <c r="G313" t="inlineStr">
        <is>
          <t>OCKELBO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46318</v>
      </c>
      <c r="F314" t="inlineStr">
        <is>
          <t>GÄVLEBORGS LÄN</t>
        </is>
      </c>
      <c r="G314" t="inlineStr">
        <is>
          <t>OCKELBO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55911-2025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45973</v>
      </c>
      <c r="E315" s="1" t="n">
        <v>46318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55913-2025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46318</v>
      </c>
      <c r="F316" t="inlineStr">
        <is>
          <t>GÄVLEBORGS LÄN</t>
        </is>
      </c>
      <c r="G316" t="inlineStr">
        <is>
          <t>OCKELBO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46318</v>
      </c>
      <c r="F317" t="inlineStr">
        <is>
          <t>GÄVLEBORGS LÄN</t>
        </is>
      </c>
      <c r="G317" t="inlineStr">
        <is>
          <t>OCKELBO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46077</v>
      </c>
      <c r="E318" s="1" t="n">
        <v>46318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46318</v>
      </c>
      <c r="F319" t="inlineStr">
        <is>
          <t>GÄVLEBORGS LÄN</t>
        </is>
      </c>
      <c r="G319" t="inlineStr">
        <is>
          <t>OCKELBO</t>
        </is>
      </c>
      <c r="I319" t="n">
        <v>7.7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20481-2026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46318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46318</v>
      </c>
      <c r="F321" t="inlineStr">
        <is>
          <t>GÄVLEBORGS LÄN</t>
        </is>
      </c>
      <c r="G321" t="inlineStr">
        <is>
          <t>OCKELBO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46318</v>
      </c>
      <c r="F322" t="inlineStr">
        <is>
          <t>GÄVLEBORGS LÄN</t>
        </is>
      </c>
      <c r="G322" t="inlineStr">
        <is>
          <t>OCKELBO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46318</v>
      </c>
      <c r="F323" t="inlineStr">
        <is>
          <t>GÄVLEBORGS LÄN</t>
        </is>
      </c>
      <c r="G323" t="inlineStr">
        <is>
          <t>OCKELBO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46318</v>
      </c>
      <c r="F324" t="inlineStr">
        <is>
          <t>GÄVLEBORGS LÄN</t>
        </is>
      </c>
      <c r="G324" t="inlineStr">
        <is>
          <t>OCKELBO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46318</v>
      </c>
      <c r="F325" t="inlineStr">
        <is>
          <t>GÄVLEBORGS LÄN</t>
        </is>
      </c>
      <c r="G325" t="inlineStr">
        <is>
          <t>OCKELBO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14905-2026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46104</v>
      </c>
      <c r="E326" s="1" t="n">
        <v>46318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46318</v>
      </c>
      <c r="F327" t="inlineStr">
        <is>
          <t>GÄVLEBORGS LÄN</t>
        </is>
      </c>
      <c r="G327" t="inlineStr">
        <is>
          <t>OCKELBO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46318</v>
      </c>
      <c r="F328" t="inlineStr">
        <is>
          <t>GÄVLEBORGS LÄN</t>
        </is>
      </c>
      <c r="G328" t="inlineStr">
        <is>
          <t>OCKELBO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46318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46318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17951-2026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46122</v>
      </c>
      <c r="E331" s="1" t="n">
        <v>46318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46318</v>
      </c>
      <c r="F332" t="inlineStr">
        <is>
          <t>GÄVLEBORGS LÄN</t>
        </is>
      </c>
      <c r="G332" t="inlineStr">
        <is>
          <t>OCKELBO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46318</v>
      </c>
      <c r="F333" t="inlineStr">
        <is>
          <t>GÄVLEBORGS LÄN</t>
        </is>
      </c>
      <c r="G333" t="inlineStr">
        <is>
          <t>OCKELBO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18097-2026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46125</v>
      </c>
      <c r="E334" s="1" t="n">
        <v>46318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46147</v>
      </c>
      <c r="E335" s="1" t="n">
        <v>46318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öst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21277-2026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46147</v>
      </c>
      <c r="E336" s="1" t="n">
        <v>46318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öst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21461-2026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46148</v>
      </c>
      <c r="E337" s="1" t="n">
        <v>46318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58295-2025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45985</v>
      </c>
      <c r="E338" s="1" t="n">
        <v>46318</v>
      </c>
      <c r="F338" t="inlineStr">
        <is>
          <t>GÄVLEBORGS LÄN</t>
        </is>
      </c>
      <c r="G338" t="inlineStr">
        <is>
          <t>OCKELBO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28965-2024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45481</v>
      </c>
      <c r="E339" s="1" t="n">
        <v>46318</v>
      </c>
      <c r="F339" t="inlineStr">
        <is>
          <t>GÄVLEBORGS LÄN</t>
        </is>
      </c>
      <c r="G339" t="inlineStr">
        <is>
          <t>OCKELBO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55906-2024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45623</v>
      </c>
      <c r="E340" s="1" t="n">
        <v>46318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46318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46134</v>
      </c>
      <c r="E342" s="1" t="n">
        <v>46318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46149</v>
      </c>
      <c r="E343" s="1" t="n">
        <v>46318</v>
      </c>
      <c r="F343" t="inlineStr">
        <is>
          <t>GÄVLEBORGS LÄN</t>
        </is>
      </c>
      <c r="G343" t="inlineStr">
        <is>
          <t>OCKELBO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21459-2026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46148</v>
      </c>
      <c r="E344" s="1" t="n">
        <v>46318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21468-2026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46318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58299-2025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46318</v>
      </c>
      <c r="F346" t="inlineStr">
        <is>
          <t>GÄVLEBORGS LÄN</t>
        </is>
      </c>
      <c r="G346" t="inlineStr">
        <is>
          <t>OCKELBO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45986</v>
      </c>
      <c r="E347" s="1" t="n">
        <v>46318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46119</v>
      </c>
      <c r="E348" s="1" t="n">
        <v>46318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8865-2026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46318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44725</v>
      </c>
      <c r="E350" s="1" t="n">
        <v>46318</v>
      </c>
      <c r="F350" t="inlineStr">
        <is>
          <t>GÄVLEBORGS LÄN</t>
        </is>
      </c>
      <c r="G350" t="inlineStr">
        <is>
          <t>OCKELBO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46318</v>
      </c>
      <c r="F351" t="inlineStr">
        <is>
          <t>GÄVLEBORGS LÄN</t>
        </is>
      </c>
      <c r="G351" t="inlineStr">
        <is>
          <t>OCKELBO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46318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18645-2026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46128</v>
      </c>
      <c r="E353" s="1" t="n">
        <v>46318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64609-2023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45281</v>
      </c>
      <c r="E354" s="1" t="n">
        <v>46318</v>
      </c>
      <c r="F354" t="inlineStr">
        <is>
          <t>GÄVLEBORGS LÄN</t>
        </is>
      </c>
      <c r="G354" t="inlineStr">
        <is>
          <t>OCKELBO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46318</v>
      </c>
      <c r="F355" t="inlineStr">
        <is>
          <t>GÄVLEBORGS LÄN</t>
        </is>
      </c>
      <c r="G355" t="inlineStr">
        <is>
          <t>OCKELBO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44950</v>
      </c>
      <c r="E356" s="1" t="n">
        <v>46318</v>
      </c>
      <c r="F356" t="inlineStr">
        <is>
          <t>GÄVLEBORGS LÄN</t>
        </is>
      </c>
      <c r="G356" t="inlineStr">
        <is>
          <t>OCKELBO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59086-2025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46318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45068</v>
      </c>
      <c r="E358" s="1" t="n">
        <v>46318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46318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21878-2023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45068</v>
      </c>
      <c r="E360" s="1" t="n">
        <v>46318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45534</v>
      </c>
      <c r="E361" s="1" t="n">
        <v>46318</v>
      </c>
      <c r="F361" t="inlineStr">
        <is>
          <t>GÄVLEBORGS LÄN</t>
        </is>
      </c>
      <c r="G361" t="inlineStr">
        <is>
          <t>OCKELBO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46318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3697-2026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46318</v>
      </c>
      <c r="F363" t="inlineStr">
        <is>
          <t>GÄVLEBORGS LÄN</t>
        </is>
      </c>
      <c r="G363" t="inlineStr">
        <is>
          <t>OCKELBO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46318</v>
      </c>
      <c r="F364" t="inlineStr">
        <is>
          <t>GÄVLEBORGS LÄN</t>
        </is>
      </c>
      <c r="G364" t="inlineStr">
        <is>
          <t>OCKELBO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60527-2025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46318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46318</v>
      </c>
      <c r="F366" t="inlineStr">
        <is>
          <t>GÄVLEBORGS LÄN</t>
        </is>
      </c>
      <c r="G366" t="inlineStr">
        <is>
          <t>OCKELBO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46318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60183-2025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45994</v>
      </c>
      <c r="E368" s="1" t="n">
        <v>46318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46318</v>
      </c>
      <c r="F369" t="inlineStr">
        <is>
          <t>GÄVLEBORGS LÄN</t>
        </is>
      </c>
      <c r="G369" t="inlineStr">
        <is>
          <t>OCKELBO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46155</v>
      </c>
      <c r="E370" s="1" t="n">
        <v>46318</v>
      </c>
      <c r="F370" t="inlineStr">
        <is>
          <t>GÄVLEBORGS LÄN</t>
        </is>
      </c>
      <c r="G370" t="inlineStr">
        <is>
          <t>OCKELBO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46318</v>
      </c>
      <c r="F371" t="inlineStr">
        <is>
          <t>GÄVLEBORGS LÄN</t>
        </is>
      </c>
      <c r="G371" t="inlineStr">
        <is>
          <t>OCKELBO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46119</v>
      </c>
      <c r="E372" s="1" t="n">
        <v>46318</v>
      </c>
      <c r="F372" t="inlineStr">
        <is>
          <t>GÄVLEBORGS LÄN</t>
        </is>
      </c>
      <c r="G372" t="inlineStr">
        <is>
          <t>OCKELBO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46318</v>
      </c>
      <c r="F373" t="inlineStr">
        <is>
          <t>GÄVLEBORGS LÄN</t>
        </is>
      </c>
      <c r="G373" t="inlineStr">
        <is>
          <t>OCKELBO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43071-2025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45909</v>
      </c>
      <c r="E374" s="1" t="n">
        <v>46318</v>
      </c>
      <c r="F374" t="inlineStr">
        <is>
          <t>GÄVLEBORGS LÄN</t>
        </is>
      </c>
      <c r="G374" t="inlineStr">
        <is>
          <t>OCKELBO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46318</v>
      </c>
      <c r="F375" t="inlineStr">
        <is>
          <t>GÄVLEBORGS LÄN</t>
        </is>
      </c>
      <c r="G375" t="inlineStr">
        <is>
          <t>OCKELBO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46318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12352-2026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46088</v>
      </c>
      <c r="E377" s="1" t="n">
        <v>46318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9.199999999999999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46044</v>
      </c>
      <c r="E378" s="1" t="n">
        <v>46318</v>
      </c>
      <c r="F378" t="inlineStr">
        <is>
          <t>GÄVLEBORGS LÄN</t>
        </is>
      </c>
      <c r="G378" t="inlineStr">
        <is>
          <t>OCKELBO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46318</v>
      </c>
      <c r="F379" t="inlineStr">
        <is>
          <t>GÄVLEBORGS LÄN</t>
        </is>
      </c>
      <c r="G379" t="inlineStr">
        <is>
          <t>OCKELBO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46318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46318</v>
      </c>
      <c r="F381" t="inlineStr">
        <is>
          <t>GÄVLEBORGS LÄN</t>
        </is>
      </c>
      <c r="G381" t="inlineStr">
        <is>
          <t>OCKELBO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46318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46318</v>
      </c>
      <c r="F383" t="inlineStr">
        <is>
          <t>GÄVLEBORGS LÄN</t>
        </is>
      </c>
      <c r="G383" t="inlineStr">
        <is>
          <t>OCKELBO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46318</v>
      </c>
      <c r="F384" t="inlineStr">
        <is>
          <t>GÄVLEBORGS LÄN</t>
        </is>
      </c>
      <c r="G384" t="inlineStr">
        <is>
          <t>OCKELBO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22712-2026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46156</v>
      </c>
      <c r="E385" s="1" t="n">
        <v>46318</v>
      </c>
      <c r="F385" t="inlineStr">
        <is>
          <t>GÄVLEBORGS LÄN</t>
        </is>
      </c>
      <c r="G385" t="inlineStr">
        <is>
          <t>OCKELBO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46318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17862-2026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46318</v>
      </c>
      <c r="F387" t="inlineStr">
        <is>
          <t>GÄVLEBORGS LÄN</t>
        </is>
      </c>
      <c r="G387" t="inlineStr">
        <is>
          <t>OCKELBO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14474-2026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46318</v>
      </c>
      <c r="F388" t="inlineStr">
        <is>
          <t>GÄVLEBORGS LÄN</t>
        </is>
      </c>
      <c r="G388" t="inlineStr">
        <is>
          <t>OCKELBO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53488-2023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45230</v>
      </c>
      <c r="E389" s="1" t="n">
        <v>46318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13.3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23040-2026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46161</v>
      </c>
      <c r="E390" s="1" t="n">
        <v>46318</v>
      </c>
      <c r="F390" t="inlineStr">
        <is>
          <t>GÄVLEBORGS LÄN</t>
        </is>
      </c>
      <c r="G390" t="inlineStr">
        <is>
          <t>OCKELBO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45156</v>
      </c>
      <c r="E391" s="1" t="n">
        <v>46318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22385-2023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45070</v>
      </c>
      <c r="E392" s="1" t="n">
        <v>46318</v>
      </c>
      <c r="F392" t="inlineStr">
        <is>
          <t>GÄVLEBORGS LÄN</t>
        </is>
      </c>
      <c r="G392" t="inlineStr">
        <is>
          <t>OCKELBO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22843-2026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46160</v>
      </c>
      <c r="E393" s="1" t="n">
        <v>46318</v>
      </c>
      <c r="F393" t="inlineStr">
        <is>
          <t>GÄVLEBORGS LÄN</t>
        </is>
      </c>
      <c r="G393" t="inlineStr">
        <is>
          <t>OCKELBO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56741-2024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46318</v>
      </c>
      <c r="F394" t="inlineStr">
        <is>
          <t>GÄVLEBORGS LÄN</t>
        </is>
      </c>
      <c r="G394" t="inlineStr">
        <is>
          <t>OCKELBO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45771</v>
      </c>
      <c r="E395" s="1" t="n">
        <v>46318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62196-2025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46006</v>
      </c>
      <c r="E396" s="1" t="n">
        <v>46318</v>
      </c>
      <c r="F396" t="inlineStr">
        <is>
          <t>GÄVLEBORGS LÄN</t>
        </is>
      </c>
      <c r="G396" t="inlineStr">
        <is>
          <t>OCKELBO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46318</v>
      </c>
      <c r="F397" t="inlineStr">
        <is>
          <t>GÄVLEBORGS LÄN</t>
        </is>
      </c>
      <c r="G397" t="inlineStr">
        <is>
          <t>OCKELBO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59383-2025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46318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29567-2024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45484</v>
      </c>
      <c r="E399" s="1" t="n">
        <v>46318</v>
      </c>
      <c r="F399" t="inlineStr">
        <is>
          <t>GÄVLEBORGS LÄN</t>
        </is>
      </c>
      <c r="G399" t="inlineStr">
        <is>
          <t>OCKELBO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64367-2023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45280</v>
      </c>
      <c r="E400" s="1" t="n">
        <v>46318</v>
      </c>
      <c r="F400" t="inlineStr">
        <is>
          <t>GÄVLEBORGS LÄN</t>
        </is>
      </c>
      <c r="G400" t="inlineStr">
        <is>
          <t>OCKELBO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63061-2025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46318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46318</v>
      </c>
      <c r="F402" t="inlineStr">
        <is>
          <t>GÄVLEBORGS LÄN</t>
        </is>
      </c>
      <c r="G402" t="inlineStr">
        <is>
          <t>OCKELBO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45239</v>
      </c>
      <c r="E403" s="1" t="n">
        <v>46318</v>
      </c>
      <c r="F403" t="inlineStr">
        <is>
          <t>GÄVLEBORGS LÄN</t>
        </is>
      </c>
      <c r="G403" t="inlineStr">
        <is>
          <t>OCKELBO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46318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9859-2025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46318</v>
      </c>
      <c r="F405" t="inlineStr">
        <is>
          <t>GÄVLEBORGS LÄN</t>
        </is>
      </c>
      <c r="G405" t="inlineStr">
        <is>
          <t>OCKELBO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46318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46318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63224-2025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46010</v>
      </c>
      <c r="E408" s="1" t="n">
        <v>46318</v>
      </c>
      <c r="F408" t="inlineStr">
        <is>
          <t>GÄVLEBORGS LÄN</t>
        </is>
      </c>
      <c r="G408" t="inlineStr">
        <is>
          <t>OCKELBO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45600</v>
      </c>
      <c r="E409" s="1" t="n">
        <v>46318</v>
      </c>
      <c r="F409" t="inlineStr">
        <is>
          <t>GÄVLEBORGS LÄN</t>
        </is>
      </c>
      <c r="G409" t="inlineStr">
        <is>
          <t>OCKELBO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46318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63616-2025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46014</v>
      </c>
      <c r="E411" s="1" t="n">
        <v>46318</v>
      </c>
      <c r="F411" t="inlineStr">
        <is>
          <t>GÄVLEBORGS LÄN</t>
        </is>
      </c>
      <c r="G411" t="inlineStr">
        <is>
          <t>OCKELBO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15247-2025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46318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46164</v>
      </c>
      <c r="E413" s="1" t="n">
        <v>46318</v>
      </c>
      <c r="F413" t="inlineStr">
        <is>
          <t>GÄVLEBORGS LÄN</t>
        </is>
      </c>
      <c r="G413" t="inlineStr">
        <is>
          <t>OCKELBO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64006-2025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46021</v>
      </c>
      <c r="E414" s="1" t="n">
        <v>46318</v>
      </c>
      <c r="F414" t="inlineStr">
        <is>
          <t>GÄVLEBORGS LÄN</t>
        </is>
      </c>
      <c r="G414" t="inlineStr">
        <is>
          <t>OCKELBO</t>
        </is>
      </c>
      <c r="I414" t="n">
        <v>13.6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46164</v>
      </c>
      <c r="E415" s="1" t="n">
        <v>46318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45072</v>
      </c>
      <c r="E416" s="1" t="n">
        <v>46318</v>
      </c>
      <c r="F416" t="inlineStr">
        <is>
          <t>GÄVLEBORGS LÄN</t>
        </is>
      </c>
      <c r="G416" t="inlineStr">
        <is>
          <t>OCKELBO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46044</v>
      </c>
      <c r="E417" s="1" t="n">
        <v>46318</v>
      </c>
      <c r="F417" t="inlineStr">
        <is>
          <t>GÄVLEBORGS LÄN</t>
        </is>
      </c>
      <c r="G417" t="inlineStr">
        <is>
          <t>OCKELBO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46318</v>
      </c>
      <c r="F418" t="inlineStr">
        <is>
          <t>GÄVLEBORGS LÄN</t>
        </is>
      </c>
      <c r="G418" t="inlineStr">
        <is>
          <t>OCKELBO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46169</v>
      </c>
      <c r="E419" s="1" t="n">
        <v>46318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46318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46318</v>
      </c>
      <c r="F421" t="inlineStr">
        <is>
          <t>GÄVLEBORGS LÄN</t>
        </is>
      </c>
      <c r="G421" t="inlineStr">
        <is>
          <t>OCKELBO</t>
        </is>
      </c>
      <c r="I421" t="n">
        <v>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46027</v>
      </c>
      <c r="E422" s="1" t="n">
        <v>46318</v>
      </c>
      <c r="F422" t="inlineStr">
        <is>
          <t>GÄVLEBORGS LÄN</t>
        </is>
      </c>
      <c r="G422" t="inlineStr">
        <is>
          <t>OCKELBO</t>
        </is>
      </c>
      <c r="I422" t="n">
        <v>16.2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46027</v>
      </c>
      <c r="E423" s="1" t="n">
        <v>46318</v>
      </c>
      <c r="F423" t="inlineStr">
        <is>
          <t>GÄVLEBORGS LÄN</t>
        </is>
      </c>
      <c r="G423" t="inlineStr">
        <is>
          <t>OCKELBO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46318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46027</v>
      </c>
      <c r="E425" s="1" t="n">
        <v>46318</v>
      </c>
      <c r="F425" t="inlineStr">
        <is>
          <t>GÄVLEBORGS LÄN</t>
        </is>
      </c>
      <c r="G425" t="inlineStr">
        <is>
          <t>OCKELBO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46027</v>
      </c>
      <c r="E426" s="1" t="n">
        <v>46318</v>
      </c>
      <c r="F426" t="inlineStr">
        <is>
          <t>GÄVLEBORGS LÄN</t>
        </is>
      </c>
      <c r="G426" t="inlineStr">
        <is>
          <t>OCKELBO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46024</v>
      </c>
      <c r="E427" s="1" t="n">
        <v>46318</v>
      </c>
      <c r="F427" t="inlineStr">
        <is>
          <t>GÄVLEBORGS LÄN</t>
        </is>
      </c>
      <c r="G427" t="inlineStr">
        <is>
          <t>OCKELBO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46027</v>
      </c>
      <c r="E428" s="1" t="n">
        <v>46318</v>
      </c>
      <c r="F428" t="inlineStr">
        <is>
          <t>GÄVLEBORGS LÄN</t>
        </is>
      </c>
      <c r="G428" t="inlineStr">
        <is>
          <t>OCKELBO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24335-2026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46169</v>
      </c>
      <c r="E429" s="1" t="n">
        <v>46318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46318</v>
      </c>
      <c r="F430" t="inlineStr">
        <is>
          <t>GÄVLEBORGS LÄN</t>
        </is>
      </c>
      <c r="G430" t="inlineStr">
        <is>
          <t>OCKELBO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24185-2026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46318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46028</v>
      </c>
      <c r="E432" s="1" t="n">
        <v>46318</v>
      </c>
      <c r="F432" t="inlineStr">
        <is>
          <t>GÄVLEBORGS LÄN</t>
        </is>
      </c>
      <c r="G432" t="inlineStr">
        <is>
          <t>OCKELBO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46028</v>
      </c>
      <c r="E433" s="1" t="n">
        <v>46318</v>
      </c>
      <c r="F433" t="inlineStr">
        <is>
          <t>GÄVLEBORGS LÄN</t>
        </is>
      </c>
      <c r="G433" t="inlineStr">
        <is>
          <t>OCKELBO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46318</v>
      </c>
      <c r="F434" t="inlineStr">
        <is>
          <t>GÄVLEBORGS LÄN</t>
        </is>
      </c>
      <c r="G434" t="inlineStr">
        <is>
          <t>OCKELBO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24408-2026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46318</v>
      </c>
      <c r="F435" t="inlineStr">
        <is>
          <t>GÄVLEBORGS LÄN</t>
        </is>
      </c>
      <c r="G435" t="inlineStr">
        <is>
          <t>OCKELBO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46024</v>
      </c>
      <c r="E436" s="1" t="n">
        <v>46318</v>
      </c>
      <c r="F436" t="inlineStr">
        <is>
          <t>GÄVLEBORGS LÄN</t>
        </is>
      </c>
      <c r="G436" t="inlineStr">
        <is>
          <t>OCKELBO</t>
        </is>
      </c>
      <c r="I436" t="n">
        <v>12.9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46318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46170</v>
      </c>
      <c r="E438" s="1" t="n">
        <v>46318</v>
      </c>
      <c r="F438" t="inlineStr">
        <is>
          <t>GÄVLEBORGS LÄN</t>
        </is>
      </c>
      <c r="G438" t="inlineStr">
        <is>
          <t>OCKELBO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46170</v>
      </c>
      <c r="E439" s="1" t="n">
        <v>46318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46318</v>
      </c>
      <c r="F440" t="inlineStr">
        <is>
          <t>GÄVLEBORGS LÄN</t>
        </is>
      </c>
      <c r="G440" t="inlineStr">
        <is>
          <t>OCKELBO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46318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46318</v>
      </c>
      <c r="F442" t="inlineStr">
        <is>
          <t>GÄVLEBORGS LÄN</t>
        </is>
      </c>
      <c r="G442" t="inlineStr">
        <is>
          <t>OCKELBO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46318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46318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46031</v>
      </c>
      <c r="E445" s="1" t="n">
        <v>46318</v>
      </c>
      <c r="F445" t="inlineStr">
        <is>
          <t>GÄVLEBORGS LÄN</t>
        </is>
      </c>
      <c r="G445" t="inlineStr">
        <is>
          <t>OCKELBO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46318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46170</v>
      </c>
      <c r="E447" s="1" t="n">
        <v>46318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46318</v>
      </c>
      <c r="F448" t="inlineStr">
        <is>
          <t>GÄVLEBORGS LÄN</t>
        </is>
      </c>
      <c r="G448" t="inlineStr">
        <is>
          <t>OCKELBO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46318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46085</v>
      </c>
      <c r="E450" s="1" t="n">
        <v>46318</v>
      </c>
      <c r="F450" t="inlineStr">
        <is>
          <t>GÄVLEBORGS LÄN</t>
        </is>
      </c>
      <c r="G450" t="inlineStr">
        <is>
          <t>OCKELBO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46034</v>
      </c>
      <c r="E451" s="1" t="n">
        <v>46318</v>
      </c>
      <c r="F451" t="inlineStr">
        <is>
          <t>GÄVLEBORGS LÄN</t>
        </is>
      </c>
      <c r="G451" t="inlineStr">
        <is>
          <t>OCKELBO</t>
        </is>
      </c>
      <c r="I451" t="n">
        <v>9.4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46033</v>
      </c>
      <c r="E452" s="1" t="n">
        <v>46318</v>
      </c>
      <c r="F452" t="inlineStr">
        <is>
          <t>GÄVLEBORGS LÄN</t>
        </is>
      </c>
      <c r="G452" t="inlineStr">
        <is>
          <t>OCKELBO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46318</v>
      </c>
      <c r="F453" t="inlineStr">
        <is>
          <t>GÄVLEBORGS LÄN</t>
        </is>
      </c>
      <c r="G453" t="inlineStr">
        <is>
          <t>OCKELBO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46318</v>
      </c>
      <c r="F454" t="inlineStr">
        <is>
          <t>GÄVLEBORGS LÄN</t>
        </is>
      </c>
      <c r="G454" t="inlineStr">
        <is>
          <t>OCKELBO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46023</v>
      </c>
      <c r="E455" s="1" t="n">
        <v>46318</v>
      </c>
      <c r="F455" t="inlineStr">
        <is>
          <t>GÄVLEBORGS LÄN</t>
        </is>
      </c>
      <c r="G455" t="inlineStr">
        <is>
          <t>OCKELBO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46318</v>
      </c>
      <c r="F456" t="inlineStr">
        <is>
          <t>GÄVLEBORGS LÄN</t>
        </is>
      </c>
      <c r="G456" t="inlineStr">
        <is>
          <t>OCKELBO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20231-2024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45434</v>
      </c>
      <c r="E457" s="1" t="n">
        <v>46318</v>
      </c>
      <c r="F457" t="inlineStr">
        <is>
          <t>GÄVLEBORGS LÄN</t>
        </is>
      </c>
      <c r="G457" t="inlineStr">
        <is>
          <t>OCKELBO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46318</v>
      </c>
      <c r="F458" t="inlineStr">
        <is>
          <t>GÄVLEBORGS LÄN</t>
        </is>
      </c>
      <c r="G458" t="inlineStr">
        <is>
          <t>OCKELBO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45967</v>
      </c>
      <c r="E459" s="1" t="n">
        <v>46318</v>
      </c>
      <c r="F459" t="inlineStr">
        <is>
          <t>GÄVLEBORGS LÄN</t>
        </is>
      </c>
      <c r="G459" t="inlineStr">
        <is>
          <t>OCKELBO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46318</v>
      </c>
      <c r="F460" t="inlineStr">
        <is>
          <t>GÄVLEBORGS LÄN</t>
        </is>
      </c>
      <c r="G460" t="inlineStr">
        <is>
          <t>OCKELBO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46318</v>
      </c>
      <c r="F461" t="inlineStr">
        <is>
          <t>GÄVLEBORGS LÄN</t>
        </is>
      </c>
      <c r="G461" t="inlineStr">
        <is>
          <t>OCKELBO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22824-2024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45448</v>
      </c>
      <c r="E462" s="1" t="n">
        <v>46318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46318</v>
      </c>
      <c r="F463" t="inlineStr">
        <is>
          <t>GÄVLEBORGS LÄN</t>
        </is>
      </c>
      <c r="G463" t="inlineStr">
        <is>
          <t>OCKELBO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24974-2026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46318</v>
      </c>
      <c r="F464" t="inlineStr">
        <is>
          <t>GÄVLEBORGS LÄN</t>
        </is>
      </c>
      <c r="G464" t="inlineStr">
        <is>
          <t>OCKELBO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46318</v>
      </c>
      <c r="F465" t="inlineStr">
        <is>
          <t>GÄVLEBORGS LÄN</t>
        </is>
      </c>
      <c r="G465" t="inlineStr">
        <is>
          <t>OCKELBO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46036</v>
      </c>
      <c r="E466" s="1" t="n">
        <v>46318</v>
      </c>
      <c r="F466" t="inlineStr">
        <is>
          <t>GÄVLEBORGS LÄN</t>
        </is>
      </c>
      <c r="G466" t="inlineStr">
        <is>
          <t>OCKELBO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46318</v>
      </c>
      <c r="F467" t="inlineStr">
        <is>
          <t>GÄVLEBORGS LÄN</t>
        </is>
      </c>
      <c r="G467" t="inlineStr">
        <is>
          <t>OCKELBO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46318</v>
      </c>
      <c r="F468" t="inlineStr">
        <is>
          <t>GÄVLEBORGS LÄN</t>
        </is>
      </c>
      <c r="G468" t="inlineStr">
        <is>
          <t>OCKELBO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46036</v>
      </c>
      <c r="E469" s="1" t="n">
        <v>46318</v>
      </c>
      <c r="F469" t="inlineStr">
        <is>
          <t>GÄVLEBORGS LÄN</t>
        </is>
      </c>
      <c r="G469" t="inlineStr">
        <is>
          <t>OCKELBO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45666</v>
      </c>
      <c r="E470" s="1" t="n">
        <v>46318</v>
      </c>
      <c r="F470" t="inlineStr">
        <is>
          <t>GÄVLEBORGS LÄN</t>
        </is>
      </c>
      <c r="G470" t="inlineStr">
        <is>
          <t>OCKELBO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44797</v>
      </c>
      <c r="E471" s="1" t="n">
        <v>46318</v>
      </c>
      <c r="F471" t="inlineStr">
        <is>
          <t>GÄVLEBORGS LÄN</t>
        </is>
      </c>
      <c r="G471" t="inlineStr">
        <is>
          <t>OCKELBO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46036</v>
      </c>
      <c r="E472" s="1" t="n">
        <v>46318</v>
      </c>
      <c r="F472" t="inlineStr">
        <is>
          <t>GÄVLEBORGS LÄN</t>
        </is>
      </c>
      <c r="G472" t="inlineStr">
        <is>
          <t>OCKELBO</t>
        </is>
      </c>
      <c r="I472" t="n">
        <v>16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46318</v>
      </c>
      <c r="F473" t="inlineStr">
        <is>
          <t>GÄVLEBORGS LÄN</t>
        </is>
      </c>
      <c r="G473" t="inlineStr">
        <is>
          <t>OCKELBO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25128-2026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46318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46175</v>
      </c>
      <c r="E475" s="1" t="n">
        <v>46318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3216-2026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46318</v>
      </c>
      <c r="F476" t="inlineStr">
        <is>
          <t>GÄVLEBORGS LÄN</t>
        </is>
      </c>
      <c r="G476" t="inlineStr">
        <is>
          <t>OCKELBO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46318</v>
      </c>
      <c r="F477" t="inlineStr">
        <is>
          <t>GÄVLEBORGS LÄN</t>
        </is>
      </c>
      <c r="G477" t="inlineStr">
        <is>
          <t>OCKELBO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46318</v>
      </c>
      <c r="F478" t="inlineStr">
        <is>
          <t>GÄVLEBORGS LÄN</t>
        </is>
      </c>
      <c r="G478" t="inlineStr">
        <is>
          <t>OCKELBO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3653-2026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46318</v>
      </c>
      <c r="F479" t="inlineStr">
        <is>
          <t>GÄVLEBORGS LÄN</t>
        </is>
      </c>
      <c r="G479" t="inlineStr">
        <is>
          <t>OCKELBO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46318</v>
      </c>
      <c r="F480" t="inlineStr">
        <is>
          <t>GÄVLEBORGS LÄN</t>
        </is>
      </c>
      <c r="G480" t="inlineStr">
        <is>
          <t>OCKELBO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61750-2023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45265</v>
      </c>
      <c r="E481" s="1" t="n">
        <v>46318</v>
      </c>
      <c r="F481" t="inlineStr">
        <is>
          <t>GÄVLEBORGS LÄN</t>
        </is>
      </c>
      <c r="G481" t="inlineStr">
        <is>
          <t>OCKELBO</t>
        </is>
      </c>
      <c r="I481" t="n">
        <v>11.2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45134</v>
      </c>
      <c r="E482" s="1" t="n">
        <v>46318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46044</v>
      </c>
      <c r="E483" s="1" t="n">
        <v>46318</v>
      </c>
      <c r="F483" t="inlineStr">
        <is>
          <t>GÄVLEBORGS LÄN</t>
        </is>
      </c>
      <c r="G483" t="inlineStr">
        <is>
          <t>OCKELBO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46044</v>
      </c>
      <c r="E484" s="1" t="n">
        <v>46318</v>
      </c>
      <c r="F484" t="inlineStr">
        <is>
          <t>GÄVLEBORGS LÄN</t>
        </is>
      </c>
      <c r="G484" t="inlineStr">
        <is>
          <t>OCKELBO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46045</v>
      </c>
      <c r="E485" s="1" t="n">
        <v>46318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50968-2024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45603</v>
      </c>
      <c r="E486" s="1" t="n">
        <v>46318</v>
      </c>
      <c r="F486" t="inlineStr">
        <is>
          <t>GÄVLEBORGS LÄN</t>
        </is>
      </c>
      <c r="G486" t="inlineStr">
        <is>
          <t>OCKELBO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46318</v>
      </c>
      <c r="F487" t="inlineStr">
        <is>
          <t>GÄVLEBORGS LÄN</t>
        </is>
      </c>
      <c r="G487" t="inlineStr">
        <is>
          <t>OCKELBO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46044</v>
      </c>
      <c r="E488" s="1" t="n">
        <v>46318</v>
      </c>
      <c r="F488" t="inlineStr">
        <is>
          <t>GÄVLEBORGS LÄN</t>
        </is>
      </c>
      <c r="G488" t="inlineStr">
        <is>
          <t>OCKELBO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4320-2026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46045</v>
      </c>
      <c r="E489" s="1" t="n">
        <v>46318</v>
      </c>
      <c r="F489" t="inlineStr">
        <is>
          <t>GÄVLEBORGS LÄN</t>
        </is>
      </c>
      <c r="G489" t="inlineStr">
        <is>
          <t>OCKELBO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46318</v>
      </c>
      <c r="F490" t="inlineStr">
        <is>
          <t>GÄVLEBORGS LÄN</t>
        </is>
      </c>
      <c r="G490" t="inlineStr">
        <is>
          <t>OCKELBO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3628-2023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46318</v>
      </c>
      <c r="F491" t="inlineStr">
        <is>
          <t>GÄVLEBORGS LÄN</t>
        </is>
      </c>
      <c r="G491" t="inlineStr">
        <is>
          <t>OCKELBO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46318</v>
      </c>
      <c r="F492" t="inlineStr">
        <is>
          <t>GÄVLEBORGS LÄN</t>
        </is>
      </c>
      <c r="G492" t="inlineStr">
        <is>
          <t>OCKELBO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46318</v>
      </c>
      <c r="F493" t="inlineStr">
        <is>
          <t>GÄVLEBORGS LÄN</t>
        </is>
      </c>
      <c r="G493" t="inlineStr">
        <is>
          <t>OCKELBO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46318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9.4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46318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46318</v>
      </c>
      <c r="F496" t="inlineStr">
        <is>
          <t>GÄVLEBORGS LÄN</t>
        </is>
      </c>
      <c r="G496" t="inlineStr">
        <is>
          <t>OCKELBO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46318</v>
      </c>
      <c r="F497" t="inlineStr">
        <is>
          <t>GÄVLEBORGS LÄN</t>
        </is>
      </c>
      <c r="G497" t="inlineStr">
        <is>
          <t>OCKELBO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46318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46051</v>
      </c>
      <c r="E499" s="1" t="n">
        <v>46318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46318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46051</v>
      </c>
      <c r="E501" s="1" t="n">
        <v>46318</v>
      </c>
      <c r="F501" t="inlineStr">
        <is>
          <t>GÄVLEBORGS LÄN</t>
        </is>
      </c>
      <c r="G501" t="inlineStr">
        <is>
          <t>OCKELBO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46052</v>
      </c>
      <c r="E502" s="1" t="n">
        <v>46318</v>
      </c>
      <c r="F502" t="inlineStr">
        <is>
          <t>GÄVLEBORGS LÄN</t>
        </is>
      </c>
      <c r="G502" t="inlineStr">
        <is>
          <t>OCKELBO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20775-2025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45776</v>
      </c>
      <c r="E503" s="1" t="n">
        <v>46318</v>
      </c>
      <c r="F503" t="inlineStr">
        <is>
          <t>GÄVLEBORGS LÄN</t>
        </is>
      </c>
      <c r="G503" t="inlineStr">
        <is>
          <t>OCKELBO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10150-2023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44986</v>
      </c>
      <c r="E504" s="1" t="n">
        <v>46318</v>
      </c>
      <c r="F504" t="inlineStr">
        <is>
          <t>GÄVLEBORGS LÄN</t>
        </is>
      </c>
      <c r="G504" t="inlineStr">
        <is>
          <t>OCKELBO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46053</v>
      </c>
      <c r="E505" s="1" t="n">
        <v>46318</v>
      </c>
      <c r="F505" t="inlineStr">
        <is>
          <t>GÄVLEBORGS LÄN</t>
        </is>
      </c>
      <c r="G505" t="inlineStr">
        <is>
          <t>OCKELBO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46318</v>
      </c>
      <c r="F506" t="inlineStr">
        <is>
          <t>GÄVLEBORGS LÄN</t>
        </is>
      </c>
      <c r="G506" t="inlineStr">
        <is>
          <t>OCKELBO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46318</v>
      </c>
      <c r="F507" t="inlineStr">
        <is>
          <t>GÄVLEBORGS LÄN</t>
        </is>
      </c>
      <c r="G507" t="inlineStr">
        <is>
          <t>OCKELBO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46318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54807-2024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45618</v>
      </c>
      <c r="E509" s="1" t="n">
        <v>46318</v>
      </c>
      <c r="F509" t="inlineStr">
        <is>
          <t>GÄVLEBORGS LÄN</t>
        </is>
      </c>
      <c r="G509" t="inlineStr">
        <is>
          <t>OCKELBO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46056</v>
      </c>
      <c r="E510" s="1" t="n">
        <v>46318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9.4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6665-2026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46318</v>
      </c>
      <c r="F511" t="inlineStr">
        <is>
          <t>GÄVLEBORGS LÄN</t>
        </is>
      </c>
      <c r="G511" t="inlineStr">
        <is>
          <t>OCKELBO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23780-2024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45455</v>
      </c>
      <c r="E512" s="1" t="n">
        <v>46318</v>
      </c>
      <c r="F512" t="inlineStr">
        <is>
          <t>GÄVLEBORGS LÄN</t>
        </is>
      </c>
      <c r="G512" t="inlineStr">
        <is>
          <t>OCKELBO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46057</v>
      </c>
      <c r="E513" s="1" t="n">
        <v>46318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46318</v>
      </c>
      <c r="F514" t="inlineStr">
        <is>
          <t>GÄVLEBORGS LÄN</t>
        </is>
      </c>
      <c r="G514" t="inlineStr">
        <is>
          <t>OCKELBO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46318</v>
      </c>
      <c r="F515" t="inlineStr">
        <is>
          <t>GÄVLEBORGS LÄN</t>
        </is>
      </c>
      <c r="G515" t="inlineStr">
        <is>
          <t>OCKELBO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46318</v>
      </c>
      <c r="F516" t="inlineStr">
        <is>
          <t>GÄVLEBORGS LÄN</t>
        </is>
      </c>
      <c r="G516" t="inlineStr">
        <is>
          <t>OCKELBO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46318</v>
      </c>
      <c r="F517" t="inlineStr">
        <is>
          <t>GÄVLEBORGS LÄN</t>
        </is>
      </c>
      <c r="G517" t="inlineStr">
        <is>
          <t>OCKELBO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46318</v>
      </c>
      <c r="F518" t="inlineStr">
        <is>
          <t>GÄVLEBORGS LÄN</t>
        </is>
      </c>
      <c r="G518" t="inlineStr">
        <is>
          <t>OCKELBO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46318</v>
      </c>
      <c r="F519" t="inlineStr">
        <is>
          <t>GÄVLEBORGS LÄN</t>
        </is>
      </c>
      <c r="G519" t="inlineStr">
        <is>
          <t>OCKELBO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46059</v>
      </c>
      <c r="E520" s="1" t="n">
        <v>46318</v>
      </c>
      <c r="F520" t="inlineStr">
        <is>
          <t>GÄVLEBORGS LÄN</t>
        </is>
      </c>
      <c r="G520" t="inlineStr">
        <is>
          <t>OCKELBO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52273-2024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45608</v>
      </c>
      <c r="E521" s="1" t="n">
        <v>46318</v>
      </c>
      <c r="F521" t="inlineStr">
        <is>
          <t>GÄVLEBORGS LÄN</t>
        </is>
      </c>
      <c r="G521" t="inlineStr">
        <is>
          <t>OCKELBO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53137-2024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45611</v>
      </c>
      <c r="E522" s="1" t="n">
        <v>46318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37848-2024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45544</v>
      </c>
      <c r="E523" s="1" t="n">
        <v>46318</v>
      </c>
      <c r="F523" t="inlineStr">
        <is>
          <t>GÄVLEBORGS LÄN</t>
        </is>
      </c>
      <c r="G523" t="inlineStr">
        <is>
          <t>OCKELBO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33617-2023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45132</v>
      </c>
      <c r="E524" s="1" t="n">
        <v>46318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26131-2026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46181</v>
      </c>
      <c r="E525" s="1" t="n">
        <v>46318</v>
      </c>
      <c r="F525" t="inlineStr">
        <is>
          <t>GÄVLEBORGS LÄN</t>
        </is>
      </c>
      <c r="G525" t="inlineStr">
        <is>
          <t>OCKELBO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45258</v>
      </c>
      <c r="E526" s="1" t="n">
        <v>46318</v>
      </c>
      <c r="F526" t="inlineStr">
        <is>
          <t>GÄVLEBORGS LÄN</t>
        </is>
      </c>
      <c r="G526" t="inlineStr">
        <is>
          <t>OCKELBO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7765-2026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46062</v>
      </c>
      <c r="E527" s="1" t="n">
        <v>46318</v>
      </c>
      <c r="F527" t="inlineStr">
        <is>
          <t>GÄVLEBORGS LÄN</t>
        </is>
      </c>
      <c r="G527" t="inlineStr">
        <is>
          <t>OCKELBO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7769-2026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46318</v>
      </c>
      <c r="F528" t="inlineStr">
        <is>
          <t>GÄVLEBORGS LÄN</t>
        </is>
      </c>
      <c r="G528" t="inlineStr">
        <is>
          <t>OCKELBO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7639-2026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46318</v>
      </c>
      <c r="F529" t="inlineStr">
        <is>
          <t>GÄVLEBORGS LÄN</t>
        </is>
      </c>
      <c r="G529" t="inlineStr">
        <is>
          <t>OCKELBO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7681-2026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46062</v>
      </c>
      <c r="E530" s="1" t="n">
        <v>46318</v>
      </c>
      <c r="F530" t="inlineStr">
        <is>
          <t>GÄVLEBORGS LÄN</t>
        </is>
      </c>
      <c r="G530" t="inlineStr">
        <is>
          <t>OCKELBO</t>
        </is>
      </c>
      <c r="H530" t="inlineStr">
        <is>
          <t>Kyrkan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8402-2026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46065</v>
      </c>
      <c r="E531" s="1" t="n">
        <v>46318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46064</v>
      </c>
      <c r="E532" s="1" t="n">
        <v>46318</v>
      </c>
      <c r="F532" t="inlineStr">
        <is>
          <t>GÄVLEBORGS LÄN</t>
        </is>
      </c>
      <c r="G532" t="inlineStr">
        <is>
          <t>OCKELBO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8351-2026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46318</v>
      </c>
      <c r="F533" t="inlineStr">
        <is>
          <t>GÄVLEBORGS LÄN</t>
        </is>
      </c>
      <c r="G533" t="inlineStr">
        <is>
          <t>OCKELBO</t>
        </is>
      </c>
      <c r="I533" t="n">
        <v>17.4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8429-2026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46065</v>
      </c>
      <c r="E534" s="1" t="n">
        <v>46318</v>
      </c>
      <c r="F534" t="inlineStr">
        <is>
          <t>GÄVLEBORGS LÄN</t>
        </is>
      </c>
      <c r="G534" t="inlineStr">
        <is>
          <t>OCKELBO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8354-2026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46064</v>
      </c>
      <c r="E535" s="1" t="n">
        <v>46318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22385-2025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46318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22387-2025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45786</v>
      </c>
      <c r="E537" s="1" t="n">
        <v>46318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46318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28584-2024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45478</v>
      </c>
      <c r="E539" s="1" t="n">
        <v>46318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54323-2024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46318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9470-2026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46318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9507-2026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46318</v>
      </c>
      <c r="F542" t="inlineStr">
        <is>
          <t>GÄVLEBORGS LÄN</t>
        </is>
      </c>
      <c r="G542" t="inlineStr">
        <is>
          <t>OCKELBO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9416-2026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46318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46318</v>
      </c>
      <c r="F544" t="inlineStr">
        <is>
          <t>GÄVLEBORGS LÄN</t>
        </is>
      </c>
      <c r="G544" t="inlineStr">
        <is>
          <t>OCKELBO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9557-2026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46071</v>
      </c>
      <c r="E545" s="1" t="n">
        <v>46318</v>
      </c>
      <c r="F545" t="inlineStr">
        <is>
          <t>GÄVLEBORGS LÄN</t>
        </is>
      </c>
      <c r="G545" t="inlineStr">
        <is>
          <t>OCKELBO</t>
        </is>
      </c>
      <c r="I545" t="n">
        <v>10.4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28181-2022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44746</v>
      </c>
      <c r="E546" s="1" t="n">
        <v>46318</v>
      </c>
      <c r="F546" t="inlineStr">
        <is>
          <t>GÄVLEBORGS LÄN</t>
        </is>
      </c>
      <c r="G546" t="inlineStr">
        <is>
          <t>OCKELBO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46318</v>
      </c>
      <c r="F547" t="inlineStr">
        <is>
          <t>GÄVLEBORGS LÄN</t>
        </is>
      </c>
      <c r="G547" t="inlineStr">
        <is>
          <t>OCKELBO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9505-2026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46071</v>
      </c>
      <c r="E548" s="1" t="n">
        <v>46318</v>
      </c>
      <c r="F548" t="inlineStr">
        <is>
          <t>GÄVLEBORGS LÄN</t>
        </is>
      </c>
      <c r="G548" t="inlineStr">
        <is>
          <t>OCKELBO</t>
        </is>
      </c>
      <c r="I548" t="n">
        <v>8.1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26808-2026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46318</v>
      </c>
      <c r="F549" t="inlineStr">
        <is>
          <t>GÄVLEBORGS LÄN</t>
        </is>
      </c>
      <c r="G549" t="inlineStr">
        <is>
          <t>OCKELBO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46318</v>
      </c>
      <c r="F550" t="inlineStr">
        <is>
          <t>GÄVLEBORGS LÄN</t>
        </is>
      </c>
      <c r="G550" t="inlineStr">
        <is>
          <t>OCKELBO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46318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46031</v>
      </c>
      <c r="E552" s="1" t="n">
        <v>46318</v>
      </c>
      <c r="F552" t="inlineStr">
        <is>
          <t>GÄVLEBORGS LÄN</t>
        </is>
      </c>
      <c r="G552" t="inlineStr">
        <is>
          <t>OCKELBO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27231-2026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46318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9675-2026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46318</v>
      </c>
      <c r="F554" t="inlineStr">
        <is>
          <t>GÄVLEBORGS LÄN</t>
        </is>
      </c>
      <c r="G554" t="inlineStr">
        <is>
          <t>OCKELBO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46318</v>
      </c>
      <c r="F555" t="inlineStr">
        <is>
          <t>GÄVLEBORGS LÄN</t>
        </is>
      </c>
      <c r="G555" t="inlineStr">
        <is>
          <t>OCKELBO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46318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46318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46318</v>
      </c>
      <c r="F558" t="inlineStr">
        <is>
          <t>GÄVLEBORGS LÄN</t>
        </is>
      </c>
      <c r="G558" t="inlineStr">
        <is>
          <t>OCKELBO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46318</v>
      </c>
      <c r="F559" t="inlineStr">
        <is>
          <t>GÄVLEBORGS LÄN</t>
        </is>
      </c>
      <c r="G559" t="inlineStr">
        <is>
          <t>OCKELBO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46077</v>
      </c>
      <c r="E560" s="1" t="n">
        <v>46318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26924-2026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46185</v>
      </c>
      <c r="E561" s="1" t="n">
        <v>46318</v>
      </c>
      <c r="F561" t="inlineStr">
        <is>
          <t>GÄVLEBORGS LÄN</t>
        </is>
      </c>
      <c r="G561" t="inlineStr">
        <is>
          <t>OCKELBO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26843-2026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46318</v>
      </c>
      <c r="F562" t="inlineStr">
        <is>
          <t>GÄVLEBORGS LÄN</t>
        </is>
      </c>
      <c r="G562" t="inlineStr">
        <is>
          <t>OCKELBO</t>
        </is>
      </c>
      <c r="I562" t="n">
        <v>14.6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46318</v>
      </c>
      <c r="F563" t="inlineStr">
        <is>
          <t>GÄVLEBORGS LÄN</t>
        </is>
      </c>
      <c r="G563" t="inlineStr">
        <is>
          <t>OCKELBO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46318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46318</v>
      </c>
      <c r="F565" t="inlineStr">
        <is>
          <t>GÄVLEBORGS LÄN</t>
        </is>
      </c>
      <c r="G565" t="inlineStr">
        <is>
          <t>OCKELBO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45776</v>
      </c>
      <c r="E566" s="1" t="n">
        <v>46318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10529-2026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46077</v>
      </c>
      <c r="E567" s="1" t="n">
        <v>46318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öst AB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10454-2026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46077</v>
      </c>
      <c r="E568" s="1" t="n">
        <v>46318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46318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öst AB</t>
        </is>
      </c>
      <c r="I569" t="n">
        <v>45.7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46031</v>
      </c>
      <c r="E570" s="1" t="n">
        <v>46318</v>
      </c>
      <c r="F570" t="inlineStr">
        <is>
          <t>GÄVLEBORGS LÄN</t>
        </is>
      </c>
      <c r="G570" t="inlineStr">
        <is>
          <t>OCKELBO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10159-2026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46318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46077</v>
      </c>
      <c r="E572" s="1" t="n">
        <v>46318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öst AB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57614-2025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45981</v>
      </c>
      <c r="E573" s="1" t="n">
        <v>46318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23004-2025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45790</v>
      </c>
      <c r="E574" s="1" t="n">
        <v>46318</v>
      </c>
      <c r="F574" t="inlineStr">
        <is>
          <t>GÄVLEBORGS LÄN</t>
        </is>
      </c>
      <c r="G574" t="inlineStr">
        <is>
          <t>OCKELBO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55011-2024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45621</v>
      </c>
      <c r="E575" s="1" t="n">
        <v>46318</v>
      </c>
      <c r="F575" t="inlineStr">
        <is>
          <t>GÄVLEBORGS LÄN</t>
        </is>
      </c>
      <c r="G575" t="inlineStr">
        <is>
          <t>OCKELBO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46318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27620-2026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46190</v>
      </c>
      <c r="E577" s="1" t="n">
        <v>46318</v>
      </c>
      <c r="F577" t="inlineStr">
        <is>
          <t>GÄVLEBORGS LÄN</t>
        </is>
      </c>
      <c r="G577" t="inlineStr">
        <is>
          <t>OCKELBO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27623-2026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46190</v>
      </c>
      <c r="E578" s="1" t="n">
        <v>46318</v>
      </c>
      <c r="F578" t="inlineStr">
        <is>
          <t>GÄVLEBORGS LÄN</t>
        </is>
      </c>
      <c r="G578" t="inlineStr">
        <is>
          <t>OCKELBO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53702-2024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45615</v>
      </c>
      <c r="E579" s="1" t="n">
        <v>46318</v>
      </c>
      <c r="F579" t="inlineStr">
        <is>
          <t>GÄVLEBORGS LÄN</t>
        </is>
      </c>
      <c r="G579" t="inlineStr">
        <is>
          <t>OCKELBO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10418-2026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46318</v>
      </c>
      <c r="F580" t="inlineStr">
        <is>
          <t>GÄVLEBORGS LÄN</t>
        </is>
      </c>
      <c r="G580" t="inlineStr">
        <is>
          <t>OCKELBO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26085-2024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45468</v>
      </c>
      <c r="E581" s="1" t="n">
        <v>46318</v>
      </c>
      <c r="F581" t="inlineStr">
        <is>
          <t>GÄVLEBORGS LÄN</t>
        </is>
      </c>
      <c r="G581" t="inlineStr">
        <is>
          <t>OCKELBO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48803-2024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45593</v>
      </c>
      <c r="E582" s="1" t="n">
        <v>46318</v>
      </c>
      <c r="F582" t="inlineStr">
        <is>
          <t>GÄVLEBORGS LÄN</t>
        </is>
      </c>
      <c r="G582" t="inlineStr">
        <is>
          <t>OCKELBO</t>
        </is>
      </c>
      <c r="I582" t="n">
        <v>9.4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11078-2026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46079</v>
      </c>
      <c r="E583" s="1" t="n">
        <v>46318</v>
      </c>
      <c r="F583" t="inlineStr">
        <is>
          <t>GÄVLEBORGS LÄN</t>
        </is>
      </c>
      <c r="G583" t="inlineStr">
        <is>
          <t>OCKELBO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27381-2026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46189</v>
      </c>
      <c r="E584" s="1" t="n">
        <v>46318</v>
      </c>
      <c r="F584" t="inlineStr">
        <is>
          <t>GÄVLEBORGS LÄN</t>
        </is>
      </c>
      <c r="G584" t="inlineStr">
        <is>
          <t>OCKELBO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27383-2026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46189</v>
      </c>
      <c r="E585" s="1" t="n">
        <v>46318</v>
      </c>
      <c r="F585" t="inlineStr">
        <is>
          <t>GÄVLEBORGS LÄN</t>
        </is>
      </c>
      <c r="G585" t="inlineStr">
        <is>
          <t>OCKELBO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11237-2026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46080</v>
      </c>
      <c r="E586" s="1" t="n">
        <v>46318</v>
      </c>
      <c r="F586" t="inlineStr">
        <is>
          <t>GÄVLEBORGS LÄN</t>
        </is>
      </c>
      <c r="G586" t="inlineStr">
        <is>
          <t>OCKELBO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11234-2026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46080</v>
      </c>
      <c r="E587" s="1" t="n">
        <v>46318</v>
      </c>
      <c r="F587" t="inlineStr">
        <is>
          <t>GÄVLEBORGS LÄN</t>
        </is>
      </c>
      <c r="G587" t="inlineStr">
        <is>
          <t>OCKELBO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16752-2025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45754</v>
      </c>
      <c r="E588" s="1" t="n">
        <v>46318</v>
      </c>
      <c r="F588" t="inlineStr">
        <is>
          <t>GÄVLEBORGS LÄN</t>
        </is>
      </c>
      <c r="G588" t="inlineStr">
        <is>
          <t>OCKELBO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46318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27379-2026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46189</v>
      </c>
      <c r="E590" s="1" t="n">
        <v>46318</v>
      </c>
      <c r="F590" t="inlineStr">
        <is>
          <t>GÄVLEBORGS LÄN</t>
        </is>
      </c>
      <c r="G590" t="inlineStr">
        <is>
          <t>OCKELBO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46189</v>
      </c>
      <c r="E591" s="1" t="n">
        <v>46318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11300-2026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46080</v>
      </c>
      <c r="E592" s="1" t="n">
        <v>46318</v>
      </c>
      <c r="F592" t="inlineStr">
        <is>
          <t>GÄVLEBORGS LÄN</t>
        </is>
      </c>
      <c r="G592" t="inlineStr">
        <is>
          <t>OCKELBO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11027-2026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46079</v>
      </c>
      <c r="E593" s="1" t="n">
        <v>46318</v>
      </c>
      <c r="F593" t="inlineStr">
        <is>
          <t>GÄVLEBORGS LÄN</t>
        </is>
      </c>
      <c r="G593" t="inlineStr">
        <is>
          <t>OCKELBO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27889-2026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46191</v>
      </c>
      <c r="E594" s="1" t="n">
        <v>46318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15403-2022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44659</v>
      </c>
      <c r="E595" s="1" t="n">
        <v>46318</v>
      </c>
      <c r="F595" t="inlineStr">
        <is>
          <t>GÄVLEBORGS LÄN</t>
        </is>
      </c>
      <c r="G595" t="inlineStr">
        <is>
          <t>OCKELBO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11496-2026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46083</v>
      </c>
      <c r="E596" s="1" t="n">
        <v>46318</v>
      </c>
      <c r="F596" t="inlineStr">
        <is>
          <t>GÄVLEBORGS LÄN</t>
        </is>
      </c>
      <c r="G596" t="inlineStr">
        <is>
          <t>OCKELBO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46318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46318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11432-2026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46083</v>
      </c>
      <c r="E599" s="1" t="n">
        <v>46318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11423-2026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46083</v>
      </c>
      <c r="E600" s="1" t="n">
        <v>46318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öst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28289-2026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46196</v>
      </c>
      <c r="E601" s="1" t="n">
        <v>46318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46318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64924-2023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46318</v>
      </c>
      <c r="F603" t="inlineStr">
        <is>
          <t>GÄVLEBORGS LÄN</t>
        </is>
      </c>
      <c r="G603" t="inlineStr">
        <is>
          <t>OCKELBO</t>
        </is>
      </c>
      <c r="I603" t="n">
        <v>6.8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46085</v>
      </c>
      <c r="E604" s="1" t="n">
        <v>46318</v>
      </c>
      <c r="F604" t="inlineStr">
        <is>
          <t>GÄVLEBORGS LÄN</t>
        </is>
      </c>
      <c r="G604" t="inlineStr">
        <is>
          <t>OCKELBO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27995-2026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46318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20207-2024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45434</v>
      </c>
      <c r="E606" s="1" t="n">
        <v>46318</v>
      </c>
      <c r="F606" t="inlineStr">
        <is>
          <t>GÄVLEBORGS LÄN</t>
        </is>
      </c>
      <c r="G606" t="inlineStr">
        <is>
          <t>OCKELBO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12341-2026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46087</v>
      </c>
      <c r="E607" s="1" t="n">
        <v>46318</v>
      </c>
      <c r="F607" t="inlineStr">
        <is>
          <t>GÄVLEBORGS LÄN</t>
        </is>
      </c>
      <c r="G607" t="inlineStr">
        <is>
          <t>OCKELBO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46089</v>
      </c>
      <c r="E608" s="1" t="n">
        <v>46318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29.9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46092</v>
      </c>
      <c r="E609" s="1" t="n">
        <v>46318</v>
      </c>
      <c r="F609" t="inlineStr">
        <is>
          <t>GÄVLEBORGS LÄN</t>
        </is>
      </c>
      <c r="G609" t="inlineStr">
        <is>
          <t>OCKELBO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13428-2026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46094</v>
      </c>
      <c r="E610" s="1" t="n">
        <v>46318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28672-2026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46318</v>
      </c>
      <c r="F611" t="inlineStr">
        <is>
          <t>GÄVLEBORGS LÄN</t>
        </is>
      </c>
      <c r="G611" t="inlineStr">
        <is>
          <t>OCKELBO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12716-2026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46091</v>
      </c>
      <c r="E612" s="1" t="n">
        <v>46318</v>
      </c>
      <c r="F612" t="inlineStr">
        <is>
          <t>GÄVLEBORGS LÄN</t>
        </is>
      </c>
      <c r="G612" t="inlineStr">
        <is>
          <t>OCKELBO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46224</v>
      </c>
      <c r="E613" s="1" t="n">
        <v>46318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46318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36380-2026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46268</v>
      </c>
      <c r="E615" s="1" t="n">
        <v>46318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46318</v>
      </c>
      <c r="F616" t="inlineStr">
        <is>
          <t>GÄVLEBORGS LÄN</t>
        </is>
      </c>
      <c r="G616" t="inlineStr">
        <is>
          <t>OCKELBO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13271-2026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46093</v>
      </c>
      <c r="E617" s="1" t="n">
        <v>46318</v>
      </c>
      <c r="F617" t="inlineStr">
        <is>
          <t>GÄVLEBORGS LÄN</t>
        </is>
      </c>
      <c r="G617" t="inlineStr">
        <is>
          <t>OCKELBO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46318</v>
      </c>
      <c r="F618" t="inlineStr">
        <is>
          <t>GÄVLEBORGS LÄN</t>
        </is>
      </c>
      <c r="G618" t="inlineStr">
        <is>
          <t>OCKELBO</t>
        </is>
      </c>
      <c r="H618" t="inlineStr">
        <is>
          <t>Naturvårdsverket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46318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47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13441-2026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46318</v>
      </c>
      <c r="F620" t="inlineStr">
        <is>
          <t>GÄVLEBORGS LÄN</t>
        </is>
      </c>
      <c r="G620" t="inlineStr">
        <is>
          <t>OCKELBO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46093</v>
      </c>
      <c r="E621" s="1" t="n">
        <v>46318</v>
      </c>
      <c r="F621" t="inlineStr">
        <is>
          <t>GÄVLEBORGS LÄN</t>
        </is>
      </c>
      <c r="G621" t="inlineStr">
        <is>
          <t>OCKELBO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46318</v>
      </c>
      <c r="F622" t="inlineStr">
        <is>
          <t>GÄVLEBORGS LÄN</t>
        </is>
      </c>
      <c r="G622" t="inlineStr">
        <is>
          <t>OCKELBO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36562-2026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46269</v>
      </c>
      <c r="E623" s="1" t="n">
        <v>46318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46318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13882-2026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46098</v>
      </c>
      <c r="E625" s="1" t="n">
        <v>46318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46098</v>
      </c>
      <c r="E626" s="1" t="n">
        <v>46318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36.6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13972-2026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46098</v>
      </c>
      <c r="E627" s="1" t="n">
        <v>46318</v>
      </c>
      <c r="F627" t="inlineStr">
        <is>
          <t>GÄVLEBORGS LÄN</t>
        </is>
      </c>
      <c r="G627" t="inlineStr">
        <is>
          <t>OCKELBO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46318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13621-2026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46097</v>
      </c>
      <c r="E629" s="1" t="n">
        <v>46318</v>
      </c>
      <c r="F629" t="inlineStr">
        <is>
          <t>GÄVLEBORGS LÄN</t>
        </is>
      </c>
      <c r="G629" t="inlineStr">
        <is>
          <t>OCKELBO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36467-2026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46269</v>
      </c>
      <c r="E630" s="1" t="n">
        <v>46318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13856-2026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46318</v>
      </c>
      <c r="F631" t="inlineStr">
        <is>
          <t>GÄVLEBORGS LÄN</t>
        </is>
      </c>
      <c r="G631" t="inlineStr">
        <is>
          <t>OCKELBO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14232-2026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46099</v>
      </c>
      <c r="E632" s="1" t="n">
        <v>46318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29001-2026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46199</v>
      </c>
      <c r="E633" s="1" t="n">
        <v>46318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14037-2026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46098</v>
      </c>
      <c r="E634" s="1" t="n">
        <v>46318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14439-2026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46100</v>
      </c>
      <c r="E635" s="1" t="n">
        <v>46318</v>
      </c>
      <c r="F635" t="inlineStr">
        <is>
          <t>GÄVLEBORGS LÄN</t>
        </is>
      </c>
      <c r="G635" t="inlineStr">
        <is>
          <t>OCKELBO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14441-2026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46100</v>
      </c>
      <c r="E636" s="1" t="n">
        <v>46318</v>
      </c>
      <c r="F636" t="inlineStr">
        <is>
          <t>GÄVLEBORGS LÄN</t>
        </is>
      </c>
      <c r="G636" t="inlineStr">
        <is>
          <t>OCKELBO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26481-2026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46183</v>
      </c>
      <c r="E637" s="1" t="n">
        <v>46318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43604-2026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46315</v>
      </c>
      <c r="E638" s="1" t="n">
        <v>46318</v>
      </c>
      <c r="F638" t="inlineStr">
        <is>
          <t>GÄVLEBORGS LÄN</t>
        </is>
      </c>
      <c r="G638" t="inlineStr">
        <is>
          <t>OCKELBO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14100-2026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46099</v>
      </c>
      <c r="E639" s="1" t="n">
        <v>46318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15018-2026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46104</v>
      </c>
      <c r="E640" s="1" t="n">
        <v>46318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14827-2026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46318</v>
      </c>
      <c r="F641" t="inlineStr">
        <is>
          <t>GÄVLEBORGS LÄN</t>
        </is>
      </c>
      <c r="G641" t="inlineStr">
        <is>
          <t>OCKELBO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29611-2026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46318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46318</v>
      </c>
      <c r="F643" t="inlineStr">
        <is>
          <t>GÄVLEBORGS LÄN</t>
        </is>
      </c>
      <c r="G643" t="inlineStr">
        <is>
          <t>OCKELBO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15043-2026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46318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14684-2026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46101</v>
      </c>
      <c r="E645" s="1" t="n">
        <v>46318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15029-2026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46104</v>
      </c>
      <c r="E646" s="1" t="n">
        <v>46318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34.1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29437-2026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46203</v>
      </c>
      <c r="E647" s="1" t="n">
        <v>46318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14972-2026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46318</v>
      </c>
      <c r="F648" t="inlineStr">
        <is>
          <t>GÄVLEBORGS LÄN</t>
        </is>
      </c>
      <c r="G648" t="inlineStr">
        <is>
          <t>OCKELBO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29386-2026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46318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15067-2026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46318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46318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15575-2026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46318</v>
      </c>
      <c r="F652" t="inlineStr">
        <is>
          <t>GÄVLEBORGS LÄN</t>
        </is>
      </c>
      <c r="G652" t="inlineStr">
        <is>
          <t>OCKELBO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31517-2026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46223</v>
      </c>
      <c r="E653" s="1" t="n">
        <v>46318</v>
      </c>
      <c r="F653" t="inlineStr">
        <is>
          <t>GÄVLEBORGS LÄN</t>
        </is>
      </c>
      <c r="G653" t="inlineStr">
        <is>
          <t>OCKELBO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31519-2026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46223</v>
      </c>
      <c r="E654" s="1" t="n">
        <v>46318</v>
      </c>
      <c r="F654" t="inlineStr">
        <is>
          <t>GÄVLEBORGS LÄN</t>
        </is>
      </c>
      <c r="G654" t="inlineStr">
        <is>
          <t>OCKELBO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15572-2026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46318</v>
      </c>
      <c r="F655" t="inlineStr">
        <is>
          <t>GÄVLEBORGS LÄN</t>
        </is>
      </c>
      <c r="G655" t="inlineStr">
        <is>
          <t>OCKELBO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46105</v>
      </c>
      <c r="E656" s="1" t="n">
        <v>46318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öst AB</t>
        </is>
      </c>
      <c r="I656" t="n">
        <v>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29415-2026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46203</v>
      </c>
      <c r="E657" s="1" t="n">
        <v>46318</v>
      </c>
      <c r="F657" t="inlineStr">
        <is>
          <t>GÄVLEBORGS LÄN</t>
        </is>
      </c>
      <c r="G657" t="inlineStr">
        <is>
          <t>OCKELBO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19762-2024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45432</v>
      </c>
      <c r="E658" s="1" t="n">
        <v>46318</v>
      </c>
      <c r="F658" t="inlineStr">
        <is>
          <t>GÄVLEBORGS LÄN</t>
        </is>
      </c>
      <c r="G658" t="inlineStr">
        <is>
          <t>OCKELBO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31530-2026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46223</v>
      </c>
      <c r="E659" s="1" t="n">
        <v>46318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34765-2026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46258</v>
      </c>
      <c r="E660" s="1" t="n">
        <v>46318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15678-2026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46318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29849-2026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46205</v>
      </c>
      <c r="E662" s="1" t="n">
        <v>46318</v>
      </c>
      <c r="F662" t="inlineStr">
        <is>
          <t>GÄVLEBORGS LÄN</t>
        </is>
      </c>
      <c r="G662" t="inlineStr">
        <is>
          <t>OCKELBO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15679-2026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46318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6.2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16006-2026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46318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9.699999999999999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16054-2026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46108</v>
      </c>
      <c r="E665" s="1" t="n">
        <v>46318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16296-2026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46318</v>
      </c>
      <c r="F666" t="inlineStr">
        <is>
          <t>GÄVLEBORGS LÄN</t>
        </is>
      </c>
      <c r="G666" t="inlineStr">
        <is>
          <t>OCKELBO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30031-2026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46318</v>
      </c>
      <c r="F667" t="inlineStr">
        <is>
          <t>GÄVLEBORGS LÄN</t>
        </is>
      </c>
      <c r="G667" t="inlineStr">
        <is>
          <t>OCKELBO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16535-2026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46318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16667-2026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46112</v>
      </c>
      <c r="E669" s="1" t="n">
        <v>46318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29789-2026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46205</v>
      </c>
      <c r="E670" s="1" t="n">
        <v>46318</v>
      </c>
      <c r="F670" t="inlineStr">
        <is>
          <t>GÄVLEBORGS LÄN</t>
        </is>
      </c>
      <c r="G670" t="inlineStr">
        <is>
          <t>OCKELBO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16481-2026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46112</v>
      </c>
      <c r="E671" s="1" t="n">
        <v>46318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16388-2026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46318</v>
      </c>
      <c r="F672" t="inlineStr">
        <is>
          <t>GÄVLEBORGS LÄN</t>
        </is>
      </c>
      <c r="G672" t="inlineStr">
        <is>
          <t>OCKELBO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16981-2026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46318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9.4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46114</v>
      </c>
      <c r="E674" s="1" t="n">
        <v>46318</v>
      </c>
      <c r="F674" t="inlineStr">
        <is>
          <t>GÄVLEBORGS LÄN</t>
        </is>
      </c>
      <c r="G674" t="inlineStr">
        <is>
          <t>OCKELBO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46205</v>
      </c>
      <c r="E675" s="1" t="n">
        <v>46318</v>
      </c>
      <c r="F675" t="inlineStr">
        <is>
          <t>GÄVLEBORGS LÄN</t>
        </is>
      </c>
      <c r="G675" t="inlineStr">
        <is>
          <t>OCKELBO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46318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46318</v>
      </c>
      <c r="F677" t="inlineStr">
        <is>
          <t>GÄVLEBORGS LÄN</t>
        </is>
      </c>
      <c r="G677" t="inlineStr">
        <is>
          <t>OCKELBO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46076</v>
      </c>
      <c r="E678" s="1" t="n">
        <v>46318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öst AB</t>
        </is>
      </c>
      <c r="I678" t="n">
        <v>7.7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37487-2026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46275</v>
      </c>
      <c r="E679" s="1" t="n">
        <v>46318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31571-2026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46224</v>
      </c>
      <c r="E680" s="1" t="n">
        <v>46318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31971-2026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46232</v>
      </c>
      <c r="E681" s="1" t="n">
        <v>46318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37321-2026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46275</v>
      </c>
      <c r="E682" s="1" t="n">
        <v>46318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10290-2026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46076</v>
      </c>
      <c r="E683" s="1" t="n">
        <v>46318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öst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10457-2026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46077</v>
      </c>
      <c r="E684" s="1" t="n">
        <v>46318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öst AB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17224-2026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46318</v>
      </c>
      <c r="F685" t="inlineStr">
        <is>
          <t>GÄVLEBORGS LÄN</t>
        </is>
      </c>
      <c r="G685" t="inlineStr">
        <is>
          <t>OCKELBO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10326-2026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46076</v>
      </c>
      <c r="E686" s="1" t="n">
        <v>46318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öst AB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17241-2026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46318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46118</v>
      </c>
      <c r="E688" s="1" t="n">
        <v>46318</v>
      </c>
      <c r="F688" t="inlineStr">
        <is>
          <t>GÄVLEBORGS LÄN</t>
        </is>
      </c>
      <c r="G688" t="inlineStr">
        <is>
          <t>OCKELBO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10309-2026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46076</v>
      </c>
      <c r="E689" s="1" t="n">
        <v>46318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öst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21878-2024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45443</v>
      </c>
      <c r="E690" s="1" t="n">
        <v>46318</v>
      </c>
      <c r="F690" t="inlineStr">
        <is>
          <t>GÄVLEBORGS LÄN</t>
        </is>
      </c>
      <c r="G690" t="inlineStr">
        <is>
          <t>OCKELBO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44039-2026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46317</v>
      </c>
      <c r="E691" s="1" t="n">
        <v>46318</v>
      </c>
      <c r="F691" t="inlineStr">
        <is>
          <t>GÄVLEBORGS LÄN</t>
        </is>
      </c>
      <c r="G691" t="inlineStr">
        <is>
          <t>OCKELBO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46121</v>
      </c>
      <c r="E692" s="1" t="n">
        <v>46318</v>
      </c>
      <c r="F692" t="inlineStr">
        <is>
          <t>GÄVLEBORGS LÄN</t>
        </is>
      </c>
      <c r="G692" t="inlineStr">
        <is>
          <t>OCKELBO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17600-2026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46121</v>
      </c>
      <c r="E693" s="1" t="n">
        <v>46318</v>
      </c>
      <c r="F693" t="inlineStr">
        <is>
          <t>GÄVLEBORGS LÄN</t>
        </is>
      </c>
      <c r="G693" t="inlineStr">
        <is>
          <t>OCKELBO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31443-2026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46220</v>
      </c>
      <c r="E694" s="1" t="n">
        <v>46318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5240-2026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46049</v>
      </c>
      <c r="E695" s="1" t="n">
        <v>46318</v>
      </c>
      <c r="F695" t="inlineStr">
        <is>
          <t>GÄVLEBORGS LÄN</t>
        </is>
      </c>
      <c r="G695" t="inlineStr">
        <is>
          <t>OCKELBO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18133-2026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46125</v>
      </c>
      <c r="E696" s="1" t="n">
        <v>46318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43758-2026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46316</v>
      </c>
      <c r="E697" s="1" t="n">
        <v>46318</v>
      </c>
      <c r="F697" t="inlineStr">
        <is>
          <t>GÄVLEBORGS LÄN</t>
        </is>
      </c>
      <c r="G697" t="inlineStr">
        <is>
          <t>OCKELBO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18234-2026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46126</v>
      </c>
      <c r="E698" s="1" t="n">
        <v>46318</v>
      </c>
      <c r="F698" t="inlineStr">
        <is>
          <t>GÄVLEBORGS LÄN</t>
        </is>
      </c>
      <c r="G698" t="inlineStr">
        <is>
          <t>OCKELBO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18248-2026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46126</v>
      </c>
      <c r="E699" s="1" t="n">
        <v>46318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13855-2026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46098</v>
      </c>
      <c r="E700" s="1" t="n">
        <v>46318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46127</v>
      </c>
      <c r="E701" s="1" t="n">
        <v>46318</v>
      </c>
      <c r="F701" t="inlineStr">
        <is>
          <t>GÄVLEBORGS LÄN</t>
        </is>
      </c>
      <c r="G701" t="inlineStr">
        <is>
          <t>OCKELBO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15255-2026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46105</v>
      </c>
      <c r="E702" s="1" t="n">
        <v>46318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35155-2026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46260</v>
      </c>
      <c r="E703" s="1" t="n">
        <v>46318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18513-2026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46127</v>
      </c>
      <c r="E704" s="1" t="n">
        <v>46318</v>
      </c>
      <c r="F704" t="inlineStr">
        <is>
          <t>GÄVLEBORGS LÄN</t>
        </is>
      </c>
      <c r="G704" t="inlineStr">
        <is>
          <t>OCKELBO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40218-2023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45169</v>
      </c>
      <c r="E705" s="1" t="n">
        <v>46318</v>
      </c>
      <c r="F705" t="inlineStr">
        <is>
          <t>GÄVLEBORGS LÄN</t>
        </is>
      </c>
      <c r="G705" t="inlineStr">
        <is>
          <t>OCKELBO</t>
        </is>
      </c>
      <c r="I705" t="n">
        <v>13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46318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46318</v>
      </c>
      <c r="F707" t="inlineStr">
        <is>
          <t>GÄVLEBORGS LÄN</t>
        </is>
      </c>
      <c r="G707" t="inlineStr">
        <is>
          <t>OCKELBO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16530-2026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46112</v>
      </c>
      <c r="E708" s="1" t="n">
        <v>46318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18669-2026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46128</v>
      </c>
      <c r="E709" s="1" t="n">
        <v>46318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15581-2026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46106</v>
      </c>
      <c r="E710" s="1" t="n">
        <v>46318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öst AB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18457-2026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46127</v>
      </c>
      <c r="E711" s="1" t="n">
        <v>46318</v>
      </c>
      <c r="F711" t="inlineStr">
        <is>
          <t>GÄVLEBORGS LÄN</t>
        </is>
      </c>
      <c r="G711" t="inlineStr">
        <is>
          <t>OCKELBO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19213-2026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46132</v>
      </c>
      <c r="E712" s="1" t="n">
        <v>46318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19271-2026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46133</v>
      </c>
      <c r="E713" s="1" t="n">
        <v>46318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19068-2026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46318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19277-2026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46133</v>
      </c>
      <c r="E715" s="1" t="n">
        <v>46318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31083-2026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46216</v>
      </c>
      <c r="E716" s="1" t="n">
        <v>46318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19138-2026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46318</v>
      </c>
      <c r="F717" t="inlineStr">
        <is>
          <t>GÄVLEBORGS LÄN</t>
        </is>
      </c>
      <c r="G717" t="inlineStr">
        <is>
          <t>OCKELBO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19040-2026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46132</v>
      </c>
      <c r="E718" s="1" t="n">
        <v>46318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19139-2026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46132</v>
      </c>
      <c r="E719" s="1" t="n">
        <v>46318</v>
      </c>
      <c r="F719" t="inlineStr">
        <is>
          <t>GÄVLEBORGS LÄN</t>
        </is>
      </c>
      <c r="G719" t="inlineStr">
        <is>
          <t>OCKELBO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19424-2026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46133</v>
      </c>
      <c r="E720" s="1" t="n">
        <v>46318</v>
      </c>
      <c r="F720" t="inlineStr">
        <is>
          <t>GÄVLEBORGS LÄN</t>
        </is>
      </c>
      <c r="G720" t="inlineStr">
        <is>
          <t>OCKELBO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19038-2026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46318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19146-2026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46318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19142-2026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46132</v>
      </c>
      <c r="E723" s="1" t="n">
        <v>46318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46318</v>
      </c>
      <c r="F724" t="inlineStr">
        <is>
          <t>GÄVLEBORGS LÄN</t>
        </is>
      </c>
      <c r="G724" t="inlineStr">
        <is>
          <t>OCKELBO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19603-2026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46318</v>
      </c>
      <c r="F725" t="inlineStr">
        <is>
          <t>GÄVLEBORGS LÄN</t>
        </is>
      </c>
      <c r="G725" t="inlineStr">
        <is>
          <t>OCKELBO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31277-2026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46218</v>
      </c>
      <c r="E726" s="1" t="n">
        <v>46318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17117-2026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46114</v>
      </c>
      <c r="E727" s="1" t="n">
        <v>46318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17208-2026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46119</v>
      </c>
      <c r="E728" s="1" t="n">
        <v>46318</v>
      </c>
      <c r="F728" t="inlineStr">
        <is>
          <t>GÄVLEBORGS LÄN</t>
        </is>
      </c>
      <c r="G728" t="inlineStr">
        <is>
          <t>OCKELBO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19431-2026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46133</v>
      </c>
      <c r="E729" s="1" t="n">
        <v>46318</v>
      </c>
      <c r="F729" t="inlineStr">
        <is>
          <t>GÄVLEBORGS LÄN</t>
        </is>
      </c>
      <c r="G729" t="inlineStr">
        <is>
          <t>OCKELBO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19531-2026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46134</v>
      </c>
      <c r="E730" s="1" t="n">
        <v>46318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5.7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9461-2026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46071</v>
      </c>
      <c r="E731" s="1" t="n">
        <v>46318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13931-2026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46318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58156-2025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45982</v>
      </c>
      <c r="E733" s="1" t="n">
        <v>46318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55422-2022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44887</v>
      </c>
      <c r="E734" s="1" t="n">
        <v>46318</v>
      </c>
      <c r="F734" t="inlineStr">
        <is>
          <t>GÄVLEBORGS LÄN</t>
        </is>
      </c>
      <c r="G734" t="inlineStr">
        <is>
          <t>OCKELBO</t>
        </is>
      </c>
      <c r="I734" t="n">
        <v>0.1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17548-2025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45757</v>
      </c>
      <c r="E735" s="1" t="n">
        <v>46318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31804-2026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46230</v>
      </c>
      <c r="E736" s="1" t="n">
        <v>46318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20605-2026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46140</v>
      </c>
      <c r="E737" s="1" t="n">
        <v>46318</v>
      </c>
      <c r="F737" t="inlineStr">
        <is>
          <t>GÄVLEBORGS LÄN</t>
        </is>
      </c>
      <c r="G737" t="inlineStr">
        <is>
          <t>OCKELBO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37841-2026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46279</v>
      </c>
      <c r="E738" s="1" t="n">
        <v>46318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20408-2026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46140</v>
      </c>
      <c r="E739" s="1" t="n">
        <v>46318</v>
      </c>
      <c r="F739" t="inlineStr">
        <is>
          <t>GÄVLEBORGS LÄN</t>
        </is>
      </c>
      <c r="G739" t="inlineStr">
        <is>
          <t>OCKELBO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19178-2023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45048</v>
      </c>
      <c r="E740" s="1" t="n">
        <v>46318</v>
      </c>
      <c r="F740" t="inlineStr">
        <is>
          <t>GÄVLEBORGS LÄN</t>
        </is>
      </c>
      <c r="G740" t="inlineStr">
        <is>
          <t>OCKELBO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29954-2024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45488</v>
      </c>
      <c r="E741" s="1" t="n">
        <v>46318</v>
      </c>
      <c r="F741" t="inlineStr">
        <is>
          <t>GÄVLEBORGS LÄN</t>
        </is>
      </c>
      <c r="G741" t="inlineStr">
        <is>
          <t>OCKELBO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46074-2024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45581</v>
      </c>
      <c r="E742" s="1" t="n">
        <v>46318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18291-2023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45041</v>
      </c>
      <c r="E743" s="1" t="n">
        <v>46318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32011-2024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45510</v>
      </c>
      <c r="E744" s="1" t="n">
        <v>46318</v>
      </c>
      <c r="F744" t="inlineStr">
        <is>
          <t>GÄVLEBORGS LÄN</t>
        </is>
      </c>
      <c r="G744" t="inlineStr">
        <is>
          <t>OCKELBO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30349-2023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45111</v>
      </c>
      <c r="E745" s="1" t="n">
        <v>46318</v>
      </c>
      <c r="F745" t="inlineStr">
        <is>
          <t>GÄVLEBORGS LÄN</t>
        </is>
      </c>
      <c r="G745" t="inlineStr">
        <is>
          <t>OCKELBO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38648-2026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46283</v>
      </c>
      <c r="E746" s="1" t="n">
        <v>46318</v>
      </c>
      <c r="F746" t="inlineStr">
        <is>
          <t>GÄVLEBORGS LÄN</t>
        </is>
      </c>
      <c r="G746" t="inlineStr">
        <is>
          <t>OCKELBO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38668-2026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46283</v>
      </c>
      <c r="E747" s="1" t="n">
        <v>46318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51989-2023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45223</v>
      </c>
      <c r="E748" s="1" t="n">
        <v>46318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46052</v>
      </c>
      <c r="E749" s="1" t="n">
        <v>46318</v>
      </c>
      <c r="F749" t="inlineStr">
        <is>
          <t>GÄVLEBORGS LÄN</t>
        </is>
      </c>
      <c r="G749" t="inlineStr">
        <is>
          <t>OCKELBO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43538-2023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45184</v>
      </c>
      <c r="E750" s="1" t="n">
        <v>46318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39681-2026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46289</v>
      </c>
      <c r="E751" s="1" t="n">
        <v>46318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30242-2024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45490</v>
      </c>
      <c r="E752" s="1" t="n">
        <v>46318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34440-2023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45139</v>
      </c>
      <c r="E753" s="1" t="n">
        <v>46318</v>
      </c>
      <c r="F753" t="inlineStr">
        <is>
          <t>GÄVLEBORGS LÄN</t>
        </is>
      </c>
      <c r="G753" t="inlineStr">
        <is>
          <t>OCKELBO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33176-2026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46245</v>
      </c>
      <c r="E754" s="1" t="n">
        <v>46318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7478-2025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45705</v>
      </c>
      <c r="E755" s="1" t="n">
        <v>46318</v>
      </c>
      <c r="F755" t="inlineStr">
        <is>
          <t>GÄVLEBORGS LÄN</t>
        </is>
      </c>
      <c r="G755" t="inlineStr">
        <is>
          <t>OCKELBO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14071-2026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46099</v>
      </c>
      <c r="E756" s="1" t="n">
        <v>46318</v>
      </c>
      <c r="F756" t="inlineStr">
        <is>
          <t>GÄVLEBORGS LÄN</t>
        </is>
      </c>
      <c r="G756" t="inlineStr">
        <is>
          <t>OCKELBO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42585-2023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45181</v>
      </c>
      <c r="E757" s="1" t="n">
        <v>46318</v>
      </c>
      <c r="F757" t="inlineStr">
        <is>
          <t>GÄVLEBORGS LÄN</t>
        </is>
      </c>
      <c r="G757" t="inlineStr">
        <is>
          <t>OCKELBO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40117-2026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46293</v>
      </c>
      <c r="E758" s="1" t="n">
        <v>46318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52241-2024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45608</v>
      </c>
      <c r="E759" s="1" t="n">
        <v>46318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7.7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52243-2024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45608</v>
      </c>
      <c r="E760" s="1" t="n">
        <v>46318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20660-2022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44700</v>
      </c>
      <c r="E761" s="1" t="n">
        <v>46318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40185-2026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46293</v>
      </c>
      <c r="E762" s="1" t="n">
        <v>46318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46293</v>
      </c>
      <c r="E763" s="1" t="n">
        <v>46318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15042-2026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46104</v>
      </c>
      <c r="E764" s="1" t="n">
        <v>46318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6.2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40149-2026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46293</v>
      </c>
      <c r="E765" s="1" t="n">
        <v>46318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47841-2023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45204</v>
      </c>
      <c r="E766" s="1" t="n">
        <v>46318</v>
      </c>
      <c r="F766" t="inlineStr">
        <is>
          <t>GÄVLEBORGS LÄN</t>
        </is>
      </c>
      <c r="G766" t="inlineStr">
        <is>
          <t>OCKELBO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5571-2024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45334</v>
      </c>
      <c r="E767" s="1" t="n">
        <v>46318</v>
      </c>
      <c r="F767" t="inlineStr">
        <is>
          <t>GÄVLEBORGS LÄN</t>
        </is>
      </c>
      <c r="G767" t="inlineStr">
        <is>
          <t>OCKELBO</t>
        </is>
      </c>
      <c r="I767" t="n">
        <v>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60915-2024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45645</v>
      </c>
      <c r="E768" s="1" t="n">
        <v>46318</v>
      </c>
      <c r="F768" t="inlineStr">
        <is>
          <t>GÄVLEBORGS LÄN</t>
        </is>
      </c>
      <c r="G768" t="inlineStr">
        <is>
          <t>OCKELBO</t>
        </is>
      </c>
      <c r="H768" t="inlineStr">
        <is>
          <t>Kyrkan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28586-2024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45478</v>
      </c>
      <c r="E769" s="1" t="n">
        <v>46318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46052</v>
      </c>
      <c r="E770" s="1" t="n">
        <v>46318</v>
      </c>
      <c r="F770" t="inlineStr">
        <is>
          <t>GÄVLEBORGS LÄN</t>
        </is>
      </c>
      <c r="G770" t="inlineStr">
        <is>
          <t>OCKELBO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21582-2024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45441</v>
      </c>
      <c r="E771" s="1" t="n">
        <v>46318</v>
      </c>
      <c r="F771" t="inlineStr">
        <is>
          <t>GÄVLEBORGS LÄN</t>
        </is>
      </c>
      <c r="G771" t="inlineStr">
        <is>
          <t>OCKELBO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59978-2023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45254</v>
      </c>
      <c r="E772" s="1" t="n">
        <v>46318</v>
      </c>
      <c r="F772" t="inlineStr">
        <is>
          <t>GÄVLEBORGS LÄN</t>
        </is>
      </c>
      <c r="G772" t="inlineStr">
        <is>
          <t>OCKELBO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46065</v>
      </c>
      <c r="E773" s="1" t="n">
        <v>46318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9542-2026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46071</v>
      </c>
      <c r="E774" s="1" t="n">
        <v>46318</v>
      </c>
      <c r="F774" t="inlineStr">
        <is>
          <t>GÄVLEBORGS LÄN</t>
        </is>
      </c>
      <c r="G774" t="inlineStr">
        <is>
          <t>OCKELBO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23072-2024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45450</v>
      </c>
      <c r="E775" s="1" t="n">
        <v>46318</v>
      </c>
      <c r="F775" t="inlineStr">
        <is>
          <t>GÄVLEBORGS LÄN</t>
        </is>
      </c>
      <c r="G775" t="inlineStr">
        <is>
          <t>OCKELBO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10445-2024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45366</v>
      </c>
      <c r="E776" s="1" t="n">
        <v>46318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8683-2026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46066</v>
      </c>
      <c r="E777" s="1" t="n">
        <v>46318</v>
      </c>
      <c r="F777" t="inlineStr">
        <is>
          <t>GÄVLEBORGS LÄN</t>
        </is>
      </c>
      <c r="G777" t="inlineStr">
        <is>
          <t>OCKELBO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46038</v>
      </c>
      <c r="E778" s="1" t="n">
        <v>46318</v>
      </c>
      <c r="F778" t="inlineStr">
        <is>
          <t>GÄVLEBORGS LÄN</t>
        </is>
      </c>
      <c r="G778" t="inlineStr">
        <is>
          <t>OCKELBO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14756-2026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46101</v>
      </c>
      <c r="E779" s="1" t="n">
        <v>46318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40881-2026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46297</v>
      </c>
      <c r="E780" s="1" t="n">
        <v>46318</v>
      </c>
      <c r="F780" t="inlineStr">
        <is>
          <t>GÄVLEBORGS LÄN</t>
        </is>
      </c>
      <c r="G780" t="inlineStr">
        <is>
          <t>OCKELBO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29963-2024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45488</v>
      </c>
      <c r="E781" s="1" t="n">
        <v>46318</v>
      </c>
      <c r="F781" t="inlineStr">
        <is>
          <t>GÄVLEBORGS LÄN</t>
        </is>
      </c>
      <c r="G781" t="inlineStr">
        <is>
          <t>OCKELBO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22151-2022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44712</v>
      </c>
      <c r="E782" s="1" t="n">
        <v>46318</v>
      </c>
      <c r="F782" t="inlineStr">
        <is>
          <t>GÄVLEBORGS LÄN</t>
        </is>
      </c>
      <c r="G782" t="inlineStr">
        <is>
          <t>OCKELBO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34391-2026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46254</v>
      </c>
      <c r="E783" s="1" t="n">
        <v>46318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6.5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921-2024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45301</v>
      </c>
      <c r="E784" s="1" t="n">
        <v>46318</v>
      </c>
      <c r="F784" t="inlineStr">
        <is>
          <t>GÄVLEBORGS LÄN</t>
        </is>
      </c>
      <c r="G784" t="inlineStr">
        <is>
          <t>OCKELBO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2389-2026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46036</v>
      </c>
      <c r="E785" s="1" t="n">
        <v>46318</v>
      </c>
      <c r="F785" t="inlineStr">
        <is>
          <t>GÄVLEBORGS LÄN</t>
        </is>
      </c>
      <c r="G785" t="inlineStr">
        <is>
          <t>OCKELBO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55112-2023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45237</v>
      </c>
      <c r="E786" s="1" t="n">
        <v>46318</v>
      </c>
      <c r="F786" t="inlineStr">
        <is>
          <t>GÄVLEBORGS LÄN</t>
        </is>
      </c>
      <c r="G786" t="inlineStr">
        <is>
          <t>OCKELBO</t>
        </is>
      </c>
      <c r="I786" t="n">
        <v>14.6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15325-2025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45747</v>
      </c>
      <c r="E787" s="1" t="n">
        <v>46318</v>
      </c>
      <c r="F787" t="inlineStr">
        <is>
          <t>GÄVLEBORGS LÄN</t>
        </is>
      </c>
      <c r="G787" t="inlineStr">
        <is>
          <t>OCKELBO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20984-2026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46142</v>
      </c>
      <c r="E788" s="1" t="n">
        <v>46318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17709-2026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46121</v>
      </c>
      <c r="E789" s="1" t="n">
        <v>46318</v>
      </c>
      <c r="F789" t="inlineStr">
        <is>
          <t>GÄVLEBORGS LÄN</t>
        </is>
      </c>
      <c r="G789" t="inlineStr">
        <is>
          <t>OCKELBO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22692-2026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46156</v>
      </c>
      <c r="E790" s="1" t="n">
        <v>46318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29968-2024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45488</v>
      </c>
      <c r="E791" s="1" t="n">
        <v>46318</v>
      </c>
      <c r="F791" t="inlineStr">
        <is>
          <t>GÄVLEBORGS LÄN</t>
        </is>
      </c>
      <c r="G791" t="inlineStr">
        <is>
          <t>OCKELBO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12947-2026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46092</v>
      </c>
      <c r="E792" s="1" t="n">
        <v>46318</v>
      </c>
      <c r="F792" t="inlineStr">
        <is>
          <t>GÄVLEBORGS LÄN</t>
        </is>
      </c>
      <c r="G792" t="inlineStr">
        <is>
          <t>OCKELBO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14410-2026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46100</v>
      </c>
      <c r="E793" s="1" t="n">
        <v>46318</v>
      </c>
      <c r="F793" t="inlineStr">
        <is>
          <t>GÄVLEBORGS LÄN</t>
        </is>
      </c>
      <c r="G793" t="inlineStr">
        <is>
          <t>OCKELBO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6617-2025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45700</v>
      </c>
      <c r="E794" s="1" t="n">
        <v>46318</v>
      </c>
      <c r="F794" t="inlineStr">
        <is>
          <t>GÄVLEBORGS LÄN</t>
        </is>
      </c>
      <c r="G794" t="inlineStr">
        <is>
          <t>OCKELBO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6742-2024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45342</v>
      </c>
      <c r="E795" s="1" t="n">
        <v>46318</v>
      </c>
      <c r="F795" t="inlineStr">
        <is>
          <t>GÄVLEBORGS LÄN</t>
        </is>
      </c>
      <c r="G795" t="inlineStr">
        <is>
          <t>OCKELBO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58727-2025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45986</v>
      </c>
      <c r="E796" s="1" t="n">
        <v>46318</v>
      </c>
      <c r="F796" t="inlineStr">
        <is>
          <t>GÄVLEBORGS LÄN</t>
        </is>
      </c>
      <c r="G796" t="inlineStr">
        <is>
          <t>OCKELBO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7276-2023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44970</v>
      </c>
      <c r="E797" s="1" t="n">
        <v>46318</v>
      </c>
      <c r="F797" t="inlineStr">
        <is>
          <t>GÄVLEBORGS LÄN</t>
        </is>
      </c>
      <c r="G797" t="inlineStr">
        <is>
          <t>OCKELBO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18326-2026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46126</v>
      </c>
      <c r="E798" s="1" t="n">
        <v>46318</v>
      </c>
      <c r="F798" t="inlineStr">
        <is>
          <t>GÄVLEBORGS LÄN</t>
        </is>
      </c>
      <c r="G798" t="inlineStr">
        <is>
          <t>OCKELBO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41071-2026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46300</v>
      </c>
      <c r="E799" s="1" t="n">
        <v>46318</v>
      </c>
      <c r="F799" t="inlineStr">
        <is>
          <t>GÄVLEBORGS LÄN</t>
        </is>
      </c>
      <c r="G799" t="inlineStr">
        <is>
          <t>OCKELBO</t>
        </is>
      </c>
      <c r="I799" t="n">
        <v>10.1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16629-2025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45754</v>
      </c>
      <c r="E800" s="1" t="n">
        <v>46318</v>
      </c>
      <c r="F800" t="inlineStr">
        <is>
          <t>GÄVLEBORGS LÄN</t>
        </is>
      </c>
      <c r="G800" t="inlineStr">
        <is>
          <t>OCKELBO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5131-2024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45330</v>
      </c>
      <c r="E801" s="1" t="n">
        <v>46318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11116-2026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46079</v>
      </c>
      <c r="E802" s="1" t="n">
        <v>46318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29534-2023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45106</v>
      </c>
      <c r="E803" s="1" t="n">
        <v>46318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27272-2026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46188</v>
      </c>
      <c r="E804" s="1" t="n">
        <v>46318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30990-2026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46213</v>
      </c>
      <c r="E805" s="1" t="n">
        <v>46318</v>
      </c>
      <c r="F805" t="inlineStr">
        <is>
          <t>GÄVLEBORGS LÄN</t>
        </is>
      </c>
      <c r="G805" t="inlineStr">
        <is>
          <t>OCKELBO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46318</v>
      </c>
      <c r="F806" t="inlineStr">
        <is>
          <t>GÄVLEBORGS LÄN</t>
        </is>
      </c>
      <c r="G806" t="inlineStr">
        <is>
          <t>OCKELBO</t>
        </is>
      </c>
      <c r="I806" t="n">
        <v>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17682-2026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46121</v>
      </c>
      <c r="E807" s="1" t="n">
        <v>46318</v>
      </c>
      <c r="F807" t="inlineStr">
        <is>
          <t>GÄVLEBORGS LÄN</t>
        </is>
      </c>
      <c r="G807" t="inlineStr">
        <is>
          <t>OCKELBO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45674</v>
      </c>
      <c r="E808" s="1" t="n">
        <v>46318</v>
      </c>
      <c r="F808" t="inlineStr">
        <is>
          <t>GÄVLEBORGS LÄN</t>
        </is>
      </c>
      <c r="G808" t="inlineStr">
        <is>
          <t>OCKELBO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60148-2023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45258</v>
      </c>
      <c r="E809" s="1" t="n">
        <v>46318</v>
      </c>
      <c r="F809" t="inlineStr">
        <is>
          <t>GÄVLEBORGS LÄN</t>
        </is>
      </c>
      <c r="G809" t="inlineStr">
        <is>
          <t>OCKELBO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65259-2023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45291</v>
      </c>
      <c r="E810" s="1" t="n">
        <v>46318</v>
      </c>
      <c r="F810" t="inlineStr">
        <is>
          <t>GÄVLEBORGS LÄN</t>
        </is>
      </c>
      <c r="G810" t="inlineStr">
        <is>
          <t>OCKELBO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56352-2024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45624</v>
      </c>
      <c r="E811" s="1" t="n">
        <v>46318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39430-2024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45551</v>
      </c>
      <c r="E812" s="1" t="n">
        <v>46318</v>
      </c>
      <c r="F812" t="inlineStr">
        <is>
          <t>GÄVLEBORGS LÄN</t>
        </is>
      </c>
      <c r="G812" t="inlineStr">
        <is>
          <t>OCKELBO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36280-2026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46268</v>
      </c>
      <c r="E813" s="1" t="n">
        <v>46318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36097-2026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46267</v>
      </c>
      <c r="E814" s="1" t="n">
        <v>46318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61732-2024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45649</v>
      </c>
      <c r="E815" s="1" t="n">
        <v>46318</v>
      </c>
      <c r="F815" t="inlineStr">
        <is>
          <t>GÄVLEBORGS LÄN</t>
        </is>
      </c>
      <c r="G815" t="inlineStr">
        <is>
          <t>OCKELBO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43135-2026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46311</v>
      </c>
      <c r="E816" s="1" t="n">
        <v>46318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50197-2024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45600</v>
      </c>
      <c r="E817" s="1" t="n">
        <v>46318</v>
      </c>
      <c r="F817" t="inlineStr">
        <is>
          <t>GÄVLEBORGS LÄN</t>
        </is>
      </c>
      <c r="G817" t="inlineStr">
        <is>
          <t>OCKELBO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23772-2024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45455</v>
      </c>
      <c r="E818" s="1" t="n">
        <v>46318</v>
      </c>
      <c r="F818" t="inlineStr">
        <is>
          <t>GÄVLEBORGS LÄN</t>
        </is>
      </c>
      <c r="G818" t="inlineStr">
        <is>
          <t>OCKELBO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54817-2022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44883</v>
      </c>
      <c r="E819" s="1" t="n">
        <v>46318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40196-2024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45554</v>
      </c>
      <c r="E820" s="1" t="n">
        <v>46318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54977-2024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45620</v>
      </c>
      <c r="E821" s="1" t="n">
        <v>46318</v>
      </c>
      <c r="F821" t="inlineStr">
        <is>
          <t>GÄVLEBORGS LÄN</t>
        </is>
      </c>
      <c r="G821" t="inlineStr">
        <is>
          <t>OCKELBO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47674-2023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45203</v>
      </c>
      <c r="E822" s="1" t="n">
        <v>46318</v>
      </c>
      <c r="F822" t="inlineStr">
        <is>
          <t>GÄVLEBORGS LÄN</t>
        </is>
      </c>
      <c r="G822" t="inlineStr">
        <is>
          <t>OCKELBO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14937-2024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45398</v>
      </c>
      <c r="E823" s="1" t="n">
        <v>46318</v>
      </c>
      <c r="F823" t="inlineStr">
        <is>
          <t>GÄVLEBORGS LÄN</t>
        </is>
      </c>
      <c r="G823" t="inlineStr">
        <is>
          <t>OCKELBO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33880-2023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45134</v>
      </c>
      <c r="E824" s="1" t="n">
        <v>46318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33881-2023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45134</v>
      </c>
      <c r="E825" s="1" t="n">
        <v>46318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282-2024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45323</v>
      </c>
      <c r="E826" s="1" t="n">
        <v>46318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5063-2024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45638</v>
      </c>
      <c r="E827" s="1" t="n">
        <v>46318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154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195-2024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45315</v>
      </c>
      <c r="E828" s="1" t="n">
        <v>46318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46.4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411-2025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45699</v>
      </c>
      <c r="E829" s="1" t="n">
        <v>46318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7041-2022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44904</v>
      </c>
      <c r="E830" s="1" t="n">
        <v>46318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297-2026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46058</v>
      </c>
      <c r="E831" s="1" t="n">
        <v>46318</v>
      </c>
      <c r="F831" t="inlineStr">
        <is>
          <t>GÄVLEBORGS LÄN</t>
        </is>
      </c>
      <c r="G831" t="inlineStr">
        <is>
          <t>OCKELBO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46089</v>
      </c>
      <c r="E832" s="1" t="n">
        <v>46318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131.3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46318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46318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46048</v>
      </c>
      <c r="E835" s="1" t="n">
        <v>46318</v>
      </c>
      <c r="F835" t="inlineStr">
        <is>
          <t>GÄVLEBORGS LÄN</t>
        </is>
      </c>
      <c r="G835" t="inlineStr">
        <is>
          <t>OCKELBO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2540-2026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46293</v>
      </c>
      <c r="E836" s="1" t="n">
        <v>46318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2602-2026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46300</v>
      </c>
      <c r="E837" s="1" t="n">
        <v>46318</v>
      </c>
      <c r="F837" t="inlineStr">
        <is>
          <t>GÄVLEBORGS LÄN</t>
        </is>
      </c>
      <c r="G837" t="inlineStr">
        <is>
          <t>OCKELBO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2216-2026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46255</v>
      </c>
      <c r="E838" s="1" t="n">
        <v>46318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19.4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2657-2026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46307</v>
      </c>
      <c r="E839" s="1" t="n">
        <v>46318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2026-10-23T02:02:26Z</dcterms:created>
  <dcterms:modified xmlns:dcterms="http://purl.org/dc/terms/" xmlns:xsi="http://www.w3.org/2001/XMLSchema-instance" xsi:type="dcterms:W3CDTF">2026-10-23T02:02:27Z</dcterms:modified>
</cp:coreProperties>
</file>