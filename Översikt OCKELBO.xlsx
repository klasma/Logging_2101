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19165-2026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46132</v>
      </c>
      <c r="E5" s="1" t="n">
        <v>46259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7.1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Garnlav
Dropptaggsvamp
Motaggsvamp
Plattlummer
Skinnlav
Fläcknycklar
Revlummer</t>
        </is>
      </c>
      <c r="W5">
        <f>HYPERLINK("https://klasma.github.io/Logging_2101/artfynd/A 19165-2026 artfynd.xlsx", "A 19165-2026")</f>
        <v/>
      </c>
      <c r="X5">
        <f>HYPERLINK("https://klasma.github.io/Logging_2101/kartor/A 19165-2026 karta.png", "A 19165-2026")</f>
        <v/>
      </c>
      <c r="Y5">
        <f>HYPERLINK("https://klasma.github.io/Logging_2101/kartor_geotiff/A 19165-2026 georefererad karta.tif", "A 19165-2026")</f>
        <v/>
      </c>
      <c r="AA5">
        <f>HYPERLINK("https://klasma.github.io/Logging_2101/klagomål/A 19165-2026 FSC-klagomål.docx", "A 19165-2026")</f>
        <v/>
      </c>
      <c r="AB5">
        <f>HYPERLINK("https://klasma.github.io/Logging_2101/klagomålsmail/A 19165-2026 FSC-klagomål mail.docx", "A 19165-2026")</f>
        <v/>
      </c>
      <c r="AC5">
        <f>HYPERLINK("https://klasma.github.io/Logging_2101/tillsyn/A 19165-2026 tillsynsbegäran.docx", "A 19165-2026")</f>
        <v/>
      </c>
      <c r="AD5">
        <f>HYPERLINK("https://klasma.github.io/Logging_2101/tillsynsmail/A 19165-2026 tillsynsbegäran mail.docx", "A 19165-2026")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46259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14258-2026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46259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40.5</v>
      </c>
      <c r="J7" t="n">
        <v>0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14</v>
      </c>
      <c r="U7" t="n">
        <v>0</v>
      </c>
      <c r="V7" s="2" t="inlineStr">
        <is>
          <t>Garnlav
Blanksvart spiklav
Dropptaggsvamp
Vedskivlav
Mindre märgborre
Nästlav
Vågbandad barkbock</t>
        </is>
      </c>
      <c r="W7">
        <f>HYPERLINK("https://klasma.github.io/Logging_2101/artfynd/A 14258-2026 artfynd.xlsx", "A 14258-2026")</f>
        <v/>
      </c>
      <c r="X7">
        <f>HYPERLINK("https://klasma.github.io/Logging_2101/kartor/A 14258-2026 karta.png", "A 14258-2026")</f>
        <v/>
      </c>
      <c r="Y7">
        <f>HYPERLINK("https://klasma.github.io/Logging_2101/kartor_geotiff/A 14258-2026 georefererad karta.tif", "A 14258-2026")</f>
        <v/>
      </c>
      <c r="Z7">
        <f>HYPERLINK("https://klasma.github.io/Logging_2101/knärot/A 14258-2026 karta knärot.png", "A 14258-2026")</f>
        <v/>
      </c>
      <c r="AA7">
        <f>HYPERLINK("https://klasma.github.io/Logging_2101/klagomål/A 14258-2026 FSC-klagomål.docx", "A 14258-2026")</f>
        <v/>
      </c>
      <c r="AB7">
        <f>HYPERLINK("https://klasma.github.io/Logging_2101/klagomålsmail/A 14258-2026 FSC-klagomål mail.docx", "A 14258-2026")</f>
        <v/>
      </c>
      <c r="AC7">
        <f>HYPERLINK("https://klasma.github.io/Logging_2101/tillsyn/A 14258-2026 tillsynsbegäran.docx", "A 14258-2026")</f>
        <v/>
      </c>
      <c r="AD7">
        <f>HYPERLINK("https://klasma.github.io/Logging_2101/tillsynsmail/A 14258-2026 tillsynsbegäran mail.docx", "A 14258-2026")</f>
        <v/>
      </c>
    </row>
    <row r="8" ht="15" customHeight="1">
      <c r="A8" t="inlineStr">
        <is>
          <t>A 29544-2023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45106</v>
      </c>
      <c r="E8" s="1" t="n">
        <v>46259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6.5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Vårärt
Skogsknipprot
Tibast
Blåsippa
Fläcknycklar
Lopplummer (aggregat)
Revlummer</t>
        </is>
      </c>
      <c r="W8">
        <f>HYPERLINK("https://klasma.github.io/Logging_2101/artfynd/A 29544-2023 artfynd.xlsx", "A 29544-2023")</f>
        <v/>
      </c>
      <c r="X8">
        <f>HYPERLINK("https://klasma.github.io/Logging_2101/kartor/A 29544-2023 karta.png", "A 29544-2023")</f>
        <v/>
      </c>
      <c r="Y8">
        <f>HYPERLINK("https://klasma.github.io/Logging_2101/kartor_geotiff/A 29544-2023 georefererad karta.tif", "A 29544-2023")</f>
        <v/>
      </c>
      <c r="AA8">
        <f>HYPERLINK("https://klasma.github.io/Logging_2101/klagomål/A 29544-2023 FSC-klagomål.docx", "A 29544-2023")</f>
        <v/>
      </c>
      <c r="AB8">
        <f>HYPERLINK("https://klasma.github.io/Logging_2101/klagomålsmail/A 29544-2023 FSC-klagomål mail.docx", "A 29544-2023")</f>
        <v/>
      </c>
      <c r="AC8">
        <f>HYPERLINK("https://klasma.github.io/Logging_2101/tillsyn/A 29544-2023 tillsynsbegäran.docx", "A 29544-2023")</f>
        <v/>
      </c>
      <c r="AD8">
        <f>HYPERLINK("https://klasma.github.io/Logging_2101/tillsynsmail/A 29544-2023 tillsynsbegäran mail.docx", "A 29544-2023")</f>
        <v/>
      </c>
    </row>
    <row r="9" ht="15" customHeight="1">
      <c r="A9" t="inlineStr">
        <is>
          <t>A 4009-2026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46259</v>
      </c>
      <c r="F9" t="inlineStr">
        <is>
          <t>GÄVLEBORGS LÄN</t>
        </is>
      </c>
      <c r="G9" t="inlineStr">
        <is>
          <t>OCKELBO</t>
        </is>
      </c>
      <c r="I9" t="n">
        <v>3</v>
      </c>
      <c r="J9" t="n">
        <v>6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Ladusvala
Orange taggsvamp
Talltita
Gröngöling
Svartvit flugsnappare
Trana
Fläcknycklar</t>
        </is>
      </c>
      <c r="W9">
        <f>HYPERLINK("https://klasma.github.io/Logging_2101/artfynd/A 4009-2026 artfynd.xlsx", "A 4009-2026")</f>
        <v/>
      </c>
      <c r="X9">
        <f>HYPERLINK("https://klasma.github.io/Logging_2101/kartor/A 4009-2026 karta.png", "A 4009-2026")</f>
        <v/>
      </c>
      <c r="Y9">
        <f>HYPERLINK("https://klasma.github.io/Logging_2101/kartor_geotiff/A 4009-2026 georefererad karta.tif", "A 4009-2026")</f>
        <v/>
      </c>
      <c r="AA9">
        <f>HYPERLINK("https://klasma.github.io/Logging_2101/klagomål/A 4009-2026 FSC-klagomål.docx", "A 4009-2026")</f>
        <v/>
      </c>
      <c r="AB9">
        <f>HYPERLINK("https://klasma.github.io/Logging_2101/klagomålsmail/A 4009-2026 FSC-klagomål mail.docx", "A 4009-2026")</f>
        <v/>
      </c>
      <c r="AC9">
        <f>HYPERLINK("https://klasma.github.io/Logging_2101/tillsyn/A 4009-2026 tillsynsbegäran.docx", "A 4009-2026")</f>
        <v/>
      </c>
      <c r="AD9">
        <f>HYPERLINK("https://klasma.github.io/Logging_2101/tillsynsmail/A 4009-2026 tillsynsbegäran mail.docx", "A 4009-2026")</f>
        <v/>
      </c>
      <c r="AE9">
        <f>HYPERLINK("https://klasma.github.io/Logging_2101/fåglar/A 4009-2026 prioriterade fågelarter.docx", "A 4009-2026")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46259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46259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46259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46259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46259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46259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46259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46259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26463-2024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45469</v>
      </c>
      <c r="E23" s="1" t="n">
        <v>46259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3.6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8</v>
      </c>
      <c r="U23" t="n">
        <v>0</v>
      </c>
      <c r="V23" s="2" t="inlineStr">
        <is>
          <t>Tvåblad
Fläcknycklar
Revlummer</t>
        </is>
      </c>
      <c r="W23">
        <f>HYPERLINK("https://klasma.github.io/Logging_2101/artfynd/A 26463-2024 artfynd.xlsx", "A 26463-2024")</f>
        <v/>
      </c>
      <c r="X23">
        <f>HYPERLINK("https://klasma.github.io/Logging_2101/kartor/A 26463-2024 karta.png", "A 26463-2024")</f>
        <v/>
      </c>
      <c r="Y23">
        <f>HYPERLINK("https://klasma.github.io/Logging_2101/kartor_geotiff/A 26463-2024 georefererad karta.tif", "A 26463-2024")</f>
        <v/>
      </c>
      <c r="AA23">
        <f>HYPERLINK("https://klasma.github.io/Logging_2101/klagomål/A 26463-2024 FSC-klagomål.docx", "A 26463-2024")</f>
        <v/>
      </c>
      <c r="AB23">
        <f>HYPERLINK("https://klasma.github.io/Logging_2101/klagomålsmail/A 26463-2024 FSC-klagomål mail.docx", "A 26463-2024")</f>
        <v/>
      </c>
      <c r="AC23">
        <f>HYPERLINK("https://klasma.github.io/Logging_2101/tillsyn/A 26463-2024 tillsynsbegäran.docx", "A 26463-2024")</f>
        <v/>
      </c>
      <c r="AD23">
        <f>HYPERLINK("https://klasma.github.io/Logging_2101/tillsynsmail/A 26463-2024 tillsynsbegäran mail.docx", "A 26463-2024")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46259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46259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46259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46259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46259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18117-2026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46259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14.1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Vanlig groda
Fläcknycklar</t>
        </is>
      </c>
      <c r="W29">
        <f>HYPERLINK("https://klasma.github.io/Logging_2101/artfynd/A 18117-2026 artfynd.xlsx", "A 18117-2026")</f>
        <v/>
      </c>
      <c r="X29">
        <f>HYPERLINK("https://klasma.github.io/Logging_2101/kartor/A 18117-2026 karta.png", "A 18117-2026")</f>
        <v/>
      </c>
      <c r="Y29">
        <f>HYPERLINK("https://klasma.github.io/Logging_2101/kartor_geotiff/A 18117-2026 georefererad karta.tif", "A 18117-2026")</f>
        <v/>
      </c>
      <c r="AA29">
        <f>HYPERLINK("https://klasma.github.io/Logging_2101/klagomål/A 18117-2026 FSC-klagomål.docx", "A 18117-2026")</f>
        <v/>
      </c>
      <c r="AB29">
        <f>HYPERLINK("https://klasma.github.io/Logging_2101/klagomålsmail/A 18117-2026 FSC-klagomål mail.docx", "A 18117-2026")</f>
        <v/>
      </c>
      <c r="AC29">
        <f>HYPERLINK("https://klasma.github.io/Logging_2101/tillsyn/A 18117-2026 tillsynsbegäran.docx", "A 18117-2026")</f>
        <v/>
      </c>
      <c r="AD29">
        <f>HYPERLINK("https://klasma.github.io/Logging_2101/tillsynsmail/A 18117-2026 tillsynsbegäran mail.docx", "A 18117-2026")</f>
        <v/>
      </c>
    </row>
    <row r="30" ht="15" customHeight="1">
      <c r="A30" t="inlineStr">
        <is>
          <t>A 18120-2026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46259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5.8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7</v>
      </c>
      <c r="U30" t="n">
        <v>0</v>
      </c>
      <c r="V30" s="2" t="inlineStr">
        <is>
          <t>Vanlig padda
Fläcknycklar</t>
        </is>
      </c>
      <c r="W30">
        <f>HYPERLINK("https://klasma.github.io/Logging_2101/artfynd/A 18120-2026 artfynd.xlsx", "A 18120-2026")</f>
        <v/>
      </c>
      <c r="X30">
        <f>HYPERLINK("https://klasma.github.io/Logging_2101/kartor/A 18120-2026 karta.png", "A 18120-2026")</f>
        <v/>
      </c>
      <c r="Y30">
        <f>HYPERLINK("https://klasma.github.io/Logging_2101/kartor_geotiff/A 18120-2026 georefererad karta.tif", "A 18120-2026")</f>
        <v/>
      </c>
      <c r="AA30">
        <f>HYPERLINK("https://klasma.github.io/Logging_2101/klagomål/A 18120-2026 FSC-klagomål.docx", "A 18120-2026")</f>
        <v/>
      </c>
      <c r="AB30">
        <f>HYPERLINK("https://klasma.github.io/Logging_2101/klagomålsmail/A 18120-2026 FSC-klagomål mail.docx", "A 18120-2026")</f>
        <v/>
      </c>
      <c r="AC30">
        <f>HYPERLINK("https://klasma.github.io/Logging_2101/tillsyn/A 18120-2026 tillsynsbegäran.docx", "A 18120-2026")</f>
        <v/>
      </c>
      <c r="AD30">
        <f>HYPERLINK("https://klasma.github.io/Logging_2101/tillsynsmail/A 18120-2026 tillsynsbegäran mail.docx", "A 18120-2026")</f>
        <v/>
      </c>
    </row>
    <row r="31" ht="15" customHeight="1">
      <c r="A31" t="inlineStr">
        <is>
          <t>A 20299-2026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46259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6.5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Motaggsvamp
Lopplummer (aggregat)</t>
        </is>
      </c>
      <c r="W31">
        <f>HYPERLINK("https://klasma.github.io/Logging_2101/artfynd/A 20299-2026 artfynd.xlsx", "A 20299-2026")</f>
        <v/>
      </c>
      <c r="X31">
        <f>HYPERLINK("https://klasma.github.io/Logging_2101/kartor/A 20299-2026 karta.png", "A 20299-2026")</f>
        <v/>
      </c>
      <c r="Y31">
        <f>HYPERLINK("https://klasma.github.io/Logging_2101/kartor_geotiff/A 20299-2026 georefererad karta.tif", "A 20299-2026")</f>
        <v/>
      </c>
      <c r="AA31">
        <f>HYPERLINK("https://klasma.github.io/Logging_2101/klagomål/A 20299-2026 FSC-klagomål.docx", "A 20299-2026")</f>
        <v/>
      </c>
      <c r="AB31">
        <f>HYPERLINK("https://klasma.github.io/Logging_2101/klagomålsmail/A 20299-2026 FSC-klagomål mail.docx", "A 20299-2026")</f>
        <v/>
      </c>
      <c r="AC31">
        <f>HYPERLINK("https://klasma.github.io/Logging_2101/tillsyn/A 20299-2026 tillsynsbegäran.docx", "A 20299-2026")</f>
        <v/>
      </c>
      <c r="AD31">
        <f>HYPERLINK("https://klasma.github.io/Logging_2101/tillsynsmail/A 20299-2026 tillsynsbegäran mail.docx", "A 20299-2026")</f>
        <v/>
      </c>
    </row>
    <row r="32" ht="15" customHeight="1">
      <c r="A32" t="inlineStr">
        <is>
          <t>A 2201-2026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46259</v>
      </c>
      <c r="F32" t="inlineStr">
        <is>
          <t>GÄVLEBORGS LÄN</t>
        </is>
      </c>
      <c r="G32" t="inlineStr">
        <is>
          <t>OCKELBO</t>
        </is>
      </c>
      <c r="I32" t="n">
        <v>2.4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Korallrot
Revlummer</t>
        </is>
      </c>
      <c r="W32">
        <f>HYPERLINK("https://klasma.github.io/Logging_2101/artfynd/A 2201-2026 artfynd.xlsx", "A 2201-2026")</f>
        <v/>
      </c>
      <c r="X32">
        <f>HYPERLINK("https://klasma.github.io/Logging_2101/kartor/A 2201-2026 karta.png", "A 2201-2026")</f>
        <v/>
      </c>
      <c r="Y32">
        <f>HYPERLINK("https://klasma.github.io/Logging_2101/kartor_geotiff/A 2201-2026 georefererad karta.tif", "A 2201-2026")</f>
        <v/>
      </c>
      <c r="AA32">
        <f>HYPERLINK("https://klasma.github.io/Logging_2101/klagomål/A 2201-2026 FSC-klagomål.docx", "A 2201-2026")</f>
        <v/>
      </c>
      <c r="AB32">
        <f>HYPERLINK("https://klasma.github.io/Logging_2101/klagomålsmail/A 2201-2026 FSC-klagomål mail.docx", "A 2201-2026")</f>
        <v/>
      </c>
      <c r="AC32">
        <f>HYPERLINK("https://klasma.github.io/Logging_2101/tillsyn/A 2201-2026 tillsynsbegäran.docx", "A 2201-2026")</f>
        <v/>
      </c>
      <c r="AD32">
        <f>HYPERLINK("https://klasma.github.io/Logging_2101/tillsynsmail/A 2201-2026 tillsynsbegäran mail.docx", "A 2201-2026")</f>
        <v/>
      </c>
    </row>
    <row r="33" ht="15" customHeight="1">
      <c r="A33" t="inlineStr">
        <is>
          <t>A 4180-2026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46259</v>
      </c>
      <c r="F33" t="inlineStr">
        <is>
          <t>GÄVLEBORGS LÄN</t>
        </is>
      </c>
      <c r="G33" t="inlineStr">
        <is>
          <t>OCKELBO</t>
        </is>
      </c>
      <c r="I33" t="n">
        <v>15.9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Tjäder
Revlummer</t>
        </is>
      </c>
      <c r="W33">
        <f>HYPERLINK("https://klasma.github.io/Logging_2101/artfynd/A 4180-2026 artfynd.xlsx", "A 4180-2026")</f>
        <v/>
      </c>
      <c r="X33">
        <f>HYPERLINK("https://klasma.github.io/Logging_2101/kartor/A 4180-2026 karta.png", "A 4180-2026")</f>
        <v/>
      </c>
      <c r="Y33">
        <f>HYPERLINK("https://klasma.github.io/Logging_2101/kartor_geotiff/A 4180-2026 georefererad karta.tif", "A 4180-2026")</f>
        <v/>
      </c>
      <c r="AA33">
        <f>HYPERLINK("https://klasma.github.io/Logging_2101/klagomål/A 4180-2026 FSC-klagomål.docx", "A 4180-2026")</f>
        <v/>
      </c>
      <c r="AB33">
        <f>HYPERLINK("https://klasma.github.io/Logging_2101/klagomålsmail/A 4180-2026 FSC-klagomål mail.docx", "A 4180-2026")</f>
        <v/>
      </c>
      <c r="AC33">
        <f>HYPERLINK("https://klasma.github.io/Logging_2101/tillsyn/A 4180-2026 tillsynsbegäran.docx", "A 4180-2026")</f>
        <v/>
      </c>
      <c r="AD33">
        <f>HYPERLINK("https://klasma.github.io/Logging_2101/tillsynsmail/A 4180-2026 tillsynsbegäran mail.docx", "A 4180-2026")</f>
        <v/>
      </c>
      <c r="AE33">
        <f>HYPERLINK("https://klasma.github.io/Logging_2101/fåglar/A 4180-2026 prioriterade fågelarter.docx", "A 4180-2026")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46259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Havsörn</t>
        </is>
      </c>
      <c r="W36">
        <f>HYPERLINK("https://klasma.github.io/Logging_2101/artfynd/A 15841-2023 artfynd.xlsx", "A 15841-2023")</f>
        <v/>
      </c>
      <c r="X36">
        <f>HYPERLINK("https://klasma.github.io/Logging_2101/kartor/A 15841-2023 karta.png", "A 15841-2023")</f>
        <v/>
      </c>
      <c r="Y36">
        <f>HYPERLINK("https://klasma.github.io/Logging_2101/kartor_geotiff/A 15841-2023 georefererad karta.tif", "A 15841-2023")</f>
        <v/>
      </c>
      <c r="AA36">
        <f>HYPERLINK("https://klasma.github.io/Logging_2101/klagomål/A 15841-2023 FSC-klagomål.docx", "A 15841-2023")</f>
        <v/>
      </c>
      <c r="AB36">
        <f>HYPERLINK("https://klasma.github.io/Logging_2101/klagomålsmail/A 15841-2023 FSC-klagomål mail.docx", "A 15841-2023")</f>
        <v/>
      </c>
      <c r="AC36">
        <f>HYPERLINK("https://klasma.github.io/Logging_2101/tillsyn/A 15841-2023 tillsynsbegäran.docx", "A 15841-2023")</f>
        <v/>
      </c>
      <c r="AD36">
        <f>HYPERLINK("https://klasma.github.io/Logging_2101/tillsynsmail/A 15841-2023 tillsynsbegäran mail.docx", "A 15841-2023")</f>
        <v/>
      </c>
      <c r="AE36">
        <f>HYPERLINK("https://klasma.github.io/Logging_2101/fåglar/A 15841-2023 prioriterade fågelarter.docx", "A 15841-2023")</f>
        <v/>
      </c>
    </row>
    <row r="37" ht="15" customHeight="1">
      <c r="A37" t="inlineStr">
        <is>
          <t>A 13640-2026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46259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HYPERLINK("https://klasma.github.io/Logging_2101/artfynd/A 13640-2026 artfynd.xlsx", "A 13640-2026")</f>
        <v/>
      </c>
      <c r="X37">
        <f>HYPERLINK("https://klasma.github.io/Logging_2101/kartor/A 13640-2026 karta.png", "A 13640-2026")</f>
        <v/>
      </c>
      <c r="Y37">
        <f>HYPERLINK("https://klasma.github.io/Logging_2101/kartor_geotiff/A 13640-2026 georefererad karta.tif", "A 13640-2026")</f>
        <v/>
      </c>
      <c r="AA37">
        <f>HYPERLINK("https://klasma.github.io/Logging_2101/klagomål/A 13640-2026 FSC-klagomål.docx", "A 13640-2026")</f>
        <v/>
      </c>
      <c r="AB37">
        <f>HYPERLINK("https://klasma.github.io/Logging_2101/klagomålsmail/A 13640-2026 FSC-klagomål mail.docx", "A 13640-2026")</f>
        <v/>
      </c>
      <c r="AC37">
        <f>HYPERLINK("https://klasma.github.io/Logging_2101/tillsyn/A 13640-2026 tillsynsbegäran.docx", "A 13640-2026")</f>
        <v/>
      </c>
      <c r="AD37">
        <f>HYPERLINK("https://klasma.github.io/Logging_2101/tillsynsmail/A 13640-2026 tillsynsbegäran mail.docx", "A 13640-2026")</f>
        <v/>
      </c>
    </row>
    <row r="38" ht="15" customHeight="1">
      <c r="A38" t="inlineStr">
        <is>
          <t>A 14479-2026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46259</v>
      </c>
      <c r="F38" t="inlineStr">
        <is>
          <t>GÄVLEBORGS LÄN</t>
        </is>
      </c>
      <c r="G38" t="inlineStr">
        <is>
          <t>OCKELBO</t>
        </is>
      </c>
      <c r="I38" t="n">
        <v>4.8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HYPERLINK("https://klasma.github.io/Logging_2101/artfynd/A 14479-2026 artfynd.xlsx", "A 14479-2026")</f>
        <v/>
      </c>
      <c r="X38">
        <f>HYPERLINK("https://klasma.github.io/Logging_2101/kartor/A 14479-2026 karta.png", "A 14479-2026")</f>
        <v/>
      </c>
      <c r="Y38">
        <f>HYPERLINK("https://klasma.github.io/Logging_2101/kartor_geotiff/A 14479-2026 georefererad karta.tif", "A 14479-2026")</f>
        <v/>
      </c>
      <c r="AA38">
        <f>HYPERLINK("https://klasma.github.io/Logging_2101/klagomål/A 14479-2026 FSC-klagomål.docx", "A 14479-2026")</f>
        <v/>
      </c>
      <c r="AB38">
        <f>HYPERLINK("https://klasma.github.io/Logging_2101/klagomålsmail/A 14479-2026 FSC-klagomål mail.docx", "A 14479-2026")</f>
        <v/>
      </c>
      <c r="AC38">
        <f>HYPERLINK("https://klasma.github.io/Logging_2101/tillsyn/A 14479-2026 tillsynsbegäran.docx", "A 14479-2026")</f>
        <v/>
      </c>
      <c r="AD38">
        <f>HYPERLINK("https://klasma.github.io/Logging_2101/tillsynsmail/A 14479-2026 tillsynsbegäran mail.docx", "A 14479-2026")</f>
        <v/>
      </c>
    </row>
    <row r="39" ht="15" customHeight="1">
      <c r="A39" t="inlineStr">
        <is>
          <t>A 14664-2026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46101</v>
      </c>
      <c r="E39" s="1" t="n">
        <v>46259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Tjäder</t>
        </is>
      </c>
      <c r="W39">
        <f>HYPERLINK("https://klasma.github.io/Logging_2101/artfynd/A 14664-2026 artfynd.xlsx", "A 14664-2026")</f>
        <v/>
      </c>
      <c r="X39">
        <f>HYPERLINK("https://klasma.github.io/Logging_2101/kartor/A 14664-2026 karta.png", "A 14664-2026")</f>
        <v/>
      </c>
      <c r="Y39">
        <f>HYPERLINK("https://klasma.github.io/Logging_2101/kartor_geotiff/A 14664-2026 georefererad karta.tif", "A 14664-2026")</f>
        <v/>
      </c>
      <c r="AA39">
        <f>HYPERLINK("https://klasma.github.io/Logging_2101/klagomål/A 14664-2026 FSC-klagomål.docx", "A 14664-2026")</f>
        <v/>
      </c>
      <c r="AB39">
        <f>HYPERLINK("https://klasma.github.io/Logging_2101/klagomålsmail/A 14664-2026 FSC-klagomål mail.docx", "A 14664-2026")</f>
        <v/>
      </c>
      <c r="AC39">
        <f>HYPERLINK("https://klasma.github.io/Logging_2101/tillsyn/A 14664-2026 tillsynsbegäran.docx", "A 14664-2026")</f>
        <v/>
      </c>
      <c r="AD39">
        <f>HYPERLINK("https://klasma.github.io/Logging_2101/tillsynsmail/A 14664-2026 tillsynsbegäran mail.docx", "A 14664-2026")</f>
        <v/>
      </c>
      <c r="AE39">
        <f>HYPERLINK("https://klasma.github.io/Logging_2101/fåglar/A 14664-2026 prioriterade fågelarter.docx", "A 14664-2026")</f>
        <v/>
      </c>
    </row>
    <row r="40" ht="15" customHeight="1">
      <c r="A40" t="inlineStr">
        <is>
          <t>A 64364-2023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45280</v>
      </c>
      <c r="E40" s="1" t="n">
        <v>46259</v>
      </c>
      <c r="F40" t="inlineStr">
        <is>
          <t>GÄVLEBORGS LÄN</t>
        </is>
      </c>
      <c r="G40" t="inlineStr">
        <is>
          <t>OCKELBO</t>
        </is>
      </c>
      <c r="I40" t="n">
        <v>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64364-2023 artfynd.xlsx", "A 64364-2023")</f>
        <v/>
      </c>
      <c r="X40">
        <f>HYPERLINK("https://klasma.github.io/Logging_2101/kartor/A 64364-2023 karta.png", "A 64364-2023")</f>
        <v/>
      </c>
      <c r="Y40">
        <f>HYPERLINK("https://klasma.github.io/Logging_2101/kartor_geotiff/A 64364-2023 georefererad karta.tif", "A 64364-2023")</f>
        <v/>
      </c>
      <c r="AA40">
        <f>HYPERLINK("https://klasma.github.io/Logging_2101/klagomål/A 64364-2023 FSC-klagomål.docx", "A 64364-2023")</f>
        <v/>
      </c>
      <c r="AB40">
        <f>HYPERLINK("https://klasma.github.io/Logging_2101/klagomålsmail/A 64364-2023 FSC-klagomål mail.docx", "A 64364-2023")</f>
        <v/>
      </c>
      <c r="AC40">
        <f>HYPERLINK("https://klasma.github.io/Logging_2101/tillsyn/A 64364-2023 tillsynsbegäran.docx", "A 64364-2023")</f>
        <v/>
      </c>
      <c r="AD40">
        <f>HYPERLINK("https://klasma.github.io/Logging_2101/tillsynsmail/A 64364-2023 tillsynsbegäran mail.docx", "A 64364-2023")</f>
        <v/>
      </c>
    </row>
    <row r="41" ht="15" customHeight="1">
      <c r="A41" t="inlineStr">
        <is>
          <t>A 18188-2026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46259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32.9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Järpe</t>
        </is>
      </c>
      <c r="W41">
        <f>HYPERLINK("https://klasma.github.io/Logging_2101/artfynd/A 18188-2026 artfynd.xlsx", "A 18188-2026")</f>
        <v/>
      </c>
      <c r="X41">
        <f>HYPERLINK("https://klasma.github.io/Logging_2101/kartor/A 18188-2026 karta.png", "A 18188-2026")</f>
        <v/>
      </c>
      <c r="Y41">
        <f>HYPERLINK("https://klasma.github.io/Logging_2101/kartor_geotiff/A 18188-2026 georefererad karta.tif", "A 18188-2026")</f>
        <v/>
      </c>
      <c r="AA41">
        <f>HYPERLINK("https://klasma.github.io/Logging_2101/klagomål/A 18188-2026 FSC-klagomål.docx", "A 18188-2026")</f>
        <v/>
      </c>
      <c r="AB41">
        <f>HYPERLINK("https://klasma.github.io/Logging_2101/klagomålsmail/A 18188-2026 FSC-klagomål mail.docx", "A 18188-2026")</f>
        <v/>
      </c>
      <c r="AC41">
        <f>HYPERLINK("https://klasma.github.io/Logging_2101/tillsyn/A 18188-2026 tillsynsbegäran.docx", "A 18188-2026")</f>
        <v/>
      </c>
      <c r="AD41">
        <f>HYPERLINK("https://klasma.github.io/Logging_2101/tillsynsmail/A 18188-2026 tillsynsbegäran mail.docx", "A 18188-2026")</f>
        <v/>
      </c>
      <c r="AE41">
        <f>HYPERLINK("https://klasma.github.io/Logging_2101/fåglar/A 18188-2026 prioriterade fågelarter.docx", "A 18188-2026")</f>
        <v/>
      </c>
    </row>
    <row r="42" ht="15" customHeight="1">
      <c r="A42" t="inlineStr">
        <is>
          <t>A 12777-2026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46091</v>
      </c>
      <c r="E42" s="1" t="n">
        <v>46259</v>
      </c>
      <c r="F42" t="inlineStr">
        <is>
          <t>GÄVLEBORGS LÄN</t>
        </is>
      </c>
      <c r="G42" t="inlineStr">
        <is>
          <t>OCKELBO</t>
        </is>
      </c>
      <c r="I42" t="n">
        <v>4.2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HYPERLINK("https://klasma.github.io/Logging_2101/artfynd/A 12777-2026 artfynd.xlsx", "A 12777-2026")</f>
        <v/>
      </c>
      <c r="X42">
        <f>HYPERLINK("https://klasma.github.io/Logging_2101/kartor/A 12777-2026 karta.png", "A 12777-2026")</f>
        <v/>
      </c>
      <c r="Y42">
        <f>HYPERLINK("https://klasma.github.io/Logging_2101/kartor_geotiff/A 12777-2026 georefererad karta.tif", "A 12777-2026")</f>
        <v/>
      </c>
      <c r="AA42">
        <f>HYPERLINK("https://klasma.github.io/Logging_2101/klagomål/A 12777-2026 FSC-klagomål.docx", "A 12777-2026")</f>
        <v/>
      </c>
      <c r="AB42">
        <f>HYPERLINK("https://klasma.github.io/Logging_2101/klagomålsmail/A 12777-2026 FSC-klagomål mail.docx", "A 12777-2026")</f>
        <v/>
      </c>
      <c r="AC42">
        <f>HYPERLINK("https://klasma.github.io/Logging_2101/tillsyn/A 12777-2026 tillsynsbegäran.docx", "A 12777-2026")</f>
        <v/>
      </c>
      <c r="AD42">
        <f>HYPERLINK("https://klasma.github.io/Logging_2101/tillsynsmail/A 12777-2026 tillsynsbegäran mail.docx", "A 12777-2026")</f>
        <v/>
      </c>
      <c r="AE42">
        <f>HYPERLINK("https://klasma.github.io/Logging_2101/fåglar/A 12777-2026 prioriterade fågelarter.docx", "A 12777-2026")</f>
        <v/>
      </c>
    </row>
    <row r="43" ht="15" customHeight="1">
      <c r="A43" t="inlineStr">
        <is>
          <t>A 10145-2026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46259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öst AB</t>
        </is>
      </c>
      <c r="I43" t="n">
        <v>10.5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Fläcknycklar</t>
        </is>
      </c>
      <c r="W43">
        <f>HYPERLINK("https://klasma.github.io/Logging_2101/artfynd/A 10145-2026 artfynd.xlsx", "A 10145-2026")</f>
        <v/>
      </c>
      <c r="X43">
        <f>HYPERLINK("https://klasma.github.io/Logging_2101/kartor/A 10145-2026 karta.png", "A 10145-2026")</f>
        <v/>
      </c>
      <c r="Y43">
        <f>HYPERLINK("https://klasma.github.io/Logging_2101/kartor_geotiff/A 10145-2026 georefererad karta.tif", "A 10145-2026")</f>
        <v/>
      </c>
      <c r="Z43">
        <f>HYPERLINK("https://klasma.github.io/Logging_2101/knärot/A 10145-2026 karta knärot.png", "A 10145-2026")</f>
        <v/>
      </c>
      <c r="AA43">
        <f>HYPERLINK("https://klasma.github.io/Logging_2101/klagomål/A 10145-2026 FSC-klagomål.docx", "A 10145-2026")</f>
        <v/>
      </c>
      <c r="AB43">
        <f>HYPERLINK("https://klasma.github.io/Logging_2101/klagomålsmail/A 10145-2026 FSC-klagomål mail.docx", "A 10145-2026")</f>
        <v/>
      </c>
      <c r="AC43">
        <f>HYPERLINK("https://klasma.github.io/Logging_2101/tillsyn/A 10145-2026 tillsynsbegäran.docx", "A 10145-2026")</f>
        <v/>
      </c>
      <c r="AD43">
        <f>HYPERLINK("https://klasma.github.io/Logging_2101/tillsynsmail/A 10145-2026 tillsynsbegäran mail.docx", "A 10145-2026")</f>
        <v/>
      </c>
    </row>
    <row r="44" ht="15" customHeight="1">
      <c r="A44" t="inlineStr">
        <is>
          <t>A 9155-2026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46259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Kolflarnlav</t>
        </is>
      </c>
      <c r="W44">
        <f>HYPERLINK("https://klasma.github.io/Logging_2101/artfynd/A 9155-2026 artfynd.xlsx", "A 9155-2026")</f>
        <v/>
      </c>
      <c r="X44">
        <f>HYPERLINK("https://klasma.github.io/Logging_2101/kartor/A 9155-2026 karta.png", "A 9155-2026")</f>
        <v/>
      </c>
      <c r="Y44">
        <f>HYPERLINK("https://klasma.github.io/Logging_2101/kartor_geotiff/A 9155-2026 georefererad karta.tif", "A 9155-2026")</f>
        <v/>
      </c>
      <c r="AA44">
        <f>HYPERLINK("https://klasma.github.io/Logging_2101/klagomål/A 9155-2026 FSC-klagomål.docx", "A 9155-2026")</f>
        <v/>
      </c>
      <c r="AB44">
        <f>HYPERLINK("https://klasma.github.io/Logging_2101/klagomålsmail/A 9155-2026 FSC-klagomål mail.docx", "A 9155-2026")</f>
        <v/>
      </c>
      <c r="AC44">
        <f>HYPERLINK("https://klasma.github.io/Logging_2101/tillsyn/A 9155-2026 tillsynsbegäran.docx", "A 9155-2026")</f>
        <v/>
      </c>
      <c r="AD44">
        <f>HYPERLINK("https://klasma.github.io/Logging_2101/tillsynsmail/A 9155-2026 tillsynsbegäran mail.docx", "A 9155-2026")</f>
        <v/>
      </c>
    </row>
    <row r="45" ht="15" customHeight="1">
      <c r="A45" t="inlineStr">
        <is>
          <t>A 20233-2026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46139</v>
      </c>
      <c r="E45" s="1" t="n">
        <v>46259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17.9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Tibast</t>
        </is>
      </c>
      <c r="W45">
        <f>HYPERLINK("https://klasma.github.io/Logging_2101/artfynd/A 20233-2026 artfynd.xlsx", "A 20233-2026")</f>
        <v/>
      </c>
      <c r="X45">
        <f>HYPERLINK("https://klasma.github.io/Logging_2101/kartor/A 20233-2026 karta.png", "A 20233-2026")</f>
        <v/>
      </c>
      <c r="Y45">
        <f>HYPERLINK("https://klasma.github.io/Logging_2101/kartor_geotiff/A 20233-2026 georefererad karta.tif", "A 20233-2026")</f>
        <v/>
      </c>
      <c r="AA45">
        <f>HYPERLINK("https://klasma.github.io/Logging_2101/klagomål/A 20233-2026 FSC-klagomål.docx", "A 20233-2026")</f>
        <v/>
      </c>
      <c r="AB45">
        <f>HYPERLINK("https://klasma.github.io/Logging_2101/klagomålsmail/A 20233-2026 FSC-klagomål mail.docx", "A 20233-2026")</f>
        <v/>
      </c>
      <c r="AC45">
        <f>HYPERLINK("https://klasma.github.io/Logging_2101/tillsyn/A 20233-2026 tillsynsbegäran.docx", "A 20233-2026")</f>
        <v/>
      </c>
      <c r="AD45">
        <f>HYPERLINK("https://klasma.github.io/Logging_2101/tillsynsmail/A 20233-2026 tillsynsbegäran mail.docx", "A 20233-2026")</f>
        <v/>
      </c>
    </row>
    <row r="46" ht="15" customHeight="1">
      <c r="A46" t="inlineStr">
        <is>
          <t>A 22821-2024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46259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HYPERLINK("https://klasma.github.io/Logging_2101/artfynd/A 22821-2024 artfynd.xlsx", "A 22821-2024")</f>
        <v/>
      </c>
      <c r="X46">
        <f>HYPERLINK("https://klasma.github.io/Logging_2101/kartor/A 22821-2024 karta.png", "A 22821-2024")</f>
        <v/>
      </c>
      <c r="Y46">
        <f>HYPERLINK("https://klasma.github.io/Logging_2101/kartor_geotiff/A 22821-2024 georefererad karta.tif", "A 22821-2024")</f>
        <v/>
      </c>
      <c r="AA46">
        <f>HYPERLINK("https://klasma.github.io/Logging_2101/klagomål/A 22821-2024 FSC-klagomål.docx", "A 22821-2024")</f>
        <v/>
      </c>
      <c r="AB46">
        <f>HYPERLINK("https://klasma.github.io/Logging_2101/klagomålsmail/A 22821-2024 FSC-klagomål mail.docx", "A 22821-2024")</f>
        <v/>
      </c>
      <c r="AC46">
        <f>HYPERLINK("https://klasma.github.io/Logging_2101/tillsyn/A 22821-2024 tillsynsbegäran.docx", "A 22821-2024")</f>
        <v/>
      </c>
      <c r="AD46">
        <f>HYPERLINK("https://klasma.github.io/Logging_2101/tillsynsmail/A 22821-2024 tillsynsbegäran mail.docx", "A 22821-2024")</f>
        <v/>
      </c>
    </row>
    <row r="47" ht="15" customHeight="1">
      <c r="A47" t="inlineStr">
        <is>
          <t>A 57946-2023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46259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HYPERLINK("https://klasma.github.io/Logging_2101/artfynd/A 57946-2023 artfynd.xlsx", "A 57946-2023")</f>
        <v/>
      </c>
      <c r="X47">
        <f>HYPERLINK("https://klasma.github.io/Logging_2101/kartor/A 57946-2023 karta.png", "A 57946-2023")</f>
        <v/>
      </c>
      <c r="Y47">
        <f>HYPERLINK("https://klasma.github.io/Logging_2101/kartor_geotiff/A 57946-2023 georefererad karta.tif", "A 57946-2023")</f>
        <v/>
      </c>
      <c r="AA47">
        <f>HYPERLINK("https://klasma.github.io/Logging_2101/klagomål/A 57946-2023 FSC-klagomål.docx", "A 57946-2023")</f>
        <v/>
      </c>
      <c r="AB47">
        <f>HYPERLINK("https://klasma.github.io/Logging_2101/klagomålsmail/A 57946-2023 FSC-klagomål mail.docx", "A 57946-2023")</f>
        <v/>
      </c>
      <c r="AC47">
        <f>HYPERLINK("https://klasma.github.io/Logging_2101/tillsyn/A 57946-2023 tillsynsbegäran.docx", "A 57946-2023")</f>
        <v/>
      </c>
      <c r="AD47">
        <f>HYPERLINK("https://klasma.github.io/Logging_2101/tillsynsmail/A 57946-2023 tillsynsbegäran mail.docx", "A 57946-2023")</f>
        <v/>
      </c>
    </row>
    <row r="48" ht="15" customHeight="1">
      <c r="A48" t="inlineStr">
        <is>
          <t>A 46481-2024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46259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HYPERLINK("https://klasma.github.io/Logging_2101/artfynd/A 46481-2024 artfynd.xlsx", "A 46481-2024")</f>
        <v/>
      </c>
      <c r="X48">
        <f>HYPERLINK("https://klasma.github.io/Logging_2101/kartor/A 46481-2024 karta.png", "A 46481-2024")</f>
        <v/>
      </c>
      <c r="Y48">
        <f>HYPERLINK("https://klasma.github.io/Logging_2101/kartor_geotiff/A 46481-2024 georefererad karta.tif", "A 46481-2024")</f>
        <v/>
      </c>
      <c r="AA48">
        <f>HYPERLINK("https://klasma.github.io/Logging_2101/klagomål/A 46481-2024 FSC-klagomål.docx", "A 46481-2024")</f>
        <v/>
      </c>
      <c r="AB48">
        <f>HYPERLINK("https://klasma.github.io/Logging_2101/klagomålsmail/A 46481-2024 FSC-klagomål mail.docx", "A 46481-2024")</f>
        <v/>
      </c>
      <c r="AC48">
        <f>HYPERLINK("https://klasma.github.io/Logging_2101/tillsyn/A 46481-2024 tillsynsbegäran.docx", "A 46481-2024")</f>
        <v/>
      </c>
      <c r="AD48">
        <f>HYPERLINK("https://klasma.github.io/Logging_2101/tillsynsmail/A 46481-2024 tillsynsbegäran mail.docx", "A 46481-2024")</f>
        <v/>
      </c>
    </row>
    <row r="49" ht="15" customHeight="1">
      <c r="A49" t="inlineStr">
        <is>
          <t>A 60615-2021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44496</v>
      </c>
      <c r="E49" s="1" t="n">
        <v>46259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Vanlig padda</t>
        </is>
      </c>
      <c r="W49">
        <f>HYPERLINK("https://klasma.github.io/Logging_2101/artfynd/A 60615-2021 artfynd.xlsx", "A 60615-2021")</f>
        <v/>
      </c>
      <c r="X49">
        <f>HYPERLINK("https://klasma.github.io/Logging_2101/kartor/A 60615-2021 karta.png", "A 60615-2021")</f>
        <v/>
      </c>
      <c r="Y49">
        <f>HYPERLINK("https://klasma.github.io/Logging_2101/kartor_geotiff/A 60615-2021 georefererad karta.tif", "A 60615-2021")</f>
        <v/>
      </c>
      <c r="AA49">
        <f>HYPERLINK("https://klasma.github.io/Logging_2101/klagomål/A 60615-2021 FSC-klagomål.docx", "A 60615-2021")</f>
        <v/>
      </c>
      <c r="AB49">
        <f>HYPERLINK("https://klasma.github.io/Logging_2101/klagomålsmail/A 60615-2021 FSC-klagomål mail.docx", "A 60615-2021")</f>
        <v/>
      </c>
      <c r="AC49">
        <f>HYPERLINK("https://klasma.github.io/Logging_2101/tillsyn/A 60615-2021 tillsynsbegäran.docx", "A 60615-2021")</f>
        <v/>
      </c>
      <c r="AD49">
        <f>HYPERLINK("https://klasma.github.io/Logging_2101/tillsynsmail/A 60615-2021 tillsynsbegäran mail.docx", "A 60615-2021")</f>
        <v/>
      </c>
    </row>
    <row r="50" ht="15" customHeight="1">
      <c r="A50" t="inlineStr">
        <is>
          <t>A 26448-2024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46259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HYPERLINK("https://klasma.github.io/Logging_2101/artfynd/A 26448-2024 artfynd.xlsx", "A 26448-2024")</f>
        <v/>
      </c>
      <c r="X50">
        <f>HYPERLINK("https://klasma.github.io/Logging_2101/kartor/A 26448-2024 karta.png", "A 26448-2024")</f>
        <v/>
      </c>
      <c r="Y50">
        <f>HYPERLINK("https://klasma.github.io/Logging_2101/kartor_geotiff/A 26448-2024 georefererad karta.tif", "A 26448-2024")</f>
        <v/>
      </c>
      <c r="AA50">
        <f>HYPERLINK("https://klasma.github.io/Logging_2101/klagomål/A 26448-2024 FSC-klagomål.docx", "A 26448-2024")</f>
        <v/>
      </c>
      <c r="AB50">
        <f>HYPERLINK("https://klasma.github.io/Logging_2101/klagomålsmail/A 26448-2024 FSC-klagomål mail.docx", "A 26448-2024")</f>
        <v/>
      </c>
      <c r="AC50">
        <f>HYPERLINK("https://klasma.github.io/Logging_2101/tillsyn/A 26448-2024 tillsynsbegäran.docx", "A 26448-2024")</f>
        <v/>
      </c>
      <c r="AD50">
        <f>HYPERLINK("https://klasma.github.io/Logging_2101/tillsynsmail/A 26448-2024 tillsynsbegäran mail.docx", "A 26448-2024")</f>
        <v/>
      </c>
    </row>
    <row r="51" ht="15" customHeight="1">
      <c r="A51" t="inlineStr">
        <is>
          <t>A 15039-2026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46259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18.2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HYPERLINK("https://klasma.github.io/Logging_2101/artfynd/A 15039-2026 artfynd.xlsx", "A 15039-2026")</f>
        <v/>
      </c>
      <c r="X51">
        <f>HYPERLINK("https://klasma.github.io/Logging_2101/kartor/A 15039-2026 karta.png", "A 15039-2026")</f>
        <v/>
      </c>
      <c r="Y51">
        <f>HYPERLINK("https://klasma.github.io/Logging_2101/kartor_geotiff/A 15039-2026 georefererad karta.tif", "A 15039-2026")</f>
        <v/>
      </c>
      <c r="AA51">
        <f>HYPERLINK("https://klasma.github.io/Logging_2101/klagomål/A 15039-2026 FSC-klagomål.docx", "A 15039-2026")</f>
        <v/>
      </c>
      <c r="AB51">
        <f>HYPERLINK("https://klasma.github.io/Logging_2101/klagomålsmail/A 15039-2026 FSC-klagomål mail.docx", "A 15039-2026")</f>
        <v/>
      </c>
      <c r="AC51">
        <f>HYPERLINK("https://klasma.github.io/Logging_2101/tillsyn/A 15039-2026 tillsynsbegäran.docx", "A 15039-2026")</f>
        <v/>
      </c>
      <c r="AD51">
        <f>HYPERLINK("https://klasma.github.io/Logging_2101/tillsynsmail/A 15039-2026 tillsynsbegäran mail.docx", "A 15039-2026")</f>
        <v/>
      </c>
      <c r="AE51">
        <f>HYPERLINK("https://klasma.github.io/Logging_2101/fåglar/A 15039-2026 prioriterade fågelarter.docx", "A 15039-2026")</f>
        <v/>
      </c>
    </row>
    <row r="52" ht="15" customHeight="1">
      <c r="A52" t="inlineStr">
        <is>
          <t>A 11970-2026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46085</v>
      </c>
      <c r="E52" s="1" t="n">
        <v>46259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11970-2026 artfynd.xlsx", "A 11970-2026")</f>
        <v/>
      </c>
      <c r="X52">
        <f>HYPERLINK("https://klasma.github.io/Logging_2101/kartor/A 11970-2026 karta.png", "A 11970-2026")</f>
        <v/>
      </c>
      <c r="Y52">
        <f>HYPERLINK("https://klasma.github.io/Logging_2101/kartor_geotiff/A 11970-2026 georefererad karta.tif", "A 11970-2026")</f>
        <v/>
      </c>
      <c r="AA52">
        <f>HYPERLINK("https://klasma.github.io/Logging_2101/klagomål/A 11970-2026 FSC-klagomål.docx", "A 11970-2026")</f>
        <v/>
      </c>
      <c r="AB52">
        <f>HYPERLINK("https://klasma.github.io/Logging_2101/klagomålsmail/A 11970-2026 FSC-klagomål mail.docx", "A 11970-2026")</f>
        <v/>
      </c>
      <c r="AC52">
        <f>HYPERLINK("https://klasma.github.io/Logging_2101/tillsyn/A 11970-2026 tillsynsbegäran.docx", "A 11970-2026")</f>
        <v/>
      </c>
      <c r="AD52">
        <f>HYPERLINK("https://klasma.github.io/Logging_2101/tillsynsmail/A 11970-2026 tillsynsbegäran mail.docx", "A 11970-2026")</f>
        <v/>
      </c>
      <c r="AE52">
        <f>HYPERLINK("https://klasma.github.io/Logging_2101/fåglar/A 11970-2026 prioriterade fågelarter.docx", "A 11970-2026")</f>
        <v/>
      </c>
    </row>
    <row r="53" ht="15" customHeight="1">
      <c r="A53" t="inlineStr">
        <is>
          <t>A 10448-2026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46077</v>
      </c>
      <c r="E53" s="1" t="n">
        <v>46259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3.6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Plattlummer</t>
        </is>
      </c>
      <c r="W53">
        <f>HYPERLINK("https://klasma.github.io/Logging_2101/artfynd/A 10448-2026 artfynd.xlsx", "A 10448-2026")</f>
        <v/>
      </c>
      <c r="X53">
        <f>HYPERLINK("https://klasma.github.io/Logging_2101/kartor/A 10448-2026 karta.png", "A 10448-2026")</f>
        <v/>
      </c>
      <c r="Y53">
        <f>HYPERLINK("https://klasma.github.io/Logging_2101/kartor_geotiff/A 10448-2026 georefererad karta.tif", "A 10448-2026")</f>
        <v/>
      </c>
      <c r="AA53">
        <f>HYPERLINK("https://klasma.github.io/Logging_2101/klagomål/A 10448-2026 FSC-klagomål.docx", "A 10448-2026")</f>
        <v/>
      </c>
      <c r="AB53">
        <f>HYPERLINK("https://klasma.github.io/Logging_2101/klagomålsmail/A 10448-2026 FSC-klagomål mail.docx", "A 10448-2026")</f>
        <v/>
      </c>
      <c r="AC53">
        <f>HYPERLINK("https://klasma.github.io/Logging_2101/tillsyn/A 10448-2026 tillsynsbegäran.docx", "A 10448-2026")</f>
        <v/>
      </c>
      <c r="AD53">
        <f>HYPERLINK("https://klasma.github.io/Logging_2101/tillsynsmail/A 10448-2026 tillsynsbegäran mail.docx", "A 10448-2026")</f>
        <v/>
      </c>
    </row>
    <row r="54" ht="15" customHeight="1">
      <c r="A54" t="inlineStr">
        <is>
          <t>A 16738-2025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46259</v>
      </c>
      <c r="F54" t="inlineStr">
        <is>
          <t>GÄVLEBORGS LÄN</t>
        </is>
      </c>
      <c r="G54" t="inlineStr">
        <is>
          <t>OCKELBO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16738-2025 artfynd.xlsx", "A 16738-2025")</f>
        <v/>
      </c>
      <c r="X54">
        <f>HYPERLINK("https://klasma.github.io/Logging_2101/kartor/A 16738-2025 karta.png", "A 16738-2025")</f>
        <v/>
      </c>
      <c r="Y54">
        <f>HYPERLINK("https://klasma.github.io/Logging_2101/kartor_geotiff/A 16738-2025 georefererad karta.tif", "A 16738-2025")</f>
        <v/>
      </c>
      <c r="AA54">
        <f>HYPERLINK("https://klasma.github.io/Logging_2101/klagomål/A 16738-2025 FSC-klagomål.docx", "A 16738-2025")</f>
        <v/>
      </c>
      <c r="AB54">
        <f>HYPERLINK("https://klasma.github.io/Logging_2101/klagomålsmail/A 16738-2025 FSC-klagomål mail.docx", "A 16738-2025")</f>
        <v/>
      </c>
      <c r="AC54">
        <f>HYPERLINK("https://klasma.github.io/Logging_2101/tillsyn/A 16738-2025 tillsynsbegäran.docx", "A 16738-2025")</f>
        <v/>
      </c>
      <c r="AD54">
        <f>HYPERLINK("https://klasma.github.io/Logging_2101/tillsynsmail/A 16738-2025 tillsynsbegäran mail.docx", "A 16738-2025")</f>
        <v/>
      </c>
    </row>
    <row r="55" ht="15" customHeight="1">
      <c r="A55" t="inlineStr">
        <is>
          <t>A 4226-2023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46259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Skogsknipprot</t>
        </is>
      </c>
      <c r="W55">
        <f>HYPERLINK("https://klasma.github.io/Logging_2101/artfynd/A 4226-2023 artfynd.xlsx", "A 4226-2023")</f>
        <v/>
      </c>
      <c r="X55">
        <f>HYPERLINK("https://klasma.github.io/Logging_2101/kartor/A 4226-2023 karta.png", "A 4226-2023")</f>
        <v/>
      </c>
      <c r="Y55">
        <f>HYPERLINK("https://klasma.github.io/Logging_2101/kartor_geotiff/A 4226-2023 georefererad karta.tif", "A 4226-2023")</f>
        <v/>
      </c>
      <c r="AA55">
        <f>HYPERLINK("https://klasma.github.io/Logging_2101/klagomål/A 4226-2023 FSC-klagomål.docx", "A 4226-2023")</f>
        <v/>
      </c>
      <c r="AB55">
        <f>HYPERLINK("https://klasma.github.io/Logging_2101/klagomålsmail/A 4226-2023 FSC-klagomål mail.docx", "A 4226-2023")</f>
        <v/>
      </c>
      <c r="AC55">
        <f>HYPERLINK("https://klasma.github.io/Logging_2101/tillsyn/A 4226-2023 tillsynsbegäran.docx", "A 4226-2023")</f>
        <v/>
      </c>
      <c r="AD55">
        <f>HYPERLINK("https://klasma.github.io/Logging_2101/tillsynsmail/A 4226-2023 tillsynsbegäran mail.docx", "A 4226-2023")</f>
        <v/>
      </c>
    </row>
    <row r="56" ht="15" customHeight="1">
      <c r="A56" t="inlineStr">
        <is>
          <t>A 55778-2025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46259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HYPERLINK("https://klasma.github.io/Logging_2101/artfynd/A 55778-2025 artfynd.xlsx", "A 55778-2025")</f>
        <v/>
      </c>
      <c r="X56">
        <f>HYPERLINK("https://klasma.github.io/Logging_2101/kartor/A 55778-2025 karta.png", "A 55778-2025")</f>
        <v/>
      </c>
      <c r="Y56">
        <f>HYPERLINK("https://klasma.github.io/Logging_2101/kartor_geotiff/A 55778-2025 georefererad karta.tif", "A 55778-2025")</f>
        <v/>
      </c>
      <c r="AA56">
        <f>HYPERLINK("https://klasma.github.io/Logging_2101/klagomål/A 55778-2025 FSC-klagomål.docx", "A 55778-2025")</f>
        <v/>
      </c>
      <c r="AB56">
        <f>HYPERLINK("https://klasma.github.io/Logging_2101/klagomålsmail/A 55778-2025 FSC-klagomål mail.docx", "A 55778-2025")</f>
        <v/>
      </c>
      <c r="AC56">
        <f>HYPERLINK("https://klasma.github.io/Logging_2101/tillsyn/A 55778-2025 tillsynsbegäran.docx", "A 55778-2025")</f>
        <v/>
      </c>
      <c r="AD56">
        <f>HYPERLINK("https://klasma.github.io/Logging_2101/tillsynsmail/A 55778-2025 tillsynsbegäran mail.docx", "A 55778-2025")</f>
        <v/>
      </c>
    </row>
    <row r="57" ht="15" customHeight="1">
      <c r="A57" t="inlineStr">
        <is>
          <t>A 62989-2025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46259</v>
      </c>
      <c r="F57" t="inlineStr">
        <is>
          <t>GÄVLEBORGS LÄN</t>
        </is>
      </c>
      <c r="G57" t="inlineStr">
        <is>
          <t>OCKELBO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Kortskaftad ärgspik</t>
        </is>
      </c>
      <c r="W57">
        <f>HYPERLINK("https://klasma.github.io/Logging_2101/artfynd/A 62989-2025 artfynd.xlsx", "A 62989-2025")</f>
        <v/>
      </c>
      <c r="X57">
        <f>HYPERLINK("https://klasma.github.io/Logging_2101/kartor/A 62989-2025 karta.png", "A 62989-2025")</f>
        <v/>
      </c>
      <c r="Y57">
        <f>HYPERLINK("https://klasma.github.io/Logging_2101/kartor_geotiff/A 62989-2025 georefererad karta.tif", "A 62989-2025")</f>
        <v/>
      </c>
      <c r="AA57">
        <f>HYPERLINK("https://klasma.github.io/Logging_2101/klagomål/A 62989-2025 FSC-klagomål.docx", "A 62989-2025")</f>
        <v/>
      </c>
      <c r="AB57">
        <f>HYPERLINK("https://klasma.github.io/Logging_2101/klagomålsmail/A 62989-2025 FSC-klagomål mail.docx", "A 62989-2025")</f>
        <v/>
      </c>
      <c r="AC57">
        <f>HYPERLINK("https://klasma.github.io/Logging_2101/tillsyn/A 62989-2025 tillsynsbegäran.docx", "A 62989-2025")</f>
        <v/>
      </c>
      <c r="AD57">
        <f>HYPERLINK("https://klasma.github.io/Logging_2101/tillsynsmail/A 62989-2025 tillsynsbegäran mail.docx", "A 62989-2025")</f>
        <v/>
      </c>
    </row>
    <row r="58" ht="15" customHeight="1">
      <c r="A58" t="inlineStr">
        <is>
          <t>A 2923-2026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46038</v>
      </c>
      <c r="E58" s="1" t="n">
        <v>46259</v>
      </c>
      <c r="F58" t="inlineStr">
        <is>
          <t>GÄVLEBORGS LÄN</t>
        </is>
      </c>
      <c r="G58" t="inlineStr">
        <is>
          <t>OCKELBO</t>
        </is>
      </c>
      <c r="I58" t="n">
        <v>2.8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HYPERLINK("https://klasma.github.io/Logging_2101/artfynd/A 2923-2026 artfynd.xlsx", "A 2923-2026")</f>
        <v/>
      </c>
      <c r="X58">
        <f>HYPERLINK("https://klasma.github.io/Logging_2101/kartor/A 2923-2026 karta.png", "A 2923-2026")</f>
        <v/>
      </c>
      <c r="Y58">
        <f>HYPERLINK("https://klasma.github.io/Logging_2101/kartor_geotiff/A 2923-2026 georefererad karta.tif", "A 2923-2026")</f>
        <v/>
      </c>
      <c r="Z58">
        <f>HYPERLINK("https://klasma.github.io/Logging_2101/knärot/A 2923-2026 karta knärot.png", "A 2923-2026")</f>
        <v/>
      </c>
      <c r="AA58">
        <f>HYPERLINK("https://klasma.github.io/Logging_2101/klagomål/A 2923-2026 FSC-klagomål.docx", "A 2923-2026")</f>
        <v/>
      </c>
      <c r="AB58">
        <f>HYPERLINK("https://klasma.github.io/Logging_2101/klagomålsmail/A 2923-2026 FSC-klagomål mail.docx", "A 2923-2026")</f>
        <v/>
      </c>
      <c r="AC58">
        <f>HYPERLINK("https://klasma.github.io/Logging_2101/tillsyn/A 2923-2026 tillsynsbegäran.docx", "A 2923-2026")</f>
        <v/>
      </c>
      <c r="AD58">
        <f>HYPERLINK("https://klasma.github.io/Logging_2101/tillsynsmail/A 2923-2026 tillsynsbegäran mail.docx", "A 2923-2026")</f>
        <v/>
      </c>
    </row>
    <row r="59" ht="15" customHeight="1">
      <c r="A59" t="inlineStr">
        <is>
          <t>A 33384-2024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45519</v>
      </c>
      <c r="E59" s="1" t="n">
        <v>46259</v>
      </c>
      <c r="F59" t="inlineStr">
        <is>
          <t>GÄVLEBORGS LÄN</t>
        </is>
      </c>
      <c r="G59" t="inlineStr">
        <is>
          <t>OCKELBO</t>
        </is>
      </c>
      <c r="I59" t="n">
        <v>3.8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Plattlummer</t>
        </is>
      </c>
      <c r="W59">
        <f>HYPERLINK("https://klasma.github.io/Logging_2101/artfynd/A 33384-2024 artfynd.xlsx", "A 33384-2024")</f>
        <v/>
      </c>
      <c r="X59">
        <f>HYPERLINK("https://klasma.github.io/Logging_2101/kartor/A 33384-2024 karta.png", "A 33384-2024")</f>
        <v/>
      </c>
      <c r="Y59">
        <f>HYPERLINK("https://klasma.github.io/Logging_2101/kartor_geotiff/A 33384-2024 georefererad karta.tif", "A 33384-2024")</f>
        <v/>
      </c>
      <c r="AA59">
        <f>HYPERLINK("https://klasma.github.io/Logging_2101/klagomål/A 33384-2024 FSC-klagomål.docx", "A 33384-2024")</f>
        <v/>
      </c>
      <c r="AB59">
        <f>HYPERLINK("https://klasma.github.io/Logging_2101/klagomålsmail/A 33384-2024 FSC-klagomål mail.docx", "A 33384-2024")</f>
        <v/>
      </c>
      <c r="AC59">
        <f>HYPERLINK("https://klasma.github.io/Logging_2101/tillsyn/A 33384-2024 tillsynsbegäran.docx", "A 33384-2024")</f>
        <v/>
      </c>
      <c r="AD59">
        <f>HYPERLINK("https://klasma.github.io/Logging_2101/tillsynsmail/A 33384-2024 tillsynsbegäran mail.docx", "A 33384-2024")</f>
        <v/>
      </c>
    </row>
    <row r="60" ht="15" customHeight="1">
      <c r="A60" t="inlineStr">
        <is>
          <t>A 6121-2026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46053</v>
      </c>
      <c r="E60" s="1" t="n">
        <v>46259</v>
      </c>
      <c r="F60" t="inlineStr">
        <is>
          <t>GÄVLEBORGS LÄN</t>
        </is>
      </c>
      <c r="G60" t="inlineStr">
        <is>
          <t>OCKELBO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6121-2026 artfynd.xlsx", "A 6121-2026")</f>
        <v/>
      </c>
      <c r="X60">
        <f>HYPERLINK("https://klasma.github.io/Logging_2101/kartor/A 6121-2026 karta.png", "A 6121-2026")</f>
        <v/>
      </c>
      <c r="Y60">
        <f>HYPERLINK("https://klasma.github.io/Logging_2101/kartor_geotiff/A 6121-2026 georefererad karta.tif", "A 6121-2026")</f>
        <v/>
      </c>
      <c r="AA60">
        <f>HYPERLINK("https://klasma.github.io/Logging_2101/klagomål/A 6121-2026 FSC-klagomål.docx", "A 6121-2026")</f>
        <v/>
      </c>
      <c r="AB60">
        <f>HYPERLINK("https://klasma.github.io/Logging_2101/klagomålsmail/A 6121-2026 FSC-klagomål mail.docx", "A 6121-2026")</f>
        <v/>
      </c>
      <c r="AC60">
        <f>HYPERLINK("https://klasma.github.io/Logging_2101/tillsyn/A 6121-2026 tillsynsbegäran.docx", "A 6121-2026")</f>
        <v/>
      </c>
      <c r="AD60">
        <f>HYPERLINK("https://klasma.github.io/Logging_2101/tillsynsmail/A 6121-2026 tillsynsbegäran mail.docx", "A 6121-2026")</f>
        <v/>
      </c>
      <c r="AE60">
        <f>HYPERLINK("https://klasma.github.io/Logging_2101/fåglar/A 6121-2026 prioriterade fågelarter.docx", "A 6121-2026")</f>
        <v/>
      </c>
    </row>
    <row r="61" ht="15" customHeight="1">
      <c r="A61" t="inlineStr">
        <is>
          <t>A 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46056</v>
      </c>
      <c r="E61" s="1" t="n">
        <v>46259</v>
      </c>
      <c r="F61" t="inlineStr">
        <is>
          <t>GÄVLEBORGS LÄN</t>
        </is>
      </c>
      <c r="G61" t="inlineStr">
        <is>
          <t>OCKELBO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HYPERLINK("https://klasma.github.io/Logging_2101/artfynd/A 6586-2026 artfynd.xlsx", "A 6586-2026")</f>
        <v/>
      </c>
      <c r="X61">
        <f>HYPERLINK("https://klasma.github.io/Logging_2101/kartor/A 6586-2026 karta.png", "A 6586-2026")</f>
        <v/>
      </c>
      <c r="Y61">
        <f>HYPERLINK("https://klasma.github.io/Logging_2101/kartor_geotiff/A 6586-2026 georefererad karta.tif", "A 6586-2026")</f>
        <v/>
      </c>
      <c r="AA61">
        <f>HYPERLINK("https://klasma.github.io/Logging_2101/klagomål/A 6586-2026 FSC-klagomål.docx", "A 6586-2026")</f>
        <v/>
      </c>
      <c r="AB61">
        <f>HYPERLINK("https://klasma.github.io/Logging_2101/klagomålsmail/A 6586-2026 FSC-klagomål mail.docx", "A 6586-2026")</f>
        <v/>
      </c>
      <c r="AC61">
        <f>HYPERLINK("https://klasma.github.io/Logging_2101/tillsyn/A 6586-2026 tillsynsbegäran.docx", "A 6586-2026")</f>
        <v/>
      </c>
      <c r="AD61">
        <f>HYPERLINK("https://klasma.github.io/Logging_2101/tillsynsmail/A 6586-2026 tillsynsbegäran mail.docx", "A 6586-2026")</f>
        <v/>
      </c>
    </row>
    <row r="62" ht="15" customHeight="1">
      <c r="A62" t="inlineStr">
        <is>
          <t>A 10484-2026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46259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Ullticka</t>
        </is>
      </c>
      <c r="W62">
        <f>HYPERLINK("https://klasma.github.io/Logging_2101/artfynd/A 10484-2026 artfynd.xlsx", "A 10484-2026")</f>
        <v/>
      </c>
      <c r="X62">
        <f>HYPERLINK("https://klasma.github.io/Logging_2101/kartor/A 10484-2026 karta.png", "A 10484-2026")</f>
        <v/>
      </c>
      <c r="Y62">
        <f>HYPERLINK("https://klasma.github.io/Logging_2101/kartor_geotiff/A 10484-2026 georefererad karta.tif", "A 10484-2026")</f>
        <v/>
      </c>
      <c r="AA62">
        <f>HYPERLINK("https://klasma.github.io/Logging_2101/klagomål/A 10484-2026 FSC-klagomål.docx", "A 10484-2026")</f>
        <v/>
      </c>
      <c r="AB62">
        <f>HYPERLINK("https://klasma.github.io/Logging_2101/klagomålsmail/A 10484-2026 FSC-klagomål mail.docx", "A 10484-2026")</f>
        <v/>
      </c>
      <c r="AC62">
        <f>HYPERLINK("https://klasma.github.io/Logging_2101/tillsyn/A 10484-2026 tillsynsbegäran.docx", "A 10484-2026")</f>
        <v/>
      </c>
      <c r="AD62">
        <f>HYPERLINK("https://klasma.github.io/Logging_2101/tillsynsmail/A 10484-2026 tillsynsbegäran mail.docx", "A 10484-2026")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46259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46259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46259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46259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46259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46259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46259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46259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46259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46259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46259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46259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46259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46259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46259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46259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46259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46259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46259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46259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46259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46259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46259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46259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46259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46259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46259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46259</v>
      </c>
      <c r="F92" t="inlineStr">
        <is>
          <t>GÄVLEBORGS LÄN</t>
        </is>
      </c>
      <c r="G92" t="inlineStr">
        <is>
          <t>OCKELBO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45800</v>
      </c>
      <c r="E93" s="1" t="n">
        <v>46259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25250-2025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45800</v>
      </c>
      <c r="E94" s="1" t="n">
        <v>46259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45800</v>
      </c>
      <c r="E95" s="1" t="n">
        <v>46259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46259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46259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46259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45022</v>
      </c>
      <c r="E99" s="1" t="n">
        <v>46259</v>
      </c>
      <c r="F99" t="inlineStr">
        <is>
          <t>GÄVLEBORGS LÄN</t>
        </is>
      </c>
      <c r="G99" t="inlineStr">
        <is>
          <t>OCKELBO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46259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56635-2021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46259</v>
      </c>
      <c r="F101" t="inlineStr">
        <is>
          <t>GÄVLEBORGS LÄN</t>
        </is>
      </c>
      <c r="G101" t="inlineStr">
        <is>
          <t>OCKELBO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47849-2021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46259</v>
      </c>
      <c r="F102" t="inlineStr">
        <is>
          <t>GÄVLEBORGS LÄN</t>
        </is>
      </c>
      <c r="G102" t="inlineStr">
        <is>
          <t>OCKELBO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46259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46259</v>
      </c>
      <c r="F104" t="inlineStr">
        <is>
          <t>GÄVLEBORGS LÄN</t>
        </is>
      </c>
      <c r="G104" t="inlineStr">
        <is>
          <t>OCKELBO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46259</v>
      </c>
      <c r="F105" t="inlineStr">
        <is>
          <t>GÄVLEBORGS LÄN</t>
        </is>
      </c>
      <c r="G105" t="inlineStr">
        <is>
          <t>OCKELBO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46259</v>
      </c>
      <c r="F106" t="inlineStr">
        <is>
          <t>GÄVLEBORGS LÄN</t>
        </is>
      </c>
      <c r="G106" t="inlineStr">
        <is>
          <t>OCKELBO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45134</v>
      </c>
      <c r="E107" s="1" t="n">
        <v>46259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44460</v>
      </c>
      <c r="E108" s="1" t="n">
        <v>46259</v>
      </c>
      <c r="F108" t="inlineStr">
        <is>
          <t>GÄVLEBORGS LÄN</t>
        </is>
      </c>
      <c r="G108" t="inlineStr">
        <is>
          <t>OCKELBO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46259</v>
      </c>
      <c r="F109" t="inlineStr">
        <is>
          <t>GÄVLEBORGS LÄN</t>
        </is>
      </c>
      <c r="G109" t="inlineStr">
        <is>
          <t>OCKELBO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46259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46259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46259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46259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46259</v>
      </c>
      <c r="F114" t="inlineStr">
        <is>
          <t>GÄVLEBORGS LÄN</t>
        </is>
      </c>
      <c r="G114" t="inlineStr">
        <is>
          <t>OCKELBO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46259</v>
      </c>
      <c r="F115" t="inlineStr">
        <is>
          <t>GÄVLEBORGS LÄN</t>
        </is>
      </c>
      <c r="G115" t="inlineStr">
        <is>
          <t>OCKELBO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46259</v>
      </c>
      <c r="F116" t="inlineStr">
        <is>
          <t>GÄVLEBORGS LÄN</t>
        </is>
      </c>
      <c r="G116" t="inlineStr">
        <is>
          <t>OCKELBO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46259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46259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46259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46259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45754</v>
      </c>
      <c r="E121" s="1" t="n">
        <v>46259</v>
      </c>
      <c r="F121" t="inlineStr">
        <is>
          <t>GÄVLEBORGS LÄN</t>
        </is>
      </c>
      <c r="G121" t="inlineStr">
        <is>
          <t>OCKELBO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29274-2025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46259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46259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46259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44838</v>
      </c>
      <c r="E125" s="1" t="n">
        <v>46259</v>
      </c>
      <c r="F125" t="inlineStr">
        <is>
          <t>GÄVLEBORGS LÄN</t>
        </is>
      </c>
      <c r="G125" t="inlineStr">
        <is>
          <t>OCKELBO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46259</v>
      </c>
      <c r="F126" t="inlineStr">
        <is>
          <t>GÄVLEBORGS LÄN</t>
        </is>
      </c>
      <c r="G126" t="inlineStr">
        <is>
          <t>OCKELBO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46259</v>
      </c>
      <c r="F127" t="inlineStr">
        <is>
          <t>GÄVLEBORGS LÄN</t>
        </is>
      </c>
      <c r="G127" t="inlineStr">
        <is>
          <t>OCKELBO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46259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46259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46259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45827</v>
      </c>
      <c r="E131" s="1" t="n">
        <v>46259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46259</v>
      </c>
      <c r="F132" t="inlineStr">
        <is>
          <t>GÄVLEBORGS LÄN</t>
        </is>
      </c>
      <c r="G132" t="inlineStr">
        <is>
          <t>OCKELBO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46259</v>
      </c>
      <c r="F133" t="inlineStr">
        <is>
          <t>GÄVLEBORGS LÄN</t>
        </is>
      </c>
      <c r="G133" t="inlineStr">
        <is>
          <t>OCKELBO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20231-2024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45434</v>
      </c>
      <c r="E134" s="1" t="n">
        <v>46259</v>
      </c>
      <c r="F134" t="inlineStr">
        <is>
          <t>GÄVLEBORGS LÄN</t>
        </is>
      </c>
      <c r="G134" t="inlineStr">
        <is>
          <t>OCKELBO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55422-2022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44887</v>
      </c>
      <c r="E135" s="1" t="n">
        <v>46259</v>
      </c>
      <c r="F135" t="inlineStr">
        <is>
          <t>GÄVLEBORGS LÄN</t>
        </is>
      </c>
      <c r="G135" t="inlineStr">
        <is>
          <t>OCKELBO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46259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46259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46259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45450</v>
      </c>
      <c r="E139" s="1" t="n">
        <v>46259</v>
      </c>
      <c r="F139" t="inlineStr">
        <is>
          <t>GÄVLEBORGS LÄN</t>
        </is>
      </c>
      <c r="G139" t="inlineStr">
        <is>
          <t>OCKELBO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46259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46259</v>
      </c>
      <c r="F141" t="inlineStr">
        <is>
          <t>GÄVLEBORGS LÄN</t>
        </is>
      </c>
      <c r="G141" t="inlineStr">
        <is>
          <t>OCKELBO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46259</v>
      </c>
      <c r="F142" t="inlineStr">
        <is>
          <t>GÄVLEBORGS LÄN</t>
        </is>
      </c>
      <c r="G142" t="inlineStr">
        <is>
          <t>OCKELBO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46259</v>
      </c>
      <c r="F143" t="inlineStr">
        <is>
          <t>GÄVLEBORGS LÄN</t>
        </is>
      </c>
      <c r="G143" t="inlineStr">
        <is>
          <t>OCKELBO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46259</v>
      </c>
      <c r="F144" t="inlineStr">
        <is>
          <t>GÄVLEBORGS LÄN</t>
        </is>
      </c>
      <c r="G144" t="inlineStr">
        <is>
          <t>OCKELBO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45073</v>
      </c>
      <c r="E145" s="1" t="n">
        <v>46259</v>
      </c>
      <c r="F145" t="inlineStr">
        <is>
          <t>GÄVLEBORGS LÄN</t>
        </is>
      </c>
      <c r="G145" t="inlineStr">
        <is>
          <t>OCKELBO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45334</v>
      </c>
      <c r="E146" s="1" t="n">
        <v>46259</v>
      </c>
      <c r="F146" t="inlineStr">
        <is>
          <t>GÄVLEBORGS LÄN</t>
        </is>
      </c>
      <c r="G146" t="inlineStr">
        <is>
          <t>OCKELBO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46259</v>
      </c>
      <c r="F147" t="inlineStr">
        <is>
          <t>GÄVLEBORGS LÄN</t>
        </is>
      </c>
      <c r="G147" t="inlineStr">
        <is>
          <t>OCKELBO</t>
        </is>
      </c>
      <c r="H147" t="inlineStr">
        <is>
          <t>Kyrkan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46259</v>
      </c>
      <c r="F148" t="inlineStr">
        <is>
          <t>GÄVLEBORGS LÄN</t>
        </is>
      </c>
      <c r="G148" t="inlineStr">
        <is>
          <t>OCKELBO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35017-2025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45851</v>
      </c>
      <c r="E149" s="1" t="n">
        <v>46259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27.8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45366</v>
      </c>
      <c r="E150" s="1" t="n">
        <v>46259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46259</v>
      </c>
      <c r="F151" t="inlineStr">
        <is>
          <t>GÄVLEBORGS LÄN</t>
        </is>
      </c>
      <c r="G151" t="inlineStr">
        <is>
          <t>OCKELBO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45490</v>
      </c>
      <c r="E152" s="1" t="n">
        <v>46259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46259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45156</v>
      </c>
      <c r="E154" s="1" t="n">
        <v>46259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46259</v>
      </c>
      <c r="F155" t="inlineStr">
        <is>
          <t>GÄVLEBORGS LÄN</t>
        </is>
      </c>
      <c r="G155" t="inlineStr">
        <is>
          <t>OCKELBO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46259</v>
      </c>
      <c r="F156" t="inlineStr">
        <is>
          <t>GÄVLEBORGS LÄN</t>
        </is>
      </c>
      <c r="G156" t="inlineStr">
        <is>
          <t>OCKELBO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46259</v>
      </c>
      <c r="F157" t="inlineStr">
        <is>
          <t>GÄVLEBORGS LÄN</t>
        </is>
      </c>
      <c r="G157" t="inlineStr">
        <is>
          <t>OCKELBO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45744</v>
      </c>
      <c r="E158" s="1" t="n">
        <v>46259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46259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46259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46259</v>
      </c>
      <c r="F161" t="inlineStr">
        <is>
          <t>GÄVLEBORGS LÄN</t>
        </is>
      </c>
      <c r="G161" t="inlineStr">
        <is>
          <t>OCKELBO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46259</v>
      </c>
      <c r="F162" t="inlineStr">
        <is>
          <t>GÄVLEBORGS LÄN</t>
        </is>
      </c>
      <c r="G162" t="inlineStr">
        <is>
          <t>OCKELBO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46259</v>
      </c>
      <c r="F163" t="inlineStr">
        <is>
          <t>GÄVLEBORGS LÄN</t>
        </is>
      </c>
      <c r="G163" t="inlineStr">
        <is>
          <t>OCKELBO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46259</v>
      </c>
      <c r="F164" t="inlineStr">
        <is>
          <t>GÄVLEBORGS LÄN</t>
        </is>
      </c>
      <c r="G164" t="inlineStr">
        <is>
          <t>OCKELBO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46259</v>
      </c>
      <c r="F165" t="inlineStr">
        <is>
          <t>GÄVLEBORGS LÄN</t>
        </is>
      </c>
      <c r="G165" t="inlineStr">
        <is>
          <t>OCKELBO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46259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öst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60497-2021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46259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46259</v>
      </c>
      <c r="F168" t="inlineStr">
        <is>
          <t>GÄVLEBORGS LÄN</t>
        </is>
      </c>
      <c r="G168" t="inlineStr">
        <is>
          <t>OCKELBO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46259</v>
      </c>
      <c r="F169" t="inlineStr">
        <is>
          <t>GÄVLEBORGS LÄN</t>
        </is>
      </c>
      <c r="G169" t="inlineStr">
        <is>
          <t>OCKELBO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45551</v>
      </c>
      <c r="E170" s="1" t="n">
        <v>46259</v>
      </c>
      <c r="F170" t="inlineStr">
        <is>
          <t>GÄVLEBORGS LÄN</t>
        </is>
      </c>
      <c r="G170" t="inlineStr">
        <is>
          <t>OCKELBO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46259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45488</v>
      </c>
      <c r="E172" s="1" t="n">
        <v>46259</v>
      </c>
      <c r="F172" t="inlineStr">
        <is>
          <t>GÄVLEBORGS LÄN</t>
        </is>
      </c>
      <c r="G172" t="inlineStr">
        <is>
          <t>OCKELBO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46259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45611</v>
      </c>
      <c r="E174" s="1" t="n">
        <v>46259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46259</v>
      </c>
      <c r="F175" t="inlineStr">
        <is>
          <t>GÄVLEBORGS LÄN</t>
        </is>
      </c>
      <c r="G175" t="inlineStr">
        <is>
          <t>OCKELBO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46259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46259</v>
      </c>
      <c r="F177" t="inlineStr">
        <is>
          <t>GÄVLEBORGS LÄN</t>
        </is>
      </c>
      <c r="G177" t="inlineStr">
        <is>
          <t>OCKELBO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46259</v>
      </c>
      <c r="F178" t="inlineStr">
        <is>
          <t>GÄVLEBORGS LÄN</t>
        </is>
      </c>
      <c r="G178" t="inlineStr">
        <is>
          <t>OCKELBO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46259</v>
      </c>
      <c r="F179" t="inlineStr">
        <is>
          <t>GÄVLEBORGS LÄN</t>
        </is>
      </c>
      <c r="G179" t="inlineStr">
        <is>
          <t>OCKELBO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44889</v>
      </c>
      <c r="E180" s="1" t="n">
        <v>46259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46259</v>
      </c>
      <c r="F181" t="inlineStr">
        <is>
          <t>GÄVLEBORGS LÄN</t>
        </is>
      </c>
      <c r="G181" t="inlineStr">
        <is>
          <t>OCKELBO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46259</v>
      </c>
      <c r="F182" t="inlineStr">
        <is>
          <t>GÄVLEBORGS LÄN</t>
        </is>
      </c>
      <c r="G182" t="inlineStr">
        <is>
          <t>OCKELBO</t>
        </is>
      </c>
      <c r="H182" t="inlineStr">
        <is>
          <t>Naturvårdsverket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46259</v>
      </c>
      <c r="F183" t="inlineStr">
        <is>
          <t>GÄVLEBORGS LÄN</t>
        </is>
      </c>
      <c r="G183" t="inlineStr">
        <is>
          <t>OCKELBO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46259</v>
      </c>
      <c r="F184" t="inlineStr">
        <is>
          <t>GÄVLEBORGS LÄN</t>
        </is>
      </c>
      <c r="G184" t="inlineStr">
        <is>
          <t>OCKELBO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46259</v>
      </c>
      <c r="F185" t="inlineStr">
        <is>
          <t>GÄVLEBORGS LÄN</t>
        </is>
      </c>
      <c r="G185" t="inlineStr">
        <is>
          <t>OCKELBO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46259</v>
      </c>
      <c r="F186" t="inlineStr">
        <is>
          <t>GÄVLEBORGS LÄN</t>
        </is>
      </c>
      <c r="G186" t="inlineStr">
        <is>
          <t>OCKELBO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46098</v>
      </c>
      <c r="E187" s="1" t="n">
        <v>46259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46098</v>
      </c>
      <c r="E188" s="1" t="n">
        <v>46259</v>
      </c>
      <c r="F188" t="inlineStr">
        <is>
          <t>GÄVLEBORGS LÄN</t>
        </is>
      </c>
      <c r="G188" t="inlineStr">
        <is>
          <t>OCKELBO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14232-2026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46259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46259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46098</v>
      </c>
      <c r="E191" s="1" t="n">
        <v>46259</v>
      </c>
      <c r="F191" t="inlineStr">
        <is>
          <t>GÄVLEBORGS LÄN</t>
        </is>
      </c>
      <c r="G191" t="inlineStr">
        <is>
          <t>OCKELBO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46098</v>
      </c>
      <c r="E192" s="1" t="n">
        <v>46259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36.6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46259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46098</v>
      </c>
      <c r="E194" s="1" t="n">
        <v>46259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46098</v>
      </c>
      <c r="E195" s="1" t="n">
        <v>46259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46259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46259</v>
      </c>
      <c r="F197" t="inlineStr">
        <is>
          <t>GÄVLEBORGS LÄN</t>
        </is>
      </c>
      <c r="G197" t="inlineStr">
        <is>
          <t>OCKELBO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14439-2026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46259</v>
      </c>
      <c r="F198" t="inlineStr">
        <is>
          <t>GÄVLEBORGS LÄN</t>
        </is>
      </c>
      <c r="G198" t="inlineStr">
        <is>
          <t>OCKELBO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46259</v>
      </c>
      <c r="F199" t="inlineStr">
        <is>
          <t>GÄVLEBORGS LÄN</t>
        </is>
      </c>
      <c r="G199" t="inlineStr">
        <is>
          <t>OCKELBO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46259</v>
      </c>
      <c r="F200" t="inlineStr">
        <is>
          <t>GÄVLEBORGS LÄN</t>
        </is>
      </c>
      <c r="G200" t="inlineStr">
        <is>
          <t>OCKELBO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46259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46259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46259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46259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öst AB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46259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64367-2023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45280</v>
      </c>
      <c r="E206" s="1" t="n">
        <v>46259</v>
      </c>
      <c r="F206" t="inlineStr">
        <is>
          <t>GÄVLEBORGS LÄN</t>
        </is>
      </c>
      <c r="G206" t="inlineStr">
        <is>
          <t>OCKELBO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46259</v>
      </c>
      <c r="F207" t="inlineStr">
        <is>
          <t>GÄVLEBORGS LÄN</t>
        </is>
      </c>
      <c r="G207" t="inlineStr">
        <is>
          <t>OCKELBO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46104</v>
      </c>
      <c r="E208" s="1" t="n">
        <v>46259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44970</v>
      </c>
      <c r="E209" s="1" t="n">
        <v>46259</v>
      </c>
      <c r="F209" t="inlineStr">
        <is>
          <t>GÄVLEBORGS LÄN</t>
        </is>
      </c>
      <c r="G209" t="inlineStr">
        <is>
          <t>OCKELBO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46259</v>
      </c>
      <c r="F210" t="inlineStr">
        <is>
          <t>GÄVLEBORGS LÄN</t>
        </is>
      </c>
      <c r="G210" t="inlineStr">
        <is>
          <t>OCKELBO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46259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46259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46104</v>
      </c>
      <c r="E213" s="1" t="n">
        <v>46259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14973-2026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46259</v>
      </c>
      <c r="F214" t="inlineStr">
        <is>
          <t>GÄVLEBORGS LÄN</t>
        </is>
      </c>
      <c r="G214" t="inlineStr">
        <is>
          <t>OCKELBO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45777</v>
      </c>
      <c r="E215" s="1" t="n">
        <v>46259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46259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46259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46259</v>
      </c>
      <c r="F218" t="inlineStr">
        <is>
          <t>GÄVLEBORGS LÄN</t>
        </is>
      </c>
      <c r="G218" t="inlineStr">
        <is>
          <t>OCKELBO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46259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40196-2024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45554</v>
      </c>
      <c r="E220" s="1" t="n">
        <v>46259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46259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46259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46259</v>
      </c>
      <c r="F223" t="inlineStr">
        <is>
          <t>GÄVLEBORGS LÄN</t>
        </is>
      </c>
      <c r="G223" t="inlineStr">
        <is>
          <t>OCKELBO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46259</v>
      </c>
      <c r="F224" t="inlineStr">
        <is>
          <t>GÄVLEBORGS LÄN</t>
        </is>
      </c>
      <c r="G224" t="inlineStr">
        <is>
          <t>OCKELBO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46259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46259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46259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46259</v>
      </c>
      <c r="F228" t="inlineStr">
        <is>
          <t>GÄVLEBORGS LÄN</t>
        </is>
      </c>
      <c r="G228" t="inlineStr">
        <is>
          <t>OCKELBO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46259</v>
      </c>
      <c r="F229" t="inlineStr">
        <is>
          <t>GÄVLEBORGS LÄN</t>
        </is>
      </c>
      <c r="G229" t="inlineStr">
        <is>
          <t>OCKELBO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46259</v>
      </c>
      <c r="F230" t="inlineStr">
        <is>
          <t>GÄVLEBORGS LÄN</t>
        </is>
      </c>
      <c r="G230" t="inlineStr">
        <is>
          <t>OCKELBO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46259</v>
      </c>
      <c r="F231" t="inlineStr">
        <is>
          <t>GÄVLEBORGS LÄN</t>
        </is>
      </c>
      <c r="G231" t="inlineStr">
        <is>
          <t>OCKELBO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45620</v>
      </c>
      <c r="E232" s="1" t="n">
        <v>46259</v>
      </c>
      <c r="F232" t="inlineStr">
        <is>
          <t>GÄVLEBORGS LÄN</t>
        </is>
      </c>
      <c r="G232" t="inlineStr">
        <is>
          <t>OCKELBO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46259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45596</v>
      </c>
      <c r="E234" s="1" t="n">
        <v>46259</v>
      </c>
      <c r="F234" t="inlineStr">
        <is>
          <t>GÄVLEBORGS LÄN</t>
        </is>
      </c>
      <c r="G234" t="inlineStr">
        <is>
          <t>OCKELBO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46259</v>
      </c>
      <c r="F235" t="inlineStr">
        <is>
          <t>GÄVLEBORGS LÄN</t>
        </is>
      </c>
      <c r="G235" t="inlineStr">
        <is>
          <t>OCKELBO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46112</v>
      </c>
      <c r="E236" s="1" t="n">
        <v>46259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46112</v>
      </c>
      <c r="E237" s="1" t="n">
        <v>46259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46259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46259</v>
      </c>
      <c r="F239" t="inlineStr">
        <is>
          <t>GÄVLEBORGS LÄN</t>
        </is>
      </c>
      <c r="G239" t="inlineStr">
        <is>
          <t>OCKELBO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46259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46114</v>
      </c>
      <c r="E241" s="1" t="n">
        <v>46259</v>
      </c>
      <c r="F241" t="inlineStr">
        <is>
          <t>GÄVLEBORGS LÄN</t>
        </is>
      </c>
      <c r="G241" t="inlineStr">
        <is>
          <t>OCKELBO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46114</v>
      </c>
      <c r="E242" s="1" t="n">
        <v>46259</v>
      </c>
      <c r="F242" t="inlineStr">
        <is>
          <t>GÄVLEBORGS LÄN</t>
        </is>
      </c>
      <c r="G242" t="inlineStr">
        <is>
          <t>OCKELBO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13428-2026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46259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46259</v>
      </c>
      <c r="F244" t="inlineStr">
        <is>
          <t>GÄVLEBORGS LÄN</t>
        </is>
      </c>
      <c r="G244" t="inlineStr">
        <is>
          <t>OCKELBO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46259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46259</v>
      </c>
      <c r="F246" t="inlineStr">
        <is>
          <t>GÄVLEBORGS LÄN</t>
        </is>
      </c>
      <c r="G246" t="inlineStr">
        <is>
          <t>OCKELBO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46259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46118</v>
      </c>
      <c r="E248" s="1" t="n">
        <v>46259</v>
      </c>
      <c r="F248" t="inlineStr">
        <is>
          <t>GÄVLEBORGS LÄN</t>
        </is>
      </c>
      <c r="G248" t="inlineStr">
        <is>
          <t>OCKELBO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46259</v>
      </c>
      <c r="F249" t="inlineStr">
        <is>
          <t>GÄVLEBORGS LÄN</t>
        </is>
      </c>
      <c r="G249" t="inlineStr">
        <is>
          <t>OCKELBO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46259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öst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46259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öst AB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46259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öst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46259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öst AB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46259</v>
      </c>
      <c r="F254" t="inlineStr">
        <is>
          <t>GÄVLEBORGS LÄN</t>
        </is>
      </c>
      <c r="G254" t="inlineStr">
        <is>
          <t>OCKELBO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46259</v>
      </c>
      <c r="F255" t="inlineStr">
        <is>
          <t>GÄVLEBORGS LÄN</t>
        </is>
      </c>
      <c r="G255" t="inlineStr">
        <is>
          <t>OCKELBO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46259</v>
      </c>
      <c r="F256" t="inlineStr">
        <is>
          <t>GÄVLEBORGS LÄN</t>
        </is>
      </c>
      <c r="G256" t="inlineStr">
        <is>
          <t>OCKELBO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46259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öst AB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45497</v>
      </c>
      <c r="E258" s="1" t="n">
        <v>46259</v>
      </c>
      <c r="F258" t="inlineStr">
        <is>
          <t>GÄVLEBORGS LÄN</t>
        </is>
      </c>
      <c r="G258" t="inlineStr">
        <is>
          <t>OCKELBO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46125</v>
      </c>
      <c r="E259" s="1" t="n">
        <v>46259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46259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öst AB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46259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46126</v>
      </c>
      <c r="E262" s="1" t="n">
        <v>46259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46259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46259</v>
      </c>
      <c r="F264" t="inlineStr">
        <is>
          <t>GÄVLEBORGS LÄN</t>
        </is>
      </c>
      <c r="G264" t="inlineStr">
        <is>
          <t>OCKELBO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46127</v>
      </c>
      <c r="E265" s="1" t="n">
        <v>46259</v>
      </c>
      <c r="F265" t="inlineStr">
        <is>
          <t>GÄVLEBORGS LÄN</t>
        </is>
      </c>
      <c r="G265" t="inlineStr">
        <is>
          <t>OCKELBO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46259</v>
      </c>
      <c r="F266" t="inlineStr">
        <is>
          <t>GÄVLEBORGS LÄN</t>
        </is>
      </c>
      <c r="G266" t="inlineStr">
        <is>
          <t>OCKELBO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46259</v>
      </c>
      <c r="F267" t="inlineStr">
        <is>
          <t>GÄVLEBORGS LÄN</t>
        </is>
      </c>
      <c r="G267" t="inlineStr">
        <is>
          <t>OCKELBO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46259</v>
      </c>
      <c r="F268" t="inlineStr">
        <is>
          <t>GÄVLEBORGS LÄN</t>
        </is>
      </c>
      <c r="G268" t="inlineStr">
        <is>
          <t>OCKELBO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56352-2024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45624</v>
      </c>
      <c r="E269" s="1" t="n">
        <v>46259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45180</v>
      </c>
      <c r="E270" s="1" t="n">
        <v>46259</v>
      </c>
      <c r="F270" t="inlineStr">
        <is>
          <t>GÄVLEBORGS LÄN</t>
        </is>
      </c>
      <c r="G270" t="inlineStr">
        <is>
          <t>OCKELBO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46259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46259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46259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46132</v>
      </c>
      <c r="E274" s="1" t="n">
        <v>46259</v>
      </c>
      <c r="F274" t="inlineStr">
        <is>
          <t>GÄVLEBORGS LÄN</t>
        </is>
      </c>
      <c r="G274" t="inlineStr">
        <is>
          <t>OCKELBO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46259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49207-2023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45210</v>
      </c>
      <c r="E276" s="1" t="n">
        <v>46259</v>
      </c>
      <c r="F276" t="inlineStr">
        <is>
          <t>GÄVLEBORGS LÄN</t>
        </is>
      </c>
      <c r="G276" t="inlineStr">
        <is>
          <t>OCKELBO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18705-2026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46128</v>
      </c>
      <c r="E277" s="1" t="n">
        <v>46259</v>
      </c>
      <c r="F277" t="inlineStr">
        <is>
          <t>GÄVLEBORGS LÄN</t>
        </is>
      </c>
      <c r="G277" t="inlineStr">
        <is>
          <t>OCKELBO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46259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46259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46259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46259</v>
      </c>
      <c r="F281" t="inlineStr">
        <is>
          <t>GÄVLEBORGS LÄN</t>
        </is>
      </c>
      <c r="G281" t="inlineStr">
        <is>
          <t>OCKELBO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46128</v>
      </c>
      <c r="E282" s="1" t="n">
        <v>46259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46259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46259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46259</v>
      </c>
      <c r="F285" t="inlineStr">
        <is>
          <t>GÄVLEBORGS LÄN</t>
        </is>
      </c>
      <c r="G285" t="inlineStr">
        <is>
          <t>OCKELBO</t>
        </is>
      </c>
      <c r="H285" t="inlineStr">
        <is>
          <t>Kyrkan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46259</v>
      </c>
      <c r="F286" t="inlineStr">
        <is>
          <t>GÄVLEBORGS LÄN</t>
        </is>
      </c>
      <c r="G286" t="inlineStr">
        <is>
          <t>OCKELBO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46259</v>
      </c>
      <c r="F287" t="inlineStr">
        <is>
          <t>GÄVLEBORGS LÄN</t>
        </is>
      </c>
      <c r="G287" t="inlineStr">
        <is>
          <t>OCKELBO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46259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19431-2026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46259</v>
      </c>
      <c r="F289" t="inlineStr">
        <is>
          <t>GÄVLEBORGS LÄN</t>
        </is>
      </c>
      <c r="G289" t="inlineStr">
        <is>
          <t>OCKELBO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46259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46259</v>
      </c>
      <c r="F291" t="inlineStr">
        <is>
          <t>GÄVLEBORGS LÄN</t>
        </is>
      </c>
      <c r="G291" t="inlineStr">
        <is>
          <t>OCKELBO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19277-2026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46259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46259</v>
      </c>
      <c r="F293" t="inlineStr">
        <is>
          <t>GÄVLEBORGS LÄN</t>
        </is>
      </c>
      <c r="G293" t="inlineStr">
        <is>
          <t>OCKELBO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19924-2026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46259</v>
      </c>
      <c r="F294" t="inlineStr">
        <is>
          <t>GÄVLEBORGS LÄN</t>
        </is>
      </c>
      <c r="G294" t="inlineStr">
        <is>
          <t>OCKELBO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46259</v>
      </c>
      <c r="F295" t="inlineStr">
        <is>
          <t>GÄVLEBORGS LÄN</t>
        </is>
      </c>
      <c r="G295" t="inlineStr">
        <is>
          <t>OCKELBO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45432</v>
      </c>
      <c r="E296" s="1" t="n">
        <v>46259</v>
      </c>
      <c r="F296" t="inlineStr">
        <is>
          <t>GÄVLEBORGS LÄN</t>
        </is>
      </c>
      <c r="G296" t="inlineStr">
        <is>
          <t>OCKELBO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45441</v>
      </c>
      <c r="E297" s="1" t="n">
        <v>46259</v>
      </c>
      <c r="F297" t="inlineStr">
        <is>
          <t>GÄVLEBORGS LÄN</t>
        </is>
      </c>
      <c r="G297" t="inlineStr">
        <is>
          <t>OCKELBO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45398</v>
      </c>
      <c r="E298" s="1" t="n">
        <v>46259</v>
      </c>
      <c r="F298" t="inlineStr">
        <is>
          <t>GÄVLEBORGS LÄN</t>
        </is>
      </c>
      <c r="G298" t="inlineStr">
        <is>
          <t>OCKELBO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22824-2024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45448</v>
      </c>
      <c r="E299" s="1" t="n">
        <v>46259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45656</v>
      </c>
      <c r="E300" s="1" t="n">
        <v>46259</v>
      </c>
      <c r="F300" t="inlineStr">
        <is>
          <t>GÄVLEBORGS LÄN</t>
        </is>
      </c>
      <c r="G300" t="inlineStr">
        <is>
          <t>OCKELBO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45671</v>
      </c>
      <c r="E301" s="1" t="n">
        <v>46259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46259</v>
      </c>
      <c r="F302" t="inlineStr">
        <is>
          <t>GÄVLEBORGS LÄN</t>
        </is>
      </c>
      <c r="G302" t="inlineStr">
        <is>
          <t>OCKELBO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46259</v>
      </c>
      <c r="F303" t="inlineStr">
        <is>
          <t>GÄVLEBORGS LÄN</t>
        </is>
      </c>
      <c r="G303" t="inlineStr">
        <is>
          <t>OCKELBO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46259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46259</v>
      </c>
      <c r="F305" t="inlineStr">
        <is>
          <t>GÄVLEBORGS LÄN</t>
        </is>
      </c>
      <c r="G305" t="inlineStr">
        <is>
          <t>OCKELBO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45925</v>
      </c>
      <c r="E306" s="1" t="n">
        <v>46259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46259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46114</v>
      </c>
      <c r="E308" s="1" t="n">
        <v>46259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45712</v>
      </c>
      <c r="E309" s="1" t="n">
        <v>46259</v>
      </c>
      <c r="F309" t="inlineStr">
        <is>
          <t>GÄVLEBORGS LÄN</t>
        </is>
      </c>
      <c r="G309" t="inlineStr">
        <is>
          <t>OCKELBO</t>
        </is>
      </c>
      <c r="I309" t="n">
        <v>14.7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64609-2023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46259</v>
      </c>
      <c r="F310" t="inlineStr">
        <is>
          <t>GÄVLEBORGS LÄN</t>
        </is>
      </c>
      <c r="G310" t="inlineStr">
        <is>
          <t>OCKELBO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46259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46259</v>
      </c>
      <c r="F312" t="inlineStr">
        <is>
          <t>GÄVLEBORGS LÄN</t>
        </is>
      </c>
      <c r="G312" t="inlineStr">
        <is>
          <t>OCKELBO</t>
        </is>
      </c>
      <c r="I312" t="n">
        <v>11.9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46259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44643</v>
      </c>
      <c r="E314" s="1" t="n">
        <v>46259</v>
      </c>
      <c r="F314" t="inlineStr">
        <is>
          <t>GÄVLEBORGS LÄN</t>
        </is>
      </c>
      <c r="G314" t="inlineStr">
        <is>
          <t>OCKELBO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65259-2023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45291</v>
      </c>
      <c r="E315" s="1" t="n">
        <v>46259</v>
      </c>
      <c r="F315" t="inlineStr">
        <is>
          <t>GÄVLEBORGS LÄN</t>
        </is>
      </c>
      <c r="G315" t="inlineStr">
        <is>
          <t>OCKELBO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46259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46259</v>
      </c>
      <c r="F317" t="inlineStr">
        <is>
          <t>GÄVLEBORGS LÄN</t>
        </is>
      </c>
      <c r="G317" t="inlineStr">
        <is>
          <t>OCKELBO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45156</v>
      </c>
      <c r="E318" s="1" t="n">
        <v>46259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46064</v>
      </c>
      <c r="E319" s="1" t="n">
        <v>46259</v>
      </c>
      <c r="F319" t="inlineStr">
        <is>
          <t>GÄVLEBORGS LÄN</t>
        </is>
      </c>
      <c r="G319" t="inlineStr">
        <is>
          <t>OCKELBO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46259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46137</v>
      </c>
      <c r="E321" s="1" t="n">
        <v>46259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46137</v>
      </c>
      <c r="E322" s="1" t="n">
        <v>46259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46259</v>
      </c>
      <c r="F323" t="inlineStr">
        <is>
          <t>GÄVLEBORGS LÄN</t>
        </is>
      </c>
      <c r="G323" t="inlineStr">
        <is>
          <t>OCKELBO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45254</v>
      </c>
      <c r="E324" s="1" t="n">
        <v>46259</v>
      </c>
      <c r="F324" t="inlineStr">
        <is>
          <t>GÄVLEBORGS LÄN</t>
        </is>
      </c>
      <c r="G324" t="inlineStr">
        <is>
          <t>OCKELBO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46259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34291-2025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46259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45107</v>
      </c>
      <c r="E327" s="1" t="n">
        <v>46259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46259</v>
      </c>
      <c r="F328" t="inlineStr">
        <is>
          <t>GÄVLEBORGS LÄN</t>
        </is>
      </c>
      <c r="G328" t="inlineStr">
        <is>
          <t>OCKELBO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45111</v>
      </c>
      <c r="E329" s="1" t="n">
        <v>46259</v>
      </c>
      <c r="F329" t="inlineStr">
        <is>
          <t>GÄVLEBORGS LÄN</t>
        </is>
      </c>
      <c r="G329" t="inlineStr">
        <is>
          <t>OCKELBO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46259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45106</v>
      </c>
      <c r="E331" s="1" t="n">
        <v>46259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36521-2022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44804</v>
      </c>
      <c r="E332" s="1" t="n">
        <v>46259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52335-2024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45609</v>
      </c>
      <c r="E333" s="1" t="n">
        <v>46259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46259</v>
      </c>
      <c r="F334" t="inlineStr">
        <is>
          <t>GÄVLEBORGS LÄN</t>
        </is>
      </c>
      <c r="G334" t="inlineStr">
        <is>
          <t>OCKELBO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44725</v>
      </c>
      <c r="E335" s="1" t="n">
        <v>46259</v>
      </c>
      <c r="F335" t="inlineStr">
        <is>
          <t>GÄVLEBORGS LÄN</t>
        </is>
      </c>
      <c r="G335" t="inlineStr">
        <is>
          <t>OCKELBO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45519-2022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44845</v>
      </c>
      <c r="E336" s="1" t="n">
        <v>46259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46259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45617</v>
      </c>
      <c r="E338" s="1" t="n">
        <v>46259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61622-2021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44501</v>
      </c>
      <c r="E339" s="1" t="n">
        <v>46259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44781</v>
      </c>
      <c r="E340" s="1" t="n">
        <v>46259</v>
      </c>
      <c r="F340" t="inlineStr">
        <is>
          <t>GÄVLEBORGS LÄN</t>
        </is>
      </c>
      <c r="G340" t="inlineStr">
        <is>
          <t>OCKELBO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40283-2024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46259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46259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67768-2021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44525</v>
      </c>
      <c r="E343" s="1" t="n">
        <v>46259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46485-2024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45582</v>
      </c>
      <c r="E344" s="1" t="n">
        <v>46259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47011-2025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45929</v>
      </c>
      <c r="E345" s="1" t="n">
        <v>46259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46259</v>
      </c>
      <c r="F346" t="inlineStr">
        <is>
          <t>GÄVLEBORGS LÄN</t>
        </is>
      </c>
      <c r="G346" t="inlineStr">
        <is>
          <t>OCKELBO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45602</v>
      </c>
      <c r="E347" s="1" t="n">
        <v>46259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46259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45602</v>
      </c>
      <c r="E349" s="1" t="n">
        <v>46259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38893-2022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44816</v>
      </c>
      <c r="E350" s="1" t="n">
        <v>46259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45027</v>
      </c>
      <c r="E351" s="1" t="n">
        <v>46259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46259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45554</v>
      </c>
      <c r="E353" s="1" t="n">
        <v>46259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45644</v>
      </c>
      <c r="E354" s="1" t="n">
        <v>46259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50235-2023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46259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66825-2021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44522</v>
      </c>
      <c r="E356" s="1" t="n">
        <v>46259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45821</v>
      </c>
      <c r="E357" s="1" t="n">
        <v>46259</v>
      </c>
      <c r="F357" t="inlineStr">
        <is>
          <t>GÄVLEBORGS LÄN</t>
        </is>
      </c>
      <c r="G357" t="inlineStr">
        <is>
          <t>OCKELBO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45932</v>
      </c>
      <c r="E358" s="1" t="n">
        <v>46259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46259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46259</v>
      </c>
      <c r="F360" t="inlineStr">
        <is>
          <t>GÄVLEBORGS LÄN</t>
        </is>
      </c>
      <c r="G360" t="inlineStr">
        <is>
          <t>OCKELBO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46259</v>
      </c>
      <c r="F361" t="inlineStr">
        <is>
          <t>GÄVLEBORGS LÄN</t>
        </is>
      </c>
      <c r="G361" t="inlineStr">
        <is>
          <t>OCKELBO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29953-2024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45488</v>
      </c>
      <c r="E362" s="1" t="n">
        <v>46259</v>
      </c>
      <c r="F362" t="inlineStr">
        <is>
          <t>GÄVLEBORGS LÄN</t>
        </is>
      </c>
      <c r="G362" t="inlineStr">
        <is>
          <t>OCKELBO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7907-2026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46259</v>
      </c>
      <c r="F363" t="inlineStr">
        <is>
          <t>GÄVLEBORGS LÄN</t>
        </is>
      </c>
      <c r="G363" t="inlineStr">
        <is>
          <t>OCKELBO</t>
        </is>
      </c>
      <c r="I363" t="n">
        <v>11.5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46259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48855-2025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46259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45937</v>
      </c>
      <c r="E366" s="1" t="n">
        <v>46259</v>
      </c>
      <c r="F366" t="inlineStr">
        <is>
          <t>GÄVLEBORGS LÄN</t>
        </is>
      </c>
      <c r="G366" t="inlineStr">
        <is>
          <t>OCKELBO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49008-2025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45937</v>
      </c>
      <c r="E367" s="1" t="n">
        <v>46259</v>
      </c>
      <c r="F367" t="inlineStr">
        <is>
          <t>GÄVLEBORGS LÄN</t>
        </is>
      </c>
      <c r="G367" t="inlineStr">
        <is>
          <t>OCKELBO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46259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45674</v>
      </c>
      <c r="E369" s="1" t="n">
        <v>46259</v>
      </c>
      <c r="F369" t="inlineStr">
        <is>
          <t>GÄVLEBORGS LÄN</t>
        </is>
      </c>
      <c r="G369" t="inlineStr">
        <is>
          <t>OCKELBO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45937</v>
      </c>
      <c r="E370" s="1" t="n">
        <v>46259</v>
      </c>
      <c r="F370" t="inlineStr">
        <is>
          <t>GÄVLEBORGS LÄN</t>
        </is>
      </c>
      <c r="G370" t="inlineStr">
        <is>
          <t>OCKELBO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45937</v>
      </c>
      <c r="E371" s="1" t="n">
        <v>46259</v>
      </c>
      <c r="F371" t="inlineStr">
        <is>
          <t>GÄVLEBORGS LÄN</t>
        </is>
      </c>
      <c r="G371" t="inlineStr">
        <is>
          <t>OCKELBO</t>
        </is>
      </c>
      <c r="I371" t="n">
        <v>11.1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49027-2025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46259</v>
      </c>
      <c r="F372" t="inlineStr">
        <is>
          <t>GÄVLEBORGS LÄN</t>
        </is>
      </c>
      <c r="G372" t="inlineStr">
        <is>
          <t>OCKELBO</t>
        </is>
      </c>
      <c r="I372" t="n">
        <v>11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46259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46259</v>
      </c>
      <c r="F374" t="inlineStr">
        <is>
          <t>GÄVLEBORGS LÄN</t>
        </is>
      </c>
      <c r="G374" t="inlineStr">
        <is>
          <t>OCKELBO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46259</v>
      </c>
      <c r="F375" t="inlineStr">
        <is>
          <t>GÄVLEBORGS LÄN</t>
        </is>
      </c>
      <c r="G375" t="inlineStr">
        <is>
          <t>OCKELBO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46259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46138</v>
      </c>
      <c r="E377" s="1" t="n">
        <v>46259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46259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46259</v>
      </c>
      <c r="F379" t="inlineStr">
        <is>
          <t>GÄVLEBORGS LÄN</t>
        </is>
      </c>
      <c r="G379" t="inlineStr">
        <is>
          <t>OCKELBO</t>
        </is>
      </c>
      <c r="I379" t="n">
        <v>36.1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46259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45134</v>
      </c>
      <c r="E381" s="1" t="n">
        <v>46259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46259</v>
      </c>
      <c r="F382" t="inlineStr">
        <is>
          <t>GÄVLEBORGS LÄN</t>
        </is>
      </c>
      <c r="G382" t="inlineStr">
        <is>
          <t>OCKELBO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46259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46259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46259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46259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46259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46259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46021</v>
      </c>
      <c r="E389" s="1" t="n">
        <v>46259</v>
      </c>
      <c r="F389" t="inlineStr">
        <is>
          <t>GÄVLEBORGS LÄN</t>
        </is>
      </c>
      <c r="G389" t="inlineStr">
        <is>
          <t>OCKELBO</t>
        </is>
      </c>
      <c r="I389" t="n">
        <v>18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46259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20660-2022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44700</v>
      </c>
      <c r="E391" s="1" t="n">
        <v>46259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46259</v>
      </c>
      <c r="F392" t="inlineStr">
        <is>
          <t>GÄVLEBORGS LÄN</t>
        </is>
      </c>
      <c r="G392" t="inlineStr">
        <is>
          <t>OCKELBO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46259</v>
      </c>
      <c r="F393" t="inlineStr">
        <is>
          <t>GÄVLEBORGS LÄN</t>
        </is>
      </c>
      <c r="G393" t="inlineStr">
        <is>
          <t>OCKELBO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36604-2025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45870</v>
      </c>
      <c r="E394" s="1" t="n">
        <v>46259</v>
      </c>
      <c r="F394" t="inlineStr">
        <is>
          <t>GÄVLEBORGS LÄN</t>
        </is>
      </c>
      <c r="G394" t="inlineStr">
        <is>
          <t>OCKELBO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45800</v>
      </c>
      <c r="E395" s="1" t="n">
        <v>46259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46259</v>
      </c>
      <c r="F396" t="inlineStr">
        <is>
          <t>GÄVLEBORGS LÄN</t>
        </is>
      </c>
      <c r="G396" t="inlineStr">
        <is>
          <t>OCKELBO</t>
        </is>
      </c>
      <c r="I396" t="n">
        <v>11.2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45666</v>
      </c>
      <c r="E397" s="1" t="n">
        <v>46259</v>
      </c>
      <c r="F397" t="inlineStr">
        <is>
          <t>GÄVLEBORGS LÄN</t>
        </is>
      </c>
      <c r="G397" t="inlineStr">
        <is>
          <t>OCKELBO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15247-2025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45744</v>
      </c>
      <c r="E398" s="1" t="n">
        <v>46259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46259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32011-2024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45510</v>
      </c>
      <c r="E400" s="1" t="n">
        <v>46259</v>
      </c>
      <c r="F400" t="inlineStr">
        <is>
          <t>GÄVLEBORGS LÄN</t>
        </is>
      </c>
      <c r="G400" t="inlineStr">
        <is>
          <t>OCKELBO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46259</v>
      </c>
      <c r="F401" t="inlineStr">
        <is>
          <t>GÄVLEBORGS LÄN</t>
        </is>
      </c>
      <c r="G401" t="inlineStr">
        <is>
          <t>OCKELBO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46259</v>
      </c>
      <c r="F402" t="inlineStr">
        <is>
          <t>GÄVLEBORGS LÄN</t>
        </is>
      </c>
      <c r="G402" t="inlineStr">
        <is>
          <t>OCKELBO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46259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46137</v>
      </c>
      <c r="E404" s="1" t="n">
        <v>46259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46316-2025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46259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46259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46259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15694-2022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44663</v>
      </c>
      <c r="E408" s="1" t="n">
        <v>46259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32123-2024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45511</v>
      </c>
      <c r="E409" s="1" t="n">
        <v>46259</v>
      </c>
      <c r="F409" t="inlineStr">
        <is>
          <t>GÄVLEBORGS LÄN</t>
        </is>
      </c>
      <c r="G409" t="inlineStr">
        <is>
          <t>OCKELBO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46259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35054-2022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44797</v>
      </c>
      <c r="E411" s="1" t="n">
        <v>46259</v>
      </c>
      <c r="F411" t="inlineStr">
        <is>
          <t>GÄVLEBORGS LÄN</t>
        </is>
      </c>
      <c r="G411" t="inlineStr">
        <is>
          <t>OCKELBO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46259</v>
      </c>
      <c r="F412" t="inlineStr">
        <is>
          <t>GÄVLEBORGS LÄN</t>
        </is>
      </c>
      <c r="G412" t="inlineStr">
        <is>
          <t>OCKELBO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45070</v>
      </c>
      <c r="E413" s="1" t="n">
        <v>46259</v>
      </c>
      <c r="F413" t="inlineStr">
        <is>
          <t>GÄVLEBORGS LÄN</t>
        </is>
      </c>
      <c r="G413" t="inlineStr">
        <is>
          <t>OCKELBO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61456-2024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46259</v>
      </c>
      <c r="F414" t="inlineStr">
        <is>
          <t>GÄVLEBORGS LÄN</t>
        </is>
      </c>
      <c r="G414" t="inlineStr">
        <is>
          <t>OCKELBO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46259</v>
      </c>
      <c r="F415" t="inlineStr">
        <is>
          <t>GÄVLEBORGS LÄN</t>
        </is>
      </c>
      <c r="G415" t="inlineStr">
        <is>
          <t>OCKELBO</t>
        </is>
      </c>
      <c r="H415" t="inlineStr">
        <is>
          <t>Kyrkan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61335-2022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44915</v>
      </c>
      <c r="E416" s="1" t="n">
        <v>46259</v>
      </c>
      <c r="F416" t="inlineStr">
        <is>
          <t>GÄVLEBORGS LÄN</t>
        </is>
      </c>
      <c r="G416" t="inlineStr">
        <is>
          <t>OCKELBO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46259</v>
      </c>
      <c r="F417" t="inlineStr">
        <is>
          <t>GÄVLEBORGS LÄN</t>
        </is>
      </c>
      <c r="G417" t="inlineStr">
        <is>
          <t>OCKELBO</t>
        </is>
      </c>
      <c r="I417" t="n">
        <v>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46259</v>
      </c>
      <c r="F418" t="inlineStr">
        <is>
          <t>GÄVLEBORGS LÄN</t>
        </is>
      </c>
      <c r="G418" t="inlineStr">
        <is>
          <t>OCKELBO</t>
        </is>
      </c>
      <c r="I418" t="n">
        <v>10.3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45772</v>
      </c>
      <c r="E419" s="1" t="n">
        <v>46259</v>
      </c>
      <c r="F419" t="inlineStr">
        <is>
          <t>GÄVLEBORGS LÄN</t>
        </is>
      </c>
      <c r="G419" t="inlineStr">
        <is>
          <t>OCKELBO</t>
        </is>
      </c>
      <c r="I419" t="n">
        <v>14.8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55112-2023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45237</v>
      </c>
      <c r="E420" s="1" t="n">
        <v>46259</v>
      </c>
      <c r="F420" t="inlineStr">
        <is>
          <t>GÄVLEBORGS LÄN</t>
        </is>
      </c>
      <c r="G420" t="inlineStr">
        <is>
          <t>OCKELBO</t>
        </is>
      </c>
      <c r="I420" t="n">
        <v>14.6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46259</v>
      </c>
      <c r="F421" t="inlineStr">
        <is>
          <t>GÄVLEBORGS LÄN</t>
        </is>
      </c>
      <c r="G421" t="inlineStr">
        <is>
          <t>OCKELBO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46259</v>
      </c>
      <c r="F422" t="inlineStr">
        <is>
          <t>GÄVLEBORGS LÄN</t>
        </is>
      </c>
      <c r="G422" t="inlineStr">
        <is>
          <t>OCKELBO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45254</v>
      </c>
      <c r="E423" s="1" t="n">
        <v>46259</v>
      </c>
      <c r="F423" t="inlineStr">
        <is>
          <t>GÄVLEBORGS LÄN</t>
        </is>
      </c>
      <c r="G423" t="inlineStr">
        <is>
          <t>OCKELBO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46259</v>
      </c>
      <c r="F424" t="inlineStr">
        <is>
          <t>GÄVLEBORGS LÄN</t>
        </is>
      </c>
      <c r="G424" t="inlineStr">
        <is>
          <t>OCKELBO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46091</v>
      </c>
      <c r="E425" s="1" t="n">
        <v>46259</v>
      </c>
      <c r="F425" t="inlineStr">
        <is>
          <t>GÄVLEBORGS LÄN</t>
        </is>
      </c>
      <c r="G425" t="inlineStr">
        <is>
          <t>OCKELBO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46259</v>
      </c>
      <c r="F426" t="inlineStr">
        <is>
          <t>GÄVLEBORGS LÄN</t>
        </is>
      </c>
      <c r="G426" t="inlineStr">
        <is>
          <t>OCKELBO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46259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46077</v>
      </c>
      <c r="E428" s="1" t="n">
        <v>46259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45111</v>
      </c>
      <c r="E429" s="1" t="n">
        <v>46259</v>
      </c>
      <c r="F429" t="inlineStr">
        <is>
          <t>GÄVLEBORGS LÄN</t>
        </is>
      </c>
      <c r="G429" t="inlineStr">
        <is>
          <t>OCKELBO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46259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23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46259</v>
      </c>
      <c r="F431" t="inlineStr">
        <is>
          <t>GÄVLEBORGS LÄN</t>
        </is>
      </c>
      <c r="G431" t="inlineStr">
        <is>
          <t>OCKELBO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46259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46259</v>
      </c>
      <c r="F433" t="inlineStr">
        <is>
          <t>GÄVLEBORGS LÄN</t>
        </is>
      </c>
      <c r="G433" t="inlineStr">
        <is>
          <t>OCKELBO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46259</v>
      </c>
      <c r="F434" t="inlineStr">
        <is>
          <t>GÄVLEBORGS LÄN</t>
        </is>
      </c>
      <c r="G434" t="inlineStr">
        <is>
          <t>OCKELBO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45230</v>
      </c>
      <c r="E435" s="1" t="n">
        <v>46259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46259</v>
      </c>
      <c r="F436" t="inlineStr">
        <is>
          <t>GÄVLEBORGS LÄN</t>
        </is>
      </c>
      <c r="G436" t="inlineStr">
        <is>
          <t>OCKELBO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46259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46259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46259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46027</v>
      </c>
      <c r="E440" s="1" t="n">
        <v>46259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46259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46259</v>
      </c>
      <c r="F442" t="inlineStr">
        <is>
          <t>GÄVLEBORGS LÄN</t>
        </is>
      </c>
      <c r="G442" t="inlineStr">
        <is>
          <t>OCKELBO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29567-2024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45484</v>
      </c>
      <c r="E443" s="1" t="n">
        <v>46259</v>
      </c>
      <c r="F443" t="inlineStr">
        <is>
          <t>GÄVLEBORGS LÄN</t>
        </is>
      </c>
      <c r="G443" t="inlineStr">
        <is>
          <t>OCKELBO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46259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46259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20984-2026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46259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46259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36210-2024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45534</v>
      </c>
      <c r="E448" s="1" t="n">
        <v>46259</v>
      </c>
      <c r="F448" t="inlineStr">
        <is>
          <t>GÄVLEBORGS LÄN</t>
        </is>
      </c>
      <c r="G448" t="inlineStr">
        <is>
          <t>OCKELBO</t>
        </is>
      </c>
      <c r="H448" t="inlineStr">
        <is>
          <t>Kyrkan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46104</v>
      </c>
      <c r="E449" s="1" t="n">
        <v>46259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17951-2026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46122</v>
      </c>
      <c r="E450" s="1" t="n">
        <v>46259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46259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18097-2026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46125</v>
      </c>
      <c r="E452" s="1" t="n">
        <v>46259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46259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46259</v>
      </c>
      <c r="F454" t="inlineStr">
        <is>
          <t>GÄVLEBORGS LÄN</t>
        </is>
      </c>
      <c r="G454" t="inlineStr">
        <is>
          <t>OCKELBO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46107</v>
      </c>
      <c r="E455" s="1" t="n">
        <v>46259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öst AB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46148</v>
      </c>
      <c r="E456" s="1" t="n">
        <v>46259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46259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46259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öst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46119</v>
      </c>
      <c r="E459" s="1" t="n">
        <v>46259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46147</v>
      </c>
      <c r="E460" s="1" t="n">
        <v>46259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öst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46259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46259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45301</v>
      </c>
      <c r="E463" s="1" t="n">
        <v>46259</v>
      </c>
      <c r="F463" t="inlineStr">
        <is>
          <t>GÄVLEBORGS LÄN</t>
        </is>
      </c>
      <c r="G463" t="inlineStr">
        <is>
          <t>OCKELBO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46100</v>
      </c>
      <c r="E464" s="1" t="n">
        <v>46259</v>
      </c>
      <c r="F464" t="inlineStr">
        <is>
          <t>GÄVLEBORGS LÄN</t>
        </is>
      </c>
      <c r="G464" t="inlineStr">
        <is>
          <t>OCKELBO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46259</v>
      </c>
      <c r="F465" t="inlineStr">
        <is>
          <t>GÄVLEBORGS LÄN</t>
        </is>
      </c>
      <c r="G465" t="inlineStr">
        <is>
          <t>OCKELBO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46259</v>
      </c>
      <c r="F466" t="inlineStr">
        <is>
          <t>GÄVLEBORGS LÄN</t>
        </is>
      </c>
      <c r="G466" t="inlineStr">
        <is>
          <t>OCKELBO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46259</v>
      </c>
      <c r="F467" t="inlineStr">
        <is>
          <t>GÄVLEBORGS LÄN</t>
        </is>
      </c>
      <c r="G467" t="inlineStr">
        <is>
          <t>OCKELBO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18645-2026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46259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46259</v>
      </c>
      <c r="F469" t="inlineStr">
        <is>
          <t>GÄVLEBORGS LÄN</t>
        </is>
      </c>
      <c r="G469" t="inlineStr">
        <is>
          <t>OCKELBO</t>
        </is>
      </c>
      <c r="I469" t="n">
        <v>8.199999999999999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46259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46259</v>
      </c>
      <c r="F471" t="inlineStr">
        <is>
          <t>GÄVLEBORGS LÄN</t>
        </is>
      </c>
      <c r="G471" t="inlineStr">
        <is>
          <t>OCKELBO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13210-2026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46259</v>
      </c>
      <c r="F472" t="inlineStr">
        <is>
          <t>GÄVLEBORGS LÄN</t>
        </is>
      </c>
      <c r="G472" t="inlineStr">
        <is>
          <t>OCKELBO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46088</v>
      </c>
      <c r="E473" s="1" t="n">
        <v>46259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9.199999999999999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46259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46259</v>
      </c>
      <c r="F475" t="inlineStr">
        <is>
          <t>GÄVLEBORGS LÄN</t>
        </is>
      </c>
      <c r="G475" t="inlineStr">
        <is>
          <t>OCKELBO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45909</v>
      </c>
      <c r="E476" s="1" t="n">
        <v>46259</v>
      </c>
      <c r="F476" t="inlineStr">
        <is>
          <t>GÄVLEBORGS LÄN</t>
        </is>
      </c>
      <c r="G476" t="inlineStr">
        <is>
          <t>OCKELBO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46259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46259</v>
      </c>
      <c r="F478" t="inlineStr">
        <is>
          <t>GÄVLEBORGS LÄN</t>
        </is>
      </c>
      <c r="G478" t="inlineStr">
        <is>
          <t>OCKELBO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46259</v>
      </c>
      <c r="F479" t="inlineStr">
        <is>
          <t>GÄVLEBORGS LÄN</t>
        </is>
      </c>
      <c r="G479" t="inlineStr">
        <is>
          <t>OCKELBO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46259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22329-2026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46154</v>
      </c>
      <c r="E481" s="1" t="n">
        <v>46259</v>
      </c>
      <c r="F481" t="inlineStr">
        <is>
          <t>GÄVLEBORGS LÄN</t>
        </is>
      </c>
      <c r="G481" t="inlineStr">
        <is>
          <t>OCKELBO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46259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46066</v>
      </c>
      <c r="E483" s="1" t="n">
        <v>46259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39710-2023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45167</v>
      </c>
      <c r="E484" s="1" t="n">
        <v>46259</v>
      </c>
      <c r="F484" t="inlineStr">
        <is>
          <t>GÄVLEBORGS LÄN</t>
        </is>
      </c>
      <c r="G484" t="inlineStr">
        <is>
          <t>OCKELBO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45623</v>
      </c>
      <c r="E485" s="1" t="n">
        <v>46259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46259</v>
      </c>
      <c r="F486" t="inlineStr">
        <is>
          <t>GÄVLEBORGS LÄN</t>
        </is>
      </c>
      <c r="G486" t="inlineStr">
        <is>
          <t>OCKELBO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46259</v>
      </c>
      <c r="F487" t="inlineStr">
        <is>
          <t>GÄVLEBORGS LÄN</t>
        </is>
      </c>
      <c r="G487" t="inlineStr">
        <is>
          <t>OCKELBO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46259</v>
      </c>
      <c r="F488" t="inlineStr">
        <is>
          <t>GÄVLEBORGS LÄN</t>
        </is>
      </c>
      <c r="G488" t="inlineStr">
        <is>
          <t>OCKELBO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46259</v>
      </c>
      <c r="F489" t="inlineStr">
        <is>
          <t>GÄVLEBORGS LÄN</t>
        </is>
      </c>
      <c r="G489" t="inlineStr">
        <is>
          <t>OCKELBO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46156</v>
      </c>
      <c r="E490" s="1" t="n">
        <v>46259</v>
      </c>
      <c r="F490" t="inlineStr">
        <is>
          <t>GÄVLEBORGS LÄN</t>
        </is>
      </c>
      <c r="G490" t="inlineStr">
        <is>
          <t>OCKELBO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45139</v>
      </c>
      <c r="E491" s="1" t="n">
        <v>46259</v>
      </c>
      <c r="F491" t="inlineStr">
        <is>
          <t>GÄVLEBORGS LÄN</t>
        </is>
      </c>
      <c r="G491" t="inlineStr">
        <is>
          <t>OCKELBO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46259</v>
      </c>
      <c r="F492" t="inlineStr">
        <is>
          <t>GÄVLEBORGS LÄN</t>
        </is>
      </c>
      <c r="G492" t="inlineStr">
        <is>
          <t>OCKELBO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46044</v>
      </c>
      <c r="E493" s="1" t="n">
        <v>46259</v>
      </c>
      <c r="F493" t="inlineStr">
        <is>
          <t>GÄVLEBORGS LÄN</t>
        </is>
      </c>
      <c r="G493" t="inlineStr">
        <is>
          <t>OCKELBO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46259</v>
      </c>
      <c r="F494" t="inlineStr">
        <is>
          <t>GÄVLEBORGS LÄN</t>
        </is>
      </c>
      <c r="G494" t="inlineStr">
        <is>
          <t>OCKELBO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46259</v>
      </c>
      <c r="F495" t="inlineStr">
        <is>
          <t>GÄVLEBORGS LÄN</t>
        </is>
      </c>
      <c r="G495" t="inlineStr">
        <is>
          <t>OCKELBO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46259</v>
      </c>
      <c r="F496" t="inlineStr">
        <is>
          <t>GÄVLEBORGS LÄN</t>
        </is>
      </c>
      <c r="G496" t="inlineStr">
        <is>
          <t>OCKELBO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39062-2024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45548</v>
      </c>
      <c r="E497" s="1" t="n">
        <v>46259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46100</v>
      </c>
      <c r="E498" s="1" t="n">
        <v>46259</v>
      </c>
      <c r="F498" t="inlineStr">
        <is>
          <t>GÄVLEBORGS LÄN</t>
        </is>
      </c>
      <c r="G498" t="inlineStr">
        <is>
          <t>OCKELBO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46259</v>
      </c>
      <c r="F499" t="inlineStr">
        <is>
          <t>GÄVLEBORGS LÄN</t>
        </is>
      </c>
      <c r="G499" t="inlineStr">
        <is>
          <t>OCKELBO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46259</v>
      </c>
      <c r="F500" t="inlineStr">
        <is>
          <t>GÄVLEBORGS LÄN</t>
        </is>
      </c>
      <c r="G500" t="inlineStr">
        <is>
          <t>OCKELBO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17862-2026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46259</v>
      </c>
      <c r="F501" t="inlineStr">
        <is>
          <t>GÄVLEBORGS LÄN</t>
        </is>
      </c>
      <c r="G501" t="inlineStr">
        <is>
          <t>OCKELBO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23040-2026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46161</v>
      </c>
      <c r="E502" s="1" t="n">
        <v>46259</v>
      </c>
      <c r="F502" t="inlineStr">
        <is>
          <t>GÄVLEBORGS LÄN</t>
        </is>
      </c>
      <c r="G502" t="inlineStr">
        <is>
          <t>OCKELBO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46259</v>
      </c>
      <c r="F503" t="inlineStr">
        <is>
          <t>GÄVLEBORGS LÄN</t>
        </is>
      </c>
      <c r="G503" t="inlineStr">
        <is>
          <t>OCKELBO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45716</v>
      </c>
      <c r="E504" s="1" t="n">
        <v>46259</v>
      </c>
      <c r="F504" t="inlineStr">
        <is>
          <t>GÄVLEBORGS LÄN</t>
        </is>
      </c>
      <c r="G504" t="inlineStr">
        <is>
          <t>OCKELBO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51892-2025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45952</v>
      </c>
      <c r="E505" s="1" t="n">
        <v>46259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46259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46259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52635-2025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45954</v>
      </c>
      <c r="E508" s="1" t="n">
        <v>46259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23786-2026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46164</v>
      </c>
      <c r="E509" s="1" t="n">
        <v>46259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46164</v>
      </c>
      <c r="E510" s="1" t="n">
        <v>46259</v>
      </c>
      <c r="F510" t="inlineStr">
        <is>
          <t>GÄVLEBORGS LÄN</t>
        </is>
      </c>
      <c r="G510" t="inlineStr">
        <is>
          <t>OCKELBO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33617-2023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45132</v>
      </c>
      <c r="E511" s="1" t="n">
        <v>46259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52259-2025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45953</v>
      </c>
      <c r="E512" s="1" t="n">
        <v>46259</v>
      </c>
      <c r="F512" t="inlineStr">
        <is>
          <t>GÄVLEBORGS LÄN</t>
        </is>
      </c>
      <c r="G512" t="inlineStr">
        <is>
          <t>OCKELBO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52461-2025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45954</v>
      </c>
      <c r="E513" s="1" t="n">
        <v>46259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46259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45139</v>
      </c>
      <c r="E515" s="1" t="n">
        <v>46259</v>
      </c>
      <c r="F515" t="inlineStr">
        <is>
          <t>GÄVLEBORGS LÄN</t>
        </is>
      </c>
      <c r="G515" t="inlineStr">
        <is>
          <t>OCKELBO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52241-2025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45953</v>
      </c>
      <c r="E516" s="1" t="n">
        <v>46259</v>
      </c>
      <c r="F516" t="inlineStr">
        <is>
          <t>GÄVLEBORGS LÄN</t>
        </is>
      </c>
      <c r="G516" t="inlineStr">
        <is>
          <t>OCKELBO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44950</v>
      </c>
      <c r="E517" s="1" t="n">
        <v>46259</v>
      </c>
      <c r="F517" t="inlineStr">
        <is>
          <t>GÄVLEBORGS LÄN</t>
        </is>
      </c>
      <c r="G517" t="inlineStr">
        <is>
          <t>OCKELBO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24185-2026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46259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46044</v>
      </c>
      <c r="E519" s="1" t="n">
        <v>46259</v>
      </c>
      <c r="F519" t="inlineStr">
        <is>
          <t>GÄVLEBORGS LÄN</t>
        </is>
      </c>
      <c r="G519" t="inlineStr">
        <is>
          <t>OCKELBO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46259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50197-2024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45600</v>
      </c>
      <c r="E521" s="1" t="n">
        <v>46259</v>
      </c>
      <c r="F521" t="inlineStr">
        <is>
          <t>GÄVLEBORGS LÄN</t>
        </is>
      </c>
      <c r="G521" t="inlineStr">
        <is>
          <t>OCKELBO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46259</v>
      </c>
      <c r="F522" t="inlineStr">
        <is>
          <t>GÄVLEBORGS LÄN</t>
        </is>
      </c>
      <c r="G522" t="inlineStr">
        <is>
          <t>OCKELBO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46259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24335-2026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46259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52330-2024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45609</v>
      </c>
      <c r="E525" s="1" t="n">
        <v>46259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46259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46169</v>
      </c>
      <c r="E527" s="1" t="n">
        <v>46259</v>
      </c>
      <c r="F527" t="inlineStr">
        <is>
          <t>GÄVLEBORGS LÄN</t>
        </is>
      </c>
      <c r="G527" t="inlineStr">
        <is>
          <t>OCKELBO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46085</v>
      </c>
      <c r="E528" s="1" t="n">
        <v>46259</v>
      </c>
      <c r="F528" t="inlineStr">
        <is>
          <t>GÄVLEBORGS LÄN</t>
        </is>
      </c>
      <c r="G528" t="inlineStr">
        <is>
          <t>OCKELBO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46023</v>
      </c>
      <c r="E529" s="1" t="n">
        <v>46259</v>
      </c>
      <c r="F529" t="inlineStr">
        <is>
          <t>GÄVLEBORGS LÄN</t>
        </is>
      </c>
      <c r="G529" t="inlineStr">
        <is>
          <t>OCKELBO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46259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46259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54944-2025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45967</v>
      </c>
      <c r="E532" s="1" t="n">
        <v>46259</v>
      </c>
      <c r="F532" t="inlineStr">
        <is>
          <t>GÄVLEBORGS LÄN</t>
        </is>
      </c>
      <c r="G532" t="inlineStr">
        <is>
          <t>OCKELBO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46259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46259</v>
      </c>
      <c r="F534" t="inlineStr">
        <is>
          <t>GÄVLEBORGS LÄN</t>
        </is>
      </c>
      <c r="G534" t="inlineStr">
        <is>
          <t>OCKELBO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45957</v>
      </c>
      <c r="E535" s="1" t="n">
        <v>46259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24449-2026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46259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46170</v>
      </c>
      <c r="E537" s="1" t="n">
        <v>46259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46259</v>
      </c>
      <c r="F538" t="inlineStr">
        <is>
          <t>GÄVLEBORGS LÄN</t>
        </is>
      </c>
      <c r="G538" t="inlineStr">
        <is>
          <t>OCKELBO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46259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60148-2023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45258</v>
      </c>
      <c r="E540" s="1" t="n">
        <v>46259</v>
      </c>
      <c r="F540" t="inlineStr">
        <is>
          <t>GÄVLEBORGS LÄN</t>
        </is>
      </c>
      <c r="G540" t="inlineStr">
        <is>
          <t>OCKELBO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46259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46259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53391-2025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46259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31277-2026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46218</v>
      </c>
      <c r="E544" s="1" t="n">
        <v>46259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46259</v>
      </c>
      <c r="F545" t="inlineStr">
        <is>
          <t>GÄVLEBORGS LÄN</t>
        </is>
      </c>
      <c r="G545" t="inlineStr">
        <is>
          <t>OCKELBO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45261</v>
      </c>
      <c r="E546" s="1" t="n">
        <v>46259</v>
      </c>
      <c r="F546" t="inlineStr">
        <is>
          <t>GÄVLEBORGS LÄN</t>
        </is>
      </c>
      <c r="G546" t="inlineStr">
        <is>
          <t>OCKELBO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46259</v>
      </c>
      <c r="F547" t="inlineStr">
        <is>
          <t>GÄVLEBORGS LÄN</t>
        </is>
      </c>
      <c r="G547" t="inlineStr">
        <is>
          <t>OCKELBO</t>
        </is>
      </c>
      <c r="I547" t="n">
        <v>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46259</v>
      </c>
      <c r="F548" t="inlineStr">
        <is>
          <t>GÄVLEBORGS LÄN</t>
        </is>
      </c>
      <c r="G548" t="inlineStr">
        <is>
          <t>OCKELBO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50968-2024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46259</v>
      </c>
      <c r="F549" t="inlineStr">
        <is>
          <t>GÄVLEBORGS LÄN</t>
        </is>
      </c>
      <c r="G549" t="inlineStr">
        <is>
          <t>OCKELBO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25525-2026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46177</v>
      </c>
      <c r="E550" s="1" t="n">
        <v>46259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54655-2025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45966</v>
      </c>
      <c r="E551" s="1" t="n">
        <v>46259</v>
      </c>
      <c r="F551" t="inlineStr">
        <is>
          <t>GÄVLEBORGS LÄN</t>
        </is>
      </c>
      <c r="G551" t="inlineStr">
        <is>
          <t>OCKELBO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46220</v>
      </c>
      <c r="E552" s="1" t="n">
        <v>46259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46259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44281-2022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44839</v>
      </c>
      <c r="E554" s="1" t="n">
        <v>46259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46224</v>
      </c>
      <c r="E555" s="1" t="n">
        <v>46259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46223</v>
      </c>
      <c r="E556" s="1" t="n">
        <v>46259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46259</v>
      </c>
      <c r="F557" t="inlineStr">
        <is>
          <t>GÄVLEBORGS LÄN</t>
        </is>
      </c>
      <c r="G557" t="inlineStr">
        <is>
          <t>OCKELBO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45747</v>
      </c>
      <c r="E558" s="1" t="n">
        <v>46259</v>
      </c>
      <c r="F558" t="inlineStr">
        <is>
          <t>GÄVLEBORGS LÄN</t>
        </is>
      </c>
      <c r="G558" t="inlineStr">
        <is>
          <t>OCKELBO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54879-2025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45967</v>
      </c>
      <c r="E559" s="1" t="n">
        <v>46259</v>
      </c>
      <c r="F559" t="inlineStr">
        <is>
          <t>GÄVLEBORGS LÄN</t>
        </is>
      </c>
      <c r="G559" t="inlineStr">
        <is>
          <t>OCKELBO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54880-2025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45967</v>
      </c>
      <c r="E560" s="1" t="n">
        <v>46259</v>
      </c>
      <c r="F560" t="inlineStr">
        <is>
          <t>GÄVLEBORGS LÄN</t>
        </is>
      </c>
      <c r="G560" t="inlineStr">
        <is>
          <t>OCKELBO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46259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55632-2025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45972</v>
      </c>
      <c r="E562" s="1" t="n">
        <v>46259</v>
      </c>
      <c r="F562" t="inlineStr">
        <is>
          <t>GÄVLEBORGS LÄN</t>
        </is>
      </c>
      <c r="G562" t="inlineStr">
        <is>
          <t>OCKELBO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45156</v>
      </c>
      <c r="E563" s="1" t="n">
        <v>46259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44950</v>
      </c>
      <c r="E564" s="1" t="n">
        <v>46259</v>
      </c>
      <c r="F564" t="inlineStr">
        <is>
          <t>GÄVLEBORGS LÄN</t>
        </is>
      </c>
      <c r="G564" t="inlineStr">
        <is>
          <t>OCKELBO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46259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55629-2025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45972</v>
      </c>
      <c r="E566" s="1" t="n">
        <v>46259</v>
      </c>
      <c r="F566" t="inlineStr">
        <is>
          <t>GÄVLEBORGS LÄN</t>
        </is>
      </c>
      <c r="G566" t="inlineStr">
        <is>
          <t>OCKELBO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45972</v>
      </c>
      <c r="E567" s="1" t="n">
        <v>46259</v>
      </c>
      <c r="F567" t="inlineStr">
        <is>
          <t>GÄVLEBORGS LÄN</t>
        </is>
      </c>
      <c r="G567" t="inlineStr">
        <is>
          <t>OCKELBO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55913-2025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46259</v>
      </c>
      <c r="F568" t="inlineStr">
        <is>
          <t>GÄVLEBORGS LÄN</t>
        </is>
      </c>
      <c r="G568" t="inlineStr">
        <is>
          <t>OCKELBO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55920-2025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45973</v>
      </c>
      <c r="E569" s="1" t="n">
        <v>46259</v>
      </c>
      <c r="F569" t="inlineStr">
        <is>
          <t>GÄVLEBORGS LÄN</t>
        </is>
      </c>
      <c r="G569" t="inlineStr">
        <is>
          <t>OCKELBO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55926-2025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45973</v>
      </c>
      <c r="E570" s="1" t="n">
        <v>46259</v>
      </c>
      <c r="F570" t="inlineStr">
        <is>
          <t>GÄVLEBORGS LÄN</t>
        </is>
      </c>
      <c r="G570" t="inlineStr">
        <is>
          <t>OCKELBO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45134</v>
      </c>
      <c r="E571" s="1" t="n">
        <v>46259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46156</v>
      </c>
      <c r="E572" s="1" t="n">
        <v>46259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33987-2023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45134</v>
      </c>
      <c r="E573" s="1" t="n">
        <v>46259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55859-2025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45973</v>
      </c>
      <c r="E574" s="1" t="n">
        <v>46259</v>
      </c>
      <c r="F574" t="inlineStr">
        <is>
          <t>GÄVLEBORGS LÄN</t>
        </is>
      </c>
      <c r="G574" t="inlineStr">
        <is>
          <t>OCKELBO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55866-2025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45973</v>
      </c>
      <c r="E575" s="1" t="n">
        <v>46259</v>
      </c>
      <c r="F575" t="inlineStr">
        <is>
          <t>GÄVLEBORGS LÄN</t>
        </is>
      </c>
      <c r="G575" t="inlineStr">
        <is>
          <t>OCKELBO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55911-2025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45973</v>
      </c>
      <c r="E576" s="1" t="n">
        <v>46259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55884-2025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45973</v>
      </c>
      <c r="E577" s="1" t="n">
        <v>46259</v>
      </c>
      <c r="F577" t="inlineStr">
        <is>
          <t>GÄVLEBORGS LÄN</t>
        </is>
      </c>
      <c r="G577" t="inlineStr">
        <is>
          <t>OCKELBO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46259</v>
      </c>
      <c r="F578" t="inlineStr">
        <is>
          <t>GÄVLEBORGS LÄN</t>
        </is>
      </c>
      <c r="G578" t="inlineStr">
        <is>
          <t>OCKELBO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26861-2026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46259</v>
      </c>
      <c r="F579" t="inlineStr">
        <is>
          <t>GÄVLEBORGS LÄN</t>
        </is>
      </c>
      <c r="G579" t="inlineStr">
        <is>
          <t>OCKELBO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46259</v>
      </c>
      <c r="F580" t="inlineStr">
        <is>
          <t>GÄVLEBORGS LÄN</t>
        </is>
      </c>
      <c r="G580" t="inlineStr">
        <is>
          <t>OCKELBO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56803-2025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45978</v>
      </c>
      <c r="E581" s="1" t="n">
        <v>46259</v>
      </c>
      <c r="F581" t="inlineStr">
        <is>
          <t>GÄVLEBORGS LÄN</t>
        </is>
      </c>
      <c r="G581" t="inlineStr">
        <is>
          <t>OCKELBO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56919-2025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45978</v>
      </c>
      <c r="E582" s="1" t="n">
        <v>46259</v>
      </c>
      <c r="F582" t="inlineStr">
        <is>
          <t>GÄVLEBORGS LÄN</t>
        </is>
      </c>
      <c r="G582" t="inlineStr">
        <is>
          <t>OCKELBO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56888-2025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46259</v>
      </c>
      <c r="F583" t="inlineStr">
        <is>
          <t>GÄVLEBORGS LÄN</t>
        </is>
      </c>
      <c r="G583" t="inlineStr">
        <is>
          <t>OCKELBO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46259</v>
      </c>
      <c r="F584" t="inlineStr">
        <is>
          <t>GÄVLEBORGS LÄN</t>
        </is>
      </c>
      <c r="G584" t="inlineStr">
        <is>
          <t>OCKELBO</t>
        </is>
      </c>
      <c r="I584" t="n">
        <v>14.6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46259</v>
      </c>
      <c r="F585" t="inlineStr">
        <is>
          <t>GÄVLEBORGS LÄN</t>
        </is>
      </c>
      <c r="G585" t="inlineStr">
        <is>
          <t>OCKELBO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46259</v>
      </c>
      <c r="F586" t="inlineStr">
        <is>
          <t>GÄVLEBORGS LÄN</t>
        </is>
      </c>
      <c r="G586" t="inlineStr">
        <is>
          <t>OCKELBO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56882-2025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45978</v>
      </c>
      <c r="E587" s="1" t="n">
        <v>46259</v>
      </c>
      <c r="F587" t="inlineStr">
        <is>
          <t>GÄVLEBORGS LÄN</t>
        </is>
      </c>
      <c r="G587" t="inlineStr">
        <is>
          <t>OCKELBO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56877-2025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45978</v>
      </c>
      <c r="E588" s="1" t="n">
        <v>46259</v>
      </c>
      <c r="F588" t="inlineStr">
        <is>
          <t>GÄVLEBORGS LÄN</t>
        </is>
      </c>
      <c r="G588" t="inlineStr">
        <is>
          <t>OCKELBO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56454-2025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45975</v>
      </c>
      <c r="E589" s="1" t="n">
        <v>46259</v>
      </c>
      <c r="F589" t="inlineStr">
        <is>
          <t>GÄVLEBORGS LÄN</t>
        </is>
      </c>
      <c r="G589" t="inlineStr">
        <is>
          <t>OCKELBO</t>
        </is>
      </c>
      <c r="I589" t="n">
        <v>7.7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46259</v>
      </c>
      <c r="F590" t="inlineStr">
        <is>
          <t>GÄVLEBORGS LÄN</t>
        </is>
      </c>
      <c r="G590" t="inlineStr">
        <is>
          <t>OCKELBO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31804-2026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46230</v>
      </c>
      <c r="E591" s="1" t="n">
        <v>46259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46189</v>
      </c>
      <c r="E592" s="1" t="n">
        <v>46259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29963-2024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45488</v>
      </c>
      <c r="E593" s="1" t="n">
        <v>46259</v>
      </c>
      <c r="F593" t="inlineStr">
        <is>
          <t>GÄVLEBORGS LÄN</t>
        </is>
      </c>
      <c r="G593" t="inlineStr">
        <is>
          <t>OCKELBO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46259</v>
      </c>
      <c r="F594" t="inlineStr">
        <is>
          <t>GÄVLEBORGS LÄN</t>
        </is>
      </c>
      <c r="G594" t="inlineStr">
        <is>
          <t>OCKELBO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46189</v>
      </c>
      <c r="E595" s="1" t="n">
        <v>46259</v>
      </c>
      <c r="F595" t="inlineStr">
        <is>
          <t>GÄVLEBORGS LÄN</t>
        </is>
      </c>
      <c r="G595" t="inlineStr">
        <is>
          <t>OCKELBO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58156-2025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45982</v>
      </c>
      <c r="E596" s="1" t="n">
        <v>46259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10184-2026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46259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58770-2025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45986</v>
      </c>
      <c r="E598" s="1" t="n">
        <v>46259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53702-2024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45615</v>
      </c>
      <c r="E599" s="1" t="n">
        <v>46259</v>
      </c>
      <c r="F599" t="inlineStr">
        <is>
          <t>GÄVLEBORGS LÄN</t>
        </is>
      </c>
      <c r="G599" t="inlineStr">
        <is>
          <t>OCKELBO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27272-2026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46188</v>
      </c>
      <c r="E600" s="1" t="n">
        <v>46259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27379-2026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46189</v>
      </c>
      <c r="E601" s="1" t="n">
        <v>46259</v>
      </c>
      <c r="F601" t="inlineStr">
        <is>
          <t>GÄVLEBORGS LÄN</t>
        </is>
      </c>
      <c r="G601" t="inlineStr">
        <is>
          <t>OCKELBO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46189</v>
      </c>
      <c r="E602" s="1" t="n">
        <v>46259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57614-2025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46259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58727-2025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45986</v>
      </c>
      <c r="E604" s="1" t="n">
        <v>46259</v>
      </c>
      <c r="F604" t="inlineStr">
        <is>
          <t>GÄVLEBORGS LÄN</t>
        </is>
      </c>
      <c r="G604" t="inlineStr">
        <is>
          <t>OCKELBO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58295-2025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45985</v>
      </c>
      <c r="E605" s="1" t="n">
        <v>46259</v>
      </c>
      <c r="F605" t="inlineStr">
        <is>
          <t>GÄVLEBORGS LÄN</t>
        </is>
      </c>
      <c r="G605" t="inlineStr">
        <is>
          <t>OCKELBO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27231-2026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46259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58299-2025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45985</v>
      </c>
      <c r="E607" s="1" t="n">
        <v>46259</v>
      </c>
      <c r="F607" t="inlineStr">
        <is>
          <t>GÄVLEBORGS LÄN</t>
        </is>
      </c>
      <c r="G607" t="inlineStr">
        <is>
          <t>OCKELBO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46232</v>
      </c>
      <c r="E608" s="1" t="n">
        <v>46259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52241-2024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45608</v>
      </c>
      <c r="E609" s="1" t="n">
        <v>46259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52243-2024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45608</v>
      </c>
      <c r="E610" s="1" t="n">
        <v>46259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59086-2025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46259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46259</v>
      </c>
      <c r="F612" t="inlineStr">
        <is>
          <t>GÄVLEBORGS LÄN</t>
        </is>
      </c>
      <c r="G612" t="inlineStr">
        <is>
          <t>OCKELBO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29968-2024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45488</v>
      </c>
      <c r="E613" s="1" t="n">
        <v>46259</v>
      </c>
      <c r="F613" t="inlineStr">
        <is>
          <t>GÄVLEBORGS LÄN</t>
        </is>
      </c>
      <c r="G613" t="inlineStr">
        <is>
          <t>OCKELBO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46055</v>
      </c>
      <c r="E614" s="1" t="n">
        <v>46259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46259</v>
      </c>
      <c r="F615" t="inlineStr">
        <is>
          <t>GÄVLEBORGS LÄN</t>
        </is>
      </c>
      <c r="G615" t="inlineStr">
        <is>
          <t>OCKELBO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46259</v>
      </c>
      <c r="F616" t="inlineStr">
        <is>
          <t>GÄVLEBORGS LÄN</t>
        </is>
      </c>
      <c r="G616" t="inlineStr">
        <is>
          <t>OCKELBO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45994</v>
      </c>
      <c r="E617" s="1" t="n">
        <v>46259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51989-2023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45223</v>
      </c>
      <c r="E618" s="1" t="n">
        <v>46259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46259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60616-2025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45996</v>
      </c>
      <c r="E620" s="1" t="n">
        <v>46259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60487-2025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45995</v>
      </c>
      <c r="E621" s="1" t="n">
        <v>46259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46259</v>
      </c>
      <c r="F622" t="inlineStr">
        <is>
          <t>GÄVLEBORGS LÄN</t>
        </is>
      </c>
      <c r="G622" t="inlineStr">
        <is>
          <t>OCKELBO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46191</v>
      </c>
      <c r="E623" s="1" t="n">
        <v>46259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21900-2023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45068</v>
      </c>
      <c r="E624" s="1" t="n">
        <v>46259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60527-2025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45995</v>
      </c>
      <c r="E625" s="1" t="n">
        <v>46259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45678</v>
      </c>
      <c r="E626" s="1" t="n">
        <v>46259</v>
      </c>
      <c r="F626" t="inlineStr">
        <is>
          <t>GÄVLEBORGS LÄN</t>
        </is>
      </c>
      <c r="G626" t="inlineStr">
        <is>
          <t>OCKELBO</t>
        </is>
      </c>
      <c r="I626" t="n">
        <v>8.1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56741-2024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45628</v>
      </c>
      <c r="E627" s="1" t="n">
        <v>46259</v>
      </c>
      <c r="F627" t="inlineStr">
        <is>
          <t>GÄVLEBORGS LÄN</t>
        </is>
      </c>
      <c r="G627" t="inlineStr">
        <is>
          <t>OCKELBO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46000</v>
      </c>
      <c r="E628" s="1" t="n">
        <v>46259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49448-2023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45211</v>
      </c>
      <c r="E629" s="1" t="n">
        <v>46259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45771</v>
      </c>
      <c r="E630" s="1" t="n">
        <v>46259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19774-2025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45771</v>
      </c>
      <c r="E631" s="1" t="n">
        <v>46259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46259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46074-2024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45581</v>
      </c>
      <c r="E633" s="1" t="n">
        <v>46259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21878-2023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45068</v>
      </c>
      <c r="E634" s="1" t="n">
        <v>46259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39430-2024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45551</v>
      </c>
      <c r="E635" s="1" t="n">
        <v>46259</v>
      </c>
      <c r="F635" t="inlineStr">
        <is>
          <t>GÄVLEBORGS LÄN</t>
        </is>
      </c>
      <c r="G635" t="inlineStr">
        <is>
          <t>OCKELBO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62196-2025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46006</v>
      </c>
      <c r="E636" s="1" t="n">
        <v>46259</v>
      </c>
      <c r="F636" t="inlineStr">
        <is>
          <t>GÄVLEBORGS LÄN</t>
        </is>
      </c>
      <c r="G636" t="inlineStr">
        <is>
          <t>OCKELBO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46196</v>
      </c>
      <c r="E637" s="1" t="n">
        <v>46259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45989</v>
      </c>
      <c r="E638" s="1" t="n">
        <v>46259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6.8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28318-2026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46196</v>
      </c>
      <c r="E639" s="1" t="n">
        <v>46259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55070-2023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45237</v>
      </c>
      <c r="E640" s="1" t="n">
        <v>46259</v>
      </c>
      <c r="F640" t="inlineStr">
        <is>
          <t>GÄVLEBORGS LÄN</t>
        </is>
      </c>
      <c r="G640" t="inlineStr">
        <is>
          <t>OCKELBO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28317-2026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46196</v>
      </c>
      <c r="E641" s="1" t="n">
        <v>46259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63061-2025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46009</v>
      </c>
      <c r="E642" s="1" t="n">
        <v>46259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46259</v>
      </c>
      <c r="F643" t="inlineStr">
        <is>
          <t>GÄVLEBORGS LÄN</t>
        </is>
      </c>
      <c r="G643" t="inlineStr">
        <is>
          <t>OCKELBO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28681-2026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46259</v>
      </c>
      <c r="F644" t="inlineStr">
        <is>
          <t>GÄVLEBORGS LÄN</t>
        </is>
      </c>
      <c r="G644" t="inlineStr">
        <is>
          <t>OCKELBO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63459-2025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46013</v>
      </c>
      <c r="E645" s="1" t="n">
        <v>46259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63616-2025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46014</v>
      </c>
      <c r="E646" s="1" t="n">
        <v>46259</v>
      </c>
      <c r="F646" t="inlineStr">
        <is>
          <t>GÄVLEBORGS LÄN</t>
        </is>
      </c>
      <c r="G646" t="inlineStr">
        <is>
          <t>OCKELBO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63224-2025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46010</v>
      </c>
      <c r="E647" s="1" t="n">
        <v>46259</v>
      </c>
      <c r="F647" t="inlineStr">
        <is>
          <t>GÄVLEBORGS LÄN</t>
        </is>
      </c>
      <c r="G647" t="inlineStr">
        <is>
          <t>OCKELBO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46259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46259</v>
      </c>
      <c r="F649" t="inlineStr">
        <is>
          <t>GÄVLEBORGS LÄN</t>
        </is>
      </c>
      <c r="G649" t="inlineStr">
        <is>
          <t>OCKELBO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46183</v>
      </c>
      <c r="E650" s="1" t="n">
        <v>46259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45169</v>
      </c>
      <c r="E651" s="1" t="n">
        <v>46259</v>
      </c>
      <c r="F651" t="inlineStr">
        <is>
          <t>GÄVLEBORGS LÄN</t>
        </is>
      </c>
      <c r="G651" t="inlineStr">
        <is>
          <t>OCKELBO</t>
        </is>
      </c>
      <c r="I651" t="n">
        <v>13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46259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47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28725-2026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46198</v>
      </c>
      <c r="E653" s="1" t="n">
        <v>46259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46199</v>
      </c>
      <c r="E654" s="1" t="n">
        <v>46259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19178-2023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45048</v>
      </c>
      <c r="E655" s="1" t="n">
        <v>46259</v>
      </c>
      <c r="F655" t="inlineStr">
        <is>
          <t>GÄVLEBORGS LÄN</t>
        </is>
      </c>
      <c r="G655" t="inlineStr">
        <is>
          <t>OCKELBO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63017-2025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46259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46259</v>
      </c>
      <c r="F657" t="inlineStr">
        <is>
          <t>GÄVLEBORGS LÄN</t>
        </is>
      </c>
      <c r="G657" t="inlineStr">
        <is>
          <t>OCKELBO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37386-2023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45156</v>
      </c>
      <c r="E658" s="1" t="n">
        <v>46259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46245</v>
      </c>
      <c r="E659" s="1" t="n">
        <v>46259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64006-2025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46021</v>
      </c>
      <c r="E660" s="1" t="n">
        <v>46259</v>
      </c>
      <c r="F660" t="inlineStr">
        <is>
          <t>GÄVLEBORGS LÄN</t>
        </is>
      </c>
      <c r="G660" t="inlineStr">
        <is>
          <t>OCKELBO</t>
        </is>
      </c>
      <c r="I660" t="n">
        <v>13.6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46024</v>
      </c>
      <c r="E661" s="1" t="n">
        <v>46259</v>
      </c>
      <c r="F661" t="inlineStr">
        <is>
          <t>GÄVLEBORGS LÄN</t>
        </is>
      </c>
      <c r="G661" t="inlineStr">
        <is>
          <t>OCKELBO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46223</v>
      </c>
      <c r="E662" s="1" t="n">
        <v>46259</v>
      </c>
      <c r="F662" t="inlineStr">
        <is>
          <t>GÄVLEBORGS LÄN</t>
        </is>
      </c>
      <c r="G662" t="inlineStr">
        <is>
          <t>OCKELBO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46223</v>
      </c>
      <c r="E663" s="1" t="n">
        <v>46259</v>
      </c>
      <c r="F663" t="inlineStr">
        <is>
          <t>GÄVLEBORGS LÄN</t>
        </is>
      </c>
      <c r="G663" t="inlineStr">
        <is>
          <t>OCKELBO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29386-2026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46259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46259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46027</v>
      </c>
      <c r="E666" s="1" t="n">
        <v>46259</v>
      </c>
      <c r="F666" t="inlineStr">
        <is>
          <t>GÄVLEBORGS LÄN</t>
        </is>
      </c>
      <c r="G666" t="inlineStr">
        <is>
          <t>OCKELBO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46027</v>
      </c>
      <c r="E667" s="1" t="n">
        <v>46259</v>
      </c>
      <c r="F667" t="inlineStr">
        <is>
          <t>GÄVLEBORGS LÄN</t>
        </is>
      </c>
      <c r="G667" t="inlineStr">
        <is>
          <t>OCKELBO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46027</v>
      </c>
      <c r="E668" s="1" t="n">
        <v>46259</v>
      </c>
      <c r="F668" t="inlineStr">
        <is>
          <t>GÄVLEBORGS LÄN</t>
        </is>
      </c>
      <c r="G668" t="inlineStr">
        <is>
          <t>OCKELBO</t>
        </is>
      </c>
      <c r="I668" t="n">
        <v>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46027</v>
      </c>
      <c r="E669" s="1" t="n">
        <v>46259</v>
      </c>
      <c r="F669" t="inlineStr">
        <is>
          <t>GÄVLEBORGS LÄN</t>
        </is>
      </c>
      <c r="G669" t="inlineStr">
        <is>
          <t>OCKELBO</t>
        </is>
      </c>
      <c r="I669" t="n">
        <v>16.2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46027</v>
      </c>
      <c r="E670" s="1" t="n">
        <v>46259</v>
      </c>
      <c r="F670" t="inlineStr">
        <is>
          <t>GÄVLEBORGS LÄN</t>
        </is>
      </c>
      <c r="G670" t="inlineStr">
        <is>
          <t>OCKELBO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45674</v>
      </c>
      <c r="E671" s="1" t="n">
        <v>46259</v>
      </c>
      <c r="F671" t="inlineStr">
        <is>
          <t>GÄVLEBORGS LÄN</t>
        </is>
      </c>
      <c r="G671" t="inlineStr">
        <is>
          <t>OCKELBO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46027</v>
      </c>
      <c r="E672" s="1" t="n">
        <v>46259</v>
      </c>
      <c r="F672" t="inlineStr">
        <is>
          <t>GÄVLEBORGS LÄN</t>
        </is>
      </c>
      <c r="G672" t="inlineStr">
        <is>
          <t>OCKELBO</t>
        </is>
      </c>
      <c r="I672" t="n">
        <v>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46203</v>
      </c>
      <c r="E673" s="1" t="n">
        <v>46259</v>
      </c>
      <c r="F673" t="inlineStr">
        <is>
          <t>GÄVLEBORGS LÄN</t>
        </is>
      </c>
      <c r="G673" t="inlineStr">
        <is>
          <t>OCKELBO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59063-2023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45252</v>
      </c>
      <c r="E674" s="1" t="n">
        <v>46259</v>
      </c>
      <c r="F674" t="inlineStr">
        <is>
          <t>GÄVLEBORGS LÄN</t>
        </is>
      </c>
      <c r="G674" t="inlineStr">
        <is>
          <t>OCKELBO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10150-2023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44986</v>
      </c>
      <c r="E675" s="1" t="n">
        <v>46259</v>
      </c>
      <c r="F675" t="inlineStr">
        <is>
          <t>GÄVLEBORGS LÄN</t>
        </is>
      </c>
      <c r="G675" t="inlineStr">
        <is>
          <t>OCKELBO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46259</v>
      </c>
      <c r="F676" t="inlineStr">
        <is>
          <t>GÄVLEBORGS LÄN</t>
        </is>
      </c>
      <c r="G676" t="inlineStr">
        <is>
          <t>OCKELBO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37845-2024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45544</v>
      </c>
      <c r="E677" s="1" t="n">
        <v>46259</v>
      </c>
      <c r="F677" t="inlineStr">
        <is>
          <t>GÄVLEBORGS LÄN</t>
        </is>
      </c>
      <c r="G677" t="inlineStr">
        <is>
          <t>OCKELBO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46028</v>
      </c>
      <c r="E678" s="1" t="n">
        <v>46259</v>
      </c>
      <c r="F678" t="inlineStr">
        <is>
          <t>GÄVLEBORGS LÄN</t>
        </is>
      </c>
      <c r="G678" t="inlineStr">
        <is>
          <t>OCKELBO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46205</v>
      </c>
      <c r="E679" s="1" t="n">
        <v>46259</v>
      </c>
      <c r="F679" t="inlineStr">
        <is>
          <t>GÄVLEBORGS LÄN</t>
        </is>
      </c>
      <c r="G679" t="inlineStr">
        <is>
          <t>OCKELBO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46205</v>
      </c>
      <c r="E680" s="1" t="n">
        <v>46259</v>
      </c>
      <c r="F680" t="inlineStr">
        <is>
          <t>GÄVLEBORGS LÄN</t>
        </is>
      </c>
      <c r="G680" t="inlineStr">
        <is>
          <t>OCKELBO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46259</v>
      </c>
      <c r="F681" t="inlineStr">
        <is>
          <t>GÄVLEBORGS LÄN</t>
        </is>
      </c>
      <c r="G681" t="inlineStr">
        <is>
          <t>OCKELBO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46028</v>
      </c>
      <c r="E682" s="1" t="n">
        <v>46259</v>
      </c>
      <c r="F682" t="inlineStr">
        <is>
          <t>GÄVLEBORGS LÄN</t>
        </is>
      </c>
      <c r="G682" t="inlineStr">
        <is>
          <t>OCKELBO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46029</v>
      </c>
      <c r="E683" s="1" t="n">
        <v>46259</v>
      </c>
      <c r="F683" t="inlineStr">
        <is>
          <t>GÄVLEBORGS LÄN</t>
        </is>
      </c>
      <c r="G683" t="inlineStr">
        <is>
          <t>OCKELBO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46259</v>
      </c>
      <c r="F684" t="inlineStr">
        <is>
          <t>GÄVLEBORGS LÄN</t>
        </is>
      </c>
      <c r="G684" t="inlineStr">
        <is>
          <t>OCKELBO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46024</v>
      </c>
      <c r="E685" s="1" t="n">
        <v>46259</v>
      </c>
      <c r="F685" t="inlineStr">
        <is>
          <t>GÄVLEBORGS LÄN</t>
        </is>
      </c>
      <c r="G685" t="inlineStr">
        <is>
          <t>OCKELBO</t>
        </is>
      </c>
      <c r="I685" t="n">
        <v>12.9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29611-2026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46204</v>
      </c>
      <c r="E686" s="1" t="n">
        <v>46259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46031</v>
      </c>
      <c r="E687" s="1" t="n">
        <v>46259</v>
      </c>
      <c r="F687" t="inlineStr">
        <is>
          <t>GÄVLEBORGS LÄN</t>
        </is>
      </c>
      <c r="G687" t="inlineStr">
        <is>
          <t>OCKELBO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46259</v>
      </c>
      <c r="F688" t="inlineStr">
        <is>
          <t>GÄVLEBORGS LÄN</t>
        </is>
      </c>
      <c r="G688" t="inlineStr">
        <is>
          <t>OCKELBO</t>
        </is>
      </c>
      <c r="I688" t="n">
        <v>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46033</v>
      </c>
      <c r="E689" s="1" t="n">
        <v>46259</v>
      </c>
      <c r="F689" t="inlineStr">
        <is>
          <t>GÄVLEBORGS LÄN</t>
        </is>
      </c>
      <c r="G689" t="inlineStr">
        <is>
          <t>OCKELBO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46259</v>
      </c>
      <c r="F691" t="inlineStr">
        <is>
          <t>GÄVLEBORGS LÄN</t>
        </is>
      </c>
      <c r="G691" t="inlineStr">
        <is>
          <t>OCKELBO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46259</v>
      </c>
      <c r="F692" t="inlineStr">
        <is>
          <t>GÄVLEBORGS LÄN</t>
        </is>
      </c>
      <c r="G692" t="inlineStr">
        <is>
          <t>OCKELBO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46036</v>
      </c>
      <c r="E693" s="1" t="n">
        <v>46259</v>
      </c>
      <c r="F693" t="inlineStr">
        <is>
          <t>GÄVLEBORGS LÄN</t>
        </is>
      </c>
      <c r="G693" t="inlineStr">
        <is>
          <t>OCKELBO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46035</v>
      </c>
      <c r="E694" s="1" t="n">
        <v>46259</v>
      </c>
      <c r="F694" t="inlineStr">
        <is>
          <t>GÄVLEBORGS LÄN</t>
        </is>
      </c>
      <c r="G694" t="inlineStr">
        <is>
          <t>OCKELBO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46036</v>
      </c>
      <c r="E695" s="1" t="n">
        <v>46259</v>
      </c>
      <c r="F695" t="inlineStr">
        <is>
          <t>GÄVLEBORGS LÄN</t>
        </is>
      </c>
      <c r="G695" t="inlineStr">
        <is>
          <t>OCKELBO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46259</v>
      </c>
      <c r="F696" t="inlineStr">
        <is>
          <t>GÄVLEBORGS LÄN</t>
        </is>
      </c>
      <c r="G696" t="inlineStr">
        <is>
          <t>OCKELBO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46036</v>
      </c>
      <c r="E697" s="1" t="n">
        <v>46259</v>
      </c>
      <c r="F697" t="inlineStr">
        <is>
          <t>GÄVLEBORGS LÄN</t>
        </is>
      </c>
      <c r="G697" t="inlineStr">
        <is>
          <t>OCKELBO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46259</v>
      </c>
      <c r="F698" t="inlineStr">
        <is>
          <t>GÄVLEBORGS LÄN</t>
        </is>
      </c>
      <c r="G698" t="inlineStr">
        <is>
          <t>OCKELBO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46035</v>
      </c>
      <c r="E699" s="1" t="n">
        <v>46259</v>
      </c>
      <c r="F699" t="inlineStr">
        <is>
          <t>GÄVLEBORGS LÄN</t>
        </is>
      </c>
      <c r="G699" t="inlineStr">
        <is>
          <t>OCKELBO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46036</v>
      </c>
      <c r="E700" s="1" t="n">
        <v>46259</v>
      </c>
      <c r="F700" t="inlineStr">
        <is>
          <t>GÄVLEBORGS LÄN</t>
        </is>
      </c>
      <c r="G700" t="inlineStr">
        <is>
          <t>OCKELBO</t>
        </is>
      </c>
      <c r="I700" t="n">
        <v>16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46038</v>
      </c>
      <c r="E701" s="1" t="n">
        <v>46259</v>
      </c>
      <c r="F701" t="inlineStr">
        <is>
          <t>GÄVLEBORGS LÄN</t>
        </is>
      </c>
      <c r="G701" t="inlineStr">
        <is>
          <t>OCKELBO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46259</v>
      </c>
      <c r="F702" t="inlineStr">
        <is>
          <t>GÄVLEBORGS LÄN</t>
        </is>
      </c>
      <c r="G702" t="inlineStr">
        <is>
          <t>OCKELBO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46037</v>
      </c>
      <c r="E703" s="1" t="n">
        <v>46259</v>
      </c>
      <c r="F703" t="inlineStr">
        <is>
          <t>GÄVLEBORGS LÄN</t>
        </is>
      </c>
      <c r="G703" t="inlineStr">
        <is>
          <t>OCKELBO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29789-2026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46205</v>
      </c>
      <c r="E704" s="1" t="n">
        <v>46259</v>
      </c>
      <c r="F704" t="inlineStr">
        <is>
          <t>GÄVLEBORGS LÄN</t>
        </is>
      </c>
      <c r="G704" t="inlineStr">
        <is>
          <t>OCKELBO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46259</v>
      </c>
      <c r="F705" t="inlineStr">
        <is>
          <t>GÄVLEBORGS LÄN</t>
        </is>
      </c>
      <c r="G705" t="inlineStr">
        <is>
          <t>OCKELBO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2389-2026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46036</v>
      </c>
      <c r="E706" s="1" t="n">
        <v>46259</v>
      </c>
      <c r="F706" t="inlineStr">
        <is>
          <t>GÄVLEBORGS LÄN</t>
        </is>
      </c>
      <c r="G706" t="inlineStr">
        <is>
          <t>OCKELBO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46259</v>
      </c>
      <c r="F707" t="inlineStr">
        <is>
          <t>GÄVLEBORGS LÄN</t>
        </is>
      </c>
      <c r="G707" t="inlineStr">
        <is>
          <t>OCKELBO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3999-2026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46044</v>
      </c>
      <c r="E708" s="1" t="n">
        <v>46259</v>
      </c>
      <c r="F708" t="inlineStr">
        <is>
          <t>GÄVLEBORGS LÄN</t>
        </is>
      </c>
      <c r="G708" t="inlineStr">
        <is>
          <t>OCKELBO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46044</v>
      </c>
      <c r="E709" s="1" t="n">
        <v>46259</v>
      </c>
      <c r="F709" t="inlineStr">
        <is>
          <t>GÄVLEBORGS LÄN</t>
        </is>
      </c>
      <c r="G709" t="inlineStr">
        <is>
          <t>OCKELBO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3653-2026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46043</v>
      </c>
      <c r="E710" s="1" t="n">
        <v>46259</v>
      </c>
      <c r="F710" t="inlineStr">
        <is>
          <t>GÄVLEBORGS LÄN</t>
        </is>
      </c>
      <c r="G710" t="inlineStr">
        <is>
          <t>OCKELBO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46259</v>
      </c>
      <c r="F711" t="inlineStr">
        <is>
          <t>GÄVLEBORGS LÄN</t>
        </is>
      </c>
      <c r="G711" t="inlineStr">
        <is>
          <t>OCKELBO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2919-2026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46038</v>
      </c>
      <c r="E712" s="1" t="n">
        <v>46259</v>
      </c>
      <c r="F712" t="inlineStr">
        <is>
          <t>GÄVLEBORGS LÄN</t>
        </is>
      </c>
      <c r="G712" t="inlineStr">
        <is>
          <t>OCKELBO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46036</v>
      </c>
      <c r="E713" s="1" t="n">
        <v>46259</v>
      </c>
      <c r="F713" t="inlineStr">
        <is>
          <t>GÄVLEBORGS LÄN</t>
        </is>
      </c>
      <c r="G713" t="inlineStr">
        <is>
          <t>OCKELBO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46048</v>
      </c>
      <c r="E714" s="1" t="n">
        <v>46259</v>
      </c>
      <c r="F714" t="inlineStr">
        <is>
          <t>GÄVLEBORGS LÄN</t>
        </is>
      </c>
      <c r="G714" t="inlineStr">
        <is>
          <t>OCKELBO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46259</v>
      </c>
      <c r="F715" t="inlineStr">
        <is>
          <t>GÄVLEBORGS LÄN</t>
        </is>
      </c>
      <c r="G715" t="inlineStr">
        <is>
          <t>OCKELBO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14827-2026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46259</v>
      </c>
      <c r="F716" t="inlineStr">
        <is>
          <t>GÄVLEBORGS LÄN</t>
        </is>
      </c>
      <c r="G716" t="inlineStr">
        <is>
          <t>OCKELBO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46036</v>
      </c>
      <c r="E717" s="1" t="n">
        <v>46259</v>
      </c>
      <c r="F717" t="inlineStr">
        <is>
          <t>GÄVLEBORGS LÄN</t>
        </is>
      </c>
      <c r="G717" t="inlineStr">
        <is>
          <t>OCKELBO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46259</v>
      </c>
      <c r="F718" t="inlineStr">
        <is>
          <t>GÄVLEBORGS LÄN</t>
        </is>
      </c>
      <c r="G718" t="inlineStr">
        <is>
          <t>OCKELBO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46045</v>
      </c>
      <c r="E719" s="1" t="n">
        <v>46259</v>
      </c>
      <c r="F719" t="inlineStr">
        <is>
          <t>GÄVLEBORGS LÄN</t>
        </is>
      </c>
      <c r="G719" t="inlineStr">
        <is>
          <t>OCKELBO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46045</v>
      </c>
      <c r="E720" s="1" t="n">
        <v>46259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46049</v>
      </c>
      <c r="E721" s="1" t="n">
        <v>46259</v>
      </c>
      <c r="F721" t="inlineStr">
        <is>
          <t>GÄVLEBORGS LÄN</t>
        </is>
      </c>
      <c r="G721" t="inlineStr">
        <is>
          <t>OCKELBO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46050</v>
      </c>
      <c r="E722" s="1" t="n">
        <v>46259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20775-2025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45776</v>
      </c>
      <c r="E723" s="1" t="n">
        <v>46259</v>
      </c>
      <c r="F723" t="inlineStr">
        <is>
          <t>GÄVLEBORGS LÄN</t>
        </is>
      </c>
      <c r="G723" t="inlineStr">
        <is>
          <t>OCKELBO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5231-2026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46049</v>
      </c>
      <c r="E724" s="1" t="n">
        <v>46259</v>
      </c>
      <c r="F724" t="inlineStr">
        <is>
          <t>GÄVLEBORGS LÄN</t>
        </is>
      </c>
      <c r="G724" t="inlineStr">
        <is>
          <t>OCKELBO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5337-2026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46050</v>
      </c>
      <c r="E725" s="1" t="n">
        <v>46259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30031-2026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46206</v>
      </c>
      <c r="E726" s="1" t="n">
        <v>46259</v>
      </c>
      <c r="F726" t="inlineStr">
        <is>
          <t>GÄVLEBORGS LÄN</t>
        </is>
      </c>
      <c r="G726" t="inlineStr">
        <is>
          <t>OCKELBO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46051</v>
      </c>
      <c r="E727" s="1" t="n">
        <v>46259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46052</v>
      </c>
      <c r="E728" s="1" t="n">
        <v>46259</v>
      </c>
      <c r="F728" t="inlineStr">
        <is>
          <t>GÄVLEBORGS LÄN</t>
        </is>
      </c>
      <c r="G728" t="inlineStr">
        <is>
          <t>OCKELBO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34391-2026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46254</v>
      </c>
      <c r="E729" s="1" t="n">
        <v>46259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6.5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46052</v>
      </c>
      <c r="E730" s="1" t="n">
        <v>46259</v>
      </c>
      <c r="F730" t="inlineStr">
        <is>
          <t>GÄVLEBORGS LÄN</t>
        </is>
      </c>
      <c r="G730" t="inlineStr">
        <is>
          <t>OCKELBO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6529-2026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46052</v>
      </c>
      <c r="E731" s="1" t="n">
        <v>46259</v>
      </c>
      <c r="F731" t="inlineStr">
        <is>
          <t>GÄVLEBORGS LÄN</t>
        </is>
      </c>
      <c r="G731" t="inlineStr">
        <is>
          <t>OCKELBO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6531-2026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46259</v>
      </c>
      <c r="F732" t="inlineStr">
        <is>
          <t>GÄVLEBORGS LÄN</t>
        </is>
      </c>
      <c r="G732" t="inlineStr">
        <is>
          <t>OCKELBO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52273-2024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45608</v>
      </c>
      <c r="E733" s="1" t="n">
        <v>46259</v>
      </c>
      <c r="F733" t="inlineStr">
        <is>
          <t>GÄVLEBORGS LÄN</t>
        </is>
      </c>
      <c r="G733" t="inlineStr">
        <is>
          <t>OCKELBO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46051</v>
      </c>
      <c r="E734" s="1" t="n">
        <v>46259</v>
      </c>
      <c r="F734" t="inlineStr">
        <is>
          <t>GÄVLEBORGS LÄN</t>
        </is>
      </c>
      <c r="G734" t="inlineStr">
        <is>
          <t>OCKELBO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54323-2024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45617</v>
      </c>
      <c r="E735" s="1" t="n">
        <v>46259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60253-2023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45258</v>
      </c>
      <c r="E736" s="1" t="n">
        <v>46259</v>
      </c>
      <c r="F736" t="inlineStr">
        <is>
          <t>GÄVLEBORGS LÄN</t>
        </is>
      </c>
      <c r="G736" t="inlineStr">
        <is>
          <t>OCKELBO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6698-2026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46056</v>
      </c>
      <c r="E737" s="1" t="n">
        <v>46259</v>
      </c>
      <c r="F737" t="inlineStr">
        <is>
          <t>GÄVLEBORGS LÄN</t>
        </is>
      </c>
      <c r="G737" t="inlineStr">
        <is>
          <t>OCKELBO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6710-2026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46056</v>
      </c>
      <c r="E738" s="1" t="n">
        <v>46259</v>
      </c>
      <c r="F738" t="inlineStr">
        <is>
          <t>GÄVLEBORGS LÄN</t>
        </is>
      </c>
      <c r="G738" t="inlineStr">
        <is>
          <t>OCKELBO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46053</v>
      </c>
      <c r="E739" s="1" t="n">
        <v>46259</v>
      </c>
      <c r="F739" t="inlineStr">
        <is>
          <t>GÄVLEBORGS LÄN</t>
        </is>
      </c>
      <c r="G739" t="inlineStr">
        <is>
          <t>OCKELBO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37848-2024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45544</v>
      </c>
      <c r="E740" s="1" t="n">
        <v>46259</v>
      </c>
      <c r="F740" t="inlineStr">
        <is>
          <t>GÄVLEBORGS LÄN</t>
        </is>
      </c>
      <c r="G740" t="inlineStr">
        <is>
          <t>OCKELBO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22387-2025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45786</v>
      </c>
      <c r="E741" s="1" t="n">
        <v>46259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34765-2026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46258</v>
      </c>
      <c r="E742" s="1" t="n">
        <v>46259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23780-2024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45455</v>
      </c>
      <c r="E743" s="1" t="n">
        <v>46259</v>
      </c>
      <c r="F743" t="inlineStr">
        <is>
          <t>GÄVLEBORGS LÄN</t>
        </is>
      </c>
      <c r="G743" t="inlineStr">
        <is>
          <t>OCKELBO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22385-2025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45786</v>
      </c>
      <c r="E744" s="1" t="n">
        <v>46259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28584-2024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45478</v>
      </c>
      <c r="E745" s="1" t="n">
        <v>46259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28181-2022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44746</v>
      </c>
      <c r="E746" s="1" t="n">
        <v>46259</v>
      </c>
      <c r="F746" t="inlineStr">
        <is>
          <t>GÄVLEBORGS LÄN</t>
        </is>
      </c>
      <c r="G746" t="inlineStr">
        <is>
          <t>OCKELBO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6588-2026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46056</v>
      </c>
      <c r="E747" s="1" t="n">
        <v>46259</v>
      </c>
      <c r="F747" t="inlineStr">
        <is>
          <t>GÄVLEBORGS LÄN</t>
        </is>
      </c>
      <c r="G747" t="inlineStr">
        <is>
          <t>OCKELBO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6589-2026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46056</v>
      </c>
      <c r="E748" s="1" t="n">
        <v>46259</v>
      </c>
      <c r="F748" t="inlineStr">
        <is>
          <t>GÄVLEBORGS LÄN</t>
        </is>
      </c>
      <c r="G748" t="inlineStr">
        <is>
          <t>OCKELBO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6598-2026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46056</v>
      </c>
      <c r="E749" s="1" t="n">
        <v>46259</v>
      </c>
      <c r="F749" t="inlineStr">
        <is>
          <t>GÄVLEBORGS LÄN</t>
        </is>
      </c>
      <c r="G749" t="inlineStr">
        <is>
          <t>OCKELBO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46216</v>
      </c>
      <c r="E750" s="1" t="n">
        <v>46259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46056</v>
      </c>
      <c r="E751" s="1" t="n">
        <v>46259</v>
      </c>
      <c r="F751" t="inlineStr">
        <is>
          <t>GÄVLEBORGS LÄN</t>
        </is>
      </c>
      <c r="G751" t="inlineStr">
        <is>
          <t>OCKELBO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46055</v>
      </c>
      <c r="E752" s="1" t="n">
        <v>46259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23004-2025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45790</v>
      </c>
      <c r="E753" s="1" t="n">
        <v>46259</v>
      </c>
      <c r="F753" t="inlineStr">
        <is>
          <t>GÄVLEBORGS LÄN</t>
        </is>
      </c>
      <c r="G753" t="inlineStr">
        <is>
          <t>OCKELBO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46056</v>
      </c>
      <c r="E754" s="1" t="n">
        <v>46259</v>
      </c>
      <c r="F754" t="inlineStr">
        <is>
          <t>GÄVLEBORGS LÄN</t>
        </is>
      </c>
      <c r="G754" t="inlineStr">
        <is>
          <t>OCKELBO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48803-2024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45593</v>
      </c>
      <c r="E755" s="1" t="n">
        <v>46259</v>
      </c>
      <c r="F755" t="inlineStr">
        <is>
          <t>GÄVLEBORGS LÄN</t>
        </is>
      </c>
      <c r="G755" t="inlineStr">
        <is>
          <t>OCKELBO</t>
        </is>
      </c>
      <c r="I755" t="n">
        <v>9.4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46259</v>
      </c>
      <c r="F756" t="inlineStr">
        <is>
          <t>GÄVLEBORGS LÄN</t>
        </is>
      </c>
      <c r="G756" t="inlineStr">
        <is>
          <t>OCKELBO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46259</v>
      </c>
      <c r="F757" t="inlineStr">
        <is>
          <t>GÄVLEBORGS LÄN</t>
        </is>
      </c>
      <c r="G757" t="inlineStr">
        <is>
          <t>OCKELBO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46056</v>
      </c>
      <c r="E758" s="1" t="n">
        <v>46259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20689-2025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45776</v>
      </c>
      <c r="E759" s="1" t="n">
        <v>46259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16.2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6862-2026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46259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64924-2023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45282</v>
      </c>
      <c r="E761" s="1" t="n">
        <v>46259</v>
      </c>
      <c r="F761" t="inlineStr">
        <is>
          <t>GÄVLEBORGS LÄN</t>
        </is>
      </c>
      <c r="G761" t="inlineStr">
        <is>
          <t>OCKELBO</t>
        </is>
      </c>
      <c r="I761" t="n">
        <v>6.8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7765-2026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46259</v>
      </c>
      <c r="F762" t="inlineStr">
        <is>
          <t>GÄVLEBORGS LÄN</t>
        </is>
      </c>
      <c r="G762" t="inlineStr">
        <is>
          <t>OCKELBO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20207-2024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45434</v>
      </c>
      <c r="E763" s="1" t="n">
        <v>46259</v>
      </c>
      <c r="F763" t="inlineStr">
        <is>
          <t>GÄVLEBORGS LÄN</t>
        </is>
      </c>
      <c r="G763" t="inlineStr">
        <is>
          <t>OCKELBO</t>
        </is>
      </c>
      <c r="I763" t="n">
        <v>7.6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7544-2026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46059</v>
      </c>
      <c r="E764" s="1" t="n">
        <v>46259</v>
      </c>
      <c r="F764" t="inlineStr">
        <is>
          <t>GÄVLEBORGS LÄN</t>
        </is>
      </c>
      <c r="G764" t="inlineStr">
        <is>
          <t>OCKELBO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7639-2026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46062</v>
      </c>
      <c r="E765" s="1" t="n">
        <v>46259</v>
      </c>
      <c r="F765" t="inlineStr">
        <is>
          <t>GÄVLEBORGS LÄN</t>
        </is>
      </c>
      <c r="G765" t="inlineStr">
        <is>
          <t>OCKELBO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55011-2024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46259</v>
      </c>
      <c r="F766" t="inlineStr">
        <is>
          <t>GÄVLEBORGS LÄN</t>
        </is>
      </c>
      <c r="G766" t="inlineStr">
        <is>
          <t>OCKELBO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7681-2026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46062</v>
      </c>
      <c r="E767" s="1" t="n">
        <v>46259</v>
      </c>
      <c r="F767" t="inlineStr">
        <is>
          <t>GÄVLEBORGS LÄN</t>
        </is>
      </c>
      <c r="G767" t="inlineStr">
        <is>
          <t>OCKELBO</t>
        </is>
      </c>
      <c r="H767" t="inlineStr">
        <is>
          <t>Kyrkan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15403-2022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44659</v>
      </c>
      <c r="E768" s="1" t="n">
        <v>46259</v>
      </c>
      <c r="F768" t="inlineStr">
        <is>
          <t>GÄVLEBORGS LÄN</t>
        </is>
      </c>
      <c r="G768" t="inlineStr">
        <is>
          <t>OCKELBO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7769-2026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46062</v>
      </c>
      <c r="E769" s="1" t="n">
        <v>46259</v>
      </c>
      <c r="F769" t="inlineStr">
        <is>
          <t>GÄVLEBORGS LÄN</t>
        </is>
      </c>
      <c r="G769" t="inlineStr">
        <is>
          <t>OCKELBO</t>
        </is>
      </c>
      <c r="I769" t="n">
        <v>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26085-2024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45468</v>
      </c>
      <c r="E770" s="1" t="n">
        <v>46259</v>
      </c>
      <c r="F770" t="inlineStr">
        <is>
          <t>GÄVLEBORGS LÄN</t>
        </is>
      </c>
      <c r="G770" t="inlineStr">
        <is>
          <t>OCKELBO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16752-2025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46259</v>
      </c>
      <c r="F771" t="inlineStr">
        <is>
          <t>GÄVLEBORGS LÄN</t>
        </is>
      </c>
      <c r="G771" t="inlineStr">
        <is>
          <t>OCKELBO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8351-2026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46064</v>
      </c>
      <c r="E772" s="1" t="n">
        <v>46259</v>
      </c>
      <c r="F772" t="inlineStr">
        <is>
          <t>GÄVLEBORGS LÄN</t>
        </is>
      </c>
      <c r="G772" t="inlineStr">
        <is>
          <t>OCKELBO</t>
        </is>
      </c>
      <c r="I772" t="n">
        <v>17.4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46064</v>
      </c>
      <c r="E773" s="1" t="n">
        <v>46259</v>
      </c>
      <c r="F773" t="inlineStr">
        <is>
          <t>GÄVLEBORGS LÄN</t>
        </is>
      </c>
      <c r="G773" t="inlineStr">
        <is>
          <t>OCKELBO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8354-2026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46064</v>
      </c>
      <c r="E774" s="1" t="n">
        <v>46259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15502-2025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45747</v>
      </c>
      <c r="E775" s="1" t="n">
        <v>46259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49470-2024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45596</v>
      </c>
      <c r="E776" s="1" t="n">
        <v>46259</v>
      </c>
      <c r="F776" t="inlineStr">
        <is>
          <t>GÄVLEBORGS LÄN</t>
        </is>
      </c>
      <c r="G776" t="inlineStr">
        <is>
          <t>OCKELBO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46259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8429-2026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46065</v>
      </c>
      <c r="E778" s="1" t="n">
        <v>46259</v>
      </c>
      <c r="F778" t="inlineStr">
        <is>
          <t>GÄVLEBORGS LÄN</t>
        </is>
      </c>
      <c r="G778" t="inlineStr">
        <is>
          <t>OCKELBO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8933-2026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46259</v>
      </c>
      <c r="F779" t="inlineStr">
        <is>
          <t>GÄVLEBORGS LÄN</t>
        </is>
      </c>
      <c r="G779" t="inlineStr">
        <is>
          <t>OCKELBO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6764-2026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46259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46259</v>
      </c>
      <c r="F781" t="inlineStr">
        <is>
          <t>GÄVLEBORGS LÄN</t>
        </is>
      </c>
      <c r="G781" t="inlineStr">
        <is>
          <t>OCKELBO</t>
        </is>
      </c>
      <c r="I781" t="n">
        <v>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9414-2026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46259</v>
      </c>
      <c r="F782" t="inlineStr">
        <is>
          <t>GÄVLEBORGS LÄN</t>
        </is>
      </c>
      <c r="G782" t="inlineStr">
        <is>
          <t>OCKELBO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46259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46259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9507-2026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46071</v>
      </c>
      <c r="E785" s="1" t="n">
        <v>46259</v>
      </c>
      <c r="F785" t="inlineStr">
        <is>
          <t>GÄVLEBORGS LÄN</t>
        </is>
      </c>
      <c r="G785" t="inlineStr">
        <is>
          <t>OCKELBO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9675-2026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46072</v>
      </c>
      <c r="E786" s="1" t="n">
        <v>46259</v>
      </c>
      <c r="F786" t="inlineStr">
        <is>
          <t>GÄVLEBORGS LÄN</t>
        </is>
      </c>
      <c r="G786" t="inlineStr">
        <is>
          <t>OCKELBO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9681-2026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46259</v>
      </c>
      <c r="F787" t="inlineStr">
        <is>
          <t>GÄVLEBORGS LÄN</t>
        </is>
      </c>
      <c r="G787" t="inlineStr">
        <is>
          <t>OCKELBO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9727-2026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46072</v>
      </c>
      <c r="E788" s="1" t="n">
        <v>46259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9732-2026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46072</v>
      </c>
      <c r="E789" s="1" t="n">
        <v>46259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46071</v>
      </c>
      <c r="E790" s="1" t="n">
        <v>46259</v>
      </c>
      <c r="F790" t="inlineStr">
        <is>
          <t>GÄVLEBORGS LÄN</t>
        </is>
      </c>
      <c r="G790" t="inlineStr">
        <is>
          <t>OCKELBO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9557-2026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46071</v>
      </c>
      <c r="E791" s="1" t="n">
        <v>46259</v>
      </c>
      <c r="F791" t="inlineStr">
        <is>
          <t>GÄVLEBORGS LÄN</t>
        </is>
      </c>
      <c r="G791" t="inlineStr">
        <is>
          <t>OCKELBO</t>
        </is>
      </c>
      <c r="I791" t="n">
        <v>10.4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46031</v>
      </c>
      <c r="E792" s="1" t="n">
        <v>46259</v>
      </c>
      <c r="F792" t="inlineStr">
        <is>
          <t>GÄVLEBORGS LÄN</t>
        </is>
      </c>
      <c r="G792" t="inlineStr">
        <is>
          <t>OCKELBO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9461-2026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46259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9470-2026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46071</v>
      </c>
      <c r="E794" s="1" t="n">
        <v>46259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10159-2026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46259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10437-2026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46077</v>
      </c>
      <c r="E796" s="1" t="n">
        <v>46259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46077</v>
      </c>
      <c r="E797" s="1" t="n">
        <v>46259</v>
      </c>
      <c r="F797" t="inlineStr">
        <is>
          <t>GÄVLEBORGS LÄN</t>
        </is>
      </c>
      <c r="G797" t="inlineStr">
        <is>
          <t>OCKELBO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10501-2026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46077</v>
      </c>
      <c r="E798" s="1" t="n">
        <v>46259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10454-2026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46077</v>
      </c>
      <c r="E799" s="1" t="n">
        <v>46259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46259</v>
      </c>
      <c r="F800" t="inlineStr">
        <is>
          <t>GÄVLEBORGS LÄN</t>
        </is>
      </c>
      <c r="G800" t="inlineStr">
        <is>
          <t>OCKELBO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9927-2026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46073</v>
      </c>
      <c r="E801" s="1" t="n">
        <v>46259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10529-2026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46077</v>
      </c>
      <c r="E802" s="1" t="n">
        <v>46259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öst AB</t>
        </is>
      </c>
      <c r="I802" t="n">
        <v>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10535-2026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46077</v>
      </c>
      <c r="E803" s="1" t="n">
        <v>46259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öst AB</t>
        </is>
      </c>
      <c r="I803" t="n">
        <v>6.2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1293-2026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46259</v>
      </c>
      <c r="F804" t="inlineStr">
        <is>
          <t>GÄVLEBORGS LÄN</t>
        </is>
      </c>
      <c r="G804" t="inlineStr">
        <is>
          <t>OCKELBO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10456-2026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46077</v>
      </c>
      <c r="E805" s="1" t="n">
        <v>46259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öst AB</t>
        </is>
      </c>
      <c r="I805" t="n">
        <v>45.7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10682-2026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46078</v>
      </c>
      <c r="E806" s="1" t="n">
        <v>46259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11078-2026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46079</v>
      </c>
      <c r="E807" s="1" t="n">
        <v>46259</v>
      </c>
      <c r="F807" t="inlineStr">
        <is>
          <t>GÄVLEBORGS LÄN</t>
        </is>
      </c>
      <c r="G807" t="inlineStr">
        <is>
          <t>OCKELBO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11027-2026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46259</v>
      </c>
      <c r="F808" t="inlineStr">
        <is>
          <t>GÄVLEBORGS LÄN</t>
        </is>
      </c>
      <c r="G808" t="inlineStr">
        <is>
          <t>OCKELBO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11234-2026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46080</v>
      </c>
      <c r="E809" s="1" t="n">
        <v>46259</v>
      </c>
      <c r="F809" t="inlineStr">
        <is>
          <t>GÄVLEBORGS LÄN</t>
        </is>
      </c>
      <c r="G809" t="inlineStr">
        <is>
          <t>OCKELBO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11300-2026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46080</v>
      </c>
      <c r="E810" s="1" t="n">
        <v>46259</v>
      </c>
      <c r="F810" t="inlineStr">
        <is>
          <t>GÄVLEBORGS LÄN</t>
        </is>
      </c>
      <c r="G810" t="inlineStr">
        <is>
          <t>OCKELBO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11423-2026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46083</v>
      </c>
      <c r="E811" s="1" t="n">
        <v>46259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öst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11496-2026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46083</v>
      </c>
      <c r="E812" s="1" t="n">
        <v>46259</v>
      </c>
      <c r="F812" t="inlineStr">
        <is>
          <t>GÄVLEBORGS LÄN</t>
        </is>
      </c>
      <c r="G812" t="inlineStr">
        <is>
          <t>OCKELBO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11432-2026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46083</v>
      </c>
      <c r="E813" s="1" t="n">
        <v>46259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11237-2026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46080</v>
      </c>
      <c r="E814" s="1" t="n">
        <v>46259</v>
      </c>
      <c r="F814" t="inlineStr">
        <is>
          <t>GÄVLEBORGS LÄN</t>
        </is>
      </c>
      <c r="G814" t="inlineStr">
        <is>
          <t>OCKELBO</t>
        </is>
      </c>
      <c r="I814" t="n">
        <v>6.2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18326-2026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46126</v>
      </c>
      <c r="E815" s="1" t="n">
        <v>46259</v>
      </c>
      <c r="F815" t="inlineStr">
        <is>
          <t>GÄVLEBORGS LÄN</t>
        </is>
      </c>
      <c r="G815" t="inlineStr">
        <is>
          <t>OCKELBO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11810-2026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46085</v>
      </c>
      <c r="E816" s="1" t="n">
        <v>46259</v>
      </c>
      <c r="F816" t="inlineStr">
        <is>
          <t>GÄVLEBORGS LÄN</t>
        </is>
      </c>
      <c r="G816" t="inlineStr">
        <is>
          <t>OCKELBO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12341-2026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46087</v>
      </c>
      <c r="E817" s="1" t="n">
        <v>46259</v>
      </c>
      <c r="F817" t="inlineStr">
        <is>
          <t>GÄVLEBORGS LÄN</t>
        </is>
      </c>
      <c r="G817" t="inlineStr">
        <is>
          <t>OCKELBO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12370-2026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46089</v>
      </c>
      <c r="E818" s="1" t="n">
        <v>46259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29.9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12716-2026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46091</v>
      </c>
      <c r="E819" s="1" t="n">
        <v>46259</v>
      </c>
      <c r="F819" t="inlineStr">
        <is>
          <t>GÄVLEBORGS LÄN</t>
        </is>
      </c>
      <c r="G819" t="inlineStr">
        <is>
          <t>OCKELBO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13271-2026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46093</v>
      </c>
      <c r="E820" s="1" t="n">
        <v>46259</v>
      </c>
      <c r="F820" t="inlineStr">
        <is>
          <t>GÄVLEBORGS LÄN</t>
        </is>
      </c>
      <c r="G820" t="inlineStr">
        <is>
          <t>OCKELBO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13162-2026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46093</v>
      </c>
      <c r="E821" s="1" t="n">
        <v>46259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12807-2026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46092</v>
      </c>
      <c r="E822" s="1" t="n">
        <v>46259</v>
      </c>
      <c r="F822" t="inlineStr">
        <is>
          <t>GÄVLEBORGS LÄN</t>
        </is>
      </c>
      <c r="G822" t="inlineStr">
        <is>
          <t>OCKELBO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46259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46259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46259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46259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46259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46259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46259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2026-08-25T01:54:52Z</dcterms:created>
  <dcterms:modified xmlns:dcterms="http://purl.org/dc/terms/" xmlns:xsi="http://www.w3.org/2001/XMLSchema-instance" xsi:type="dcterms:W3CDTF">2026-08-25T01:54:53Z</dcterms:modified>
</cp:coreProperties>
</file>