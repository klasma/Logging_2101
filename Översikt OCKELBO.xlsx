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46304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46304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46304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46304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46304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46304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46304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4009-2026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46304</v>
      </c>
      <c r="F9" t="inlineStr">
        <is>
          <t>GÄVLEBORGS LÄN</t>
        </is>
      </c>
      <c r="G9" t="inlineStr">
        <is>
          <t>OCKELBO</t>
        </is>
      </c>
      <c r="I9" t="n">
        <v>3</v>
      </c>
      <c r="J9" t="n">
        <v>6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Ladusvala
Orange taggsvamp
Talltita
Gröngöling
Svartvit flugsnappare
Trana
Fläcknycklar</t>
        </is>
      </c>
      <c r="W9">
        <f>HYPERLINK("https://klasma.github.io/Logging_2101/artfynd/A 4009-2026 artfynd.xlsx", "A 4009-2026")</f>
        <v/>
      </c>
      <c r="X9">
        <f>HYPERLINK("https://klasma.github.io/Logging_2101/kartor/A 4009-2026 karta.png", "A 4009-2026")</f>
        <v/>
      </c>
      <c r="Y9">
        <f>HYPERLINK("https://klasma.github.io/Logging_2101/kartor_geotiff/A 4009-2026 georefererad karta.tif", "A 4009-2026")</f>
        <v/>
      </c>
      <c r="AA9">
        <f>HYPERLINK("https://klasma.github.io/Logging_2101/klagomål/A 4009-2026 FSC-klagomål.docx", "A 4009-2026")</f>
        <v/>
      </c>
      <c r="AB9">
        <f>HYPERLINK("https://klasma.github.io/Logging_2101/klagomålsmail/A 4009-2026 FSC-klagomål mail.docx", "A 4009-2026")</f>
        <v/>
      </c>
      <c r="AC9">
        <f>HYPERLINK("https://klasma.github.io/Logging_2101/tillsyn/A 4009-2026 tillsynsbegäran.docx", "A 4009-2026")</f>
        <v/>
      </c>
      <c r="AD9">
        <f>HYPERLINK("https://klasma.github.io/Logging_2101/tillsynsmail/A 4009-2026 tillsynsbegäran mail.docx", "A 4009-2026")</f>
        <v/>
      </c>
      <c r="AE9">
        <f>HYPERLINK("https://klasma.github.io/Logging_2101/fåglar/A 4009-2026 prioriterade fågelarter.docx", "A 4009-2026")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46304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46304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46304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46304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46304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46304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46304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46304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46304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46304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46304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46304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46304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46304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46304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46304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46304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46304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46304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46304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46304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46304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46304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46304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46304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46304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46304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46304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46304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13640-2026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46304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HYPERLINK("https://klasma.github.io/Logging_2101/artfynd/A 13640-2026 artfynd.xlsx", "A 13640-2026")</f>
        <v/>
      </c>
      <c r="X39">
        <f>HYPERLINK("https://klasma.github.io/Logging_2101/kartor/A 13640-2026 karta.png", "A 13640-2026")</f>
        <v/>
      </c>
      <c r="Y39">
        <f>HYPERLINK("https://klasma.github.io/Logging_2101/kartor_geotiff/A 13640-2026 georefererad karta.tif", "A 13640-2026")</f>
        <v/>
      </c>
      <c r="AA39">
        <f>HYPERLINK("https://klasma.github.io/Logging_2101/klagomål/A 13640-2026 FSC-klagomål.docx", "A 13640-2026")</f>
        <v/>
      </c>
      <c r="AB39">
        <f>HYPERLINK("https://klasma.github.io/Logging_2101/klagomålsmail/A 13640-2026 FSC-klagomål mail.docx", "A 13640-2026")</f>
        <v/>
      </c>
      <c r="AC39">
        <f>HYPERLINK("https://klasma.github.io/Logging_2101/tillsyn/A 13640-2026 tillsynsbegäran.docx", "A 13640-2026")</f>
        <v/>
      </c>
      <c r="AD39">
        <f>HYPERLINK("https://klasma.github.io/Logging_2101/tillsynsmail/A 13640-2026 tillsynsbegäran mail.docx", "A 13640-2026")</f>
        <v/>
      </c>
    </row>
    <row r="40" ht="15" customHeight="1">
      <c r="A40" t="inlineStr">
        <is>
          <t>A 14479-2026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46304</v>
      </c>
      <c r="F40" t="inlineStr">
        <is>
          <t>GÄVLEBORGS LÄN</t>
        </is>
      </c>
      <c r="G40" t="inlineStr">
        <is>
          <t>OCKELBO</t>
        </is>
      </c>
      <c r="I40" t="n">
        <v>4.8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HYPERLINK("https://klasma.github.io/Logging_2101/artfynd/A 14479-2026 artfynd.xlsx", "A 14479-2026")</f>
        <v/>
      </c>
      <c r="X40">
        <f>HYPERLINK("https://klasma.github.io/Logging_2101/kartor/A 14479-2026 karta.png", "A 14479-2026")</f>
        <v/>
      </c>
      <c r="Y40">
        <f>HYPERLINK("https://klasma.github.io/Logging_2101/kartor_geotiff/A 14479-2026 georefererad karta.tif", "A 14479-2026")</f>
        <v/>
      </c>
      <c r="AA40">
        <f>HYPERLINK("https://klasma.github.io/Logging_2101/klagomål/A 14479-2026 FSC-klagomål.docx", "A 14479-2026")</f>
        <v/>
      </c>
      <c r="AB40">
        <f>HYPERLINK("https://klasma.github.io/Logging_2101/klagomålsmail/A 14479-2026 FSC-klagomål mail.docx", "A 14479-2026")</f>
        <v/>
      </c>
      <c r="AC40">
        <f>HYPERLINK("https://klasma.github.io/Logging_2101/tillsyn/A 14479-2026 tillsynsbegäran.docx", "A 14479-2026")</f>
        <v/>
      </c>
      <c r="AD40">
        <f>HYPERLINK("https://klasma.github.io/Logging_2101/tillsynsmail/A 14479-2026 tillsynsbegäran mail.docx", "A 14479-2026")</f>
        <v/>
      </c>
    </row>
    <row r="41" ht="15" customHeight="1">
      <c r="A41" t="inlineStr">
        <is>
          <t>A 14664-2026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46101</v>
      </c>
      <c r="E41" s="1" t="n">
        <v>46304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Tjäder</t>
        </is>
      </c>
      <c r="W41">
        <f>HYPERLINK("https://klasma.github.io/Logging_2101/artfynd/A 14664-2026 artfynd.xlsx", "A 14664-2026")</f>
        <v/>
      </c>
      <c r="X41">
        <f>HYPERLINK("https://klasma.github.io/Logging_2101/kartor/A 14664-2026 karta.png", "A 14664-2026")</f>
        <v/>
      </c>
      <c r="Y41">
        <f>HYPERLINK("https://klasma.github.io/Logging_2101/kartor_geotiff/A 14664-2026 georefererad karta.tif", "A 14664-2026")</f>
        <v/>
      </c>
      <c r="AA41">
        <f>HYPERLINK("https://klasma.github.io/Logging_2101/klagomål/A 14664-2026 FSC-klagomål.docx", "A 14664-2026")</f>
        <v/>
      </c>
      <c r="AB41">
        <f>HYPERLINK("https://klasma.github.io/Logging_2101/klagomålsmail/A 14664-2026 FSC-klagomål mail.docx", "A 14664-2026")</f>
        <v/>
      </c>
      <c r="AC41">
        <f>HYPERLINK("https://klasma.github.io/Logging_2101/tillsyn/A 14664-2026 tillsynsbegäran.docx", "A 14664-2026")</f>
        <v/>
      </c>
      <c r="AD41">
        <f>HYPERLINK("https://klasma.github.io/Logging_2101/tillsynsmail/A 14664-2026 tillsynsbegäran mail.docx", "A 14664-2026")</f>
        <v/>
      </c>
      <c r="AE41">
        <f>HYPERLINK("https://klasma.github.io/Logging_2101/fåglar/A 14664-2026 prioriterade fågelarter.docx", "A 14664-2026")</f>
        <v/>
      </c>
    </row>
    <row r="42" ht="15" customHeight="1">
      <c r="A42" t="inlineStr">
        <is>
          <t>A 60615-2021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44496</v>
      </c>
      <c r="E42" s="1" t="n">
        <v>46304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HYPERLINK("https://klasma.github.io/Logging_2101/artfynd/A 60615-2021 artfynd.xlsx", "A 60615-2021")</f>
        <v/>
      </c>
      <c r="X42">
        <f>HYPERLINK("https://klasma.github.io/Logging_2101/kartor/A 60615-2021 karta.png", "A 60615-2021")</f>
        <v/>
      </c>
      <c r="Y42">
        <f>HYPERLINK("https://klasma.github.io/Logging_2101/kartor_geotiff/A 60615-2021 georefererad karta.tif", "A 60615-2021")</f>
        <v/>
      </c>
      <c r="AA42">
        <f>HYPERLINK("https://klasma.github.io/Logging_2101/klagomål/A 60615-2021 FSC-klagomål.docx", "A 60615-2021")</f>
        <v/>
      </c>
      <c r="AB42">
        <f>HYPERLINK("https://klasma.github.io/Logging_2101/klagomålsmail/A 60615-2021 FSC-klagomål mail.docx", "A 60615-2021")</f>
        <v/>
      </c>
      <c r="AC42">
        <f>HYPERLINK("https://klasma.github.io/Logging_2101/tillsyn/A 60615-2021 tillsynsbegäran.docx", "A 60615-2021")</f>
        <v/>
      </c>
      <c r="AD42">
        <f>HYPERLINK("https://klasma.github.io/Logging_2101/tillsynsmail/A 60615-2021 tillsynsbegäran mail.docx", "A 60615-2021")</f>
        <v/>
      </c>
    </row>
    <row r="43" ht="15" customHeight="1">
      <c r="A43" t="inlineStr">
        <is>
          <t>A 57946-2023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46304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HYPERLINK("https://klasma.github.io/Logging_2101/artfynd/A 57946-2023 artfynd.xlsx", "A 57946-2023")</f>
        <v/>
      </c>
      <c r="X43">
        <f>HYPERLINK("https://klasma.github.io/Logging_2101/kartor/A 57946-2023 karta.png", "A 57946-2023")</f>
        <v/>
      </c>
      <c r="Y43">
        <f>HYPERLINK("https://klasma.github.io/Logging_2101/kartor_geotiff/A 57946-2023 georefererad karta.tif", "A 57946-2023")</f>
        <v/>
      </c>
      <c r="AA43">
        <f>HYPERLINK("https://klasma.github.io/Logging_2101/klagomål/A 57946-2023 FSC-klagomål.docx", "A 57946-2023")</f>
        <v/>
      </c>
      <c r="AB43">
        <f>HYPERLINK("https://klasma.github.io/Logging_2101/klagomålsmail/A 57946-2023 FSC-klagomål mail.docx", "A 57946-2023")</f>
        <v/>
      </c>
      <c r="AC43">
        <f>HYPERLINK("https://klasma.github.io/Logging_2101/tillsyn/A 57946-2023 tillsynsbegäran.docx", "A 57946-2023")</f>
        <v/>
      </c>
      <c r="AD43">
        <f>HYPERLINK("https://klasma.github.io/Logging_2101/tillsynsmail/A 57946-2023 tillsynsbegäran mail.docx", "A 57946-2023")</f>
        <v/>
      </c>
    </row>
    <row r="44" ht="15" customHeight="1">
      <c r="A44" t="inlineStr">
        <is>
          <t>A 46481-2024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46304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HYPERLINK("https://klasma.github.io/Logging_2101/artfynd/A 46481-2024 artfynd.xlsx", "A 46481-2024")</f>
        <v/>
      </c>
      <c r="X44">
        <f>HYPERLINK("https://klasma.github.io/Logging_2101/kartor/A 46481-2024 karta.png", "A 46481-2024")</f>
        <v/>
      </c>
      <c r="Y44">
        <f>HYPERLINK("https://klasma.github.io/Logging_2101/kartor_geotiff/A 46481-2024 georefererad karta.tif", "A 46481-2024")</f>
        <v/>
      </c>
      <c r="AA44">
        <f>HYPERLINK("https://klasma.github.io/Logging_2101/klagomål/A 46481-2024 FSC-klagomål.docx", "A 46481-2024")</f>
        <v/>
      </c>
      <c r="AB44">
        <f>HYPERLINK("https://klasma.github.io/Logging_2101/klagomålsmail/A 46481-2024 FSC-klagomål mail.docx", "A 46481-2024")</f>
        <v/>
      </c>
      <c r="AC44">
        <f>HYPERLINK("https://klasma.github.io/Logging_2101/tillsyn/A 46481-2024 tillsynsbegäran.docx", "A 46481-2024")</f>
        <v/>
      </c>
      <c r="AD44">
        <f>HYPERLINK("https://klasma.github.io/Logging_2101/tillsynsmail/A 46481-2024 tillsynsbegäran mail.docx", "A 46481-2024")</f>
        <v/>
      </c>
    </row>
    <row r="45" ht="15" customHeight="1">
      <c r="A45" t="inlineStr">
        <is>
          <t>A 18188-2026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46125</v>
      </c>
      <c r="E45" s="1" t="n">
        <v>46304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HYPERLINK("https://klasma.github.io/Logging_2101/artfynd/A 18188-2026 artfynd.xlsx", "A 18188-2026")</f>
        <v/>
      </c>
      <c r="X45">
        <f>HYPERLINK("https://klasma.github.io/Logging_2101/kartor/A 18188-2026 karta.png", "A 18188-2026")</f>
        <v/>
      </c>
      <c r="Y45">
        <f>HYPERLINK("https://klasma.github.io/Logging_2101/kartor_geotiff/A 18188-2026 georefererad karta.tif", "A 18188-2026")</f>
        <v/>
      </c>
      <c r="AA45">
        <f>HYPERLINK("https://klasma.github.io/Logging_2101/klagomål/A 18188-2026 FSC-klagomål.docx", "A 18188-2026")</f>
        <v/>
      </c>
      <c r="AB45">
        <f>HYPERLINK("https://klasma.github.io/Logging_2101/klagomålsmail/A 18188-2026 FSC-klagomål mail.docx", "A 18188-2026")</f>
        <v/>
      </c>
      <c r="AC45">
        <f>HYPERLINK("https://klasma.github.io/Logging_2101/tillsyn/A 18188-2026 tillsynsbegäran.docx", "A 18188-2026")</f>
        <v/>
      </c>
      <c r="AD45">
        <f>HYPERLINK("https://klasma.github.io/Logging_2101/tillsynsmail/A 18188-2026 tillsynsbegäran mail.docx", "A 18188-2026")</f>
        <v/>
      </c>
      <c r="AE45">
        <f>HYPERLINK("https://klasma.github.io/Logging_2101/fåglar/A 18188-2026 prioriterade fågelarter.docx", "A 18188-2026")</f>
        <v/>
      </c>
    </row>
    <row r="46" ht="15" customHeight="1">
      <c r="A46" t="inlineStr">
        <is>
          <t>A 55778-2025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46304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HYPERLINK("https://klasma.github.io/Logging_2101/artfynd/A 55778-2025 artfynd.xlsx", "A 55778-2025")</f>
        <v/>
      </c>
      <c r="X46">
        <f>HYPERLINK("https://klasma.github.io/Logging_2101/kartor/A 55778-2025 karta.png", "A 55778-2025")</f>
        <v/>
      </c>
      <c r="Y46">
        <f>HYPERLINK("https://klasma.github.io/Logging_2101/kartor_geotiff/A 55778-2025 georefererad karta.tif", "A 55778-2025")</f>
        <v/>
      </c>
      <c r="AA46">
        <f>HYPERLINK("https://klasma.github.io/Logging_2101/klagomål/A 55778-2025 FSC-klagomål.docx", "A 55778-2025")</f>
        <v/>
      </c>
      <c r="AB46">
        <f>HYPERLINK("https://klasma.github.io/Logging_2101/klagomålsmail/A 55778-2025 FSC-klagomål mail.docx", "A 55778-2025")</f>
        <v/>
      </c>
      <c r="AC46">
        <f>HYPERLINK("https://klasma.github.io/Logging_2101/tillsyn/A 55778-2025 tillsynsbegäran.docx", "A 55778-2025")</f>
        <v/>
      </c>
      <c r="AD46">
        <f>HYPERLINK("https://klasma.github.io/Logging_2101/tillsynsmail/A 55778-2025 tillsynsbegäran mail.docx", "A 55778-2025")</f>
        <v/>
      </c>
    </row>
    <row r="47" ht="15" customHeight="1">
      <c r="A47" t="inlineStr">
        <is>
          <t>A 12777-2026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46304</v>
      </c>
      <c r="F47" t="inlineStr">
        <is>
          <t>GÄVLEBORGS LÄN</t>
        </is>
      </c>
      <c r="G47" t="inlineStr">
        <is>
          <t>OCKELBO</t>
        </is>
      </c>
      <c r="I47" t="n">
        <v>4.2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HYPERLINK("https://klasma.github.io/Logging_2101/artfynd/A 12777-2026 artfynd.xlsx", "A 12777-2026")</f>
        <v/>
      </c>
      <c r="X47">
        <f>HYPERLINK("https://klasma.github.io/Logging_2101/kartor/A 12777-2026 karta.png", "A 12777-2026")</f>
        <v/>
      </c>
      <c r="Y47">
        <f>HYPERLINK("https://klasma.github.io/Logging_2101/kartor_geotiff/A 12777-2026 georefererad karta.tif", "A 12777-2026")</f>
        <v/>
      </c>
      <c r="AA47">
        <f>HYPERLINK("https://klasma.github.io/Logging_2101/klagomål/A 12777-2026 FSC-klagomål.docx", "A 12777-2026")</f>
        <v/>
      </c>
      <c r="AB47">
        <f>HYPERLINK("https://klasma.github.io/Logging_2101/klagomålsmail/A 12777-2026 FSC-klagomål mail.docx", "A 12777-2026")</f>
        <v/>
      </c>
      <c r="AC47">
        <f>HYPERLINK("https://klasma.github.io/Logging_2101/tillsyn/A 12777-2026 tillsynsbegäran.docx", "A 12777-2026")</f>
        <v/>
      </c>
      <c r="AD47">
        <f>HYPERLINK("https://klasma.github.io/Logging_2101/tillsynsmail/A 12777-2026 tillsynsbegäran mail.docx", "A 12777-2026")</f>
        <v/>
      </c>
      <c r="AE47">
        <f>HYPERLINK("https://klasma.github.io/Logging_2101/fåglar/A 12777-2026 prioriterade fågelarter.docx", "A 12777-2026")</f>
        <v/>
      </c>
    </row>
    <row r="48" ht="15" customHeight="1">
      <c r="A48" t="inlineStr">
        <is>
          <t>A 10145-2026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46304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öst AB</t>
        </is>
      </c>
      <c r="I48" t="n">
        <v>10.5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Fläcknycklar</t>
        </is>
      </c>
      <c r="W48">
        <f>HYPERLINK("https://klasma.github.io/Logging_2101/artfynd/A 10145-2026 artfynd.xlsx", "A 10145-2026")</f>
        <v/>
      </c>
      <c r="X48">
        <f>HYPERLINK("https://klasma.github.io/Logging_2101/kartor/A 10145-2026 karta.png", "A 10145-2026")</f>
        <v/>
      </c>
      <c r="Y48">
        <f>HYPERLINK("https://klasma.github.io/Logging_2101/kartor_geotiff/A 10145-2026 georefererad karta.tif", "A 10145-2026")</f>
        <v/>
      </c>
      <c r="Z48">
        <f>HYPERLINK("https://klasma.github.io/Logging_2101/knärot/A 10145-2026 karta knärot.png", "A 10145-2026")</f>
        <v/>
      </c>
      <c r="AA48">
        <f>HYPERLINK("https://klasma.github.io/Logging_2101/klagomål/A 10145-2026 FSC-klagomål.docx", "A 10145-2026")</f>
        <v/>
      </c>
      <c r="AB48">
        <f>HYPERLINK("https://klasma.github.io/Logging_2101/klagomålsmail/A 10145-2026 FSC-klagomål mail.docx", "A 10145-2026")</f>
        <v/>
      </c>
      <c r="AC48">
        <f>HYPERLINK("https://klasma.github.io/Logging_2101/tillsyn/A 10145-2026 tillsynsbegäran.docx", "A 10145-2026")</f>
        <v/>
      </c>
      <c r="AD48">
        <f>HYPERLINK("https://klasma.github.io/Logging_2101/tillsynsmail/A 10145-2026 tillsynsbegäran mail.docx", "A 10145-2026")</f>
        <v/>
      </c>
    </row>
    <row r="49" ht="15" customHeight="1">
      <c r="A49" t="inlineStr">
        <is>
          <t>A 62989-2025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46304</v>
      </c>
      <c r="F49" t="inlineStr">
        <is>
          <t>GÄVLEBORGS LÄN</t>
        </is>
      </c>
      <c r="G49" t="inlineStr">
        <is>
          <t>OCKELBO</t>
        </is>
      </c>
      <c r="I49" t="n">
        <v>1.7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HYPERLINK("https://klasma.github.io/Logging_2101/artfynd/A 62989-2025 artfynd.xlsx", "A 62989-2025")</f>
        <v/>
      </c>
      <c r="X49">
        <f>HYPERLINK("https://klasma.github.io/Logging_2101/kartor/A 62989-2025 karta.png", "A 62989-2025")</f>
        <v/>
      </c>
      <c r="Y49">
        <f>HYPERLINK("https://klasma.github.io/Logging_2101/kartor_geotiff/A 62989-2025 georefererad karta.tif", "A 62989-2025")</f>
        <v/>
      </c>
      <c r="AA49">
        <f>HYPERLINK("https://klasma.github.io/Logging_2101/klagomål/A 62989-2025 FSC-klagomål.docx", "A 62989-2025")</f>
        <v/>
      </c>
      <c r="AB49">
        <f>HYPERLINK("https://klasma.github.io/Logging_2101/klagomålsmail/A 62989-2025 FSC-klagomål mail.docx", "A 62989-2025")</f>
        <v/>
      </c>
      <c r="AC49">
        <f>HYPERLINK("https://klasma.github.io/Logging_2101/tillsyn/A 62989-2025 tillsynsbegäran.docx", "A 62989-2025")</f>
        <v/>
      </c>
      <c r="AD49">
        <f>HYPERLINK("https://klasma.github.io/Logging_2101/tillsynsmail/A 62989-2025 tillsynsbegäran mail.docx", "A 62989-2025")</f>
        <v/>
      </c>
    </row>
    <row r="50" ht="15" customHeight="1">
      <c r="A50" t="inlineStr">
        <is>
          <t>A 22821-2024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46304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HYPERLINK("https://klasma.github.io/Logging_2101/artfynd/A 22821-2024 artfynd.xlsx", "A 22821-2024")</f>
        <v/>
      </c>
      <c r="X50">
        <f>HYPERLINK("https://klasma.github.io/Logging_2101/kartor/A 22821-2024 karta.png", "A 22821-2024")</f>
        <v/>
      </c>
      <c r="Y50">
        <f>HYPERLINK("https://klasma.github.io/Logging_2101/kartor_geotiff/A 22821-2024 georefererad karta.tif", "A 22821-2024")</f>
        <v/>
      </c>
      <c r="AA50">
        <f>HYPERLINK("https://klasma.github.io/Logging_2101/klagomål/A 22821-2024 FSC-klagomål.docx", "A 22821-2024")</f>
        <v/>
      </c>
      <c r="AB50">
        <f>HYPERLINK("https://klasma.github.io/Logging_2101/klagomålsmail/A 22821-2024 FSC-klagomål mail.docx", "A 22821-2024")</f>
        <v/>
      </c>
      <c r="AC50">
        <f>HYPERLINK("https://klasma.github.io/Logging_2101/tillsyn/A 22821-2024 tillsynsbegäran.docx", "A 22821-2024")</f>
        <v/>
      </c>
      <c r="AD50">
        <f>HYPERLINK("https://klasma.github.io/Logging_2101/tillsynsmail/A 22821-2024 tillsynsbegäran mail.docx", "A 22821-2024")</f>
        <v/>
      </c>
    </row>
    <row r="51" ht="15" customHeight="1">
      <c r="A51" t="inlineStr">
        <is>
          <t>A 9155-2026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46304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4.2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HYPERLINK("https://klasma.github.io/Logging_2101/artfynd/A 9155-2026 artfynd.xlsx", "A 9155-2026")</f>
        <v/>
      </c>
      <c r="X51">
        <f>HYPERLINK("https://klasma.github.io/Logging_2101/kartor/A 9155-2026 karta.png", "A 9155-2026")</f>
        <v/>
      </c>
      <c r="Y51">
        <f>HYPERLINK("https://klasma.github.io/Logging_2101/kartor_geotiff/A 9155-2026 georefererad karta.tif", "A 9155-2026")</f>
        <v/>
      </c>
      <c r="AA51">
        <f>HYPERLINK("https://klasma.github.io/Logging_2101/klagomål/A 9155-2026 FSC-klagomål.docx", "A 9155-2026")</f>
        <v/>
      </c>
      <c r="AB51">
        <f>HYPERLINK("https://klasma.github.io/Logging_2101/klagomålsmail/A 9155-2026 FSC-klagomål mail.docx", "A 9155-2026")</f>
        <v/>
      </c>
      <c r="AC51">
        <f>HYPERLINK("https://klasma.github.io/Logging_2101/tillsyn/A 9155-2026 tillsynsbegäran.docx", "A 9155-2026")</f>
        <v/>
      </c>
      <c r="AD51">
        <f>HYPERLINK("https://klasma.github.io/Logging_2101/tillsynsmail/A 9155-2026 tillsynsbegäran mail.docx", "A 9155-2026")</f>
        <v/>
      </c>
    </row>
    <row r="52" ht="15" customHeight="1">
      <c r="A52" t="inlineStr">
        <is>
          <t>A 26448-2024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46304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HYPERLINK("https://klasma.github.io/Logging_2101/artfynd/A 26448-2024 artfynd.xlsx", "A 26448-2024")</f>
        <v/>
      </c>
      <c r="X52">
        <f>HYPERLINK("https://klasma.github.io/Logging_2101/kartor/A 26448-2024 karta.png", "A 26448-2024")</f>
        <v/>
      </c>
      <c r="Y52">
        <f>HYPERLINK("https://klasma.github.io/Logging_2101/kartor_geotiff/A 26448-2024 georefererad karta.tif", "A 26448-2024")</f>
        <v/>
      </c>
      <c r="AA52">
        <f>HYPERLINK("https://klasma.github.io/Logging_2101/klagomål/A 26448-2024 FSC-klagomål.docx", "A 26448-2024")</f>
        <v/>
      </c>
      <c r="AB52">
        <f>HYPERLINK("https://klasma.github.io/Logging_2101/klagomålsmail/A 26448-2024 FSC-klagomål mail.docx", "A 26448-2024")</f>
        <v/>
      </c>
      <c r="AC52">
        <f>HYPERLINK("https://klasma.github.io/Logging_2101/tillsyn/A 26448-2024 tillsynsbegäran.docx", "A 26448-2024")</f>
        <v/>
      </c>
      <c r="AD52">
        <f>HYPERLINK("https://klasma.github.io/Logging_2101/tillsynsmail/A 26448-2024 tillsynsbegäran mail.docx", "A 26448-2024")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46304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2923-2026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46038</v>
      </c>
      <c r="E54" s="1" t="n">
        <v>46304</v>
      </c>
      <c r="F54" t="inlineStr">
        <is>
          <t>GÄVLEBORGS LÄN</t>
        </is>
      </c>
      <c r="G54" t="inlineStr">
        <is>
          <t>OCKELBO</t>
        </is>
      </c>
      <c r="I54" t="n">
        <v>2.8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HYPERLINK("https://klasma.github.io/Logging_2101/artfynd/A 2923-2026 artfynd.xlsx", "A 2923-2026")</f>
        <v/>
      </c>
      <c r="X54">
        <f>HYPERLINK("https://klasma.github.io/Logging_2101/kartor/A 2923-2026 karta.png", "A 2923-2026")</f>
        <v/>
      </c>
      <c r="Y54">
        <f>HYPERLINK("https://klasma.github.io/Logging_2101/kartor_geotiff/A 2923-2026 georefererad karta.tif", "A 2923-2026")</f>
        <v/>
      </c>
      <c r="Z54">
        <f>HYPERLINK("https://klasma.github.io/Logging_2101/knärot/A 2923-2026 karta knärot.png", "A 2923-2026")</f>
        <v/>
      </c>
      <c r="AA54">
        <f>HYPERLINK("https://klasma.github.io/Logging_2101/klagomål/A 2923-2026 FSC-klagomål.docx", "A 2923-2026")</f>
        <v/>
      </c>
      <c r="AB54">
        <f>HYPERLINK("https://klasma.github.io/Logging_2101/klagomålsmail/A 2923-2026 FSC-klagomål mail.docx", "A 2923-2026")</f>
        <v/>
      </c>
      <c r="AC54">
        <f>HYPERLINK("https://klasma.github.io/Logging_2101/tillsyn/A 2923-2026 tillsynsbegäran.docx", "A 2923-2026")</f>
        <v/>
      </c>
      <c r="AD54">
        <f>HYPERLINK("https://klasma.github.io/Logging_2101/tillsynsmail/A 2923-2026 tillsynsbegäran mail.docx", "A 2923-2026")</f>
        <v/>
      </c>
    </row>
    <row r="55" ht="15" customHeight="1">
      <c r="A55" t="inlineStr">
        <is>
          <t>A 15039-2026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46104</v>
      </c>
      <c r="E55" s="1" t="n">
        <v>46304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18.2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HYPERLINK("https://klasma.github.io/Logging_2101/artfynd/A 15039-2026 artfynd.xlsx", "A 15039-2026")</f>
        <v/>
      </c>
      <c r="X55">
        <f>HYPERLINK("https://klasma.github.io/Logging_2101/kartor/A 15039-2026 karta.png", "A 15039-2026")</f>
        <v/>
      </c>
      <c r="Y55">
        <f>HYPERLINK("https://klasma.github.io/Logging_2101/kartor_geotiff/A 15039-2026 georefererad karta.tif", "A 15039-2026")</f>
        <v/>
      </c>
      <c r="AA55">
        <f>HYPERLINK("https://klasma.github.io/Logging_2101/klagomål/A 15039-2026 FSC-klagomål.docx", "A 15039-2026")</f>
        <v/>
      </c>
      <c r="AB55">
        <f>HYPERLINK("https://klasma.github.io/Logging_2101/klagomålsmail/A 15039-2026 FSC-klagomål mail.docx", "A 15039-2026")</f>
        <v/>
      </c>
      <c r="AC55">
        <f>HYPERLINK("https://klasma.github.io/Logging_2101/tillsyn/A 15039-2026 tillsynsbegäran.docx", "A 15039-2026")</f>
        <v/>
      </c>
      <c r="AD55">
        <f>HYPERLINK("https://klasma.github.io/Logging_2101/tillsynsmail/A 15039-2026 tillsynsbegäran mail.docx", "A 15039-2026")</f>
        <v/>
      </c>
      <c r="AE55">
        <f>HYPERLINK("https://klasma.github.io/Logging_2101/fåglar/A 15039-2026 prioriterade fågelarter.docx", "A 15039-2026")</f>
        <v/>
      </c>
    </row>
    <row r="56" ht="15" customHeight="1">
      <c r="A56" t="inlineStr">
        <is>
          <t>A 11970-2026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46085</v>
      </c>
      <c r="E56" s="1" t="n">
        <v>46304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HYPERLINK("https://klasma.github.io/Logging_2101/artfynd/A 11970-2026 artfynd.xlsx", "A 11970-2026")</f>
        <v/>
      </c>
      <c r="X56">
        <f>HYPERLINK("https://klasma.github.io/Logging_2101/kartor/A 11970-2026 karta.png", "A 11970-2026")</f>
        <v/>
      </c>
      <c r="Y56">
        <f>HYPERLINK("https://klasma.github.io/Logging_2101/kartor_geotiff/A 11970-2026 georefererad karta.tif", "A 11970-2026")</f>
        <v/>
      </c>
      <c r="AA56">
        <f>HYPERLINK("https://klasma.github.io/Logging_2101/klagomål/A 11970-2026 FSC-klagomål.docx", "A 11970-2026")</f>
        <v/>
      </c>
      <c r="AB56">
        <f>HYPERLINK("https://klasma.github.io/Logging_2101/klagomålsmail/A 11970-2026 FSC-klagomål mail.docx", "A 11970-2026")</f>
        <v/>
      </c>
      <c r="AC56">
        <f>HYPERLINK("https://klasma.github.io/Logging_2101/tillsyn/A 11970-2026 tillsynsbegäran.docx", "A 11970-2026")</f>
        <v/>
      </c>
      <c r="AD56">
        <f>HYPERLINK("https://klasma.github.io/Logging_2101/tillsynsmail/A 11970-2026 tillsynsbegäran mail.docx", "A 11970-2026")</f>
        <v/>
      </c>
      <c r="AE56">
        <f>HYPERLINK("https://klasma.github.io/Logging_2101/fåglar/A 11970-2026 prioriterade fågelarter.docx", "A 11970-2026")</f>
        <v/>
      </c>
    </row>
    <row r="57" ht="15" customHeight="1">
      <c r="A57" t="inlineStr">
        <is>
          <t>A 6121-2026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46053</v>
      </c>
      <c r="E57" s="1" t="n">
        <v>46304</v>
      </c>
      <c r="F57" t="inlineStr">
        <is>
          <t>GÄVLEBORGS LÄN</t>
        </is>
      </c>
      <c r="G57" t="inlineStr">
        <is>
          <t>OCKELBO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6121-2026 artfynd.xlsx", "A 6121-2026")</f>
        <v/>
      </c>
      <c r="X57">
        <f>HYPERLINK("https://klasma.github.io/Logging_2101/kartor/A 6121-2026 karta.png", "A 6121-2026")</f>
        <v/>
      </c>
      <c r="Y57">
        <f>HYPERLINK("https://klasma.github.io/Logging_2101/kartor_geotiff/A 6121-2026 georefererad karta.tif", "A 6121-2026")</f>
        <v/>
      </c>
      <c r="AA57">
        <f>HYPERLINK("https://klasma.github.io/Logging_2101/klagomål/A 6121-2026 FSC-klagomål.docx", "A 6121-2026")</f>
        <v/>
      </c>
      <c r="AB57">
        <f>HYPERLINK("https://klasma.github.io/Logging_2101/klagomålsmail/A 6121-2026 FSC-klagomål mail.docx", "A 6121-2026")</f>
        <v/>
      </c>
      <c r="AC57">
        <f>HYPERLINK("https://klasma.github.io/Logging_2101/tillsyn/A 6121-2026 tillsynsbegäran.docx", "A 6121-2026")</f>
        <v/>
      </c>
      <c r="AD57">
        <f>HYPERLINK("https://klasma.github.io/Logging_2101/tillsynsmail/A 6121-2026 tillsynsbegäran mail.docx", "A 6121-2026")</f>
        <v/>
      </c>
      <c r="AE57">
        <f>HYPERLINK("https://klasma.github.io/Logging_2101/fåglar/A 6121-2026 prioriterade fågelarter.docx", "A 6121-2026")</f>
        <v/>
      </c>
    </row>
    <row r="58" ht="15" customHeight="1">
      <c r="A58" t="inlineStr">
        <is>
          <t>A 6586-2026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46056</v>
      </c>
      <c r="E58" s="1" t="n">
        <v>46304</v>
      </c>
      <c r="F58" t="inlineStr">
        <is>
          <t>GÄVLEBORGS LÄN</t>
        </is>
      </c>
      <c r="G58" t="inlineStr">
        <is>
          <t>OCKELBO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HYPERLINK("https://klasma.github.io/Logging_2101/artfynd/A 6586-2026 artfynd.xlsx", "A 6586-2026")</f>
        <v/>
      </c>
      <c r="X58">
        <f>HYPERLINK("https://klasma.github.io/Logging_2101/kartor/A 6586-2026 karta.png", "A 6586-2026")</f>
        <v/>
      </c>
      <c r="Y58">
        <f>HYPERLINK("https://klasma.github.io/Logging_2101/kartor_geotiff/A 6586-2026 georefererad karta.tif", "A 6586-2026")</f>
        <v/>
      </c>
      <c r="AA58">
        <f>HYPERLINK("https://klasma.github.io/Logging_2101/klagomål/A 6586-2026 FSC-klagomål.docx", "A 6586-2026")</f>
        <v/>
      </c>
      <c r="AB58">
        <f>HYPERLINK("https://klasma.github.io/Logging_2101/klagomålsmail/A 6586-2026 FSC-klagomål mail.docx", "A 6586-2026")</f>
        <v/>
      </c>
      <c r="AC58">
        <f>HYPERLINK("https://klasma.github.io/Logging_2101/tillsyn/A 6586-2026 tillsynsbegäran.docx", "A 6586-2026")</f>
        <v/>
      </c>
      <c r="AD58">
        <f>HYPERLINK("https://klasma.github.io/Logging_2101/tillsynsmail/A 6586-2026 tillsynsbegäran mail.docx", "A 6586-2026")</f>
        <v/>
      </c>
    </row>
    <row r="59" ht="15" customHeight="1">
      <c r="A59" t="inlineStr">
        <is>
          <t>A 10484-2026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46304</v>
      </c>
      <c r="F59" t="inlineStr">
        <is>
          <t>GÄVLEBORGS LÄN</t>
        </is>
      </c>
      <c r="G59" t="inlineStr">
        <is>
          <t>OCKELBO</t>
        </is>
      </c>
      <c r="I59" t="n">
        <v>1.8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Ullticka</t>
        </is>
      </c>
      <c r="W59">
        <f>HYPERLINK("https://klasma.github.io/Logging_2101/artfynd/A 10484-2026 artfynd.xlsx", "A 10484-2026")</f>
        <v/>
      </c>
      <c r="X59">
        <f>HYPERLINK("https://klasma.github.io/Logging_2101/kartor/A 10484-2026 karta.png", "A 10484-2026")</f>
        <v/>
      </c>
      <c r="Y59">
        <f>HYPERLINK("https://klasma.github.io/Logging_2101/kartor_geotiff/A 10484-2026 georefererad karta.tif", "A 10484-2026")</f>
        <v/>
      </c>
      <c r="AA59">
        <f>HYPERLINK("https://klasma.github.io/Logging_2101/klagomål/A 10484-2026 FSC-klagomål.docx", "A 10484-2026")</f>
        <v/>
      </c>
      <c r="AB59">
        <f>HYPERLINK("https://klasma.github.io/Logging_2101/klagomålsmail/A 10484-2026 FSC-klagomål mail.docx", "A 10484-2026")</f>
        <v/>
      </c>
      <c r="AC59">
        <f>HYPERLINK("https://klasma.github.io/Logging_2101/tillsyn/A 10484-2026 tillsynsbegäran.docx", "A 10484-2026")</f>
        <v/>
      </c>
      <c r="AD59">
        <f>HYPERLINK("https://klasma.github.io/Logging_2101/tillsynsmail/A 10484-2026 tillsynsbegäran mail.docx", "A 10484-2026")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46304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46304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46304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A 38583-2026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46283</v>
      </c>
      <c r="E63" s="1" t="n">
        <v>46304</v>
      </c>
      <c r="F63" t="inlineStr">
        <is>
          <t>GÄVLEBORGS LÄN</t>
        </is>
      </c>
      <c r="G63" t="inlineStr">
        <is>
          <t>OCKELBO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Månlåsbräken</t>
        </is>
      </c>
      <c r="W63">
        <f>HYPERLINK("https://klasma.github.io/Logging_2101/artfynd/A 38583-2026 artfynd.xlsx", "A 38583-2026")</f>
        <v/>
      </c>
      <c r="X63">
        <f>HYPERLINK("https://klasma.github.io/Logging_2101/kartor/A 38583-2026 karta.png", "A 38583-2026")</f>
        <v/>
      </c>
      <c r="Y63">
        <f>HYPERLINK("https://klasma.github.io/Logging_2101/kartor_geotiff/A 38583-2026 georefererad karta.tif", "A 38583-2026")</f>
        <v/>
      </c>
      <c r="AA63">
        <f>HYPERLINK("https://klasma.github.io/Logging_2101/klagomål/A 38583-2026 FSC-klagomål.docx", "A 38583-2026")</f>
        <v/>
      </c>
      <c r="AB63">
        <f>HYPERLINK("https://klasma.github.io/Logging_2101/klagomålsmail/A 38583-2026 FSC-klagomål mail.docx", "A 38583-2026")</f>
        <v/>
      </c>
      <c r="AC63">
        <f>HYPERLINK("https://klasma.github.io/Logging_2101/tillsyn/A 38583-2026 tillsynsbegäran.docx", "A 38583-2026")</f>
        <v/>
      </c>
      <c r="AD63">
        <f>HYPERLINK("https://klasma.github.io/Logging_2101/tillsynsmail/A 38583-2026 tillsynsbegäran mail.docx", "A 38583-2026")</f>
        <v/>
      </c>
    </row>
    <row r="64" ht="15" customHeight="1">
      <c r="A64" t="inlineStr">
        <is>
          <t>A 38351-2026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46304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12.1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38351-2026 artfynd.xlsx", "A 38351-2026")</f>
        <v/>
      </c>
      <c r="X64">
        <f>HYPERLINK("https://klasma.github.io/Logging_2101/kartor/A 38351-2026 karta.png", "A 38351-2026")</f>
        <v/>
      </c>
      <c r="Y64">
        <f>HYPERLINK("https://klasma.github.io/Logging_2101/kartor_geotiff/A 38351-2026 georefererad karta.tif", "A 38351-2026")</f>
        <v/>
      </c>
      <c r="AA64">
        <f>HYPERLINK("https://klasma.github.io/Logging_2101/klagomål/A 38351-2026 FSC-klagomål.docx", "A 38351-2026")</f>
        <v/>
      </c>
      <c r="AB64">
        <f>HYPERLINK("https://klasma.github.io/Logging_2101/klagomålsmail/A 38351-2026 FSC-klagomål mail.docx", "A 38351-2026")</f>
        <v/>
      </c>
      <c r="AC64">
        <f>HYPERLINK("https://klasma.github.io/Logging_2101/tillsyn/A 38351-2026 tillsynsbegäran.docx", "A 38351-2026")</f>
        <v/>
      </c>
      <c r="AD64">
        <f>HYPERLINK("https://klasma.github.io/Logging_2101/tillsynsmail/A 38351-2026 tillsynsbegäran mail.docx", "A 38351-2026")</f>
        <v/>
      </c>
      <c r="AE64">
        <f>HYPERLINK("https://klasma.github.io/Logging_2101/fåglar/A 38351-2026 prioriterade fågelarter.docx", "A 38351-2026")</f>
        <v/>
      </c>
    </row>
    <row r="65" ht="15" customHeight="1">
      <c r="A65" t="inlineStr">
        <is>
          <t>A 38355-2026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46304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38355-2026 artfynd.xlsx", "A 38355-2026")</f>
        <v/>
      </c>
      <c r="X65">
        <f>HYPERLINK("https://klasma.github.io/Logging_2101/kartor/A 38355-2026 karta.png", "A 38355-2026")</f>
        <v/>
      </c>
      <c r="Y65">
        <f>HYPERLINK("https://klasma.github.io/Logging_2101/kartor_geotiff/A 38355-2026 georefererad karta.tif", "A 38355-2026")</f>
        <v/>
      </c>
      <c r="AA65">
        <f>HYPERLINK("https://klasma.github.io/Logging_2101/klagomål/A 38355-2026 FSC-klagomål.docx", "A 38355-2026")</f>
        <v/>
      </c>
      <c r="AB65">
        <f>HYPERLINK("https://klasma.github.io/Logging_2101/klagomålsmail/A 38355-2026 FSC-klagomål mail.docx", "A 38355-2026")</f>
        <v/>
      </c>
      <c r="AC65">
        <f>HYPERLINK("https://klasma.github.io/Logging_2101/tillsyn/A 38355-2026 tillsynsbegäran.docx", "A 38355-2026")</f>
        <v/>
      </c>
      <c r="AD65">
        <f>HYPERLINK("https://klasma.github.io/Logging_2101/tillsynsmail/A 38355-2026 tillsynsbegäran mail.docx", "A 38355-2026")</f>
        <v/>
      </c>
      <c r="AE65">
        <f>HYPERLINK("https://klasma.github.io/Logging_2101/fåglar/A 38355-2026 prioriterade fågelarter.docx", "A 38355-2026")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46304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46304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46304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46304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46304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46304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46304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46304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46304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46304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46304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46304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46304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46304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46304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46304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46304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46304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46304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46304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46304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46304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46304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46304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46304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46304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46304</v>
      </c>
      <c r="F92" t="inlineStr">
        <is>
          <t>GÄVLEBORGS LÄN</t>
        </is>
      </c>
      <c r="G92" t="inlineStr">
        <is>
          <t>OCKELBO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45156</v>
      </c>
      <c r="E93" s="1" t="n">
        <v>46304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44804</v>
      </c>
      <c r="E94" s="1" t="n">
        <v>46304</v>
      </c>
      <c r="F94" t="inlineStr">
        <is>
          <t>GÄVLEBORGS LÄN</t>
        </is>
      </c>
      <c r="G94" t="inlineStr">
        <is>
          <t>OCKELBO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45611</v>
      </c>
      <c r="E95" s="1" t="n">
        <v>46304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46304</v>
      </c>
      <c r="F96" t="inlineStr">
        <is>
          <t>GÄVLEBORGS LÄN</t>
        </is>
      </c>
      <c r="G96" t="inlineStr">
        <is>
          <t>OCKELBO</t>
        </is>
      </c>
      <c r="H96" t="inlineStr">
        <is>
          <t>Kyrkan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44890</v>
      </c>
      <c r="E97" s="1" t="n">
        <v>46304</v>
      </c>
      <c r="F97" t="inlineStr">
        <is>
          <t>GÄVLEBORGS LÄN</t>
        </is>
      </c>
      <c r="G97" t="inlineStr">
        <is>
          <t>OCKELBO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46304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46304</v>
      </c>
      <c r="F99" t="inlineStr">
        <is>
          <t>GÄVLEBORGS LÄN</t>
        </is>
      </c>
      <c r="G99" t="inlineStr">
        <is>
          <t>OCKELBO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46304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46304</v>
      </c>
      <c r="F101" t="inlineStr">
        <is>
          <t>GÄVLEBORGS LÄN</t>
        </is>
      </c>
      <c r="G101" t="inlineStr">
        <is>
          <t>OCKELBO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46304</v>
      </c>
      <c r="F102" t="inlineStr">
        <is>
          <t>GÄVLEBORGS LÄN</t>
        </is>
      </c>
      <c r="G102" t="inlineStr">
        <is>
          <t>OCKELBO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45341</v>
      </c>
      <c r="E103" s="1" t="n">
        <v>46304</v>
      </c>
      <c r="F103" t="inlineStr">
        <is>
          <t>GÄVLEBORGS LÄN</t>
        </is>
      </c>
      <c r="G103" t="inlineStr">
        <is>
          <t>OCKELBO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54309-2024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45617</v>
      </c>
      <c r="E104" s="1" t="n">
        <v>46304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45645</v>
      </c>
      <c r="E105" s="1" t="n">
        <v>46304</v>
      </c>
      <c r="F105" t="inlineStr">
        <is>
          <t>GÄVLEBORGS LÄN</t>
        </is>
      </c>
      <c r="G105" t="inlineStr">
        <is>
          <t>OCKELBO</t>
        </is>
      </c>
      <c r="H105" t="inlineStr">
        <is>
          <t>Kyrkan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46304</v>
      </c>
      <c r="F106" t="inlineStr">
        <is>
          <t>GÄVLEBORGS LÄN</t>
        </is>
      </c>
      <c r="G106" t="inlineStr">
        <is>
          <t>OCKELBO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46304</v>
      </c>
      <c r="F107" t="inlineStr">
        <is>
          <t>GÄVLEBORGS LÄN</t>
        </is>
      </c>
      <c r="G107" t="inlineStr">
        <is>
          <t>OCKELBO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46304</v>
      </c>
      <c r="F108" t="inlineStr">
        <is>
          <t>GÄVLEBORGS LÄN</t>
        </is>
      </c>
      <c r="G108" t="inlineStr">
        <is>
          <t>OCKELBO</t>
        </is>
      </c>
      <c r="I108" t="n">
        <v>14.8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44797</v>
      </c>
      <c r="E109" s="1" t="n">
        <v>46304</v>
      </c>
      <c r="F109" t="inlineStr">
        <is>
          <t>GÄVLEBORGS LÄN</t>
        </is>
      </c>
      <c r="G109" t="inlineStr">
        <is>
          <t>OCKELBO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20231-2024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45434</v>
      </c>
      <c r="E110" s="1" t="n">
        <v>46304</v>
      </c>
      <c r="F110" t="inlineStr">
        <is>
          <t>GÄVLEBORGS LÄN</t>
        </is>
      </c>
      <c r="G110" t="inlineStr">
        <is>
          <t>OCKELBO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54807-2024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45618</v>
      </c>
      <c r="E111" s="1" t="n">
        <v>46304</v>
      </c>
      <c r="F111" t="inlineStr">
        <is>
          <t>GÄVLEBORGS LÄN</t>
        </is>
      </c>
      <c r="G111" t="inlineStr">
        <is>
          <t>OCKELBO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46304</v>
      </c>
      <c r="F112" t="inlineStr">
        <is>
          <t>GÄVLEBORGS LÄN</t>
        </is>
      </c>
      <c r="G112" t="inlineStr">
        <is>
          <t>OCKELBO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45132</v>
      </c>
      <c r="E113" s="1" t="n">
        <v>46304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45611</v>
      </c>
      <c r="E114" s="1" t="n">
        <v>46304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44950</v>
      </c>
      <c r="E115" s="1" t="n">
        <v>46304</v>
      </c>
      <c r="F115" t="inlineStr">
        <is>
          <t>GÄVLEBORGS LÄN</t>
        </is>
      </c>
      <c r="G115" t="inlineStr">
        <is>
          <t>OCKELBO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46304</v>
      </c>
      <c r="F116" t="inlineStr">
        <is>
          <t>GÄVLEBORGS LÄN</t>
        </is>
      </c>
      <c r="G116" t="inlineStr">
        <is>
          <t>OCKELBO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45443</v>
      </c>
      <c r="E117" s="1" t="n">
        <v>46304</v>
      </c>
      <c r="F117" t="inlineStr">
        <is>
          <t>GÄVLEBORGS LÄN</t>
        </is>
      </c>
      <c r="G117" t="inlineStr">
        <is>
          <t>OCKELBO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46304</v>
      </c>
      <c r="F118" t="inlineStr">
        <is>
          <t>GÄVLEBORGS LÄN</t>
        </is>
      </c>
      <c r="G118" t="inlineStr">
        <is>
          <t>OCKELBO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46304</v>
      </c>
      <c r="F119" t="inlineStr">
        <is>
          <t>GÄVLEBORGS LÄN</t>
        </is>
      </c>
      <c r="G119" t="inlineStr">
        <is>
          <t>OCKELBO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46304</v>
      </c>
      <c r="F120" t="inlineStr">
        <is>
          <t>GÄVLEBORGS LÄN</t>
        </is>
      </c>
      <c r="G120" t="inlineStr">
        <is>
          <t>OCKELBO</t>
        </is>
      </c>
      <c r="I120" t="n">
        <v>13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46304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46304</v>
      </c>
      <c r="F122" t="inlineStr">
        <is>
          <t>GÄVLEBORGS LÄN</t>
        </is>
      </c>
      <c r="G122" t="inlineStr">
        <is>
          <t>OCKELBO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45109</v>
      </c>
      <c r="E123" s="1" t="n">
        <v>46304</v>
      </c>
      <c r="F123" t="inlineStr">
        <is>
          <t>GÄVLEBORGS LÄN</t>
        </is>
      </c>
      <c r="G123" t="inlineStr">
        <is>
          <t>OCKELBO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46304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46304</v>
      </c>
      <c r="F125" t="inlineStr">
        <is>
          <t>GÄVLEBORGS LÄN</t>
        </is>
      </c>
      <c r="G125" t="inlineStr">
        <is>
          <t>OCKELBO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45073</v>
      </c>
      <c r="E126" s="1" t="n">
        <v>46304</v>
      </c>
      <c r="F126" t="inlineStr">
        <is>
          <t>GÄVLEBORGS LÄN</t>
        </is>
      </c>
      <c r="G126" t="inlineStr">
        <is>
          <t>OCKELBO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46304</v>
      </c>
      <c r="F127" t="inlineStr">
        <is>
          <t>GÄVLEBORGS LÄN</t>
        </is>
      </c>
      <c r="G127" t="inlineStr">
        <is>
          <t>OCKELBO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55422-2022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44887</v>
      </c>
      <c r="E128" s="1" t="n">
        <v>46304</v>
      </c>
      <c r="F128" t="inlineStr">
        <is>
          <t>GÄVLEBORGS LÄN</t>
        </is>
      </c>
      <c r="G128" t="inlineStr">
        <is>
          <t>OCKELBO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46304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35017-2025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45851</v>
      </c>
      <c r="E130" s="1" t="n">
        <v>46304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27.8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46089</v>
      </c>
      <c r="E131" s="1" t="n">
        <v>46304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46304</v>
      </c>
      <c r="F132" t="inlineStr">
        <is>
          <t>GÄVLEBORGS LÄN</t>
        </is>
      </c>
      <c r="G132" t="inlineStr">
        <is>
          <t>OCKELBO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46304</v>
      </c>
      <c r="F133" t="inlineStr">
        <is>
          <t>GÄVLEBORGS LÄN</t>
        </is>
      </c>
      <c r="G133" t="inlineStr">
        <is>
          <t>OCKELBO</t>
        </is>
      </c>
      <c r="H133" t="inlineStr">
        <is>
          <t>Kyrkan</t>
        </is>
      </c>
      <c r="I133" t="n">
        <v>12.5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46304</v>
      </c>
      <c r="F134" t="inlineStr">
        <is>
          <t>GÄVLEBORGS LÄN</t>
        </is>
      </c>
      <c r="G134" t="inlineStr">
        <is>
          <t>OCKELBO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46304</v>
      </c>
      <c r="F135" t="inlineStr">
        <is>
          <t>GÄVLEBORGS LÄN</t>
        </is>
      </c>
      <c r="G135" t="inlineStr">
        <is>
          <t>OCKELBO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46304</v>
      </c>
      <c r="F136" t="inlineStr">
        <is>
          <t>GÄVLEBORGS LÄN</t>
        </is>
      </c>
      <c r="G136" t="inlineStr">
        <is>
          <t>OCKELBO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45488</v>
      </c>
      <c r="E137" s="1" t="n">
        <v>46304</v>
      </c>
      <c r="F137" t="inlineStr">
        <is>
          <t>GÄVLEBORGS LÄN</t>
        </is>
      </c>
      <c r="G137" t="inlineStr">
        <is>
          <t>OCKELBO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46074-2024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45581</v>
      </c>
      <c r="E138" s="1" t="n">
        <v>46304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45041</v>
      </c>
      <c r="E139" s="1" t="n">
        <v>46304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46304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17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45744</v>
      </c>
      <c r="E141" s="1" t="n">
        <v>46304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46092</v>
      </c>
      <c r="E142" s="1" t="n">
        <v>46304</v>
      </c>
      <c r="F142" t="inlineStr">
        <is>
          <t>GÄVLEBORGS LÄN</t>
        </is>
      </c>
      <c r="G142" t="inlineStr">
        <is>
          <t>OCKELBO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46091</v>
      </c>
      <c r="E143" s="1" t="n">
        <v>46304</v>
      </c>
      <c r="F143" t="inlineStr">
        <is>
          <t>GÄVLEBORGS LÄN</t>
        </is>
      </c>
      <c r="G143" t="inlineStr">
        <is>
          <t>OCKELBO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45894</v>
      </c>
      <c r="E144" s="1" t="n">
        <v>46304</v>
      </c>
      <c r="F144" t="inlineStr">
        <is>
          <t>GÄVLEBORGS LÄN</t>
        </is>
      </c>
      <c r="G144" t="inlineStr">
        <is>
          <t>OCKELBO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32011-2024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45510</v>
      </c>
      <c r="E145" s="1" t="n">
        <v>46304</v>
      </c>
      <c r="F145" t="inlineStr">
        <is>
          <t>GÄVLEBORGS LÄN</t>
        </is>
      </c>
      <c r="G145" t="inlineStr">
        <is>
          <t>OCKELBO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46304</v>
      </c>
      <c r="F146" t="inlineStr">
        <is>
          <t>GÄVLEBORGS LÄN</t>
        </is>
      </c>
      <c r="G146" t="inlineStr">
        <is>
          <t>OCKELBO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45896</v>
      </c>
      <c r="E147" s="1" t="n">
        <v>46304</v>
      </c>
      <c r="F147" t="inlineStr">
        <is>
          <t>GÄVLEBORGS LÄN</t>
        </is>
      </c>
      <c r="G147" t="inlineStr">
        <is>
          <t>OCKELBO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46304</v>
      </c>
      <c r="F148" t="inlineStr">
        <is>
          <t>GÄVLEBORGS LÄN</t>
        </is>
      </c>
      <c r="G148" t="inlineStr">
        <is>
          <t>OCKELBO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13481-2026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46304</v>
      </c>
      <c r="F149" t="inlineStr">
        <is>
          <t>GÄVLEBORGS LÄN</t>
        </is>
      </c>
      <c r="G149" t="inlineStr">
        <is>
          <t>OCKELBO</t>
        </is>
      </c>
      <c r="H149" t="inlineStr">
        <is>
          <t>Naturvårdsverket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45719</v>
      </c>
      <c r="E150" s="1" t="n">
        <v>46304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öst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46304</v>
      </c>
      <c r="F151" t="inlineStr">
        <is>
          <t>GÄVLEBORGS LÄN</t>
        </is>
      </c>
      <c r="G151" t="inlineStr">
        <is>
          <t>OCKELBO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45223</v>
      </c>
      <c r="E152" s="1" t="n">
        <v>46304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46304</v>
      </c>
      <c r="F153" t="inlineStr">
        <is>
          <t>GÄVLEBORGS LÄN</t>
        </is>
      </c>
      <c r="G153" t="inlineStr">
        <is>
          <t>OCKELBO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46304</v>
      </c>
      <c r="F154" t="inlineStr">
        <is>
          <t>GÄVLEBORGS LÄN</t>
        </is>
      </c>
      <c r="G154" t="inlineStr">
        <is>
          <t>OCKELBO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46304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47100-2024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46304</v>
      </c>
      <c r="F156" t="inlineStr">
        <is>
          <t>GÄVLEBORGS LÄN</t>
        </is>
      </c>
      <c r="G156" t="inlineStr">
        <is>
          <t>OCKELBO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46304</v>
      </c>
      <c r="F157" t="inlineStr">
        <is>
          <t>GÄVLEBORGS LÄN</t>
        </is>
      </c>
      <c r="G157" t="inlineStr">
        <is>
          <t>OCKELBO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46304</v>
      </c>
      <c r="F158" t="inlineStr">
        <is>
          <t>GÄVLEBORGS LÄN</t>
        </is>
      </c>
      <c r="G158" t="inlineStr">
        <is>
          <t>OCKELBO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13321-2026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46304</v>
      </c>
      <c r="F159" t="inlineStr">
        <is>
          <t>GÄVLEBORGS LÄN</t>
        </is>
      </c>
      <c r="G159" t="inlineStr">
        <is>
          <t>OCKELBO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46304</v>
      </c>
      <c r="F160" t="inlineStr">
        <is>
          <t>GÄVLEBORGS LÄN</t>
        </is>
      </c>
      <c r="G160" t="inlineStr">
        <is>
          <t>OCKELBO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46304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46304</v>
      </c>
      <c r="F162" t="inlineStr">
        <is>
          <t>GÄVLEBORGS LÄN</t>
        </is>
      </c>
      <c r="G162" t="inlineStr">
        <is>
          <t>OCKELBO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46098</v>
      </c>
      <c r="E163" s="1" t="n">
        <v>46304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46304</v>
      </c>
      <c r="F164" t="inlineStr">
        <is>
          <t>GÄVLEBORGS LÄN</t>
        </is>
      </c>
      <c r="G164" t="inlineStr">
        <is>
          <t>OCKELBO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45777</v>
      </c>
      <c r="E165" s="1" t="n">
        <v>46304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46304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36.6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46098</v>
      </c>
      <c r="E167" s="1" t="n">
        <v>46304</v>
      </c>
      <c r="F167" t="inlineStr">
        <is>
          <t>GÄVLEBORGS LÄN</t>
        </is>
      </c>
      <c r="G167" t="inlineStr">
        <is>
          <t>OCKELBO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46304</v>
      </c>
      <c r="F168" t="inlineStr">
        <is>
          <t>GÄVLEBORGS LÄN</t>
        </is>
      </c>
      <c r="G168" t="inlineStr">
        <is>
          <t>OCKELBO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46304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46304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46098</v>
      </c>
      <c r="E171" s="1" t="n">
        <v>46304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46097</v>
      </c>
      <c r="E172" s="1" t="n">
        <v>46304</v>
      </c>
      <c r="F172" t="inlineStr">
        <is>
          <t>GÄVLEBORGS LÄN</t>
        </is>
      </c>
      <c r="G172" t="inlineStr">
        <is>
          <t>OCKELBO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46098</v>
      </c>
      <c r="E173" s="1" t="n">
        <v>46304</v>
      </c>
      <c r="F173" t="inlineStr">
        <is>
          <t>GÄVLEBORGS LÄN</t>
        </is>
      </c>
      <c r="G173" t="inlineStr">
        <is>
          <t>OCKELBO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14232-2026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46099</v>
      </c>
      <c r="E174" s="1" t="n">
        <v>46304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45184</v>
      </c>
      <c r="E175" s="1" t="n">
        <v>46304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14037-2026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46098</v>
      </c>
      <c r="E176" s="1" t="n">
        <v>46304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46304</v>
      </c>
      <c r="F177" t="inlineStr">
        <is>
          <t>GÄVLEBORGS LÄN</t>
        </is>
      </c>
      <c r="G177" t="inlineStr">
        <is>
          <t>OCKELBO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14441-2026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46304</v>
      </c>
      <c r="F178" t="inlineStr">
        <is>
          <t>GÄVLEBORGS LÄN</t>
        </is>
      </c>
      <c r="G178" t="inlineStr">
        <is>
          <t>OCKELBO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46099</v>
      </c>
      <c r="E179" s="1" t="n">
        <v>46304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45490</v>
      </c>
      <c r="E180" s="1" t="n">
        <v>46304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46104</v>
      </c>
      <c r="E181" s="1" t="n">
        <v>46304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46304</v>
      </c>
      <c r="F182" t="inlineStr">
        <is>
          <t>GÄVLEBORGS LÄN</t>
        </is>
      </c>
      <c r="G182" t="inlineStr">
        <is>
          <t>OCKELBO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34440-2023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45139</v>
      </c>
      <c r="E183" s="1" t="n">
        <v>46304</v>
      </c>
      <c r="F183" t="inlineStr">
        <is>
          <t>GÄVLEBORGS LÄN</t>
        </is>
      </c>
      <c r="G183" t="inlineStr">
        <is>
          <t>OCKELBO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14973-2026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46104</v>
      </c>
      <c r="E184" s="1" t="n">
        <v>46304</v>
      </c>
      <c r="F184" t="inlineStr">
        <is>
          <t>GÄVLEBORGS LÄN</t>
        </is>
      </c>
      <c r="G184" t="inlineStr">
        <is>
          <t>OCKELBO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46304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46101</v>
      </c>
      <c r="E186" s="1" t="n">
        <v>46304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46304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45705</v>
      </c>
      <c r="E188" s="1" t="n">
        <v>46304</v>
      </c>
      <c r="F188" t="inlineStr">
        <is>
          <t>GÄVLEBORGS LÄN</t>
        </is>
      </c>
      <c r="G188" t="inlineStr">
        <is>
          <t>OCKELBO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14972-2026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46304</v>
      </c>
      <c r="F189" t="inlineStr">
        <is>
          <t>GÄVLEBORGS LÄN</t>
        </is>
      </c>
      <c r="G189" t="inlineStr">
        <is>
          <t>OCKELBO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45925</v>
      </c>
      <c r="E190" s="1" t="n">
        <v>46304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46304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46304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60699-2024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45644</v>
      </c>
      <c r="E193" s="1" t="n">
        <v>46304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46304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45027</v>
      </c>
      <c r="E195" s="1" t="n">
        <v>46304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46304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46304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46304</v>
      </c>
      <c r="F198" t="inlineStr">
        <is>
          <t>GÄVLEBORGS LÄN</t>
        </is>
      </c>
      <c r="G198" t="inlineStr">
        <is>
          <t>OCKELBO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46304</v>
      </c>
      <c r="F199" t="inlineStr">
        <is>
          <t>GÄVLEBORGS LÄN</t>
        </is>
      </c>
      <c r="G199" t="inlineStr">
        <is>
          <t>OCKELBO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52140-2024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45608</v>
      </c>
      <c r="E200" s="1" t="n">
        <v>46304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46304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66825-2021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46304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46304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46304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45846</v>
      </c>
      <c r="E205" s="1" t="n">
        <v>46304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46304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46304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44700</v>
      </c>
      <c r="E208" s="1" t="n">
        <v>46304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46304</v>
      </c>
      <c r="F209" t="inlineStr">
        <is>
          <t>GÄVLEBORGS LÄN</t>
        </is>
      </c>
      <c r="G209" t="inlineStr">
        <is>
          <t>OCKELBO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46304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38893-2022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44816</v>
      </c>
      <c r="E211" s="1" t="n">
        <v>46304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48221-2024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46304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46304</v>
      </c>
      <c r="F213" t="inlineStr">
        <is>
          <t>GÄVLEBORGS LÄN</t>
        </is>
      </c>
      <c r="G213" t="inlineStr">
        <is>
          <t>OCKELBO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46304</v>
      </c>
      <c r="F214" t="inlineStr">
        <is>
          <t>GÄVLEBORGS LÄN</t>
        </is>
      </c>
      <c r="G214" t="inlineStr">
        <is>
          <t>OCKELBO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61622-2021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46304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46304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44845</v>
      </c>
      <c r="E217" s="1" t="n">
        <v>46304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67768-2021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44525</v>
      </c>
      <c r="E218" s="1" t="n">
        <v>46304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45582</v>
      </c>
      <c r="E219" s="1" t="n">
        <v>46304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46304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46304</v>
      </c>
      <c r="F221" t="inlineStr">
        <is>
          <t>GÄVLEBORGS LÄN</t>
        </is>
      </c>
      <c r="G221" t="inlineStr">
        <is>
          <t>OCKELBO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14169-2026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46304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46304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öst AB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46304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45204</v>
      </c>
      <c r="E225" s="1" t="n">
        <v>46304</v>
      </c>
      <c r="F225" t="inlineStr">
        <is>
          <t>GÄVLEBORGS LÄN</t>
        </is>
      </c>
      <c r="G225" t="inlineStr">
        <is>
          <t>OCKELBO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45334</v>
      </c>
      <c r="E226" s="1" t="n">
        <v>46304</v>
      </c>
      <c r="F226" t="inlineStr">
        <is>
          <t>GÄVLEBORGS LÄN</t>
        </is>
      </c>
      <c r="G226" t="inlineStr">
        <is>
          <t>OCKELBO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15678-2026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46304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49027-2025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46304</v>
      </c>
      <c r="F228" t="inlineStr">
        <is>
          <t>GÄVLEBORGS LÄN</t>
        </is>
      </c>
      <c r="G228" t="inlineStr">
        <is>
          <t>OCKELBO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46304</v>
      </c>
      <c r="F229" t="inlineStr">
        <is>
          <t>GÄVLEBORGS LÄN</t>
        </is>
      </c>
      <c r="G229" t="inlineStr">
        <is>
          <t>OCKELBO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46304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46304</v>
      </c>
      <c r="F231" t="inlineStr">
        <is>
          <t>GÄVLEBORGS LÄN</t>
        </is>
      </c>
      <c r="G231" t="inlineStr">
        <is>
          <t>OCKELBO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45645</v>
      </c>
      <c r="E232" s="1" t="n">
        <v>46304</v>
      </c>
      <c r="F232" t="inlineStr">
        <is>
          <t>GÄVLEBORGS LÄN</t>
        </is>
      </c>
      <c r="G232" t="inlineStr">
        <is>
          <t>OCKELBO</t>
        </is>
      </c>
      <c r="H232" t="inlineStr">
        <is>
          <t>Kyrkan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16006-2026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46304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46304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45478</v>
      </c>
      <c r="E235" s="1" t="n">
        <v>46304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46304</v>
      </c>
      <c r="F236" t="inlineStr">
        <is>
          <t>GÄVLEBORGS LÄN</t>
        </is>
      </c>
      <c r="G236" t="inlineStr">
        <is>
          <t>OCKELBO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45441</v>
      </c>
      <c r="E237" s="1" t="n">
        <v>46304</v>
      </c>
      <c r="F237" t="inlineStr">
        <is>
          <t>GÄVLEBORGS LÄN</t>
        </is>
      </c>
      <c r="G237" t="inlineStr">
        <is>
          <t>OCKELBO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46304</v>
      </c>
      <c r="F238" t="inlineStr">
        <is>
          <t>GÄVLEBORGS LÄN</t>
        </is>
      </c>
      <c r="G238" t="inlineStr">
        <is>
          <t>OCKELBO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46304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59978-2023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46304</v>
      </c>
      <c r="F240" t="inlineStr">
        <is>
          <t>GÄVLEBORGS LÄN</t>
        </is>
      </c>
      <c r="G240" t="inlineStr">
        <is>
          <t>OCKELBO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16535-2026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46112</v>
      </c>
      <c r="E241" s="1" t="n">
        <v>46304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46304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46304</v>
      </c>
      <c r="F243" t="inlineStr">
        <is>
          <t>GÄVLEBORGS LÄN</t>
        </is>
      </c>
      <c r="G243" t="inlineStr">
        <is>
          <t>OCKELBO</t>
        </is>
      </c>
      <c r="I243" t="n">
        <v>11.1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45450</v>
      </c>
      <c r="E244" s="1" t="n">
        <v>46304</v>
      </c>
      <c r="F244" t="inlineStr">
        <is>
          <t>GÄVLEBORGS LÄN</t>
        </is>
      </c>
      <c r="G244" t="inlineStr">
        <is>
          <t>OCKELBO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45366</v>
      </c>
      <c r="E245" s="1" t="n">
        <v>46304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46304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31822-2025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46304</v>
      </c>
      <c r="F247" t="inlineStr">
        <is>
          <t>GÄVLEBORGS LÄN</t>
        </is>
      </c>
      <c r="G247" t="inlineStr">
        <is>
          <t>OCKELBO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46304</v>
      </c>
      <c r="F248" t="inlineStr">
        <is>
          <t>GÄVLEBORGS LÄN</t>
        </is>
      </c>
      <c r="G248" t="inlineStr">
        <is>
          <t>OCKELBO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29963-2024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45488</v>
      </c>
      <c r="E249" s="1" t="n">
        <v>46304</v>
      </c>
      <c r="F249" t="inlineStr">
        <is>
          <t>GÄVLEBORGS LÄN</t>
        </is>
      </c>
      <c r="G249" t="inlineStr">
        <is>
          <t>OCKELBO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44712</v>
      </c>
      <c r="E250" s="1" t="n">
        <v>46304</v>
      </c>
      <c r="F250" t="inlineStr">
        <is>
          <t>GÄVLEBORGS LÄN</t>
        </is>
      </c>
      <c r="G250" t="inlineStr">
        <is>
          <t>OCKELBO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16981-2026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46114</v>
      </c>
      <c r="E251" s="1" t="n">
        <v>46304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9.4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46114</v>
      </c>
      <c r="E252" s="1" t="n">
        <v>46304</v>
      </c>
      <c r="F252" t="inlineStr">
        <is>
          <t>GÄVLEBORGS LÄN</t>
        </is>
      </c>
      <c r="G252" t="inlineStr">
        <is>
          <t>OCKELBO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45301</v>
      </c>
      <c r="E253" s="1" t="n">
        <v>46304</v>
      </c>
      <c r="F253" t="inlineStr">
        <is>
          <t>GÄVLEBORGS LÄN</t>
        </is>
      </c>
      <c r="G253" t="inlineStr">
        <is>
          <t>OCKELBO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55112-2023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46304</v>
      </c>
      <c r="F254" t="inlineStr">
        <is>
          <t>GÄVLEBORGS LÄN</t>
        </is>
      </c>
      <c r="G254" t="inlineStr">
        <is>
          <t>OCKELBO</t>
        </is>
      </c>
      <c r="I254" t="n">
        <v>14.6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46114</v>
      </c>
      <c r="E255" s="1" t="n">
        <v>46304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46304</v>
      </c>
      <c r="F256" t="inlineStr">
        <is>
          <t>GÄVLEBORGS LÄN</t>
        </is>
      </c>
      <c r="G256" t="inlineStr">
        <is>
          <t>OCKELBO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46304</v>
      </c>
      <c r="F257" t="inlineStr">
        <is>
          <t>GÄVLEBORGS LÄN</t>
        </is>
      </c>
      <c r="G257" t="inlineStr">
        <is>
          <t>OCKELBO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46114</v>
      </c>
      <c r="E258" s="1" t="n">
        <v>46304</v>
      </c>
      <c r="F258" t="inlineStr">
        <is>
          <t>GÄVLEBORGS LÄN</t>
        </is>
      </c>
      <c r="G258" t="inlineStr">
        <is>
          <t>OCKELBO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46304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46304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öst AB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51892-2025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46304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46304</v>
      </c>
      <c r="F262" t="inlineStr">
        <is>
          <t>GÄVLEBORGS LÄN</t>
        </is>
      </c>
      <c r="G262" t="inlineStr">
        <is>
          <t>OCKELBO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46304</v>
      </c>
      <c r="F263" t="inlineStr">
        <is>
          <t>GÄVLEBORGS LÄN</t>
        </is>
      </c>
      <c r="G263" t="inlineStr">
        <is>
          <t>OCKELBO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46304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46076</v>
      </c>
      <c r="E265" s="1" t="n">
        <v>46304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öst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52635-2025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46304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46304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öst AB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52461-2025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46304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46304</v>
      </c>
      <c r="F269" t="inlineStr">
        <is>
          <t>GÄVLEBORGS LÄN</t>
        </is>
      </c>
      <c r="G269" t="inlineStr">
        <is>
          <t>OCKELBO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46304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öst AB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46304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46118</v>
      </c>
      <c r="E272" s="1" t="n">
        <v>46304</v>
      </c>
      <c r="F272" t="inlineStr">
        <is>
          <t>GÄVLEBORGS LÄN</t>
        </is>
      </c>
      <c r="G272" t="inlineStr">
        <is>
          <t>OCKELBO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46304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öst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46304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46121</v>
      </c>
      <c r="E275" s="1" t="n">
        <v>46304</v>
      </c>
      <c r="F275" t="inlineStr">
        <is>
          <t>GÄVLEBORGS LÄN</t>
        </is>
      </c>
      <c r="G275" t="inlineStr">
        <is>
          <t>OCKELBO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17600-2026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46304</v>
      </c>
      <c r="F276" t="inlineStr">
        <is>
          <t>GÄVLEBORGS LÄN</t>
        </is>
      </c>
      <c r="G276" t="inlineStr">
        <is>
          <t>OCKELBO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46304</v>
      </c>
      <c r="F277" t="inlineStr">
        <is>
          <t>GÄVLEBORGS LÄN</t>
        </is>
      </c>
      <c r="G277" t="inlineStr">
        <is>
          <t>OCKELBO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46304</v>
      </c>
      <c r="F278" t="inlineStr">
        <is>
          <t>GÄVLEBORGS LÄN</t>
        </is>
      </c>
      <c r="G278" t="inlineStr">
        <is>
          <t>OCKELBO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46304</v>
      </c>
      <c r="F279" t="inlineStr">
        <is>
          <t>GÄVLEBORGS LÄN</t>
        </is>
      </c>
      <c r="G279" t="inlineStr">
        <is>
          <t>OCKELBO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46304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46304</v>
      </c>
      <c r="F281" t="inlineStr">
        <is>
          <t>GÄVLEBORGS LÄN</t>
        </is>
      </c>
      <c r="G281" t="inlineStr">
        <is>
          <t>OCKELBO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46304</v>
      </c>
      <c r="F282" t="inlineStr">
        <is>
          <t>GÄVLEBORGS LÄN</t>
        </is>
      </c>
      <c r="G282" t="inlineStr">
        <is>
          <t>OCKELBO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45342</v>
      </c>
      <c r="E283" s="1" t="n">
        <v>46304</v>
      </c>
      <c r="F283" t="inlineStr">
        <is>
          <t>GÄVLEBORGS LÄN</t>
        </is>
      </c>
      <c r="G283" t="inlineStr">
        <is>
          <t>OCKELBO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46126</v>
      </c>
      <c r="E284" s="1" t="n">
        <v>46304</v>
      </c>
      <c r="F284" t="inlineStr">
        <is>
          <t>GÄVLEBORGS LÄN</t>
        </is>
      </c>
      <c r="G284" t="inlineStr">
        <is>
          <t>OCKELBO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46126</v>
      </c>
      <c r="E285" s="1" t="n">
        <v>46304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46304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44970</v>
      </c>
      <c r="E287" s="1" t="n">
        <v>46304</v>
      </c>
      <c r="F287" t="inlineStr">
        <is>
          <t>GÄVLEBORGS LÄN</t>
        </is>
      </c>
      <c r="G287" t="inlineStr">
        <is>
          <t>OCKELBO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46304</v>
      </c>
      <c r="F288" t="inlineStr">
        <is>
          <t>GÄVLEBORGS LÄN</t>
        </is>
      </c>
      <c r="G288" t="inlineStr">
        <is>
          <t>OCKELBO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15255-2026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46304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46304</v>
      </c>
      <c r="F290" t="inlineStr">
        <is>
          <t>GÄVLEBORGS LÄN</t>
        </is>
      </c>
      <c r="G290" t="inlineStr">
        <is>
          <t>OCKELBO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46304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46304</v>
      </c>
      <c r="F292" t="inlineStr">
        <is>
          <t>GÄVLEBORGS LÄN</t>
        </is>
      </c>
      <c r="G292" t="inlineStr">
        <is>
          <t>OCKELBO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46304</v>
      </c>
      <c r="F293" t="inlineStr">
        <is>
          <t>GÄVLEBORGS LÄN</t>
        </is>
      </c>
      <c r="G293" t="inlineStr">
        <is>
          <t>OCKELBO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46127</v>
      </c>
      <c r="E294" s="1" t="n">
        <v>46304</v>
      </c>
      <c r="F294" t="inlineStr">
        <is>
          <t>GÄVLEBORGS LÄN</t>
        </is>
      </c>
      <c r="G294" t="inlineStr">
        <is>
          <t>OCKELBO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46304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46304</v>
      </c>
      <c r="F296" t="inlineStr">
        <is>
          <t>GÄVLEBORGS LÄN</t>
        </is>
      </c>
      <c r="G296" t="inlineStr">
        <is>
          <t>OCKELBO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45973</v>
      </c>
      <c r="E297" s="1" t="n">
        <v>46304</v>
      </c>
      <c r="F297" t="inlineStr">
        <is>
          <t>GÄVLEBORGS LÄN</t>
        </is>
      </c>
      <c r="G297" t="inlineStr">
        <is>
          <t>OCKELBO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46304</v>
      </c>
      <c r="F298" t="inlineStr">
        <is>
          <t>GÄVLEBORGS LÄN</t>
        </is>
      </c>
      <c r="G298" t="inlineStr">
        <is>
          <t>OCKELBO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46304</v>
      </c>
      <c r="F299" t="inlineStr">
        <is>
          <t>GÄVLEBORGS LÄN</t>
        </is>
      </c>
      <c r="G299" t="inlineStr">
        <is>
          <t>OCKELBO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55911-2025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45973</v>
      </c>
      <c r="E300" s="1" t="n">
        <v>46304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46304</v>
      </c>
      <c r="F301" t="inlineStr">
        <is>
          <t>GÄVLEBORGS LÄN</t>
        </is>
      </c>
      <c r="G301" t="inlineStr">
        <is>
          <t>OCKELBO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46304</v>
      </c>
      <c r="F302" t="inlineStr">
        <is>
          <t>GÄVLEBORGS LÄN</t>
        </is>
      </c>
      <c r="G302" t="inlineStr">
        <is>
          <t>OCKELBO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46112</v>
      </c>
      <c r="E303" s="1" t="n">
        <v>46304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16629-2025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45754</v>
      </c>
      <c r="E304" s="1" t="n">
        <v>46304</v>
      </c>
      <c r="F304" t="inlineStr">
        <is>
          <t>GÄVLEBORGS LÄN</t>
        </is>
      </c>
      <c r="G304" t="inlineStr">
        <is>
          <t>OCKELBO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46304</v>
      </c>
      <c r="F305" t="inlineStr">
        <is>
          <t>GÄVLEBORGS LÄN</t>
        </is>
      </c>
      <c r="G305" t="inlineStr">
        <is>
          <t>OCKELBO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46304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46128</v>
      </c>
      <c r="E307" s="1" t="n">
        <v>46304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46304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öst AB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46127</v>
      </c>
      <c r="E309" s="1" t="n">
        <v>46304</v>
      </c>
      <c r="F309" t="inlineStr">
        <is>
          <t>GÄVLEBORGS LÄN</t>
        </is>
      </c>
      <c r="G309" t="inlineStr">
        <is>
          <t>OCKELBO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46304</v>
      </c>
      <c r="F310" t="inlineStr">
        <is>
          <t>GÄVLEBORGS LÄN</t>
        </is>
      </c>
      <c r="G310" t="inlineStr">
        <is>
          <t>OCKELBO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46304</v>
      </c>
      <c r="F311" t="inlineStr">
        <is>
          <t>GÄVLEBORGS LÄN</t>
        </is>
      </c>
      <c r="G311" t="inlineStr">
        <is>
          <t>OCKELBO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46304</v>
      </c>
      <c r="F312" t="inlineStr">
        <is>
          <t>GÄVLEBORGS LÄN</t>
        </is>
      </c>
      <c r="G312" t="inlineStr">
        <is>
          <t>OCKELBO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46304</v>
      </c>
      <c r="F313" t="inlineStr">
        <is>
          <t>GÄVLEBORGS LÄN</t>
        </is>
      </c>
      <c r="G313" t="inlineStr">
        <is>
          <t>OCKELBO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45978</v>
      </c>
      <c r="E314" s="1" t="n">
        <v>46304</v>
      </c>
      <c r="F314" t="inlineStr">
        <is>
          <t>GÄVLEBORGS LÄN</t>
        </is>
      </c>
      <c r="G314" t="inlineStr">
        <is>
          <t>OCKELBO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46304</v>
      </c>
      <c r="F315" t="inlineStr">
        <is>
          <t>GÄVLEBORGS LÄN</t>
        </is>
      </c>
      <c r="G315" t="inlineStr">
        <is>
          <t>OCKELBO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46304</v>
      </c>
      <c r="F316" t="inlineStr">
        <is>
          <t>GÄVLEBORGS LÄN</t>
        </is>
      </c>
      <c r="G316" t="inlineStr">
        <is>
          <t>OCKELBO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19213-2026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46304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46304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46304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13.8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46304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45106</v>
      </c>
      <c r="E321" s="1" t="n">
        <v>46304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46132</v>
      </c>
      <c r="E322" s="1" t="n">
        <v>46304</v>
      </c>
      <c r="F322" t="inlineStr">
        <is>
          <t>GÄVLEBORGS LÄN</t>
        </is>
      </c>
      <c r="G322" t="inlineStr">
        <is>
          <t>OCKELBO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46304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11.9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46132</v>
      </c>
      <c r="E324" s="1" t="n">
        <v>46304</v>
      </c>
      <c r="F324" t="inlineStr">
        <is>
          <t>GÄVLEBORGS LÄN</t>
        </is>
      </c>
      <c r="G324" t="inlineStr">
        <is>
          <t>OCKELBO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46304</v>
      </c>
      <c r="F325" t="inlineStr">
        <is>
          <t>GÄVLEBORGS LÄN</t>
        </is>
      </c>
      <c r="G325" t="inlineStr">
        <is>
          <t>OCKELBO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46304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17.7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46304</v>
      </c>
      <c r="F327" t="inlineStr">
        <is>
          <t>GÄVLEBORGS LÄN</t>
        </is>
      </c>
      <c r="G327" t="inlineStr">
        <is>
          <t>OCKELBO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46304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46304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45985</v>
      </c>
      <c r="E330" s="1" t="n">
        <v>46304</v>
      </c>
      <c r="F330" t="inlineStr">
        <is>
          <t>GÄVLEBORGS LÄN</t>
        </is>
      </c>
      <c r="G330" t="inlineStr">
        <is>
          <t>OCKELBO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58770-2025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46304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46134</v>
      </c>
      <c r="E332" s="1" t="n">
        <v>46304</v>
      </c>
      <c r="F332" t="inlineStr">
        <is>
          <t>GÄVLEBORGS LÄN</t>
        </is>
      </c>
      <c r="G332" t="inlineStr">
        <is>
          <t>OCKELBO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19603-2026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46134</v>
      </c>
      <c r="E333" s="1" t="n">
        <v>46304</v>
      </c>
      <c r="F333" t="inlineStr">
        <is>
          <t>GÄVLEBORGS LÄN</t>
        </is>
      </c>
      <c r="G333" t="inlineStr">
        <is>
          <t>OCKELBO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45674</v>
      </c>
      <c r="E334" s="1" t="n">
        <v>46304</v>
      </c>
      <c r="F334" t="inlineStr">
        <is>
          <t>GÄVLEBORGS LÄN</t>
        </is>
      </c>
      <c r="G334" t="inlineStr">
        <is>
          <t>OCKELBO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46304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46114</v>
      </c>
      <c r="E336" s="1" t="n">
        <v>46304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46119</v>
      </c>
      <c r="E337" s="1" t="n">
        <v>46304</v>
      </c>
      <c r="F337" t="inlineStr">
        <is>
          <t>GÄVLEBORGS LÄN</t>
        </is>
      </c>
      <c r="G337" t="inlineStr">
        <is>
          <t>OCKELBO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45258</v>
      </c>
      <c r="E338" s="1" t="n">
        <v>46304</v>
      </c>
      <c r="F338" t="inlineStr">
        <is>
          <t>GÄVLEBORGS LÄN</t>
        </is>
      </c>
      <c r="G338" t="inlineStr">
        <is>
          <t>OCKELBO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46133</v>
      </c>
      <c r="E339" s="1" t="n">
        <v>46304</v>
      </c>
      <c r="F339" t="inlineStr">
        <is>
          <t>GÄVLEBORGS LÄN</t>
        </is>
      </c>
      <c r="G339" t="inlineStr">
        <is>
          <t>OCKELBO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46304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46043</v>
      </c>
      <c r="E341" s="1" t="n">
        <v>46304</v>
      </c>
      <c r="F341" t="inlineStr">
        <is>
          <t>GÄVLEBORGS LÄN</t>
        </is>
      </c>
      <c r="G341" t="inlineStr">
        <is>
          <t>OCKELBO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65259-2023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45291</v>
      </c>
      <c r="E342" s="1" t="n">
        <v>46304</v>
      </c>
      <c r="F342" t="inlineStr">
        <is>
          <t>GÄVLEBORGS LÄN</t>
        </is>
      </c>
      <c r="G342" t="inlineStr">
        <is>
          <t>OCKELBO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60527-2025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46304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45624</v>
      </c>
      <c r="E344" s="1" t="n">
        <v>46304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8343-2026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46064</v>
      </c>
      <c r="E345" s="1" t="n">
        <v>46304</v>
      </c>
      <c r="F345" t="inlineStr">
        <is>
          <t>GÄVLEBORGS LÄN</t>
        </is>
      </c>
      <c r="G345" t="inlineStr">
        <is>
          <t>OCKELBO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20151-2026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46137</v>
      </c>
      <c r="E346" s="1" t="n">
        <v>46304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46304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60183-2025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45994</v>
      </c>
      <c r="E348" s="1" t="n">
        <v>46304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45800</v>
      </c>
      <c r="E349" s="1" t="n">
        <v>46304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5234-2026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46304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17.1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15542-2026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46304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46304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45551</v>
      </c>
      <c r="E353" s="1" t="n">
        <v>46304</v>
      </c>
      <c r="F353" t="inlineStr">
        <is>
          <t>GÄVLEBORGS LÄN</t>
        </is>
      </c>
      <c r="G353" t="inlineStr">
        <is>
          <t>OCKELBO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50742-2025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46304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61148-2025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46304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15694-2022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44663</v>
      </c>
      <c r="E356" s="1" t="n">
        <v>46304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46316-2025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46304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46304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46304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46304</v>
      </c>
      <c r="F360" t="inlineStr">
        <is>
          <t>GÄVLEBORGS LÄN</t>
        </is>
      </c>
      <c r="G360" t="inlineStr">
        <is>
          <t>OCKELBO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36604-2025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45870</v>
      </c>
      <c r="E361" s="1" t="n">
        <v>46304</v>
      </c>
      <c r="F361" t="inlineStr">
        <is>
          <t>GÄVLEBORGS LÄN</t>
        </is>
      </c>
      <c r="G361" t="inlineStr">
        <is>
          <t>OCKELBO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62196-2025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46006</v>
      </c>
      <c r="E362" s="1" t="n">
        <v>46304</v>
      </c>
      <c r="F362" t="inlineStr">
        <is>
          <t>GÄVLEBORGS LÄN</t>
        </is>
      </c>
      <c r="G362" t="inlineStr">
        <is>
          <t>OCKELBO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59383-2025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46304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46304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63061-2025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46304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45656</v>
      </c>
      <c r="E366" s="1" t="n">
        <v>46304</v>
      </c>
      <c r="F366" t="inlineStr">
        <is>
          <t>GÄVLEBORGS LÄN</t>
        </is>
      </c>
      <c r="G366" t="inlineStr">
        <is>
          <t>OCKELBO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46137</v>
      </c>
      <c r="E367" s="1" t="n">
        <v>46304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20150-2026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46137</v>
      </c>
      <c r="E368" s="1" t="n">
        <v>46304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62914-2025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46304</v>
      </c>
      <c r="F369" t="inlineStr">
        <is>
          <t>GÄVLEBORGS LÄN</t>
        </is>
      </c>
      <c r="G369" t="inlineStr">
        <is>
          <t>OCKELBO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46304</v>
      </c>
      <c r="F370" t="inlineStr">
        <is>
          <t>GÄVLEBORGS LÄN</t>
        </is>
      </c>
      <c r="G370" t="inlineStr">
        <is>
          <t>OCKELBO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45803</v>
      </c>
      <c r="E371" s="1" t="n">
        <v>46304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25168-2025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45800</v>
      </c>
      <c r="E372" s="1" t="n">
        <v>46304</v>
      </c>
      <c r="F372" t="inlineStr">
        <is>
          <t>GÄVLEBORGS LÄN</t>
        </is>
      </c>
      <c r="G372" t="inlineStr">
        <is>
          <t>OCKELBO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46304</v>
      </c>
      <c r="F373" t="inlineStr">
        <is>
          <t>GÄVLEBORGS LÄN</t>
        </is>
      </c>
      <c r="G373" t="inlineStr">
        <is>
          <t>OCKELBO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46304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61335-2022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44915</v>
      </c>
      <c r="E375" s="1" t="n">
        <v>46304</v>
      </c>
      <c r="F375" t="inlineStr">
        <is>
          <t>GÄVLEBORGS LÄN</t>
        </is>
      </c>
      <c r="G375" t="inlineStr">
        <is>
          <t>OCKELBO</t>
        </is>
      </c>
      <c r="I375" t="n">
        <v>8.5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45821</v>
      </c>
      <c r="E376" s="1" t="n">
        <v>46304</v>
      </c>
      <c r="F376" t="inlineStr">
        <is>
          <t>GÄVLEBORGS LÄN</t>
        </is>
      </c>
      <c r="G376" t="inlineStr">
        <is>
          <t>OCKELBO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45649</v>
      </c>
      <c r="E377" s="1" t="n">
        <v>46304</v>
      </c>
      <c r="F377" t="inlineStr">
        <is>
          <t>GÄVLEBORGS LÄN</t>
        </is>
      </c>
      <c r="G377" t="inlineStr">
        <is>
          <t>OCKELBO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46304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46013</v>
      </c>
      <c r="E379" s="1" t="n">
        <v>46304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63224-2025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46010</v>
      </c>
      <c r="E380" s="1" t="n">
        <v>46304</v>
      </c>
      <c r="F380" t="inlineStr">
        <is>
          <t>GÄVLEBORGS LÄN</t>
        </is>
      </c>
      <c r="G380" t="inlineStr">
        <is>
          <t>OCKELBO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46304</v>
      </c>
      <c r="F381" t="inlineStr">
        <is>
          <t>GÄVLEBORGS LÄN</t>
        </is>
      </c>
      <c r="G381" t="inlineStr">
        <is>
          <t>OCKELBO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46304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46014</v>
      </c>
      <c r="E383" s="1" t="n">
        <v>46304</v>
      </c>
      <c r="F383" t="inlineStr">
        <is>
          <t>GÄVLEBORGS LÄN</t>
        </is>
      </c>
      <c r="G383" t="inlineStr">
        <is>
          <t>OCKELBO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46304</v>
      </c>
      <c r="F384" t="inlineStr">
        <is>
          <t>GÄVLEBORGS LÄN</t>
        </is>
      </c>
      <c r="G384" t="inlineStr">
        <is>
          <t>OCKELBO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46021</v>
      </c>
      <c r="E385" s="1" t="n">
        <v>46304</v>
      </c>
      <c r="F385" t="inlineStr">
        <is>
          <t>GÄVLEBORGS LÄN</t>
        </is>
      </c>
      <c r="G385" t="inlineStr">
        <is>
          <t>OCKELBO</t>
        </is>
      </c>
      <c r="I385" t="n">
        <v>18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20251-2026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46304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46027</v>
      </c>
      <c r="E387" s="1" t="n">
        <v>46304</v>
      </c>
      <c r="F387" t="inlineStr">
        <is>
          <t>GÄVLEBORGS LÄN</t>
        </is>
      </c>
      <c r="G387" t="inlineStr">
        <is>
          <t>OCKELBO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46304</v>
      </c>
      <c r="F388" t="inlineStr">
        <is>
          <t>GÄVLEBORGS LÄN</t>
        </is>
      </c>
      <c r="G388" t="inlineStr">
        <is>
          <t>OCKELBO</t>
        </is>
      </c>
      <c r="I388" t="n">
        <v>16.2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46304</v>
      </c>
      <c r="F389" t="inlineStr">
        <is>
          <t>GÄVLEBORGS LÄN</t>
        </is>
      </c>
      <c r="G389" t="inlineStr">
        <is>
          <t>OCKELBO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46027</v>
      </c>
      <c r="E390" s="1" t="n">
        <v>46304</v>
      </c>
      <c r="F390" t="inlineStr">
        <is>
          <t>GÄVLEBORGS LÄN</t>
        </is>
      </c>
      <c r="G390" t="inlineStr">
        <is>
          <t>OCKELBO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50197-2024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45600</v>
      </c>
      <c r="E391" s="1" t="n">
        <v>46304</v>
      </c>
      <c r="F391" t="inlineStr">
        <is>
          <t>GÄVLEBORGS LÄN</t>
        </is>
      </c>
      <c r="G391" t="inlineStr">
        <is>
          <t>OCKELBO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46304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46027</v>
      </c>
      <c r="E393" s="1" t="n">
        <v>46304</v>
      </c>
      <c r="F393" t="inlineStr">
        <is>
          <t>GÄVLEBORGS LÄN</t>
        </is>
      </c>
      <c r="G393" t="inlineStr">
        <is>
          <t>OCKELBO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46024</v>
      </c>
      <c r="E394" s="1" t="n">
        <v>46304</v>
      </c>
      <c r="F394" t="inlineStr">
        <is>
          <t>GÄVLEBORGS LÄN</t>
        </is>
      </c>
      <c r="G394" t="inlineStr">
        <is>
          <t>OCKELBO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46027</v>
      </c>
      <c r="E395" s="1" t="n">
        <v>46304</v>
      </c>
      <c r="F395" t="inlineStr">
        <is>
          <t>GÄVLEBORGS LÄN</t>
        </is>
      </c>
      <c r="G395" t="inlineStr">
        <is>
          <t>OCKELBO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46304</v>
      </c>
      <c r="F396" t="inlineStr">
        <is>
          <t>GÄVLEBORGS LÄN</t>
        </is>
      </c>
      <c r="G396" t="inlineStr">
        <is>
          <t>OCKELBO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46136</v>
      </c>
      <c r="E397" s="1" t="n">
        <v>46304</v>
      </c>
      <c r="F397" t="inlineStr">
        <is>
          <t>GÄVLEBORGS LÄN</t>
        </is>
      </c>
      <c r="G397" t="inlineStr">
        <is>
          <t>OCKELBO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46028</v>
      </c>
      <c r="E398" s="1" t="n">
        <v>46304</v>
      </c>
      <c r="F398" t="inlineStr">
        <is>
          <t>GÄVLEBORGS LÄN</t>
        </is>
      </c>
      <c r="G398" t="inlineStr">
        <is>
          <t>OCKELBO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46028</v>
      </c>
      <c r="E399" s="1" t="n">
        <v>46304</v>
      </c>
      <c r="F399" t="inlineStr">
        <is>
          <t>GÄVLEBORGS LÄN</t>
        </is>
      </c>
      <c r="G399" t="inlineStr">
        <is>
          <t>OCKELBO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46136</v>
      </c>
      <c r="E400" s="1" t="n">
        <v>46304</v>
      </c>
      <c r="F400" t="inlineStr">
        <is>
          <t>GÄVLEBORGS LÄN</t>
        </is>
      </c>
      <c r="G400" t="inlineStr">
        <is>
          <t>OCKELBO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46304</v>
      </c>
      <c r="F401" t="inlineStr">
        <is>
          <t>GÄVLEBORGS LÄN</t>
        </is>
      </c>
      <c r="G401" t="inlineStr">
        <is>
          <t>OCKELBO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46024</v>
      </c>
      <c r="E402" s="1" t="n">
        <v>46304</v>
      </c>
      <c r="F402" t="inlineStr">
        <is>
          <t>GÄVLEBORGS LÄN</t>
        </is>
      </c>
      <c r="G402" t="inlineStr">
        <is>
          <t>OCKELBO</t>
        </is>
      </c>
      <c r="I402" t="n">
        <v>12.9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46304</v>
      </c>
      <c r="F403" t="inlineStr">
        <is>
          <t>GÄVLEBORGS LÄN</t>
        </is>
      </c>
      <c r="G403" t="inlineStr">
        <is>
          <t>OCKELBO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46304</v>
      </c>
      <c r="F404" t="inlineStr">
        <is>
          <t>GÄVLEBORGS LÄN</t>
        </is>
      </c>
      <c r="G404" t="inlineStr">
        <is>
          <t>OCKELBO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46304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46031</v>
      </c>
      <c r="E406" s="1" t="n">
        <v>46304</v>
      </c>
      <c r="F406" t="inlineStr">
        <is>
          <t>GÄVLEBORGS LÄN</t>
        </is>
      </c>
      <c r="G406" t="inlineStr">
        <is>
          <t>OCKELBO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20155-2026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46138</v>
      </c>
      <c r="E407" s="1" t="n">
        <v>46304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46304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46031</v>
      </c>
      <c r="E409" s="1" t="n">
        <v>46304</v>
      </c>
      <c r="F409" t="inlineStr">
        <is>
          <t>GÄVLEBORGS LÄN</t>
        </is>
      </c>
      <c r="G409" t="inlineStr">
        <is>
          <t>OCKELBO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46304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46304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46304</v>
      </c>
      <c r="F412" t="inlineStr">
        <is>
          <t>GÄVLEBORGS LÄN</t>
        </is>
      </c>
      <c r="G412" t="inlineStr">
        <is>
          <t>OCKELBO</t>
        </is>
      </c>
      <c r="I412" t="n">
        <v>9.4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46033</v>
      </c>
      <c r="E413" s="1" t="n">
        <v>46304</v>
      </c>
      <c r="F413" t="inlineStr">
        <is>
          <t>GÄVLEBORGS LÄN</t>
        </is>
      </c>
      <c r="G413" t="inlineStr">
        <is>
          <t>OCKELBO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46304</v>
      </c>
      <c r="F414" t="inlineStr">
        <is>
          <t>GÄVLEBORGS LÄN</t>
        </is>
      </c>
      <c r="G414" t="inlineStr">
        <is>
          <t>OCKELBO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45712</v>
      </c>
      <c r="E415" s="1" t="n">
        <v>46304</v>
      </c>
      <c r="F415" t="inlineStr">
        <is>
          <t>GÄVLEBORGS LÄN</t>
        </is>
      </c>
      <c r="G415" t="inlineStr">
        <is>
          <t>OCKELBO</t>
        </is>
      </c>
      <c r="I415" t="n">
        <v>14.7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46035</v>
      </c>
      <c r="E416" s="1" t="n">
        <v>46304</v>
      </c>
      <c r="F416" t="inlineStr">
        <is>
          <t>GÄVLEBORGS LÄN</t>
        </is>
      </c>
      <c r="G416" t="inlineStr">
        <is>
          <t>OCKELBO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46304</v>
      </c>
      <c r="F417" t="inlineStr">
        <is>
          <t>GÄVLEBORGS LÄN</t>
        </is>
      </c>
      <c r="G417" t="inlineStr">
        <is>
          <t>OCKELBO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46304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45455</v>
      </c>
      <c r="E419" s="1" t="n">
        <v>46304</v>
      </c>
      <c r="F419" t="inlineStr">
        <is>
          <t>GÄVLEBORGS LÄN</t>
        </is>
      </c>
      <c r="G419" t="inlineStr">
        <is>
          <t>OCKELBO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33079-2025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45840</v>
      </c>
      <c r="E420" s="1" t="n">
        <v>46304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46304</v>
      </c>
      <c r="F421" t="inlineStr">
        <is>
          <t>GÄVLEBORGS LÄN</t>
        </is>
      </c>
      <c r="G421" t="inlineStr">
        <is>
          <t>OCKELBO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46304</v>
      </c>
      <c r="F422" t="inlineStr">
        <is>
          <t>GÄVLEBORGS LÄN</t>
        </is>
      </c>
      <c r="G422" t="inlineStr">
        <is>
          <t>OCKELBO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46304</v>
      </c>
      <c r="F423" t="inlineStr">
        <is>
          <t>GÄVLEBORGS LÄN</t>
        </is>
      </c>
      <c r="G423" t="inlineStr">
        <is>
          <t>OCKELBO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46036</v>
      </c>
      <c r="E424" s="1" t="n">
        <v>46304</v>
      </c>
      <c r="F424" t="inlineStr">
        <is>
          <t>GÄVLEBORGS LÄN</t>
        </is>
      </c>
      <c r="G424" t="inlineStr">
        <is>
          <t>OCKELBO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46304</v>
      </c>
      <c r="F425" t="inlineStr">
        <is>
          <t>GÄVLEBORGS LÄN</t>
        </is>
      </c>
      <c r="G425" t="inlineStr">
        <is>
          <t>OCKELBO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46304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46304</v>
      </c>
      <c r="F427" t="inlineStr">
        <is>
          <t>GÄVLEBORGS LÄN</t>
        </is>
      </c>
      <c r="G427" t="inlineStr">
        <is>
          <t>OCKELBO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46304</v>
      </c>
      <c r="F428" t="inlineStr">
        <is>
          <t>GÄVLEBORGS LÄN</t>
        </is>
      </c>
      <c r="G428" t="inlineStr">
        <is>
          <t>OCKELBO</t>
        </is>
      </c>
      <c r="I428" t="n">
        <v>16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46041</v>
      </c>
      <c r="E429" s="1" t="n">
        <v>46304</v>
      </c>
      <c r="F429" t="inlineStr">
        <is>
          <t>GÄVLEBORGS LÄN</t>
        </is>
      </c>
      <c r="G429" t="inlineStr">
        <is>
          <t>OCKELBO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46041</v>
      </c>
      <c r="E430" s="1" t="n">
        <v>46304</v>
      </c>
      <c r="F430" t="inlineStr">
        <is>
          <t>GÄVLEBORGS LÄN</t>
        </is>
      </c>
      <c r="G430" t="inlineStr">
        <is>
          <t>OCKELBO</t>
        </is>
      </c>
      <c r="I430" t="n">
        <v>7.1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20604-2026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46304</v>
      </c>
      <c r="F431" t="inlineStr">
        <is>
          <t>GÄVLEBORGS LÄN</t>
        </is>
      </c>
      <c r="G431" t="inlineStr">
        <is>
          <t>OCKELBO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46038</v>
      </c>
      <c r="E432" s="1" t="n">
        <v>46304</v>
      </c>
      <c r="F432" t="inlineStr">
        <is>
          <t>GÄVLEBORGS LÄN</t>
        </is>
      </c>
      <c r="G432" t="inlineStr">
        <is>
          <t>OCKELBO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15484-2026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46304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46304</v>
      </c>
      <c r="F434" t="inlineStr">
        <is>
          <t>GÄVLEBORGS LÄN</t>
        </is>
      </c>
      <c r="G434" t="inlineStr">
        <is>
          <t>OCKELBO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46304</v>
      </c>
      <c r="F435" t="inlineStr">
        <is>
          <t>GÄVLEBORGS LÄN</t>
        </is>
      </c>
      <c r="G435" t="inlineStr">
        <is>
          <t>OCKELBO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46043</v>
      </c>
      <c r="E436" s="1" t="n">
        <v>46304</v>
      </c>
      <c r="F436" t="inlineStr">
        <is>
          <t>GÄVLEBORGS LÄN</t>
        </is>
      </c>
      <c r="G436" t="inlineStr">
        <is>
          <t>OCKELBO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54817-2022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44883</v>
      </c>
      <c r="E437" s="1" t="n">
        <v>46304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46304</v>
      </c>
      <c r="F438" t="inlineStr">
        <is>
          <t>GÄVLEBORGS LÄN</t>
        </is>
      </c>
      <c r="G438" t="inlineStr">
        <is>
          <t>OCKELBO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46035</v>
      </c>
      <c r="E439" s="1" t="n">
        <v>46304</v>
      </c>
      <c r="F439" t="inlineStr">
        <is>
          <t>GÄVLEBORGS LÄN</t>
        </is>
      </c>
      <c r="G439" t="inlineStr">
        <is>
          <t>OCKELBO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46044</v>
      </c>
      <c r="E440" s="1" t="n">
        <v>46304</v>
      </c>
      <c r="F440" t="inlineStr">
        <is>
          <t>GÄVLEBORGS LÄN</t>
        </is>
      </c>
      <c r="G440" t="inlineStr">
        <is>
          <t>OCKELBO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46304</v>
      </c>
      <c r="F441" t="inlineStr">
        <is>
          <t>GÄVLEBORGS LÄN</t>
        </is>
      </c>
      <c r="G441" t="inlineStr">
        <is>
          <t>OCKELBO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46304</v>
      </c>
      <c r="F442" t="inlineStr">
        <is>
          <t>GÄVLEBORGS LÄN</t>
        </is>
      </c>
      <c r="G442" t="inlineStr">
        <is>
          <t>OCKELBO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46045</v>
      </c>
      <c r="E443" s="1" t="n">
        <v>46304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46304</v>
      </c>
      <c r="F444" t="inlineStr">
        <is>
          <t>GÄVLEBORGS LÄN</t>
        </is>
      </c>
      <c r="G444" t="inlineStr">
        <is>
          <t>OCKELBO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46304</v>
      </c>
      <c r="F445" t="inlineStr">
        <is>
          <t>GÄVLEBORGS LÄN</t>
        </is>
      </c>
      <c r="G445" t="inlineStr">
        <is>
          <t>OCKELBO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46304</v>
      </c>
      <c r="F446" t="inlineStr">
        <is>
          <t>GÄVLEBORGS LÄN</t>
        </is>
      </c>
      <c r="G446" t="inlineStr">
        <is>
          <t>OCKELBO</t>
        </is>
      </c>
      <c r="I446" t="n">
        <v>36.1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46304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46304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46045</v>
      </c>
      <c r="E449" s="1" t="n">
        <v>46304</v>
      </c>
      <c r="F449" t="inlineStr">
        <is>
          <t>GÄVLEBORGS LÄN</t>
        </is>
      </c>
      <c r="G449" t="inlineStr">
        <is>
          <t>OCKELBO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46036</v>
      </c>
      <c r="E450" s="1" t="n">
        <v>46304</v>
      </c>
      <c r="F450" t="inlineStr">
        <is>
          <t>GÄVLEBORGS LÄN</t>
        </is>
      </c>
      <c r="G450" t="inlineStr">
        <is>
          <t>OCKELBO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46304</v>
      </c>
      <c r="F451" t="inlineStr">
        <is>
          <t>GÄVLEBORGS LÄN</t>
        </is>
      </c>
      <c r="G451" t="inlineStr">
        <is>
          <t>OCKELBO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46304</v>
      </c>
      <c r="F452" t="inlineStr">
        <is>
          <t>GÄVLEBORGS LÄN</t>
        </is>
      </c>
      <c r="G452" t="inlineStr">
        <is>
          <t>OCKELBO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30418-2023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45111</v>
      </c>
      <c r="E453" s="1" t="n">
        <v>46304</v>
      </c>
      <c r="F453" t="inlineStr">
        <is>
          <t>GÄVLEBORGS LÄN</t>
        </is>
      </c>
      <c r="G453" t="inlineStr">
        <is>
          <t>OCKELBO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45111</v>
      </c>
      <c r="E454" s="1" t="n">
        <v>46304</v>
      </c>
      <c r="F454" t="inlineStr">
        <is>
          <t>GÄVLEBORGS LÄN</t>
        </is>
      </c>
      <c r="G454" t="inlineStr">
        <is>
          <t>OCKELBO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45554</v>
      </c>
      <c r="E455" s="1" t="n">
        <v>46304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46027</v>
      </c>
      <c r="E456" s="1" t="n">
        <v>46304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46304</v>
      </c>
      <c r="F457" t="inlineStr">
        <is>
          <t>GÄVLEBORGS LÄN</t>
        </is>
      </c>
      <c r="G457" t="inlineStr">
        <is>
          <t>OCKELBO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46304</v>
      </c>
      <c r="F458" t="inlineStr">
        <is>
          <t>GÄVLEBORGS LÄN</t>
        </is>
      </c>
      <c r="G458" t="inlineStr">
        <is>
          <t>OCKELBO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46050</v>
      </c>
      <c r="E459" s="1" t="n">
        <v>46304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46304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46304</v>
      </c>
      <c r="F461" t="inlineStr">
        <is>
          <t>GÄVLEBORGS LÄN</t>
        </is>
      </c>
      <c r="G461" t="inlineStr">
        <is>
          <t>OCKELBO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7907-2026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46304</v>
      </c>
      <c r="F462" t="inlineStr">
        <is>
          <t>GÄVLEBORGS LÄN</t>
        </is>
      </c>
      <c r="G462" t="inlineStr">
        <is>
          <t>OCKELBO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46304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46304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46051</v>
      </c>
      <c r="E465" s="1" t="n">
        <v>46304</v>
      </c>
      <c r="F465" t="inlineStr">
        <is>
          <t>GÄVLEBORGS LÄN</t>
        </is>
      </c>
      <c r="G465" t="inlineStr">
        <is>
          <t>OCKELBO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46052</v>
      </c>
      <c r="E466" s="1" t="n">
        <v>46304</v>
      </c>
      <c r="F466" t="inlineStr">
        <is>
          <t>GÄVLEBORGS LÄN</t>
        </is>
      </c>
      <c r="G466" t="inlineStr">
        <is>
          <t>OCKELBO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54977-2024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45620</v>
      </c>
      <c r="E467" s="1" t="n">
        <v>46304</v>
      </c>
      <c r="F467" t="inlineStr">
        <is>
          <t>GÄVLEBORGS LÄN</t>
        </is>
      </c>
      <c r="G467" t="inlineStr">
        <is>
          <t>OCKELBO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47674-2023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45203</v>
      </c>
      <c r="E468" s="1" t="n">
        <v>46304</v>
      </c>
      <c r="F468" t="inlineStr">
        <is>
          <t>GÄVLEBORGS LÄN</t>
        </is>
      </c>
      <c r="G468" t="inlineStr">
        <is>
          <t>OCKELBO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46053</v>
      </c>
      <c r="E469" s="1" t="n">
        <v>46304</v>
      </c>
      <c r="F469" t="inlineStr">
        <is>
          <t>GÄVLEBORGS LÄN</t>
        </is>
      </c>
      <c r="G469" t="inlineStr">
        <is>
          <t>OCKELBO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46304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46304</v>
      </c>
      <c r="F471" t="inlineStr">
        <is>
          <t>GÄVLEBORGS LÄN</t>
        </is>
      </c>
      <c r="G471" t="inlineStr">
        <is>
          <t>OCKELBO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46304</v>
      </c>
      <c r="F472" t="inlineStr">
        <is>
          <t>GÄVLEBORGS LÄN</t>
        </is>
      </c>
      <c r="G472" t="inlineStr">
        <is>
          <t>OCKELBO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46304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46304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9.4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46304</v>
      </c>
      <c r="F475" t="inlineStr">
        <is>
          <t>GÄVLEBORGS LÄN</t>
        </is>
      </c>
      <c r="G475" t="inlineStr">
        <is>
          <t>OCKELBO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46304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6698-2026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46304</v>
      </c>
      <c r="F477" t="inlineStr">
        <is>
          <t>GÄVLEBORGS LÄN</t>
        </is>
      </c>
      <c r="G477" t="inlineStr">
        <is>
          <t>OCKELBO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46304</v>
      </c>
      <c r="F478" t="inlineStr">
        <is>
          <t>GÄVLEBORGS LÄN</t>
        </is>
      </c>
      <c r="G478" t="inlineStr">
        <is>
          <t>OCKELBO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46304</v>
      </c>
      <c r="F479" t="inlineStr">
        <is>
          <t>GÄVLEBORGS LÄN</t>
        </is>
      </c>
      <c r="G479" t="inlineStr">
        <is>
          <t>OCKELBO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46304</v>
      </c>
      <c r="F480" t="inlineStr">
        <is>
          <t>GÄVLEBORGS LÄN</t>
        </is>
      </c>
      <c r="G480" t="inlineStr">
        <is>
          <t>OCKELBO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46056</v>
      </c>
      <c r="E481" s="1" t="n">
        <v>46304</v>
      </c>
      <c r="F481" t="inlineStr">
        <is>
          <t>GÄVLEBORGS LÄN</t>
        </is>
      </c>
      <c r="G481" t="inlineStr">
        <is>
          <t>OCKELBO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46304</v>
      </c>
      <c r="F482" t="inlineStr">
        <is>
          <t>GÄVLEBORGS LÄN</t>
        </is>
      </c>
      <c r="G482" t="inlineStr">
        <is>
          <t>OCKELBO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7544-2026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46304</v>
      </c>
      <c r="F483" t="inlineStr">
        <is>
          <t>GÄVLEBORGS LÄN</t>
        </is>
      </c>
      <c r="G483" t="inlineStr">
        <is>
          <t>OCKELBO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9401-2026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46071</v>
      </c>
      <c r="E484" s="1" t="n">
        <v>46304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29953-2024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45488</v>
      </c>
      <c r="E485" s="1" t="n">
        <v>46304</v>
      </c>
      <c r="F485" t="inlineStr">
        <is>
          <t>GÄVLEBORGS LÄN</t>
        </is>
      </c>
      <c r="G485" t="inlineStr">
        <is>
          <t>OCKELBO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46304</v>
      </c>
      <c r="F486" t="inlineStr">
        <is>
          <t>GÄVLEBORGS LÄN</t>
        </is>
      </c>
      <c r="G486" t="inlineStr">
        <is>
          <t>OCKELBO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34792-2024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45526</v>
      </c>
      <c r="E487" s="1" t="n">
        <v>46304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46140</v>
      </c>
      <c r="E488" s="1" t="n">
        <v>46304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7765-2026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46304</v>
      </c>
      <c r="F489" t="inlineStr">
        <is>
          <t>GÄVLEBORGS LÄN</t>
        </is>
      </c>
      <c r="G489" t="inlineStr">
        <is>
          <t>OCKELBO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46304</v>
      </c>
      <c r="F490" t="inlineStr">
        <is>
          <t>GÄVLEBORGS LÄN</t>
        </is>
      </c>
      <c r="G490" t="inlineStr">
        <is>
          <t>OCKELBO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46304</v>
      </c>
      <c r="F491" t="inlineStr">
        <is>
          <t>GÄVLEBORGS LÄN</t>
        </is>
      </c>
      <c r="G491" t="inlineStr">
        <is>
          <t>OCKELBO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46304</v>
      </c>
      <c r="F492" t="inlineStr">
        <is>
          <t>GÄVLEBORGS LÄN</t>
        </is>
      </c>
      <c r="G492" t="inlineStr">
        <is>
          <t>OCKELBO</t>
        </is>
      </c>
      <c r="H492" t="inlineStr">
        <is>
          <t>Kyrkan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46304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8274-2026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46304</v>
      </c>
      <c r="F494" t="inlineStr">
        <is>
          <t>GÄVLEBORGS LÄN</t>
        </is>
      </c>
      <c r="G494" t="inlineStr">
        <is>
          <t>OCKELBO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14937-2024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45398</v>
      </c>
      <c r="E495" s="1" t="n">
        <v>46304</v>
      </c>
      <c r="F495" t="inlineStr">
        <is>
          <t>GÄVLEBORGS LÄN</t>
        </is>
      </c>
      <c r="G495" t="inlineStr">
        <is>
          <t>OCKELBO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8351-2026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46064</v>
      </c>
      <c r="E496" s="1" t="n">
        <v>46304</v>
      </c>
      <c r="F496" t="inlineStr">
        <is>
          <t>GÄVLEBORGS LÄN</t>
        </is>
      </c>
      <c r="G496" t="inlineStr">
        <is>
          <t>OCKELBO</t>
        </is>
      </c>
      <c r="I496" t="n">
        <v>17.4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8429-2026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46304</v>
      </c>
      <c r="F497" t="inlineStr">
        <is>
          <t>GÄVLEBORGS LÄN</t>
        </is>
      </c>
      <c r="G497" t="inlineStr">
        <is>
          <t>OCKELBO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33880-2023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45134</v>
      </c>
      <c r="E498" s="1" t="n">
        <v>46304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45134</v>
      </c>
      <c r="E499" s="1" t="n">
        <v>46304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8354-2026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46304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61456-2024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45646</v>
      </c>
      <c r="E501" s="1" t="n">
        <v>46304</v>
      </c>
      <c r="F501" t="inlineStr">
        <is>
          <t>GÄVLEBORGS LÄN</t>
        </is>
      </c>
      <c r="G501" t="inlineStr">
        <is>
          <t>OCKELBO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46304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46091</v>
      </c>
      <c r="E503" s="1" t="n">
        <v>46304</v>
      </c>
      <c r="F503" t="inlineStr">
        <is>
          <t>GÄVLEBORGS LÄN</t>
        </is>
      </c>
      <c r="G503" t="inlineStr">
        <is>
          <t>OCKELBO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44281-2022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44839</v>
      </c>
      <c r="E504" s="1" t="n">
        <v>46304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46071</v>
      </c>
      <c r="E505" s="1" t="n">
        <v>46304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46304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9507-2026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46304</v>
      </c>
      <c r="F507" t="inlineStr">
        <is>
          <t>GÄVLEBORGS LÄN</t>
        </is>
      </c>
      <c r="G507" t="inlineStr">
        <is>
          <t>OCKELBO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46304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46304</v>
      </c>
      <c r="F509" t="inlineStr">
        <is>
          <t>GÄVLEBORGS LÄN</t>
        </is>
      </c>
      <c r="G509" t="inlineStr">
        <is>
          <t>OCKELBO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46304</v>
      </c>
      <c r="F510" t="inlineStr">
        <is>
          <t>GÄVLEBORGS LÄN</t>
        </is>
      </c>
      <c r="G510" t="inlineStr">
        <is>
          <t>OCKELBO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46304</v>
      </c>
      <c r="F511" t="inlineStr">
        <is>
          <t>GÄVLEBORGS LÄN</t>
        </is>
      </c>
      <c r="G511" t="inlineStr">
        <is>
          <t>OCKELBO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46304</v>
      </c>
      <c r="F512" t="inlineStr">
        <is>
          <t>GÄVLEBORGS LÄN</t>
        </is>
      </c>
      <c r="G512" t="inlineStr">
        <is>
          <t>OCKELBO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46304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46304</v>
      </c>
      <c r="F514" t="inlineStr">
        <is>
          <t>GÄVLEBORGS LÄN</t>
        </is>
      </c>
      <c r="G514" t="inlineStr">
        <is>
          <t>OCKELBO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46031</v>
      </c>
      <c r="E515" s="1" t="n">
        <v>46304</v>
      </c>
      <c r="F515" t="inlineStr">
        <is>
          <t>GÄVLEBORGS LÄN</t>
        </is>
      </c>
      <c r="G515" t="inlineStr">
        <is>
          <t>OCKELBO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7955-2026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46304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23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46072</v>
      </c>
      <c r="E517" s="1" t="n">
        <v>46304</v>
      </c>
      <c r="F517" t="inlineStr">
        <is>
          <t>GÄVLEBORGS LÄN</t>
        </is>
      </c>
      <c r="G517" t="inlineStr">
        <is>
          <t>OCKELBO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9681-2026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46072</v>
      </c>
      <c r="E518" s="1" t="n">
        <v>46304</v>
      </c>
      <c r="F518" t="inlineStr">
        <is>
          <t>GÄVLEBORGS LÄN</t>
        </is>
      </c>
      <c r="G518" t="inlineStr">
        <is>
          <t>OCKELBO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46304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46304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9997-2026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46073</v>
      </c>
      <c r="E521" s="1" t="n">
        <v>46304</v>
      </c>
      <c r="F521" t="inlineStr">
        <is>
          <t>GÄVLEBORGS LÄN</t>
        </is>
      </c>
      <c r="G521" t="inlineStr">
        <is>
          <t>OCKELBO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10501-2026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46077</v>
      </c>
      <c r="E522" s="1" t="n">
        <v>46304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46304</v>
      </c>
      <c r="F523" t="inlineStr">
        <is>
          <t>GÄVLEBORGS LÄN</t>
        </is>
      </c>
      <c r="G523" t="inlineStr">
        <is>
          <t>OCKELBO</t>
        </is>
      </c>
      <c r="I523" t="n">
        <v>10.3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10682-2026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46304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46037</v>
      </c>
      <c r="E525" s="1" t="n">
        <v>46304</v>
      </c>
      <c r="F525" t="inlineStr">
        <is>
          <t>GÄVLEBORGS LÄN</t>
        </is>
      </c>
      <c r="G525" t="inlineStr">
        <is>
          <t>OCKELBO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46073</v>
      </c>
      <c r="E526" s="1" t="n">
        <v>46304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10529-2026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46077</v>
      </c>
      <c r="E527" s="1" t="n">
        <v>46304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öst AB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60497-2021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44496</v>
      </c>
      <c r="E528" s="1" t="n">
        <v>46304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10454-2026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46077</v>
      </c>
      <c r="E529" s="1" t="n">
        <v>46304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46304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öst AB</t>
        </is>
      </c>
      <c r="I530" t="n">
        <v>45.7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46031</v>
      </c>
      <c r="E531" s="1" t="n">
        <v>46304</v>
      </c>
      <c r="F531" t="inlineStr">
        <is>
          <t>GÄVLEBORGS LÄN</t>
        </is>
      </c>
      <c r="G531" t="inlineStr">
        <is>
          <t>OCKELBO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46304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46304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öst AB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10418-2026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46077</v>
      </c>
      <c r="E534" s="1" t="n">
        <v>46304</v>
      </c>
      <c r="F534" t="inlineStr">
        <is>
          <t>GÄVLEBORGS LÄN</t>
        </is>
      </c>
      <c r="G534" t="inlineStr">
        <is>
          <t>OCKELBO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46304</v>
      </c>
      <c r="F535" t="inlineStr">
        <is>
          <t>GÄVLEBORGS LÄN</t>
        </is>
      </c>
      <c r="G535" t="inlineStr">
        <is>
          <t>OCKELBO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46304</v>
      </c>
      <c r="F536" t="inlineStr">
        <is>
          <t>GÄVLEBORGS LÄN</t>
        </is>
      </c>
      <c r="G536" t="inlineStr">
        <is>
          <t>OCKELBO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46304</v>
      </c>
      <c r="F537" t="inlineStr">
        <is>
          <t>GÄVLEBORGS LÄN</t>
        </is>
      </c>
      <c r="G537" t="inlineStr">
        <is>
          <t>OCKELBO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46304</v>
      </c>
      <c r="F538" t="inlineStr">
        <is>
          <t>GÄVLEBORGS LÄN</t>
        </is>
      </c>
      <c r="G538" t="inlineStr">
        <is>
          <t>OCKELBO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46080</v>
      </c>
      <c r="E539" s="1" t="n">
        <v>46304</v>
      </c>
      <c r="F539" t="inlineStr">
        <is>
          <t>GÄVLEBORGS LÄN</t>
        </is>
      </c>
      <c r="G539" t="inlineStr">
        <is>
          <t>OCKELBO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46304</v>
      </c>
      <c r="F540" t="inlineStr">
        <is>
          <t>GÄVLEBORGS LÄN</t>
        </is>
      </c>
      <c r="G540" t="inlineStr">
        <is>
          <t>OCKELBO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46304</v>
      </c>
      <c r="F541" t="inlineStr">
        <is>
          <t>GÄVLEBORGS LÄN</t>
        </is>
      </c>
      <c r="G541" t="inlineStr">
        <is>
          <t>OCKELBO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46304</v>
      </c>
      <c r="F542" t="inlineStr">
        <is>
          <t>GÄVLEBORGS LÄN</t>
        </is>
      </c>
      <c r="G542" t="inlineStr">
        <is>
          <t>OCKELBO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46077</v>
      </c>
      <c r="E543" s="1" t="n">
        <v>46304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11496-2026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46304</v>
      </c>
      <c r="F544" t="inlineStr">
        <is>
          <t>GÄVLEBORGS LÄN</t>
        </is>
      </c>
      <c r="G544" t="inlineStr">
        <is>
          <t>OCKELBO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46304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7949-2026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46304</v>
      </c>
      <c r="F546" t="inlineStr">
        <is>
          <t>GÄVLEBORGS LÄN</t>
        </is>
      </c>
      <c r="G546" t="inlineStr">
        <is>
          <t>OCKELBO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6396-2025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45699</v>
      </c>
      <c r="E547" s="1" t="n">
        <v>46304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46304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11423-2026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46083</v>
      </c>
      <c r="E549" s="1" t="n">
        <v>46304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öst AB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43550-2023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45184</v>
      </c>
      <c r="E550" s="1" t="n">
        <v>46304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46304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46304</v>
      </c>
      <c r="F552" t="inlineStr">
        <is>
          <t>GÄVLEBORGS LÄN</t>
        </is>
      </c>
      <c r="G552" t="inlineStr">
        <is>
          <t>OCKELBO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46304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46304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17951-2026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46122</v>
      </c>
      <c r="E555" s="1" t="n">
        <v>46304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18097-2026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46125</v>
      </c>
      <c r="E556" s="1" t="n">
        <v>46304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21280-2026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46304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öst AB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21277-2026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46304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öst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46304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21500-2026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46304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46304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46149</v>
      </c>
      <c r="E562" s="1" t="n">
        <v>46304</v>
      </c>
      <c r="F562" t="inlineStr">
        <is>
          <t>GÄVLEBORGS LÄN</t>
        </is>
      </c>
      <c r="G562" t="inlineStr">
        <is>
          <t>OCKELBO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21459-2026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46148</v>
      </c>
      <c r="E563" s="1" t="n">
        <v>46304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21468-2026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46304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17233-2026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46304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46304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32123-2024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45511</v>
      </c>
      <c r="E567" s="1" t="n">
        <v>46304</v>
      </c>
      <c r="F567" t="inlineStr">
        <is>
          <t>GÄVLEBORGS LÄN</t>
        </is>
      </c>
      <c r="G567" t="inlineStr">
        <is>
          <t>OCKELBO</t>
        </is>
      </c>
      <c r="I567" t="n">
        <v>11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40140-2022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46304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46304</v>
      </c>
      <c r="F569" t="inlineStr">
        <is>
          <t>GÄVLEBORGS LÄN</t>
        </is>
      </c>
      <c r="G569" t="inlineStr">
        <is>
          <t>OCKELBO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36343-2023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45152</v>
      </c>
      <c r="E570" s="1" t="n">
        <v>46304</v>
      </c>
      <c r="F570" t="inlineStr">
        <is>
          <t>GÄVLEBORGS LÄN</t>
        </is>
      </c>
      <c r="G570" t="inlineStr">
        <is>
          <t>OCKELBO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9413-2026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46071</v>
      </c>
      <c r="E571" s="1" t="n">
        <v>46304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46128</v>
      </c>
      <c r="E572" s="1" t="n">
        <v>46304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12983-2022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44643</v>
      </c>
      <c r="E573" s="1" t="n">
        <v>46304</v>
      </c>
      <c r="F573" t="inlineStr">
        <is>
          <t>GÄVLEBORGS LÄN</t>
        </is>
      </c>
      <c r="G573" t="inlineStr">
        <is>
          <t>OCKELBO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56631-2022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44893</v>
      </c>
      <c r="E574" s="1" t="n">
        <v>46304</v>
      </c>
      <c r="F574" t="inlineStr">
        <is>
          <t>GÄVLEBORGS LÄN</t>
        </is>
      </c>
      <c r="G574" t="inlineStr">
        <is>
          <t>OCKELBO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46304</v>
      </c>
      <c r="F575" t="inlineStr">
        <is>
          <t>GÄVLEBORGS LÄN</t>
        </is>
      </c>
      <c r="G575" t="inlineStr">
        <is>
          <t>OCKELBO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29687-2023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46304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45243</v>
      </c>
      <c r="E577" s="1" t="n">
        <v>46304</v>
      </c>
      <c r="F577" t="inlineStr">
        <is>
          <t>GÄVLEBORGS LÄN</t>
        </is>
      </c>
      <c r="G577" t="inlineStr">
        <is>
          <t>OCKELBO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1716-2025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45671</v>
      </c>
      <c r="E578" s="1" t="n">
        <v>46304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58718-2025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45986</v>
      </c>
      <c r="E579" s="1" t="n">
        <v>46304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46304</v>
      </c>
      <c r="F580" t="inlineStr">
        <is>
          <t>GÄVLEBORGS LÄN</t>
        </is>
      </c>
      <c r="G580" t="inlineStr">
        <is>
          <t>OCKELBO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46609-2025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46304</v>
      </c>
      <c r="F581" t="inlineStr">
        <is>
          <t>GÄVLEBORGS LÄN</t>
        </is>
      </c>
      <c r="G581" t="inlineStr">
        <is>
          <t>OCKELBO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49207-2023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45210</v>
      </c>
      <c r="E582" s="1" t="n">
        <v>46304</v>
      </c>
      <c r="F582" t="inlineStr">
        <is>
          <t>GÄVLEBORGS LÄN</t>
        </is>
      </c>
      <c r="G582" t="inlineStr">
        <is>
          <t>OCKELBO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46304</v>
      </c>
      <c r="F583" t="inlineStr">
        <is>
          <t>GÄVLEBORGS LÄN</t>
        </is>
      </c>
      <c r="G583" t="inlineStr">
        <is>
          <t>OCKELBO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46154</v>
      </c>
      <c r="E584" s="1" t="n">
        <v>46304</v>
      </c>
      <c r="F584" t="inlineStr">
        <is>
          <t>GÄVLEBORGS LÄN</t>
        </is>
      </c>
      <c r="G584" t="inlineStr">
        <is>
          <t>OCKELBO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22460-2026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46304</v>
      </c>
      <c r="F585" t="inlineStr">
        <is>
          <t>GÄVLEBORGS LÄN</t>
        </is>
      </c>
      <c r="G585" t="inlineStr">
        <is>
          <t>OCKELBO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13210-2026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46093</v>
      </c>
      <c r="E586" s="1" t="n">
        <v>46304</v>
      </c>
      <c r="F586" t="inlineStr">
        <is>
          <t>GÄVLEBORGS LÄN</t>
        </is>
      </c>
      <c r="G586" t="inlineStr">
        <is>
          <t>OCKELBO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17221-2026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46119</v>
      </c>
      <c r="E587" s="1" t="n">
        <v>46304</v>
      </c>
      <c r="F587" t="inlineStr">
        <is>
          <t>GÄVLEBORGS LÄN</t>
        </is>
      </c>
      <c r="G587" t="inlineStr">
        <is>
          <t>OCKELBO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6654-2026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46304</v>
      </c>
      <c r="F588" t="inlineStr">
        <is>
          <t>GÄVLEBORGS LÄN</t>
        </is>
      </c>
      <c r="G588" t="inlineStr">
        <is>
          <t>OCKELBO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43071-2025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45909</v>
      </c>
      <c r="E589" s="1" t="n">
        <v>46304</v>
      </c>
      <c r="F589" t="inlineStr">
        <is>
          <t>GÄVLEBORGS LÄN</t>
        </is>
      </c>
      <c r="G589" t="inlineStr">
        <is>
          <t>OCKELBO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22594-2026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46155</v>
      </c>
      <c r="E590" s="1" t="n">
        <v>46304</v>
      </c>
      <c r="F590" t="inlineStr">
        <is>
          <t>GÄVLEBORGS LÄN</t>
        </is>
      </c>
      <c r="G590" t="inlineStr">
        <is>
          <t>OCKELBO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46304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12352-2026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46088</v>
      </c>
      <c r="E592" s="1" t="n">
        <v>46304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9.199999999999999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4179-2026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46044</v>
      </c>
      <c r="E593" s="1" t="n">
        <v>46304</v>
      </c>
      <c r="F593" t="inlineStr">
        <is>
          <t>GÄVLEBORGS LÄN</t>
        </is>
      </c>
      <c r="G593" t="inlineStr">
        <is>
          <t>OCKELBO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46304</v>
      </c>
      <c r="F594" t="inlineStr">
        <is>
          <t>GÄVLEBORGS LÄN</t>
        </is>
      </c>
      <c r="G594" t="inlineStr">
        <is>
          <t>OCKELBO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46304</v>
      </c>
      <c r="F595" t="inlineStr">
        <is>
          <t>GÄVLEBORGS LÄN</t>
        </is>
      </c>
      <c r="G595" t="inlineStr">
        <is>
          <t>OCKELBO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13233-2026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46304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46304</v>
      </c>
      <c r="F597" t="inlineStr">
        <is>
          <t>GÄVLEBORGS LÄN</t>
        </is>
      </c>
      <c r="G597" t="inlineStr">
        <is>
          <t>OCKELBO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60120-2025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45994</v>
      </c>
      <c r="E598" s="1" t="n">
        <v>46304</v>
      </c>
      <c r="F598" t="inlineStr">
        <is>
          <t>GÄVLEBORGS LÄN</t>
        </is>
      </c>
      <c r="G598" t="inlineStr">
        <is>
          <t>OCKELBO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46156</v>
      </c>
      <c r="E599" s="1" t="n">
        <v>46304</v>
      </c>
      <c r="F599" t="inlineStr">
        <is>
          <t>GÄVLEBORGS LÄN</t>
        </is>
      </c>
      <c r="G599" t="inlineStr">
        <is>
          <t>OCKELBO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17862-2026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46122</v>
      </c>
      <c r="E600" s="1" t="n">
        <v>46304</v>
      </c>
      <c r="F600" t="inlineStr">
        <is>
          <t>GÄVLEBORGS LÄN</t>
        </is>
      </c>
      <c r="G600" t="inlineStr">
        <is>
          <t>OCKELBO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46304</v>
      </c>
      <c r="F601" t="inlineStr">
        <is>
          <t>GÄVLEBORGS LÄN</t>
        </is>
      </c>
      <c r="G601" t="inlineStr">
        <is>
          <t>OCKELBO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23040-2026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46161</v>
      </c>
      <c r="E602" s="1" t="n">
        <v>46304</v>
      </c>
      <c r="F602" t="inlineStr">
        <is>
          <t>GÄVLEBORGS LÄN</t>
        </is>
      </c>
      <c r="G602" t="inlineStr">
        <is>
          <t>OCKELBO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48804-2024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45593</v>
      </c>
      <c r="E603" s="1" t="n">
        <v>46304</v>
      </c>
      <c r="F603" t="inlineStr">
        <is>
          <t>GÄVLEBORGS LÄN</t>
        </is>
      </c>
      <c r="G603" t="inlineStr">
        <is>
          <t>OCKELBO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46160</v>
      </c>
      <c r="E604" s="1" t="n">
        <v>46304</v>
      </c>
      <c r="F604" t="inlineStr">
        <is>
          <t>GÄVLEBORGS LÄN</t>
        </is>
      </c>
      <c r="G604" t="inlineStr">
        <is>
          <t>OCKELBO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46304</v>
      </c>
      <c r="F605" t="inlineStr">
        <is>
          <t>GÄVLEBORGS LÄN</t>
        </is>
      </c>
      <c r="G605" t="inlineStr">
        <is>
          <t>OCKELBO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45678</v>
      </c>
      <c r="E606" s="1" t="n">
        <v>46304</v>
      </c>
      <c r="F606" t="inlineStr">
        <is>
          <t>GÄVLEBORGS LÄN</t>
        </is>
      </c>
      <c r="G606" t="inlineStr">
        <is>
          <t>OCKELBO</t>
        </is>
      </c>
      <c r="I606" t="n">
        <v>8.1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37438-2023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45156</v>
      </c>
      <c r="E607" s="1" t="n">
        <v>46304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23513-2026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46163</v>
      </c>
      <c r="E608" s="1" t="n">
        <v>46304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45716</v>
      </c>
      <c r="E609" s="1" t="n">
        <v>46304</v>
      </c>
      <c r="F609" t="inlineStr">
        <is>
          <t>GÄVLEBORGS LÄN</t>
        </is>
      </c>
      <c r="G609" t="inlineStr">
        <is>
          <t>OCKELBO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45674</v>
      </c>
      <c r="E610" s="1" t="n">
        <v>46304</v>
      </c>
      <c r="F610" t="inlineStr">
        <is>
          <t>GÄVLEBORGS LÄN</t>
        </is>
      </c>
      <c r="G610" t="inlineStr">
        <is>
          <t>OCKELBO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23663-2026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46164</v>
      </c>
      <c r="E611" s="1" t="n">
        <v>46304</v>
      </c>
      <c r="F611" t="inlineStr">
        <is>
          <t>GÄVLEBORGS LÄN</t>
        </is>
      </c>
      <c r="G611" t="inlineStr">
        <is>
          <t>OCKELBO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23786-2026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46304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46044</v>
      </c>
      <c r="E613" s="1" t="n">
        <v>46304</v>
      </c>
      <c r="F613" t="inlineStr">
        <is>
          <t>GÄVLEBORGS LÄN</t>
        </is>
      </c>
      <c r="G613" t="inlineStr">
        <is>
          <t>OCKELBO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24409-2026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46169</v>
      </c>
      <c r="E614" s="1" t="n">
        <v>46304</v>
      </c>
      <c r="F614" t="inlineStr">
        <is>
          <t>GÄVLEBORGS LÄN</t>
        </is>
      </c>
      <c r="G614" t="inlineStr">
        <is>
          <t>OCKELBO</t>
        </is>
      </c>
      <c r="I614" t="n">
        <v>8.1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24267-2026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46169</v>
      </c>
      <c r="E615" s="1" t="n">
        <v>46304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24333-2026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46169</v>
      </c>
      <c r="E616" s="1" t="n">
        <v>46304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34944-2024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45527</v>
      </c>
      <c r="E617" s="1" t="n">
        <v>46304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46304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46169</v>
      </c>
      <c r="E619" s="1" t="n">
        <v>46304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24185-2026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46304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24408-2026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46169</v>
      </c>
      <c r="E621" s="1" t="n">
        <v>46304</v>
      </c>
      <c r="F621" t="inlineStr">
        <is>
          <t>GÄVLEBORGS LÄN</t>
        </is>
      </c>
      <c r="G621" t="inlineStr">
        <is>
          <t>OCKELBO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46304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46304</v>
      </c>
      <c r="F623" t="inlineStr">
        <is>
          <t>GÄVLEBORGS LÄN</t>
        </is>
      </c>
      <c r="G623" t="inlineStr">
        <is>
          <t>OCKELBO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24449-2026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46170</v>
      </c>
      <c r="E624" s="1" t="n">
        <v>46304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24567-2026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46170</v>
      </c>
      <c r="E625" s="1" t="n">
        <v>46304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46170</v>
      </c>
      <c r="E626" s="1" t="n">
        <v>46304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24598-2026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46170</v>
      </c>
      <c r="E627" s="1" t="n">
        <v>46304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24578-2026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46170</v>
      </c>
      <c r="E628" s="1" t="n">
        <v>46304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24521-2026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46170</v>
      </c>
      <c r="E629" s="1" t="n">
        <v>46304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32301-2022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44781</v>
      </c>
      <c r="E630" s="1" t="n">
        <v>46304</v>
      </c>
      <c r="F630" t="inlineStr">
        <is>
          <t>GÄVLEBORGS LÄN</t>
        </is>
      </c>
      <c r="G630" t="inlineStr">
        <is>
          <t>OCKELBO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11974-2026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46085</v>
      </c>
      <c r="E631" s="1" t="n">
        <v>46304</v>
      </c>
      <c r="F631" t="inlineStr">
        <is>
          <t>GÄVLEBORGS LÄN</t>
        </is>
      </c>
      <c r="G631" t="inlineStr">
        <is>
          <t>OCKELBO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61116-2023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45261</v>
      </c>
      <c r="E632" s="1" t="n">
        <v>46304</v>
      </c>
      <c r="F632" t="inlineStr">
        <is>
          <t>GÄVLEBORGS LÄN</t>
        </is>
      </c>
      <c r="G632" t="inlineStr">
        <is>
          <t>OCKELBO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46023</v>
      </c>
      <c r="E633" s="1" t="n">
        <v>46304</v>
      </c>
      <c r="F633" t="inlineStr">
        <is>
          <t>GÄVLEBORGS LÄN</t>
        </is>
      </c>
      <c r="G633" t="inlineStr">
        <is>
          <t>OCKELBO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24968-2026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46304</v>
      </c>
      <c r="F634" t="inlineStr">
        <is>
          <t>GÄVLEBORGS LÄN</t>
        </is>
      </c>
      <c r="G634" t="inlineStr">
        <is>
          <t>OCKELBO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54944-2025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45967</v>
      </c>
      <c r="E635" s="1" t="n">
        <v>46304</v>
      </c>
      <c r="F635" t="inlineStr">
        <is>
          <t>GÄVLEBORGS LÄN</t>
        </is>
      </c>
      <c r="G635" t="inlineStr">
        <is>
          <t>OCKELBO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24952-2026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46174</v>
      </c>
      <c r="E636" s="1" t="n">
        <v>46304</v>
      </c>
      <c r="F636" t="inlineStr">
        <is>
          <t>GÄVLEBORGS LÄN</t>
        </is>
      </c>
      <c r="G636" t="inlineStr">
        <is>
          <t>OCKELBO</t>
        </is>
      </c>
      <c r="I636" t="n">
        <v>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24974-2026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46304</v>
      </c>
      <c r="F637" t="inlineStr">
        <is>
          <t>GÄVLEBORGS LÄN</t>
        </is>
      </c>
      <c r="G637" t="inlineStr">
        <is>
          <t>OCKELBO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24624-2026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46171</v>
      </c>
      <c r="E638" s="1" t="n">
        <v>46304</v>
      </c>
      <c r="F638" t="inlineStr">
        <is>
          <t>GÄVLEBORGS LÄN</t>
        </is>
      </c>
      <c r="G638" t="inlineStr">
        <is>
          <t>OCKELBO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25128-2026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46175</v>
      </c>
      <c r="E639" s="1" t="n">
        <v>46304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46304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50968-2024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45603</v>
      </c>
      <c r="E641" s="1" t="n">
        <v>46304</v>
      </c>
      <c r="F641" t="inlineStr">
        <is>
          <t>GÄVLEBORGS LÄN</t>
        </is>
      </c>
      <c r="G641" t="inlineStr">
        <is>
          <t>OCKELBO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46177</v>
      </c>
      <c r="E642" s="1" t="n">
        <v>46304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9.4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46304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26131-2026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46304</v>
      </c>
      <c r="F644" t="inlineStr">
        <is>
          <t>GÄVLEBORGS LÄN</t>
        </is>
      </c>
      <c r="G644" t="inlineStr">
        <is>
          <t>OCKELBO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17730-2025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45758</v>
      </c>
      <c r="E645" s="1" t="n">
        <v>46304</v>
      </c>
      <c r="F645" t="inlineStr">
        <is>
          <t>GÄVLEBORGS LÄN</t>
        </is>
      </c>
      <c r="G645" t="inlineStr">
        <is>
          <t>OCKELBO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36362-2024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45534</v>
      </c>
      <c r="E646" s="1" t="n">
        <v>46304</v>
      </c>
      <c r="F646" t="inlineStr">
        <is>
          <t>GÄVLEBORGS LÄN</t>
        </is>
      </c>
      <c r="G646" t="inlineStr">
        <is>
          <t>OCKELBO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5558-2024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45334</v>
      </c>
      <c r="E647" s="1" t="n">
        <v>46304</v>
      </c>
      <c r="F647" t="inlineStr">
        <is>
          <t>GÄVLEBORGS LÄN</t>
        </is>
      </c>
      <c r="G647" t="inlineStr">
        <is>
          <t>OCKELBO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26808-2026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46304</v>
      </c>
      <c r="F648" t="inlineStr">
        <is>
          <t>GÄVLEBORGS LÄN</t>
        </is>
      </c>
      <c r="G648" t="inlineStr">
        <is>
          <t>OCKELBO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26861-2026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46304</v>
      </c>
      <c r="F649" t="inlineStr">
        <is>
          <t>GÄVLEBORGS LÄN</t>
        </is>
      </c>
      <c r="G649" t="inlineStr">
        <is>
          <t>OCKELBO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52335-2024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45609</v>
      </c>
      <c r="E650" s="1" t="n">
        <v>46304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27231-2026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46304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15966-2023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45022</v>
      </c>
      <c r="E652" s="1" t="n">
        <v>46304</v>
      </c>
      <c r="F652" t="inlineStr">
        <is>
          <t>GÄVLEBORGS LÄN</t>
        </is>
      </c>
      <c r="G652" t="inlineStr">
        <is>
          <t>OCKELBO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34444-2023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45139</v>
      </c>
      <c r="E653" s="1" t="n">
        <v>46304</v>
      </c>
      <c r="F653" t="inlineStr">
        <is>
          <t>GÄVLEBORGS LÄN</t>
        </is>
      </c>
      <c r="G653" t="inlineStr">
        <is>
          <t>OCKELBO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26924-2026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46304</v>
      </c>
      <c r="F654" t="inlineStr">
        <is>
          <t>GÄVLEBORGS LÄN</t>
        </is>
      </c>
      <c r="G654" t="inlineStr">
        <is>
          <t>OCKELBO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46304</v>
      </c>
      <c r="F655" t="inlineStr">
        <is>
          <t>GÄVLEBORGS LÄN</t>
        </is>
      </c>
      <c r="G655" t="inlineStr">
        <is>
          <t>OCKELBO</t>
        </is>
      </c>
      <c r="I655" t="n">
        <v>14.6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26845-2026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46304</v>
      </c>
      <c r="F656" t="inlineStr">
        <is>
          <t>GÄVLEBORGS LÄN</t>
        </is>
      </c>
      <c r="G656" t="inlineStr">
        <is>
          <t>OCKELBO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27562-2026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46190</v>
      </c>
      <c r="E657" s="1" t="n">
        <v>46304</v>
      </c>
      <c r="F657" t="inlineStr">
        <is>
          <t>GÄVLEBORGS LÄN</t>
        </is>
      </c>
      <c r="G657" t="inlineStr">
        <is>
          <t>OCKELBO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57614-2025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45981</v>
      </c>
      <c r="E658" s="1" t="n">
        <v>46304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10184-2026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46076</v>
      </c>
      <c r="E659" s="1" t="n">
        <v>46304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55070-2023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45237</v>
      </c>
      <c r="E660" s="1" t="n">
        <v>46304</v>
      </c>
      <c r="F660" t="inlineStr">
        <is>
          <t>GÄVLEBORGS LÄN</t>
        </is>
      </c>
      <c r="G660" t="inlineStr">
        <is>
          <t>OCKELBO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6194-2025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45698</v>
      </c>
      <c r="E661" s="1" t="n">
        <v>46304</v>
      </c>
      <c r="F661" t="inlineStr">
        <is>
          <t>GÄVLEBORGS LÄN</t>
        </is>
      </c>
      <c r="G661" t="inlineStr">
        <is>
          <t>OCKELBO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27620-2026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46190</v>
      </c>
      <c r="E662" s="1" t="n">
        <v>46304</v>
      </c>
      <c r="F662" t="inlineStr">
        <is>
          <t>GÄVLEBORGS LÄN</t>
        </is>
      </c>
      <c r="G662" t="inlineStr">
        <is>
          <t>OCKELBO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27623-2026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46304</v>
      </c>
      <c r="F663" t="inlineStr">
        <is>
          <t>GÄVLEBORGS LÄN</t>
        </is>
      </c>
      <c r="G663" t="inlineStr">
        <is>
          <t>OCKELBO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53702-2024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45615</v>
      </c>
      <c r="E664" s="1" t="n">
        <v>46304</v>
      </c>
      <c r="F664" t="inlineStr">
        <is>
          <t>GÄVLEBORGS LÄN</t>
        </is>
      </c>
      <c r="G664" t="inlineStr">
        <is>
          <t>OCKELBO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27381-2026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46189</v>
      </c>
      <c r="E665" s="1" t="n">
        <v>46304</v>
      </c>
      <c r="F665" t="inlineStr">
        <is>
          <t>GÄVLEBORGS LÄN</t>
        </is>
      </c>
      <c r="G665" t="inlineStr">
        <is>
          <t>OCKELBO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27383-2026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46189</v>
      </c>
      <c r="E666" s="1" t="n">
        <v>46304</v>
      </c>
      <c r="F666" t="inlineStr">
        <is>
          <t>GÄVLEBORGS LÄN</t>
        </is>
      </c>
      <c r="G666" t="inlineStr">
        <is>
          <t>OCKELBO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27416-2026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46189</v>
      </c>
      <c r="E667" s="1" t="n">
        <v>46304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27379-2026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46189</v>
      </c>
      <c r="E668" s="1" t="n">
        <v>46304</v>
      </c>
      <c r="F668" t="inlineStr">
        <is>
          <t>GÄVLEBORGS LÄN</t>
        </is>
      </c>
      <c r="G668" t="inlineStr">
        <is>
          <t>OCKELBO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27382-2026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46189</v>
      </c>
      <c r="E669" s="1" t="n">
        <v>46304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11734-2025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45727</v>
      </c>
      <c r="E670" s="1" t="n">
        <v>46304</v>
      </c>
      <c r="F670" t="inlineStr">
        <is>
          <t>GÄVLEBORGS LÄN</t>
        </is>
      </c>
      <c r="G670" t="inlineStr">
        <is>
          <t>OCKELBO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27889-2026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46191</v>
      </c>
      <c r="E671" s="1" t="n">
        <v>46304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46304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46196</v>
      </c>
      <c r="E673" s="1" t="n">
        <v>46304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46196</v>
      </c>
      <c r="E674" s="1" t="n">
        <v>46304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28317-2026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46304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27995-2026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46304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30798-2024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45497</v>
      </c>
      <c r="E677" s="1" t="n">
        <v>46304</v>
      </c>
      <c r="F677" t="inlineStr">
        <is>
          <t>GÄVLEBORGS LÄN</t>
        </is>
      </c>
      <c r="G677" t="inlineStr">
        <is>
          <t>OCKELBO</t>
        </is>
      </c>
      <c r="I677" t="n">
        <v>8.699999999999999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43799-2022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44838</v>
      </c>
      <c r="E678" s="1" t="n">
        <v>46304</v>
      </c>
      <c r="F678" t="inlineStr">
        <is>
          <t>GÄVLEBORGS LÄN</t>
        </is>
      </c>
      <c r="G678" t="inlineStr">
        <is>
          <t>OCKELBO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28672-2026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46198</v>
      </c>
      <c r="E679" s="1" t="n">
        <v>46304</v>
      </c>
      <c r="F679" t="inlineStr">
        <is>
          <t>GÄVLEBORGS LÄN</t>
        </is>
      </c>
      <c r="G679" t="inlineStr">
        <is>
          <t>OCKELBO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28725-2026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46198</v>
      </c>
      <c r="E680" s="1" t="n">
        <v>46304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28681-2026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46304</v>
      </c>
      <c r="F681" t="inlineStr">
        <is>
          <t>GÄVLEBORGS LÄN</t>
        </is>
      </c>
      <c r="G681" t="inlineStr">
        <is>
          <t>OCKELBO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37391-2023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45156</v>
      </c>
      <c r="E682" s="1" t="n">
        <v>46304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33987-2023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45134</v>
      </c>
      <c r="E683" s="1" t="n">
        <v>46304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46304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47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33879-2023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45134</v>
      </c>
      <c r="E685" s="1" t="n">
        <v>46304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49529-2024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45596</v>
      </c>
      <c r="E686" s="1" t="n">
        <v>46304</v>
      </c>
      <c r="F686" t="inlineStr">
        <is>
          <t>GÄVLEBORGS LÄN</t>
        </is>
      </c>
      <c r="G686" t="inlineStr">
        <is>
          <t>OCKELBO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29001-2026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46199</v>
      </c>
      <c r="E687" s="1" t="n">
        <v>46304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56034-2023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45240</v>
      </c>
      <c r="E688" s="1" t="n">
        <v>46304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46183</v>
      </c>
      <c r="E689" s="1" t="n">
        <v>46304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14827-2026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46304</v>
      </c>
      <c r="F690" t="inlineStr">
        <is>
          <t>GÄVLEBORGS LÄN</t>
        </is>
      </c>
      <c r="G690" t="inlineStr">
        <is>
          <t>OCKELBO</t>
        </is>
      </c>
      <c r="I690" t="n">
        <v>4.6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52330-2024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45609</v>
      </c>
      <c r="E691" s="1" t="n">
        <v>46304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46204</v>
      </c>
      <c r="E692" s="1" t="n">
        <v>46304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34449-2023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45139</v>
      </c>
      <c r="E693" s="1" t="n">
        <v>46304</v>
      </c>
      <c r="F693" t="inlineStr">
        <is>
          <t>GÄVLEBORGS LÄN</t>
        </is>
      </c>
      <c r="G693" t="inlineStr">
        <is>
          <t>OCKELBO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29437-2026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46304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46304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29415-2026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46304</v>
      </c>
      <c r="F696" t="inlineStr">
        <is>
          <t>GÄVLEBORGS LÄN</t>
        </is>
      </c>
      <c r="G696" t="inlineStr">
        <is>
          <t>OCKELBO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46205</v>
      </c>
      <c r="E697" s="1" t="n">
        <v>46304</v>
      </c>
      <c r="F697" t="inlineStr">
        <is>
          <t>GÄVLEBORGS LÄN</t>
        </is>
      </c>
      <c r="G697" t="inlineStr">
        <is>
          <t>OCKELBO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37845-2024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45544</v>
      </c>
      <c r="E698" s="1" t="n">
        <v>46304</v>
      </c>
      <c r="F698" t="inlineStr">
        <is>
          <t>GÄVLEBORGS LÄN</t>
        </is>
      </c>
      <c r="G698" t="inlineStr">
        <is>
          <t>OCKELBO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30031-2026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46206</v>
      </c>
      <c r="E699" s="1" t="n">
        <v>46304</v>
      </c>
      <c r="F699" t="inlineStr">
        <is>
          <t>GÄVLEBORGS LÄN</t>
        </is>
      </c>
      <c r="G699" t="inlineStr">
        <is>
          <t>OCKELBO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29789-2026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46304</v>
      </c>
      <c r="F700" t="inlineStr">
        <is>
          <t>GÄVLEBORGS LÄN</t>
        </is>
      </c>
      <c r="G700" t="inlineStr">
        <is>
          <t>OCKELBO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29835-2026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46205</v>
      </c>
      <c r="E701" s="1" t="n">
        <v>46304</v>
      </c>
      <c r="F701" t="inlineStr">
        <is>
          <t>GÄVLEBORGS LÄN</t>
        </is>
      </c>
      <c r="G701" t="inlineStr">
        <is>
          <t>OCKELBO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28965-2024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45481</v>
      </c>
      <c r="E702" s="1" t="n">
        <v>46304</v>
      </c>
      <c r="F702" t="inlineStr">
        <is>
          <t>GÄVLEBORGS LÄN</t>
        </is>
      </c>
      <c r="G702" t="inlineStr">
        <is>
          <t>OCKELBO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55906-2024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45623</v>
      </c>
      <c r="E703" s="1" t="n">
        <v>46304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24228-2022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44725</v>
      </c>
      <c r="E704" s="1" t="n">
        <v>46304</v>
      </c>
      <c r="F704" t="inlineStr">
        <is>
          <t>GÄVLEBORGS LÄN</t>
        </is>
      </c>
      <c r="G704" t="inlineStr">
        <is>
          <t>OCKELBO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46216</v>
      </c>
      <c r="E705" s="1" t="n">
        <v>46304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64609-2023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45281</v>
      </c>
      <c r="E706" s="1" t="n">
        <v>46304</v>
      </c>
      <c r="F706" t="inlineStr">
        <is>
          <t>GÄVLEBORGS LÄN</t>
        </is>
      </c>
      <c r="G706" t="inlineStr">
        <is>
          <t>OCKELBO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3626-2023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44950</v>
      </c>
      <c r="E707" s="1" t="n">
        <v>46304</v>
      </c>
      <c r="F707" t="inlineStr">
        <is>
          <t>GÄVLEBORGS LÄN</t>
        </is>
      </c>
      <c r="G707" t="inlineStr">
        <is>
          <t>OCKELBO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31277-2026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46218</v>
      </c>
      <c r="E708" s="1" t="n">
        <v>46304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21900-2023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45068</v>
      </c>
      <c r="E709" s="1" t="n">
        <v>46304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9461-2026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46071</v>
      </c>
      <c r="E710" s="1" t="n">
        <v>46304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19774-2025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45771</v>
      </c>
      <c r="E711" s="1" t="n">
        <v>46304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13931-2026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46098</v>
      </c>
      <c r="E712" s="1" t="n">
        <v>46304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45068</v>
      </c>
      <c r="E713" s="1" t="n">
        <v>46304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36295-2024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45534</v>
      </c>
      <c r="E714" s="1" t="n">
        <v>46304</v>
      </c>
      <c r="F714" t="inlineStr">
        <is>
          <t>GÄVLEBORGS LÄN</t>
        </is>
      </c>
      <c r="G714" t="inlineStr">
        <is>
          <t>OCKELBO</t>
        </is>
      </c>
      <c r="I714" t="n">
        <v>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58156-2025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45982</v>
      </c>
      <c r="E715" s="1" t="n">
        <v>46304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36097-2026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46267</v>
      </c>
      <c r="E716" s="1" t="n">
        <v>46304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31519-2026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46223</v>
      </c>
      <c r="E717" s="1" t="n">
        <v>46304</v>
      </c>
      <c r="F717" t="inlineStr">
        <is>
          <t>GÄVLEBORGS LÄN</t>
        </is>
      </c>
      <c r="G717" t="inlineStr">
        <is>
          <t>OCKELBO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31517-2026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46223</v>
      </c>
      <c r="E718" s="1" t="n">
        <v>46304</v>
      </c>
      <c r="F718" t="inlineStr">
        <is>
          <t>GÄVLEBORGS LÄN</t>
        </is>
      </c>
      <c r="G718" t="inlineStr">
        <is>
          <t>OCKELBO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53488-2023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45230</v>
      </c>
      <c r="E719" s="1" t="n">
        <v>46304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37442-2023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45156</v>
      </c>
      <c r="E720" s="1" t="n">
        <v>46304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45070</v>
      </c>
      <c r="E721" s="1" t="n">
        <v>46304</v>
      </c>
      <c r="F721" t="inlineStr">
        <is>
          <t>GÄVLEBORGS LÄN</t>
        </is>
      </c>
      <c r="G721" t="inlineStr">
        <is>
          <t>OCKELBO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56741-2024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45628</v>
      </c>
      <c r="E722" s="1" t="n">
        <v>46304</v>
      </c>
      <c r="F722" t="inlineStr">
        <is>
          <t>GÄVLEBORGS LÄN</t>
        </is>
      </c>
      <c r="G722" t="inlineStr">
        <is>
          <t>OCKELBO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19772-2025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45771</v>
      </c>
      <c r="E723" s="1" t="n">
        <v>46304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36280-2026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46268</v>
      </c>
      <c r="E724" s="1" t="n">
        <v>46304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36562-2026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46269</v>
      </c>
      <c r="E725" s="1" t="n">
        <v>46304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36467-2026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46304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36380-2026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46268</v>
      </c>
      <c r="E727" s="1" t="n">
        <v>46304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29567-2024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45484</v>
      </c>
      <c r="E728" s="1" t="n">
        <v>46304</v>
      </c>
      <c r="F728" t="inlineStr">
        <is>
          <t>GÄVLEBORGS LÄN</t>
        </is>
      </c>
      <c r="G728" t="inlineStr">
        <is>
          <t>OCKELBO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64367-2023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45280</v>
      </c>
      <c r="E729" s="1" t="n">
        <v>46304</v>
      </c>
      <c r="F729" t="inlineStr">
        <is>
          <t>GÄVLEBORGS LÄN</t>
        </is>
      </c>
      <c r="G729" t="inlineStr">
        <is>
          <t>OCKELBO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55715-2023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45239</v>
      </c>
      <c r="E730" s="1" t="n">
        <v>46304</v>
      </c>
      <c r="F730" t="inlineStr">
        <is>
          <t>GÄVLEBORGS LÄN</t>
        </is>
      </c>
      <c r="G730" t="inlineStr">
        <is>
          <t>OCKELBO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31804-2026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46230</v>
      </c>
      <c r="E731" s="1" t="n">
        <v>46304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50194-2024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46304</v>
      </c>
      <c r="F732" t="inlineStr">
        <is>
          <t>GÄVLEBORGS LÄN</t>
        </is>
      </c>
      <c r="G732" t="inlineStr">
        <is>
          <t>OCKELBO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15247-2025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45744</v>
      </c>
      <c r="E733" s="1" t="n">
        <v>46304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22952-2023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45072</v>
      </c>
      <c r="E734" s="1" t="n">
        <v>46304</v>
      </c>
      <c r="F734" t="inlineStr">
        <is>
          <t>GÄVLEBORGS LÄN</t>
        </is>
      </c>
      <c r="G734" t="inlineStr">
        <is>
          <t>OCKELBO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37321-2026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46275</v>
      </c>
      <c r="E735" s="1" t="n">
        <v>46304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37110-2026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46274</v>
      </c>
      <c r="E736" s="1" t="n">
        <v>46304</v>
      </c>
      <c r="F736" t="inlineStr">
        <is>
          <t>GÄVLEBORGS LÄN</t>
        </is>
      </c>
      <c r="G736" t="inlineStr">
        <is>
          <t>OCKELBO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22824-2024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45448</v>
      </c>
      <c r="E737" s="1" t="n">
        <v>46304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1143-2025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45666</v>
      </c>
      <c r="E738" s="1" t="n">
        <v>46304</v>
      </c>
      <c r="F738" t="inlineStr">
        <is>
          <t>GÄVLEBORGS LÄN</t>
        </is>
      </c>
      <c r="G738" t="inlineStr">
        <is>
          <t>OCKELBO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37487-2026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46275</v>
      </c>
      <c r="E739" s="1" t="n">
        <v>46304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46140</v>
      </c>
      <c r="E740" s="1" t="n">
        <v>46304</v>
      </c>
      <c r="F740" t="inlineStr">
        <is>
          <t>GÄVLEBORGS LÄN</t>
        </is>
      </c>
      <c r="G740" t="inlineStr">
        <is>
          <t>OCKELBO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61750-2023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45265</v>
      </c>
      <c r="E741" s="1" t="n">
        <v>46304</v>
      </c>
      <c r="F741" t="inlineStr">
        <is>
          <t>GÄVLEBORGS LÄN</t>
        </is>
      </c>
      <c r="G741" t="inlineStr">
        <is>
          <t>OCKELBO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37841-2026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46279</v>
      </c>
      <c r="E742" s="1" t="n">
        <v>46304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33985-2023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45134</v>
      </c>
      <c r="E743" s="1" t="n">
        <v>46304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46140</v>
      </c>
      <c r="E744" s="1" t="n">
        <v>46304</v>
      </c>
      <c r="F744" t="inlineStr">
        <is>
          <t>GÄVLEBORGS LÄN</t>
        </is>
      </c>
      <c r="G744" t="inlineStr">
        <is>
          <t>OCKELBO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44950</v>
      </c>
      <c r="E745" s="1" t="n">
        <v>46304</v>
      </c>
      <c r="F745" t="inlineStr">
        <is>
          <t>GÄVLEBORGS LÄN</t>
        </is>
      </c>
      <c r="G745" t="inlineStr">
        <is>
          <t>OCKELBO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20775-2025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45776</v>
      </c>
      <c r="E746" s="1" t="n">
        <v>46304</v>
      </c>
      <c r="F746" t="inlineStr">
        <is>
          <t>GÄVLEBORGS LÄN</t>
        </is>
      </c>
      <c r="G746" t="inlineStr">
        <is>
          <t>OCKELBO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23780-2024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45455</v>
      </c>
      <c r="E747" s="1" t="n">
        <v>46304</v>
      </c>
      <c r="F747" t="inlineStr">
        <is>
          <t>GÄVLEBORGS LÄN</t>
        </is>
      </c>
      <c r="G747" t="inlineStr">
        <is>
          <t>OCKELBO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52273-2024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45608</v>
      </c>
      <c r="E748" s="1" t="n">
        <v>46304</v>
      </c>
      <c r="F748" t="inlineStr">
        <is>
          <t>GÄVLEBORGS LÄN</t>
        </is>
      </c>
      <c r="G748" t="inlineStr">
        <is>
          <t>OCKELBO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37848-2024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45544</v>
      </c>
      <c r="E749" s="1" t="n">
        <v>46304</v>
      </c>
      <c r="F749" t="inlineStr">
        <is>
          <t>GÄVLEBORGS LÄN</t>
        </is>
      </c>
      <c r="G749" t="inlineStr">
        <is>
          <t>OCKELBO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60253-2023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45258</v>
      </c>
      <c r="E750" s="1" t="n">
        <v>46304</v>
      </c>
      <c r="F750" t="inlineStr">
        <is>
          <t>GÄVLEBORGS LÄN</t>
        </is>
      </c>
      <c r="G750" t="inlineStr">
        <is>
          <t>OCKELBO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38648-2026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46283</v>
      </c>
      <c r="E751" s="1" t="n">
        <v>46304</v>
      </c>
      <c r="F751" t="inlineStr">
        <is>
          <t>GÄVLEBORGS LÄN</t>
        </is>
      </c>
      <c r="G751" t="inlineStr">
        <is>
          <t>OCKELBO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38668-2026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46283</v>
      </c>
      <c r="E752" s="1" t="n">
        <v>46304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22385-2025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45786</v>
      </c>
      <c r="E753" s="1" t="n">
        <v>46304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22387-2025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45786</v>
      </c>
      <c r="E754" s="1" t="n">
        <v>46304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28584-2024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45478</v>
      </c>
      <c r="E755" s="1" t="n">
        <v>46304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54323-2024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45617</v>
      </c>
      <c r="E756" s="1" t="n">
        <v>46304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28181-2022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44746</v>
      </c>
      <c r="E757" s="1" t="n">
        <v>46304</v>
      </c>
      <c r="F757" t="inlineStr">
        <is>
          <t>GÄVLEBORGS LÄN</t>
        </is>
      </c>
      <c r="G757" t="inlineStr">
        <is>
          <t>OCKELBO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20689-2025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45776</v>
      </c>
      <c r="E758" s="1" t="n">
        <v>46304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23004-2025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45790</v>
      </c>
      <c r="E759" s="1" t="n">
        <v>46304</v>
      </c>
      <c r="F759" t="inlineStr">
        <is>
          <t>GÄVLEBORGS LÄN</t>
        </is>
      </c>
      <c r="G759" t="inlineStr">
        <is>
          <t>OCKELBO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45621</v>
      </c>
      <c r="E760" s="1" t="n">
        <v>46304</v>
      </c>
      <c r="F760" t="inlineStr">
        <is>
          <t>GÄVLEBORGS LÄN</t>
        </is>
      </c>
      <c r="G760" t="inlineStr">
        <is>
          <t>OCKELBO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26085-2024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45468</v>
      </c>
      <c r="E761" s="1" t="n">
        <v>46304</v>
      </c>
      <c r="F761" t="inlineStr">
        <is>
          <t>GÄVLEBORGS LÄN</t>
        </is>
      </c>
      <c r="G761" t="inlineStr">
        <is>
          <t>OCKELBO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48803-2024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46304</v>
      </c>
      <c r="F762" t="inlineStr">
        <is>
          <t>GÄVLEBORGS LÄN</t>
        </is>
      </c>
      <c r="G762" t="inlineStr">
        <is>
          <t>OCKELBO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5887-2026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46052</v>
      </c>
      <c r="E763" s="1" t="n">
        <v>46304</v>
      </c>
      <c r="F763" t="inlineStr">
        <is>
          <t>GÄVLEBORGS LÄN</t>
        </is>
      </c>
      <c r="G763" t="inlineStr">
        <is>
          <t>OCKELBO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16752-2025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45754</v>
      </c>
      <c r="E764" s="1" t="n">
        <v>46304</v>
      </c>
      <c r="F764" t="inlineStr">
        <is>
          <t>GÄVLEBORGS LÄN</t>
        </is>
      </c>
      <c r="G764" t="inlineStr">
        <is>
          <t>OCKELBO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15403-2022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44659</v>
      </c>
      <c r="E765" s="1" t="n">
        <v>46304</v>
      </c>
      <c r="F765" t="inlineStr">
        <is>
          <t>GÄVLEBORGS LÄN</t>
        </is>
      </c>
      <c r="G765" t="inlineStr">
        <is>
          <t>OCKELBO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64924-2023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45282</v>
      </c>
      <c r="E766" s="1" t="n">
        <v>46304</v>
      </c>
      <c r="F766" t="inlineStr">
        <is>
          <t>GÄVLEBORGS LÄN</t>
        </is>
      </c>
      <c r="G766" t="inlineStr">
        <is>
          <t>OCKELBO</t>
        </is>
      </c>
      <c r="I766" t="n">
        <v>6.8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39681-2026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46289</v>
      </c>
      <c r="E767" s="1" t="n">
        <v>46304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20207-2024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45434</v>
      </c>
      <c r="E768" s="1" t="n">
        <v>46304</v>
      </c>
      <c r="F768" t="inlineStr">
        <is>
          <t>GÄVLEBORGS LÄN</t>
        </is>
      </c>
      <c r="G768" t="inlineStr">
        <is>
          <t>OCKELBO</t>
        </is>
      </c>
      <c r="I768" t="n">
        <v>7.6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33176-2026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46245</v>
      </c>
      <c r="E769" s="1" t="n">
        <v>46304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49470-2024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45596</v>
      </c>
      <c r="E770" s="1" t="n">
        <v>46304</v>
      </c>
      <c r="F770" t="inlineStr">
        <is>
          <t>GÄVLEBORGS LÄN</t>
        </is>
      </c>
      <c r="G770" t="inlineStr">
        <is>
          <t>OCKELBO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14071-2026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46099</v>
      </c>
      <c r="E771" s="1" t="n">
        <v>46304</v>
      </c>
      <c r="F771" t="inlineStr">
        <is>
          <t>GÄVLEBORGS LÄN</t>
        </is>
      </c>
      <c r="G771" t="inlineStr">
        <is>
          <t>OCKELBO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15502-2025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45747</v>
      </c>
      <c r="E772" s="1" t="n">
        <v>46304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5.7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25640-2025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45803</v>
      </c>
      <c r="E773" s="1" t="n">
        <v>46304</v>
      </c>
      <c r="F773" t="inlineStr">
        <is>
          <t>GÄVLEBORGS LÄN</t>
        </is>
      </c>
      <c r="G773" t="inlineStr">
        <is>
          <t>OCKELBO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25233-2025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45800</v>
      </c>
      <c r="E774" s="1" t="n">
        <v>46304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25246-2025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45800</v>
      </c>
      <c r="E775" s="1" t="n">
        <v>46304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25248-2025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46304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25191-2025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45800</v>
      </c>
      <c r="E777" s="1" t="n">
        <v>46304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5.1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25234-2025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45800</v>
      </c>
      <c r="E778" s="1" t="n">
        <v>46304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40117-2026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46293</v>
      </c>
      <c r="E779" s="1" t="n">
        <v>46304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25250-2025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45800</v>
      </c>
      <c r="E780" s="1" t="n">
        <v>46304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45805</v>
      </c>
      <c r="E781" s="1" t="n">
        <v>46304</v>
      </c>
      <c r="F781" t="inlineStr">
        <is>
          <t>GÄVLEBORGS LÄN</t>
        </is>
      </c>
      <c r="G781" t="inlineStr">
        <is>
          <t>OCKELBO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40185-2026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46293</v>
      </c>
      <c r="E782" s="1" t="n">
        <v>46304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40104-2026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46293</v>
      </c>
      <c r="E783" s="1" t="n">
        <v>46304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15042-2026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46104</v>
      </c>
      <c r="E784" s="1" t="n">
        <v>46304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6.2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40149-2026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46293</v>
      </c>
      <c r="E785" s="1" t="n">
        <v>46304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27990-2025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45817</v>
      </c>
      <c r="E786" s="1" t="n">
        <v>46304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7.8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28080-2025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45817</v>
      </c>
      <c r="E787" s="1" t="n">
        <v>46304</v>
      </c>
      <c r="F787" t="inlineStr">
        <is>
          <t>GÄVLEBORGS LÄN</t>
        </is>
      </c>
      <c r="G787" t="inlineStr">
        <is>
          <t>OCKELBO</t>
        </is>
      </c>
      <c r="I787" t="n">
        <v>4.9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28006-2025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45817</v>
      </c>
      <c r="E788" s="1" t="n">
        <v>46304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8.1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28669-2025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45819</v>
      </c>
      <c r="E789" s="1" t="n">
        <v>46304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28576-2025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45819</v>
      </c>
      <c r="E790" s="1" t="n">
        <v>46304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46052</v>
      </c>
      <c r="E791" s="1" t="n">
        <v>46304</v>
      </c>
      <c r="F791" t="inlineStr">
        <is>
          <t>GÄVLEBORGS LÄN</t>
        </is>
      </c>
      <c r="G791" t="inlineStr">
        <is>
          <t>OCKELBO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29158-2025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45821</v>
      </c>
      <c r="E792" s="1" t="n">
        <v>46304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29274-2025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45824</v>
      </c>
      <c r="E793" s="1" t="n">
        <v>46304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30179-2025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45827</v>
      </c>
      <c r="E794" s="1" t="n">
        <v>46304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30331-2025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45827</v>
      </c>
      <c r="E795" s="1" t="n">
        <v>46304</v>
      </c>
      <c r="F795" t="inlineStr">
        <is>
          <t>GÄVLEBORGS LÄN</t>
        </is>
      </c>
      <c r="G795" t="inlineStr">
        <is>
          <t>OCKELBO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30229-2025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45827</v>
      </c>
      <c r="E796" s="1" t="n">
        <v>46304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5.3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8408-2026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46065</v>
      </c>
      <c r="E797" s="1" t="n">
        <v>46304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9542-2026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46071</v>
      </c>
      <c r="E798" s="1" t="n">
        <v>46304</v>
      </c>
      <c r="F798" t="inlineStr">
        <is>
          <t>GÄVLEBORGS LÄN</t>
        </is>
      </c>
      <c r="G798" t="inlineStr">
        <is>
          <t>OCKELBO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30152-2025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45827</v>
      </c>
      <c r="E799" s="1" t="n">
        <v>46304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6.5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8683-2026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46066</v>
      </c>
      <c r="E800" s="1" t="n">
        <v>46304</v>
      </c>
      <c r="F800" t="inlineStr">
        <is>
          <t>GÄVLEBORGS LÄN</t>
        </is>
      </c>
      <c r="G800" t="inlineStr">
        <is>
          <t>OCKELBO</t>
        </is>
      </c>
      <c r="I800" t="n">
        <v>6.4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46038</v>
      </c>
      <c r="E801" s="1" t="n">
        <v>46304</v>
      </c>
      <c r="F801" t="inlineStr">
        <is>
          <t>GÄVLEBORGS LÄN</t>
        </is>
      </c>
      <c r="G801" t="inlineStr">
        <is>
          <t>OCKELBO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14756-2026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46101</v>
      </c>
      <c r="E802" s="1" t="n">
        <v>46304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40881-2026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46297</v>
      </c>
      <c r="E803" s="1" t="n">
        <v>46304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34391-2026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46254</v>
      </c>
      <c r="E804" s="1" t="n">
        <v>46304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2389-2026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46036</v>
      </c>
      <c r="E805" s="1" t="n">
        <v>46304</v>
      </c>
      <c r="F805" t="inlineStr">
        <is>
          <t>GÄVLEBORGS LÄN</t>
        </is>
      </c>
      <c r="G805" t="inlineStr">
        <is>
          <t>OCKELBO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20984-2026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46142</v>
      </c>
      <c r="E806" s="1" t="n">
        <v>46304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17709-2026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46121</v>
      </c>
      <c r="E807" s="1" t="n">
        <v>46304</v>
      </c>
      <c r="F807" t="inlineStr">
        <is>
          <t>GÄVLEBORGS LÄN</t>
        </is>
      </c>
      <c r="G807" t="inlineStr">
        <is>
          <t>OCKELBO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22692-2026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46156</v>
      </c>
      <c r="E808" s="1" t="n">
        <v>46304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12947-2026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46092</v>
      </c>
      <c r="E809" s="1" t="n">
        <v>46304</v>
      </c>
      <c r="F809" t="inlineStr">
        <is>
          <t>GÄVLEBORGS LÄN</t>
        </is>
      </c>
      <c r="G809" t="inlineStr">
        <is>
          <t>OCKELBO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14410-2026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46100</v>
      </c>
      <c r="E810" s="1" t="n">
        <v>46304</v>
      </c>
      <c r="F810" t="inlineStr">
        <is>
          <t>GÄVLEBORGS LÄN</t>
        </is>
      </c>
      <c r="G810" t="inlineStr">
        <is>
          <t>OCKELBO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58727-2025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45986</v>
      </c>
      <c r="E811" s="1" t="n">
        <v>46304</v>
      </c>
      <c r="F811" t="inlineStr">
        <is>
          <t>GÄVLEBORGS LÄN</t>
        </is>
      </c>
      <c r="G811" t="inlineStr">
        <is>
          <t>OCKELBO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18326-2026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46126</v>
      </c>
      <c r="E812" s="1" t="n">
        <v>46304</v>
      </c>
      <c r="F812" t="inlineStr">
        <is>
          <t>GÄVLEBORGS LÄN</t>
        </is>
      </c>
      <c r="G812" t="inlineStr">
        <is>
          <t>OCKELBO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41071-2026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46300</v>
      </c>
      <c r="E813" s="1" t="n">
        <v>46304</v>
      </c>
      <c r="F813" t="inlineStr">
        <is>
          <t>GÄVLEBORGS LÄN</t>
        </is>
      </c>
      <c r="G813" t="inlineStr">
        <is>
          <t>OCKELBO</t>
        </is>
      </c>
      <c r="I813" t="n">
        <v>10.1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11116-2026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46079</v>
      </c>
      <c r="E814" s="1" t="n">
        <v>46304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31571-2026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46224</v>
      </c>
      <c r="E815" s="1" t="n">
        <v>46304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31443-2026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46220</v>
      </c>
      <c r="E816" s="1" t="n">
        <v>46304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34765-2026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46258</v>
      </c>
      <c r="E817" s="1" t="n">
        <v>46304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35155-2026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46260</v>
      </c>
      <c r="E818" s="1" t="n">
        <v>46304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31971-2026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46232</v>
      </c>
      <c r="E819" s="1" t="n">
        <v>46304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27272-2026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46188</v>
      </c>
      <c r="E820" s="1" t="n">
        <v>46304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30990-2026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46213</v>
      </c>
      <c r="E821" s="1" t="n">
        <v>46304</v>
      </c>
      <c r="F821" t="inlineStr">
        <is>
          <t>GÄVLEBORGS LÄN</t>
        </is>
      </c>
      <c r="G821" t="inlineStr">
        <is>
          <t>OCKELBO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46223</v>
      </c>
      <c r="E822" s="1" t="n">
        <v>46304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46045</v>
      </c>
      <c r="E823" s="1" t="n">
        <v>46304</v>
      </c>
      <c r="F823" t="inlineStr">
        <is>
          <t>GÄVLEBORGS LÄN</t>
        </is>
      </c>
      <c r="G823" t="inlineStr">
        <is>
          <t>OCKELBO</t>
        </is>
      </c>
      <c r="I823" t="n">
        <v>6.8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31591-2026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46224</v>
      </c>
      <c r="E824" s="1" t="n">
        <v>46304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17682-2026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46121</v>
      </c>
      <c r="E825" s="1" t="n">
        <v>46304</v>
      </c>
      <c r="F825" t="inlineStr">
        <is>
          <t>GÄVLEBORGS LÄN</t>
        </is>
      </c>
      <c r="G825" t="inlineStr">
        <is>
          <t>OCKELBO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46304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46304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46304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46304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46304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46304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46304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46304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46304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46304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2540-2026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46293</v>
      </c>
      <c r="E836" s="1" t="n">
        <v>46304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2602-2026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46300</v>
      </c>
      <c r="E837" s="1" t="n">
        <v>46304</v>
      </c>
      <c r="F837" t="inlineStr">
        <is>
          <t>GÄVLEBORGS LÄN</t>
        </is>
      </c>
      <c r="G837" t="inlineStr">
        <is>
          <t>OCKELBO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2216-2026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46255</v>
      </c>
      <c r="E838" s="1" t="n">
        <v>46304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19.4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2026-10-09T02:07:28Z</dcterms:created>
  <dcterms:modified xmlns:dcterms="http://purl.org/dc/terms/" xmlns:xsi="http://www.w3.org/2001/XMLSchema-instance" xsi:type="dcterms:W3CDTF">2026-10-09T02:07:29Z</dcterms:modified>
</cp:coreProperties>
</file>